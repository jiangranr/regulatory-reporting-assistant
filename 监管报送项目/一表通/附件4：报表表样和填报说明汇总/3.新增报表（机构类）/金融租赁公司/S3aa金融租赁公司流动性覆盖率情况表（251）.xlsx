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231" windowHeight="8700"/>
  </bookViews>
  <sheets>
    <sheet name="S3aa金融租赁公司流动性覆盖率情况表" sheetId="1" r:id="rId1"/>
  </sheets>
  <externalReferences>
    <externalReference r:id="rId2"/>
    <externalReference r:id="rId3"/>
  </externalReferences>
  <definedNames>
    <definedName name="abc">[1]cl!$A$1:$L$49</definedName>
    <definedName name="abcd">[1]zz!$A$1:$L$7</definedName>
    <definedName name="BFS">BFS("ss","dd")</definedName>
    <definedName name="ccc">[1]cl!$A$1:$L$49</definedName>
    <definedName name="cl">[1]cl!$A$1:$L$49</definedName>
    <definedName name="Database" hidden="1">#REF!</definedName>
    <definedName name="Print_Area_MI">#REF!</definedName>
    <definedName name="Sheet1">#REF!</definedName>
    <definedName name="Sheet2">#REF!</definedName>
    <definedName name="XT_DN">1997</definedName>
    <definedName name="XT_DY">12</definedName>
    <definedName name="XT_WJZ">1</definedName>
    <definedName name="XT_XJLLB">1</definedName>
    <definedName name="zz">[1]zz!$A$1:$L$7</definedName>
    <definedName name="zzz">[1]zz!$A$1:$L$7</definedName>
    <definedName name="短期投资跌价准备">[2]调整!#REF!</definedName>
    <definedName name="对外融资偿付本息情况统计">对外融资偿付本息情况统计("ss","dd")</definedName>
    <definedName name="전">#REF!</definedName>
    <definedName name="주택사업본부">#REF!</definedName>
    <definedName name="철구사업본부">#REF!</definedName>
  </definedNames>
  <calcPr calcId="144525"/>
</workbook>
</file>

<file path=xl/sharedStrings.xml><?xml version="1.0" encoding="utf-8"?>
<sst xmlns="http://schemas.openxmlformats.org/spreadsheetml/2006/main" count="58" uniqueCount="58">
  <si>
    <t>S3aa金融租赁公司流动性覆盖率情况表</t>
  </si>
  <si>
    <r>
      <rPr>
        <sz val="10"/>
        <rFont val="仿宋_GB2312"/>
        <charset val="134"/>
      </rPr>
      <t>填报机构：</t>
    </r>
  </si>
  <si>
    <r>
      <rPr>
        <sz val="10"/>
        <rFont val="仿宋_GB2312"/>
        <charset val="134"/>
      </rPr>
      <t>报表日期：</t>
    </r>
    <r>
      <rPr>
        <sz val="10"/>
        <rFont val="Times New Roman"/>
        <charset val="134"/>
      </rPr>
      <t xml:space="preserve">    </t>
    </r>
    <r>
      <rPr>
        <sz val="10"/>
        <rFont val="仿宋_GB2312"/>
        <charset val="134"/>
      </rPr>
      <t>年</t>
    </r>
    <r>
      <rPr>
        <sz val="10"/>
        <rFont val="Times New Roman"/>
        <charset val="134"/>
      </rPr>
      <t xml:space="preserve">    </t>
    </r>
    <r>
      <rPr>
        <sz val="10"/>
        <rFont val="仿宋_GB2312"/>
        <charset val="134"/>
      </rPr>
      <t>月</t>
    </r>
    <r>
      <rPr>
        <sz val="10"/>
        <rFont val="Times New Roman"/>
        <charset val="134"/>
      </rPr>
      <t xml:space="preserve">    </t>
    </r>
    <r>
      <rPr>
        <sz val="10"/>
        <rFont val="仿宋_GB2312"/>
        <charset val="134"/>
      </rPr>
      <t>日</t>
    </r>
  </si>
  <si>
    <r>
      <rPr>
        <sz val="10"/>
        <rFont val="仿宋_GB2312"/>
        <charset val="134"/>
      </rPr>
      <t>数据单位：万元、</t>
    </r>
    <r>
      <rPr>
        <sz val="10"/>
        <rFont val="Times New Roman"/>
        <charset val="134"/>
      </rPr>
      <t>%</t>
    </r>
  </si>
  <si>
    <r>
      <rPr>
        <b/>
        <sz val="10"/>
        <rFont val="宋体"/>
        <charset val="134"/>
      </rPr>
      <t>序号</t>
    </r>
  </si>
  <si>
    <r>
      <rPr>
        <b/>
        <sz val="10"/>
        <rFont val="宋体"/>
        <charset val="134"/>
      </rPr>
      <t>项目</t>
    </r>
  </si>
  <si>
    <t>A</t>
  </si>
  <si>
    <r>
      <rPr>
        <b/>
        <sz val="10"/>
        <rFont val="宋体"/>
        <charset val="134"/>
      </rPr>
      <t>金额</t>
    </r>
  </si>
  <si>
    <r>
      <rPr>
        <sz val="10"/>
        <rFont val="宋体"/>
        <charset val="134"/>
      </rPr>
      <t>Ⅰ</t>
    </r>
    <r>
      <rPr>
        <sz val="10"/>
        <rFont val="Times New Roman"/>
        <charset val="134"/>
      </rPr>
      <t>.</t>
    </r>
    <r>
      <rPr>
        <sz val="10"/>
        <rFont val="宋体"/>
        <charset val="134"/>
      </rPr>
      <t>基础数据</t>
    </r>
  </si>
  <si>
    <r>
      <rPr>
        <b/>
        <sz val="10"/>
        <rFont val="Times New Roman"/>
        <charset val="134"/>
      </rPr>
      <t>1.</t>
    </r>
    <r>
      <rPr>
        <b/>
        <sz val="10"/>
        <rFont val="宋体"/>
        <charset val="134"/>
      </rPr>
      <t>合格优质流动性资产</t>
    </r>
  </si>
  <si>
    <r>
      <rPr>
        <b/>
        <sz val="10"/>
        <rFont val="Times New Roman"/>
        <charset val="134"/>
      </rPr>
      <t xml:space="preserve">    1.1</t>
    </r>
    <r>
      <rPr>
        <b/>
        <sz val="10"/>
        <rFont val="宋体"/>
        <charset val="134"/>
      </rPr>
      <t>现金</t>
    </r>
  </si>
  <si>
    <r>
      <rPr>
        <b/>
        <sz val="10"/>
        <rFont val="Times New Roman"/>
        <charset val="134"/>
      </rPr>
      <t xml:space="preserve">    1.2</t>
    </r>
    <r>
      <rPr>
        <b/>
        <sz val="10"/>
        <rFont val="宋体"/>
        <charset val="134"/>
      </rPr>
      <t>存放银行款项</t>
    </r>
  </si>
  <si>
    <r>
      <rPr>
        <b/>
        <sz val="10"/>
        <rFont val="Times New Roman"/>
        <charset val="134"/>
      </rPr>
      <t xml:space="preserve">    1.3</t>
    </r>
    <r>
      <rPr>
        <b/>
        <sz val="10"/>
        <rFont val="宋体"/>
        <charset val="134"/>
      </rPr>
      <t>风险权重为零的证券</t>
    </r>
  </si>
  <si>
    <r>
      <rPr>
        <sz val="10"/>
        <rFont val="Times New Roman"/>
        <charset val="134"/>
      </rPr>
      <t xml:space="preserve">   1.3.1</t>
    </r>
    <r>
      <rPr>
        <sz val="10"/>
        <rFont val="宋体"/>
        <charset val="134"/>
      </rPr>
      <t>主权国家发行的</t>
    </r>
  </si>
  <si>
    <r>
      <rPr>
        <sz val="10"/>
        <rFont val="Times New Roman"/>
        <charset val="134"/>
      </rPr>
      <t xml:space="preserve">   1.3.2</t>
    </r>
    <r>
      <rPr>
        <sz val="10"/>
        <rFont val="宋体"/>
        <charset val="134"/>
      </rPr>
      <t>主权国家担保的</t>
    </r>
  </si>
  <si>
    <r>
      <rPr>
        <sz val="10"/>
        <rFont val="Times New Roman"/>
        <charset val="134"/>
      </rPr>
      <t xml:space="preserve">   1.3.3</t>
    </r>
    <r>
      <rPr>
        <sz val="10"/>
        <rFont val="宋体"/>
        <charset val="134"/>
      </rPr>
      <t>央行发行或担保的</t>
    </r>
  </si>
  <si>
    <r>
      <rPr>
        <sz val="10"/>
        <rFont val="Times New Roman"/>
        <charset val="134"/>
      </rPr>
      <t xml:space="preserve">   1.3.4</t>
    </r>
    <r>
      <rPr>
        <sz val="10"/>
        <rFont val="宋体"/>
        <charset val="134"/>
      </rPr>
      <t>其他机构发行或担保的</t>
    </r>
  </si>
  <si>
    <r>
      <rPr>
        <b/>
        <sz val="10"/>
        <rFont val="Times New Roman"/>
        <charset val="134"/>
      </rPr>
      <t xml:space="preserve">    1.4</t>
    </r>
    <r>
      <rPr>
        <b/>
        <sz val="10"/>
        <rFont val="宋体"/>
        <charset val="134"/>
      </rPr>
      <t>其他优质资产</t>
    </r>
  </si>
  <si>
    <r>
      <rPr>
        <b/>
        <sz val="10"/>
        <rFont val="Times New Roman"/>
        <charset val="134"/>
      </rPr>
      <t>2.</t>
    </r>
    <r>
      <rPr>
        <b/>
        <sz val="10"/>
        <rFont val="宋体"/>
        <charset val="134"/>
      </rPr>
      <t>净资金流出</t>
    </r>
  </si>
  <si>
    <r>
      <rPr>
        <b/>
        <sz val="10"/>
        <rFont val="Times New Roman"/>
        <charset val="134"/>
      </rPr>
      <t xml:space="preserve">  2.1 </t>
    </r>
    <r>
      <rPr>
        <b/>
        <sz val="10"/>
        <rFont val="宋体"/>
        <charset val="134"/>
      </rPr>
      <t>资金流出</t>
    </r>
  </si>
  <si>
    <r>
      <rPr>
        <sz val="10"/>
        <rFont val="Times New Roman"/>
        <charset val="134"/>
      </rPr>
      <t xml:space="preserve">   2.1.1 30</t>
    </r>
    <r>
      <rPr>
        <sz val="10"/>
        <rFont val="宋体"/>
        <charset val="134"/>
      </rPr>
      <t>天内到期的应付款项和其他应付款（不包括项目</t>
    </r>
    <r>
      <rPr>
        <sz val="10"/>
        <rFont val="Times New Roman"/>
        <charset val="134"/>
      </rPr>
      <t>2.1.5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2.1.6</t>
    </r>
    <r>
      <rPr>
        <sz val="10"/>
        <rFont val="宋体"/>
        <charset val="134"/>
      </rPr>
      <t>的有关项目）</t>
    </r>
  </si>
  <si>
    <r>
      <rPr>
        <sz val="10"/>
        <rFont val="Times New Roman"/>
        <charset val="134"/>
      </rPr>
      <t xml:space="preserve">   2.1.2 30</t>
    </r>
    <r>
      <rPr>
        <sz val="10"/>
        <rFont val="宋体"/>
        <charset val="134"/>
      </rPr>
      <t>天内到期的应付职工薪酬</t>
    </r>
  </si>
  <si>
    <r>
      <rPr>
        <sz val="10"/>
        <rFont val="Times New Roman"/>
        <charset val="134"/>
      </rPr>
      <t xml:space="preserve">   2.1.3 30</t>
    </r>
    <r>
      <rPr>
        <sz val="10"/>
        <rFont val="宋体"/>
        <charset val="134"/>
      </rPr>
      <t>天内到期的应交税费</t>
    </r>
  </si>
  <si>
    <r>
      <rPr>
        <sz val="10"/>
        <rFont val="Times New Roman"/>
        <charset val="134"/>
      </rPr>
      <t xml:space="preserve">   2.1.4 30</t>
    </r>
    <r>
      <rPr>
        <sz val="10"/>
        <rFont val="宋体"/>
        <charset val="134"/>
      </rPr>
      <t>天内到期的应付利息</t>
    </r>
  </si>
  <si>
    <r>
      <rPr>
        <sz val="10"/>
        <rFont val="Times New Roman"/>
        <charset val="134"/>
      </rPr>
      <t xml:space="preserve">   2.1.5 30</t>
    </r>
    <r>
      <rPr>
        <sz val="10"/>
        <rFont val="宋体"/>
        <charset val="134"/>
      </rPr>
      <t>天内需支付的投资款项（包括股权和债权类投资）</t>
    </r>
  </si>
  <si>
    <r>
      <rPr>
        <sz val="10"/>
        <rFont val="Times New Roman"/>
        <charset val="134"/>
      </rPr>
      <t xml:space="preserve">   2.1.6 30</t>
    </r>
    <r>
      <rPr>
        <sz val="10"/>
        <rFont val="宋体"/>
        <charset val="134"/>
      </rPr>
      <t>天内需支付的购建固定资产、无形资产和其他长期资产的款项</t>
    </r>
  </si>
  <si>
    <r>
      <rPr>
        <sz val="10"/>
        <rFont val="Times New Roman"/>
        <charset val="134"/>
      </rPr>
      <t xml:space="preserve">   2.1.7 30</t>
    </r>
    <r>
      <rPr>
        <sz val="10"/>
        <rFont val="宋体"/>
        <charset val="134"/>
      </rPr>
      <t>天内到期的借款和应付债券</t>
    </r>
  </si>
  <si>
    <r>
      <rPr>
        <sz val="10"/>
        <rFont val="Times New Roman"/>
        <charset val="134"/>
      </rPr>
      <t xml:space="preserve">   2.1.8 30</t>
    </r>
    <r>
      <rPr>
        <sz val="10"/>
        <rFont val="宋体"/>
        <charset val="134"/>
      </rPr>
      <t>天内到期的拆入资金</t>
    </r>
  </si>
  <si>
    <r>
      <rPr>
        <sz val="10"/>
        <rFont val="Times New Roman"/>
        <charset val="134"/>
      </rPr>
      <t xml:space="preserve">   2.1.9 30</t>
    </r>
    <r>
      <rPr>
        <sz val="10"/>
        <rFont val="宋体"/>
        <charset val="134"/>
      </rPr>
      <t>天内到期的卖出回购金融资产</t>
    </r>
  </si>
  <si>
    <r>
      <rPr>
        <sz val="10"/>
        <rFont val="Times New Roman"/>
        <charset val="134"/>
      </rPr>
      <t xml:space="preserve">   2.1.10 30</t>
    </r>
    <r>
      <rPr>
        <sz val="10"/>
        <rFont val="宋体"/>
        <charset val="134"/>
      </rPr>
      <t>天内到期的应付股利</t>
    </r>
  </si>
  <si>
    <r>
      <rPr>
        <sz val="10"/>
        <rFont val="Times New Roman"/>
        <charset val="134"/>
      </rPr>
      <t xml:space="preserve">   2.1.11 30</t>
    </r>
    <r>
      <rPr>
        <sz val="10"/>
        <rFont val="宋体"/>
        <charset val="134"/>
      </rPr>
      <t>天内需支付的其他款项</t>
    </r>
  </si>
  <si>
    <r>
      <rPr>
        <b/>
        <sz val="10"/>
        <rFont val="Times New Roman"/>
        <charset val="134"/>
      </rPr>
      <t xml:space="preserve">  2.2</t>
    </r>
    <r>
      <rPr>
        <b/>
        <sz val="10"/>
        <rFont val="宋体"/>
        <charset val="134"/>
      </rPr>
      <t>资金流入</t>
    </r>
  </si>
  <si>
    <r>
      <rPr>
        <sz val="10"/>
        <rFont val="Times New Roman"/>
        <charset val="134"/>
      </rPr>
      <t xml:space="preserve">   2.2.1 30</t>
    </r>
    <r>
      <rPr>
        <sz val="10"/>
        <rFont val="宋体"/>
        <charset val="134"/>
      </rPr>
      <t>天内处置不良资产及持有待售非流动资产引起的协议性现金流</t>
    </r>
  </si>
  <si>
    <r>
      <rPr>
        <sz val="10"/>
        <rFont val="Times New Roman"/>
        <charset val="134"/>
      </rPr>
      <t xml:space="preserve">   2.2.2 30</t>
    </r>
    <r>
      <rPr>
        <sz val="10"/>
        <rFont val="宋体"/>
        <charset val="134"/>
      </rPr>
      <t>天内到期的应收款项和其他应收款（不包括项目</t>
    </r>
    <r>
      <rPr>
        <sz val="10"/>
        <rFont val="Times New Roman"/>
        <charset val="134"/>
      </rPr>
      <t>2.2.1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2.2.5</t>
    </r>
    <r>
      <rPr>
        <sz val="10"/>
        <rFont val="宋体"/>
        <charset val="134"/>
      </rPr>
      <t>的有关项目）</t>
    </r>
  </si>
  <si>
    <r>
      <rPr>
        <sz val="10"/>
        <rFont val="Times New Roman"/>
        <charset val="134"/>
      </rPr>
      <t xml:space="preserve">   2.2.3 30</t>
    </r>
    <r>
      <rPr>
        <sz val="10"/>
        <rFont val="宋体"/>
        <charset val="134"/>
      </rPr>
      <t>天内到期的银行承兑汇票</t>
    </r>
  </si>
  <si>
    <r>
      <rPr>
        <sz val="10"/>
        <rFont val="Times New Roman"/>
        <charset val="134"/>
      </rPr>
      <t xml:space="preserve">   2.2.4 30</t>
    </r>
    <r>
      <rPr>
        <sz val="10"/>
        <rFont val="宋体"/>
        <charset val="134"/>
      </rPr>
      <t>天内到期的商业承兑汇票</t>
    </r>
  </si>
  <si>
    <r>
      <rPr>
        <sz val="10"/>
        <rFont val="Times New Roman"/>
        <charset val="134"/>
      </rPr>
      <t xml:space="preserve">   2.2.5 30</t>
    </r>
    <r>
      <rPr>
        <sz val="10"/>
        <rFont val="宋体"/>
        <charset val="134"/>
      </rPr>
      <t>天内收回投资产生的协议性现金流（只包括股权类投资，不包括项目</t>
    </r>
    <r>
      <rPr>
        <sz val="10"/>
        <rFont val="Times New Roman"/>
        <charset val="134"/>
      </rPr>
      <t>2.2.1</t>
    </r>
    <r>
      <rPr>
        <sz val="10"/>
        <rFont val="宋体"/>
        <charset val="134"/>
      </rPr>
      <t>的有关项目）</t>
    </r>
  </si>
  <si>
    <r>
      <rPr>
        <sz val="10"/>
        <rFont val="Times New Roman"/>
        <charset val="134"/>
      </rPr>
      <t xml:space="preserve">   2.2.6 30</t>
    </r>
    <r>
      <rPr>
        <sz val="10"/>
        <rFont val="宋体"/>
        <charset val="134"/>
      </rPr>
      <t>天内到期的应收股利及应收利息</t>
    </r>
  </si>
  <si>
    <r>
      <rPr>
        <sz val="10"/>
        <rFont val="Times New Roman"/>
        <charset val="134"/>
      </rPr>
      <t xml:space="preserve">   2.2.7 30</t>
    </r>
    <r>
      <rPr>
        <sz val="10"/>
        <rFont val="宋体"/>
        <charset val="134"/>
      </rPr>
      <t>天内处置固定资产、无形资产和其他长期资产引起的协议性现金流</t>
    </r>
  </si>
  <si>
    <r>
      <rPr>
        <sz val="10"/>
        <rFont val="Times New Roman"/>
        <charset val="134"/>
      </rPr>
      <t xml:space="preserve">   2.2.8 30</t>
    </r>
    <r>
      <rPr>
        <sz val="10"/>
        <rFont val="宋体"/>
        <charset val="134"/>
      </rPr>
      <t>天内到期的拆出资金</t>
    </r>
  </si>
  <si>
    <r>
      <rPr>
        <sz val="10"/>
        <rFont val="Times New Roman"/>
        <charset val="134"/>
      </rPr>
      <t xml:space="preserve">   2.2.9 30</t>
    </r>
    <r>
      <rPr>
        <sz val="10"/>
        <rFont val="宋体"/>
        <charset val="134"/>
      </rPr>
      <t>天内到期的买入返售金融资产</t>
    </r>
  </si>
  <si>
    <r>
      <rPr>
        <sz val="10"/>
        <rFont val="Times New Roman"/>
        <charset val="134"/>
      </rPr>
      <t xml:space="preserve">   2.2.10 30</t>
    </r>
    <r>
      <rPr>
        <sz val="10"/>
        <rFont val="宋体"/>
        <charset val="134"/>
      </rPr>
      <t>天内到期的融资租赁资产及债券（不包括项目</t>
    </r>
    <r>
      <rPr>
        <sz val="10"/>
        <rFont val="Times New Roman"/>
        <charset val="134"/>
      </rPr>
      <t>2.2.1</t>
    </r>
    <r>
      <rPr>
        <sz val="10"/>
        <rFont val="宋体"/>
        <charset val="134"/>
      </rPr>
      <t>的有关项目）</t>
    </r>
  </si>
  <si>
    <r>
      <rPr>
        <sz val="10"/>
        <rFont val="Times New Roman"/>
        <charset val="134"/>
      </rPr>
      <t xml:space="preserve">   2.2.11 30</t>
    </r>
    <r>
      <rPr>
        <sz val="10"/>
        <rFont val="宋体"/>
        <charset val="134"/>
      </rPr>
      <t>天内吸收投资产生的协议性现金流</t>
    </r>
  </si>
  <si>
    <r>
      <rPr>
        <sz val="10"/>
        <rFont val="Times New Roman"/>
        <charset val="134"/>
      </rPr>
      <t xml:space="preserve">   2.2.12 30</t>
    </r>
    <r>
      <rPr>
        <sz val="10"/>
        <rFont val="宋体"/>
        <charset val="134"/>
      </rPr>
      <t>天内借款或发行债券产生的协议性现金流</t>
    </r>
  </si>
  <si>
    <r>
      <rPr>
        <sz val="10"/>
        <rFont val="Times New Roman"/>
        <charset val="134"/>
      </rPr>
      <t xml:space="preserve">   2.2.13 30</t>
    </r>
    <r>
      <rPr>
        <sz val="10"/>
        <rFont val="宋体"/>
        <charset val="134"/>
      </rPr>
      <t>天内其他协议性现金流入</t>
    </r>
  </si>
  <si>
    <r>
      <rPr>
        <sz val="10"/>
        <rFont val="宋体"/>
        <charset val="134"/>
      </rPr>
      <t>Ⅱ</t>
    </r>
    <r>
      <rPr>
        <sz val="10"/>
        <rFont val="Times New Roman"/>
        <charset val="134"/>
      </rPr>
      <t xml:space="preserve">. </t>
    </r>
    <r>
      <rPr>
        <sz val="10"/>
        <rFont val="宋体"/>
        <charset val="134"/>
      </rPr>
      <t>汇总计算</t>
    </r>
  </si>
  <si>
    <r>
      <rPr>
        <b/>
        <sz val="10"/>
        <rFont val="Times New Roman"/>
        <charset val="134"/>
      </rPr>
      <t>3.</t>
    </r>
    <r>
      <rPr>
        <b/>
        <sz val="10"/>
        <rFont val="宋体"/>
        <charset val="134"/>
      </rPr>
      <t>合格优质流动性资产</t>
    </r>
    <r>
      <rPr>
        <b/>
        <sz val="10"/>
        <rFont val="Times New Roman"/>
        <charset val="134"/>
      </rPr>
      <t>(</t>
    </r>
    <r>
      <rPr>
        <b/>
        <sz val="10"/>
        <rFont val="宋体"/>
        <charset val="134"/>
      </rPr>
      <t>汇总计算</t>
    </r>
    <r>
      <rPr>
        <b/>
        <sz val="10"/>
        <rFont val="Times New Roman"/>
        <charset val="134"/>
      </rPr>
      <t>)</t>
    </r>
  </si>
  <si>
    <r>
      <rPr>
        <b/>
        <sz val="10"/>
        <rFont val="Times New Roman"/>
        <charset val="134"/>
      </rPr>
      <t>4.</t>
    </r>
    <r>
      <rPr>
        <b/>
        <sz val="10"/>
        <rFont val="宋体"/>
        <charset val="134"/>
      </rPr>
      <t>净资金流出</t>
    </r>
    <r>
      <rPr>
        <b/>
        <sz val="10"/>
        <rFont val="Times New Roman"/>
        <charset val="134"/>
      </rPr>
      <t>(</t>
    </r>
    <r>
      <rPr>
        <b/>
        <sz val="10"/>
        <rFont val="宋体"/>
        <charset val="134"/>
      </rPr>
      <t>汇总计算</t>
    </r>
    <r>
      <rPr>
        <b/>
        <sz val="10"/>
        <rFont val="Times New Roman"/>
        <charset val="134"/>
      </rPr>
      <t>)</t>
    </r>
  </si>
  <si>
    <r>
      <rPr>
        <sz val="10"/>
        <rFont val="Times New Roman"/>
        <charset val="134"/>
      </rPr>
      <t xml:space="preserve">  4.1</t>
    </r>
    <r>
      <rPr>
        <sz val="10"/>
        <rFont val="宋体"/>
        <charset val="134"/>
      </rPr>
      <t>资金流出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汇总计算</t>
    </r>
    <r>
      <rPr>
        <sz val="10"/>
        <rFont val="Times New Roman"/>
        <charset val="134"/>
      </rPr>
      <t>)</t>
    </r>
  </si>
  <si>
    <r>
      <rPr>
        <sz val="10"/>
        <rFont val="Times New Roman"/>
        <charset val="134"/>
      </rPr>
      <t xml:space="preserve">  4.2</t>
    </r>
    <r>
      <rPr>
        <sz val="10"/>
        <rFont val="宋体"/>
        <charset val="134"/>
      </rPr>
      <t>资金流入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汇总计算</t>
    </r>
    <r>
      <rPr>
        <sz val="10"/>
        <rFont val="Times New Roman"/>
        <charset val="134"/>
      </rPr>
      <t>)</t>
    </r>
  </si>
  <si>
    <r>
      <rPr>
        <b/>
        <sz val="10"/>
        <rFont val="Times New Roman"/>
        <charset val="134"/>
      </rPr>
      <t>5.</t>
    </r>
    <r>
      <rPr>
        <b/>
        <sz val="10"/>
        <rFont val="宋体"/>
        <charset val="134"/>
      </rPr>
      <t>流动性覆盖率</t>
    </r>
  </si>
  <si>
    <r>
      <rPr>
        <sz val="10"/>
        <rFont val="仿宋_GB2312"/>
        <charset val="134"/>
      </rPr>
      <t>填表人：</t>
    </r>
  </si>
  <si>
    <r>
      <rPr>
        <sz val="10"/>
        <rFont val="仿宋_GB2312"/>
        <charset val="134"/>
      </rPr>
      <t>复核人：</t>
    </r>
  </si>
  <si>
    <r>
      <rPr>
        <sz val="10"/>
        <color indexed="8"/>
        <rFont val="仿宋_GB2312"/>
        <charset val="134"/>
      </rPr>
      <t>负责人：</t>
    </r>
  </si>
  <si>
    <r>
      <rPr>
        <sz val="10"/>
        <rFont val="宋体"/>
        <charset val="134"/>
      </rPr>
      <t>无数据部分</t>
    </r>
  </si>
  <si>
    <r>
      <rPr>
        <sz val="10"/>
        <rFont val="宋体"/>
        <charset val="134"/>
      </rPr>
      <t>需填列的表格</t>
    </r>
  </si>
  <si>
    <r>
      <rPr>
        <sz val="10"/>
        <rFont val="宋体"/>
        <charset val="134"/>
      </rPr>
      <t>自动计算部分</t>
    </r>
  </si>
  <si>
    <r>
      <t>版本号：</t>
    </r>
    <r>
      <rPr>
        <sz val="10"/>
        <rFont val="Times New Roman"/>
        <charset val="134"/>
      </rPr>
      <t>251</t>
    </r>
  </si>
</sst>
</file>

<file path=xl/styles.xml><?xml version="1.0" encoding="utf-8"?>
<styleSheet xmlns="http://schemas.openxmlformats.org/spreadsheetml/2006/main">
  <numFmts count="13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_-* #,##0_-;\-* #,##0_-;_-* &quot;-&quot;_-;_-@_-"/>
    <numFmt numFmtId="177" formatCode="_-* #,##0.00_-;\-* #,##0.00_-;_-* &quot;-&quot;??_-;_-@_-"/>
    <numFmt numFmtId="178" formatCode="_ \¥* #,##0.00_ ;_ \¥* \-#,##0.00_ ;_ \¥* &quot;-&quot;??_ ;_ @_ "/>
    <numFmt numFmtId="179" formatCode="0.0%"/>
    <numFmt numFmtId="180" formatCode="_ \¥* #,##0_ ;_ \¥* \-#,##0_ ;_ \¥* &quot;-&quot;_ ;_ @_ "/>
    <numFmt numFmtId="181" formatCode="_(* #,##0.00_);_(* \(#,##0.00\);_(* &quot;-&quot;??_);_(@_)"/>
    <numFmt numFmtId="182" formatCode="0.00_ "/>
    <numFmt numFmtId="183" formatCode="#,##0.00_);[Red]\(#,##0.00\)"/>
    <numFmt numFmtId="184" formatCode="#,##0.00_ "/>
  </numFmts>
  <fonts count="69">
    <font>
      <sz val="12"/>
      <name val="宋体"/>
      <charset val="134"/>
    </font>
    <font>
      <sz val="10"/>
      <color indexed="8"/>
      <name val="Times New Roman"/>
      <charset val="134"/>
    </font>
    <font>
      <sz val="10"/>
      <name val="Times New Roman"/>
      <charset val="134"/>
    </font>
    <font>
      <sz val="12"/>
      <name val="Times New Roman"/>
      <charset val="134"/>
    </font>
    <font>
      <b/>
      <sz val="16"/>
      <name val="黑体"/>
      <charset val="134"/>
    </font>
    <font>
      <sz val="16"/>
      <name val="Times New Roman"/>
      <charset val="134"/>
    </font>
    <font>
      <b/>
      <sz val="10"/>
      <name val="Times New Roman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56"/>
      <name val="新細明體"/>
      <charset val="134"/>
    </font>
    <font>
      <sz val="11"/>
      <color indexed="10"/>
      <name val="Tahoma"/>
      <charset val="134"/>
    </font>
    <font>
      <b/>
      <sz val="15"/>
      <color indexed="56"/>
      <name val="宋体"/>
      <charset val="134"/>
    </font>
    <font>
      <b/>
      <sz val="11"/>
      <color indexed="9"/>
      <name val="宋体"/>
      <charset val="134"/>
    </font>
    <font>
      <sz val="11"/>
      <color indexed="8"/>
      <name val="Tahoma"/>
      <charset val="134"/>
    </font>
    <font>
      <b/>
      <sz val="11"/>
      <color indexed="8"/>
      <name val="宋体"/>
      <charset val="134"/>
    </font>
    <font>
      <sz val="10"/>
      <name val="Arial"/>
      <charset val="134"/>
    </font>
    <font>
      <sz val="12"/>
      <color indexed="17"/>
      <name val="新細明體"/>
      <charset val="134"/>
    </font>
    <font>
      <i/>
      <sz val="11"/>
      <color indexed="23"/>
      <name val="Tahoma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sz val="11"/>
      <color indexed="57"/>
      <name val="Tahoma"/>
      <charset val="134"/>
    </font>
    <font>
      <sz val="11"/>
      <color indexed="20"/>
      <name val="Tahoma"/>
      <charset val="134"/>
    </font>
    <font>
      <b/>
      <sz val="11"/>
      <color indexed="63"/>
      <name val="宋体"/>
      <charset val="134"/>
    </font>
    <font>
      <b/>
      <sz val="12"/>
      <color indexed="63"/>
      <name val="新細明體"/>
      <charset val="134"/>
    </font>
    <font>
      <b/>
      <sz val="11"/>
      <color indexed="56"/>
      <name val="宋体"/>
      <charset val="134"/>
    </font>
    <font>
      <sz val="11"/>
      <color indexed="17"/>
      <name val="宋体"/>
      <charset val="134"/>
    </font>
    <font>
      <b/>
      <sz val="11"/>
      <color indexed="63"/>
      <name val="Tahoma"/>
      <charset val="134"/>
    </font>
    <font>
      <sz val="12"/>
      <color indexed="9"/>
      <name val="新細明體"/>
      <charset val="134"/>
    </font>
    <font>
      <b/>
      <sz val="13"/>
      <color indexed="56"/>
      <name val="宋体"/>
      <charset val="134"/>
    </font>
    <font>
      <b/>
      <sz val="11"/>
      <color indexed="62"/>
      <name val="Tahoma"/>
      <charset val="134"/>
    </font>
    <font>
      <sz val="12"/>
      <color indexed="8"/>
      <name val="新細明體"/>
      <charset val="134"/>
    </font>
    <font>
      <sz val="11"/>
      <color indexed="2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52"/>
      <name val="Tahoma"/>
      <charset val="134"/>
    </font>
    <font>
      <u/>
      <sz val="11"/>
      <color rgb="FF800080"/>
      <name val="宋体"/>
      <charset val="0"/>
      <scheme val="minor"/>
    </font>
    <font>
      <sz val="11"/>
      <color indexed="17"/>
      <name val="Tahoma"/>
      <charset val="134"/>
    </font>
    <font>
      <sz val="12"/>
      <color indexed="20"/>
      <name val="新細明體"/>
      <charset val="134"/>
    </font>
    <font>
      <b/>
      <sz val="12"/>
      <color indexed="8"/>
      <name val="新細明體"/>
      <charset val="134"/>
    </font>
    <font>
      <b/>
      <sz val="18"/>
      <color indexed="62"/>
      <name val="宋体"/>
      <charset val="134"/>
    </font>
    <font>
      <b/>
      <sz val="13"/>
      <color indexed="62"/>
      <name val="Tahoma"/>
      <charset val="134"/>
    </font>
    <font>
      <sz val="11"/>
      <color indexed="52"/>
      <name val="宋体"/>
      <charset val="134"/>
    </font>
    <font>
      <sz val="12"/>
      <color indexed="62"/>
      <name val="新細明體"/>
      <charset val="134"/>
    </font>
    <font>
      <sz val="12"/>
      <color indexed="10"/>
      <name val="新細明體"/>
      <charset val="134"/>
    </font>
    <font>
      <b/>
      <sz val="15"/>
      <color indexed="62"/>
      <name val="Tahoma"/>
      <charset val="134"/>
    </font>
    <font>
      <sz val="11"/>
      <color indexed="62"/>
      <name val="Tahoma"/>
      <charset val="134"/>
    </font>
    <font>
      <b/>
      <sz val="11"/>
      <color indexed="52"/>
      <name val="Tahoma"/>
      <charset val="134"/>
    </font>
    <font>
      <sz val="11"/>
      <color indexed="60"/>
      <name val="Tahoma"/>
      <charset val="134"/>
    </font>
    <font>
      <b/>
      <sz val="12"/>
      <color indexed="52"/>
      <name val="新細明體"/>
      <charset val="134"/>
    </font>
    <font>
      <sz val="12"/>
      <color indexed="60"/>
      <name val="新細明體"/>
      <charset val="134"/>
    </font>
    <font>
      <b/>
      <sz val="11"/>
      <color indexed="57"/>
      <name val="Tahoma"/>
      <charset val="134"/>
    </font>
    <font>
      <b/>
      <sz val="11"/>
      <color indexed="8"/>
      <name val="Tahoma"/>
      <charset val="134"/>
    </font>
    <font>
      <b/>
      <sz val="15"/>
      <color indexed="56"/>
      <name val="新細明體"/>
      <charset val="134"/>
    </font>
    <font>
      <sz val="12"/>
      <color indexed="20"/>
      <name val="宋体"/>
      <charset val="134"/>
    </font>
    <font>
      <b/>
      <sz val="12"/>
      <name val="Arial"/>
      <charset val="134"/>
    </font>
    <font>
      <i/>
      <sz val="12"/>
      <color indexed="23"/>
      <name val="新細明體"/>
      <charset val="134"/>
    </font>
    <font>
      <b/>
      <sz val="18"/>
      <color indexed="56"/>
      <name val="新細明體"/>
      <charset val="134"/>
    </font>
    <font>
      <b/>
      <sz val="13"/>
      <color indexed="56"/>
      <name val="新細明體"/>
      <charset val="134"/>
    </font>
    <font>
      <b/>
      <sz val="12"/>
      <color indexed="9"/>
      <name val="新細明體"/>
      <charset val="134"/>
    </font>
    <font>
      <sz val="12"/>
      <color indexed="52"/>
      <name val="新細明體"/>
      <charset val="134"/>
    </font>
    <font>
      <sz val="12"/>
      <color indexed="17"/>
      <name val="宋体"/>
      <charset val="134"/>
    </font>
    <font>
      <sz val="10"/>
      <name val="仿宋_GB2312"/>
      <charset val="134"/>
    </font>
    <font>
      <b/>
      <sz val="10"/>
      <name val="宋体"/>
      <charset val="134"/>
    </font>
    <font>
      <sz val="10"/>
      <color indexed="8"/>
      <name val="仿宋_GB2312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4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877">
    <xf numFmtId="0" fontId="0" fillId="0" borderId="0"/>
    <xf numFmtId="42" fontId="8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18" fillId="0" borderId="0"/>
    <xf numFmtId="44" fontId="8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8" fillId="0" borderId="0"/>
    <xf numFmtId="0" fontId="10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4" fillId="0" borderId="18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0" fillId="19" borderId="0" applyFont="0" applyBorder="0"/>
    <xf numFmtId="0" fontId="22" fillId="14" borderId="1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5" fillId="2" borderId="12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2" borderId="1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47" fillId="7" borderId="15" applyNumberForma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32" fillId="19" borderId="16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2" borderId="12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2" borderId="12" applyNumberFormat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51" fillId="19" borderId="15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3" fillId="14" borderId="15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5" fillId="2" borderId="12" applyNumberFormat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18" fillId="0" borderId="0"/>
    <xf numFmtId="0" fontId="26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/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29" fillId="14" borderId="16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22" fillId="14" borderId="1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0" borderId="0"/>
    <xf numFmtId="0" fontId="11" fillId="1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0" fillId="0" borderId="0"/>
    <xf numFmtId="0" fontId="15" fillId="2" borderId="12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1" fillId="19" borderId="15" applyNumberFormat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0" borderId="1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/>
    <xf numFmtId="0" fontId="10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11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33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0" fillId="7" borderId="15" applyNumberFormat="0" applyAlignment="0" applyProtection="0">
      <alignment vertical="center"/>
    </xf>
    <xf numFmtId="0" fontId="18" fillId="0" borderId="0"/>
    <xf numFmtId="0" fontId="37" fillId="17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0" fillId="8" borderId="0" applyNumberFormat="0" applyBorder="0" applyAlignment="0" applyProtection="0">
      <alignment vertical="center"/>
    </xf>
    <xf numFmtId="0" fontId="15" fillId="2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1" fillId="19" borderId="1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0" fillId="3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/>
    <xf numFmtId="9" fontId="0" fillId="0" borderId="0" applyFon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0" fillId="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4" fillId="0" borderId="18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18" fillId="0" borderId="0"/>
    <xf numFmtId="0" fontId="10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3" fillId="0" borderId="0"/>
    <xf numFmtId="0" fontId="16" fillId="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/>
    <xf numFmtId="0" fontId="10" fillId="1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0" borderId="0"/>
    <xf numFmtId="0" fontId="21" fillId="7" borderId="15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21" fillId="7" borderId="15" applyNumberFormat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17" fillId="0" borderId="13" applyNumberFormat="0" applyFill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55" fillId="2" borderId="12" applyNumberFormat="0" applyAlignment="0" applyProtection="0">
      <alignment vertical="center"/>
    </xf>
    <xf numFmtId="0" fontId="55" fillId="2" borderId="12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/>
    <xf numFmtId="0" fontId="10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22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8" fillId="0" borderId="0">
      <alignment vertical="center"/>
    </xf>
    <xf numFmtId="0" fontId="26" fillId="2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0" fillId="14" borderId="5" applyNumberFormat="0" applyFont="0" applyBorder="0" applyAlignment="0" applyProtection="0">
      <alignment horizontal="center"/>
    </xf>
    <xf numFmtId="0" fontId="11" fillId="1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2" fillId="19" borderId="16" applyNumberFormat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26" fillId="13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9" borderId="16" applyNumberFormat="0" applyAlignment="0" applyProtection="0">
      <alignment vertical="center"/>
    </xf>
    <xf numFmtId="0" fontId="15" fillId="2" borderId="12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0" fillId="0" borderId="0">
      <alignment vertical="center"/>
      <protection locked="0"/>
    </xf>
    <xf numFmtId="0" fontId="42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0" fillId="0" borderId="0"/>
    <xf numFmtId="0" fontId="33" fillId="25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33" fillId="10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/>
    <xf numFmtId="0" fontId="10" fillId="8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5" fillId="2" borderId="12" applyNumberFormat="0" applyAlignment="0" applyProtection="0">
      <alignment vertical="center"/>
    </xf>
    <xf numFmtId="9" fontId="0" fillId="0" borderId="0" applyFont="0" applyFill="0" applyBorder="0" applyAlignment="0" applyProtection="0"/>
    <xf numFmtId="0" fontId="52" fillId="15" borderId="0" applyNumberFormat="0" applyBorder="0" applyAlignment="0" applyProtection="0">
      <alignment vertical="center"/>
    </xf>
    <xf numFmtId="0" fontId="0" fillId="0" borderId="0"/>
    <xf numFmtId="0" fontId="11" fillId="1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7" fillId="0" borderId="13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8" fillId="0" borderId="0"/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62" fillId="0" borderId="1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0" fillId="0" borderId="17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50" fillId="7" borderId="15" applyNumberFormat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5" fillId="2" borderId="12" applyNumberFormat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32" fillId="19" borderId="16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2" borderId="1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50" fillId="7" borderId="15" applyNumberFormat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2" borderId="12" applyNumberFormat="0" applyAlignment="0" applyProtection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55" fillId="2" borderId="12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50" fillId="7" borderId="15" applyNumberFormat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63" fillId="2" borderId="12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15" fillId="2" borderId="12" applyNumberFormat="0" applyAlignment="0" applyProtection="0">
      <alignment vertical="center"/>
    </xf>
    <xf numFmtId="0" fontId="0" fillId="0" borderId="0">
      <alignment vertical="center"/>
    </xf>
    <xf numFmtId="0" fontId="15" fillId="2" borderId="12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8" fillId="0" borderId="0">
      <alignment vertical="center"/>
    </xf>
    <xf numFmtId="0" fontId="14" fillId="0" borderId="11" applyNumberFormat="0" applyFill="0" applyAlignment="0" applyProtection="0">
      <alignment vertical="center"/>
    </xf>
    <xf numFmtId="0" fontId="51" fillId="19" borderId="15" applyNumberFormat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5" fillId="2" borderId="12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17" fillId="0" borderId="1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2" fillId="0" borderId="0" xfId="434" applyFont="1" applyFill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2" fillId="0" borderId="0" xfId="434" applyFont="1" applyAlignment="1" applyProtection="1">
      <alignment horizontal="center" vertical="center"/>
      <protection hidden="1"/>
    </xf>
    <xf numFmtId="0" fontId="2" fillId="0" borderId="0" xfId="434" applyFont="1" applyFill="1" applyAlignment="1" applyProtection="1">
      <alignment vertical="center"/>
      <protection hidden="1"/>
    </xf>
    <xf numFmtId="183" fontId="2" fillId="0" borderId="0" xfId="434" applyNumberFormat="1" applyFont="1" applyAlignment="1" applyProtection="1">
      <alignment horizontal="center" vertical="center"/>
      <protection hidden="1"/>
    </xf>
    <xf numFmtId="0" fontId="2" fillId="0" borderId="0" xfId="434" applyFont="1" applyAlignment="1" applyProtection="1">
      <alignment vertical="center"/>
      <protection locked="0"/>
    </xf>
    <xf numFmtId="0" fontId="4" fillId="0" borderId="0" xfId="434" applyFont="1" applyBorder="1" applyAlignment="1" applyProtection="1">
      <alignment horizontal="center" vertical="center"/>
      <protection hidden="1"/>
    </xf>
    <xf numFmtId="0" fontId="5" fillId="0" borderId="0" xfId="434" applyFont="1" applyAlignment="1" applyProtection="1">
      <alignment vertical="center"/>
      <protection hidden="1"/>
    </xf>
    <xf numFmtId="0" fontId="2" fillId="0" borderId="0" xfId="848" applyFont="1" applyBorder="1" applyAlignment="1" applyProtection="1">
      <alignment vertical="center"/>
      <protection locked="0"/>
    </xf>
    <xf numFmtId="0" fontId="2" fillId="0" borderId="0" xfId="843" applyFont="1" applyBorder="1" applyAlignment="1">
      <alignment horizontal="center" vertical="center"/>
    </xf>
    <xf numFmtId="0" fontId="2" fillId="0" borderId="0" xfId="843" applyFont="1" applyAlignment="1">
      <alignment horizontal="right" vertical="center"/>
    </xf>
    <xf numFmtId="0" fontId="6" fillId="0" borderId="0" xfId="843" applyFont="1" applyBorder="1" applyAlignment="1">
      <alignment horizontal="center" vertical="center"/>
    </xf>
    <xf numFmtId="179" fontId="6" fillId="0" borderId="1" xfId="599" applyNumberFormat="1" applyFont="1" applyFill="1" applyBorder="1" applyAlignment="1" applyProtection="1">
      <alignment horizontal="center" vertical="center" wrapText="1"/>
      <protection hidden="1"/>
    </xf>
    <xf numFmtId="179" fontId="6" fillId="0" borderId="2" xfId="599" applyNumberFormat="1" applyFont="1" applyFill="1" applyBorder="1" applyAlignment="1" applyProtection="1">
      <alignment horizontal="center" vertical="center" wrapText="1"/>
      <protection hidden="1"/>
    </xf>
    <xf numFmtId="0" fontId="6" fillId="0" borderId="3" xfId="434" applyFont="1" applyBorder="1" applyAlignment="1" applyProtection="1">
      <alignment horizontal="center" vertical="center"/>
      <protection locked="0"/>
    </xf>
    <xf numFmtId="0" fontId="2" fillId="0" borderId="0" xfId="434" applyFont="1" applyBorder="1" applyAlignment="1" applyProtection="1">
      <alignment vertical="center"/>
      <protection locked="0"/>
    </xf>
    <xf numFmtId="179" fontId="6" fillId="0" borderId="4" xfId="599" applyNumberFormat="1" applyFont="1" applyFill="1" applyBorder="1" applyAlignment="1" applyProtection="1">
      <alignment horizontal="center" vertical="center" wrapText="1"/>
      <protection hidden="1"/>
    </xf>
    <xf numFmtId="179" fontId="6" fillId="0" borderId="5" xfId="599" applyNumberFormat="1" applyFont="1" applyFill="1" applyBorder="1" applyAlignment="1" applyProtection="1">
      <alignment horizontal="center" vertical="center" wrapText="1"/>
      <protection hidden="1"/>
    </xf>
    <xf numFmtId="183" fontId="6" fillId="0" borderId="6" xfId="599" applyNumberFormat="1" applyFont="1" applyFill="1" applyBorder="1" applyAlignment="1" applyProtection="1">
      <alignment horizontal="center" vertical="center" wrapText="1"/>
      <protection hidden="1"/>
    </xf>
    <xf numFmtId="0" fontId="2" fillId="0" borderId="4" xfId="434" applyFont="1" applyBorder="1" applyAlignment="1" applyProtection="1">
      <alignment vertical="center"/>
      <protection locked="0"/>
    </xf>
    <xf numFmtId="0" fontId="2" fillId="0" borderId="5" xfId="434" applyFont="1" applyBorder="1" applyAlignment="1" applyProtection="1">
      <alignment vertical="center"/>
      <protection locked="0"/>
    </xf>
    <xf numFmtId="0" fontId="2" fillId="2" borderId="6" xfId="434" applyFont="1" applyFill="1" applyBorder="1" applyAlignment="1" applyProtection="1">
      <alignment vertical="center"/>
      <protection locked="0"/>
    </xf>
    <xf numFmtId="0" fontId="2" fillId="0" borderId="4" xfId="434" applyFont="1" applyBorder="1" applyAlignment="1" applyProtection="1">
      <alignment horizontal="center" vertical="center"/>
      <protection hidden="1"/>
    </xf>
    <xf numFmtId="0" fontId="6" fillId="0" borderId="5" xfId="599" applyFont="1" applyFill="1" applyBorder="1" applyAlignment="1" applyProtection="1">
      <alignment vertical="center" wrapText="1"/>
      <protection locked="0" hidden="1"/>
    </xf>
    <xf numFmtId="182" fontId="2" fillId="3" borderId="6" xfId="245" applyNumberFormat="1" applyFont="1" applyFill="1" applyBorder="1" applyAlignment="1" applyProtection="1">
      <alignment horizontal="right" vertical="center"/>
      <protection locked="0"/>
    </xf>
    <xf numFmtId="0" fontId="6" fillId="0" borderId="5" xfId="56" applyFont="1" applyFill="1" applyBorder="1" applyAlignment="1" applyProtection="1">
      <alignment vertical="center" wrapText="1"/>
      <protection locked="0" hidden="1"/>
    </xf>
    <xf numFmtId="182" fontId="2" fillId="4" borderId="6" xfId="677" applyNumberFormat="1" applyFont="1" applyFill="1" applyBorder="1" applyAlignment="1" applyProtection="1">
      <alignment horizontal="left" vertical="center"/>
      <protection locked="0"/>
    </xf>
    <xf numFmtId="182" fontId="2" fillId="4" borderId="6" xfId="56" applyNumberFormat="1" applyFont="1" applyFill="1" applyBorder="1" applyAlignment="1" applyProtection="1">
      <alignment horizontal="right" vertical="center" wrapText="1"/>
      <protection locked="0"/>
    </xf>
    <xf numFmtId="0" fontId="2" fillId="0" borderId="5" xfId="56" applyFont="1" applyFill="1" applyBorder="1" applyAlignment="1" applyProtection="1">
      <alignment horizontal="left" vertical="center" wrapText="1"/>
      <protection locked="0" hidden="1"/>
    </xf>
    <xf numFmtId="182" fontId="2" fillId="2" borderId="6" xfId="56" applyNumberFormat="1" applyFont="1" applyFill="1" applyBorder="1" applyAlignment="1" applyProtection="1">
      <alignment horizontal="right" vertical="center" wrapText="1"/>
      <protection hidden="1"/>
    </xf>
    <xf numFmtId="0" fontId="6" fillId="0" borderId="5" xfId="599" applyFont="1" applyFill="1" applyBorder="1" applyAlignment="1" applyProtection="1">
      <alignment horizontal="left" vertical="center" wrapText="1"/>
      <protection locked="0" hidden="1"/>
    </xf>
    <xf numFmtId="182" fontId="2" fillId="4" borderId="6" xfId="56" applyNumberFormat="1" applyFont="1" applyFill="1" applyBorder="1" applyAlignment="1" applyProtection="1">
      <alignment horizontal="right" vertical="center" wrapText="1"/>
      <protection hidden="1"/>
    </xf>
    <xf numFmtId="0" fontId="2" fillId="0" borderId="7" xfId="434" applyFont="1" applyBorder="1" applyAlignment="1" applyProtection="1">
      <alignment vertical="center"/>
      <protection hidden="1"/>
    </xf>
    <xf numFmtId="0" fontId="2" fillId="0" borderId="0" xfId="434" applyFont="1" applyBorder="1" applyAlignment="1" applyProtection="1">
      <alignment vertical="center" wrapText="1"/>
      <protection locked="0" hidden="1"/>
    </xf>
    <xf numFmtId="0" fontId="2" fillId="0" borderId="0" xfId="434" applyFont="1" applyBorder="1" applyAlignment="1" applyProtection="1">
      <alignment vertical="center"/>
      <protection hidden="1"/>
    </xf>
    <xf numFmtId="0" fontId="2" fillId="0" borderId="1" xfId="434" applyFont="1" applyBorder="1" applyAlignment="1" applyProtection="1">
      <alignment horizontal="center" vertical="center"/>
      <protection hidden="1"/>
    </xf>
    <xf numFmtId="0" fontId="6" fillId="0" borderId="2" xfId="813" applyFont="1" applyFill="1" applyBorder="1" applyAlignment="1" applyProtection="1">
      <alignment vertical="center" wrapText="1"/>
      <protection locked="0" hidden="1"/>
    </xf>
    <xf numFmtId="184" fontId="2" fillId="3" borderId="3" xfId="245" applyNumberFormat="1" applyFont="1" applyFill="1" applyBorder="1" applyAlignment="1" applyProtection="1">
      <alignment horizontal="right" vertical="center"/>
      <protection locked="0"/>
    </xf>
    <xf numFmtId="0" fontId="6" fillId="0" borderId="5" xfId="813" applyFont="1" applyFill="1" applyBorder="1" applyAlignment="1" applyProtection="1">
      <alignment vertical="center" wrapText="1"/>
      <protection locked="0" hidden="1"/>
    </xf>
    <xf numFmtId="184" fontId="2" fillId="3" borderId="6" xfId="245" applyNumberFormat="1" applyFont="1" applyFill="1" applyBorder="1" applyAlignment="1" applyProtection="1">
      <alignment horizontal="right" vertical="center"/>
      <protection locked="0"/>
    </xf>
    <xf numFmtId="0" fontId="2" fillId="0" borderId="5" xfId="813" applyFont="1" applyFill="1" applyBorder="1" applyAlignment="1" applyProtection="1">
      <alignment vertical="center" wrapText="1"/>
      <protection locked="0" hidden="1"/>
    </xf>
    <xf numFmtId="0" fontId="2" fillId="0" borderId="8" xfId="434" applyFont="1" applyBorder="1" applyAlignment="1" applyProtection="1">
      <alignment horizontal="center" vertical="center"/>
      <protection hidden="1"/>
    </xf>
    <xf numFmtId="0" fontId="6" fillId="0" borderId="9" xfId="813" applyFont="1" applyFill="1" applyBorder="1" applyAlignment="1" applyProtection="1">
      <alignment vertical="center" wrapText="1"/>
      <protection locked="0" hidden="1"/>
    </xf>
    <xf numFmtId="10" fontId="2" fillId="3" borderId="10" xfId="245" applyNumberFormat="1" applyFont="1" applyFill="1" applyBorder="1" applyAlignment="1" applyProtection="1">
      <alignment horizontal="right" vertical="center"/>
      <protection locked="0"/>
    </xf>
    <xf numFmtId="0" fontId="2" fillId="0" borderId="0" xfId="843" applyFont="1" applyFill="1" applyBorder="1" applyAlignment="1">
      <alignment horizontal="left" vertical="center"/>
    </xf>
    <xf numFmtId="0" fontId="2" fillId="0" borderId="0" xfId="843" applyFont="1" applyAlignment="1">
      <alignment horizontal="center" vertical="center"/>
    </xf>
    <xf numFmtId="0" fontId="2" fillId="0" borderId="0" xfId="843" applyFont="1" applyAlignment="1">
      <alignment vertical="center"/>
    </xf>
    <xf numFmtId="2" fontId="2" fillId="2" borderId="5" xfId="686" applyNumberFormat="1" applyFont="1" applyFill="1" applyBorder="1" applyAlignment="1" applyProtection="1">
      <alignment horizontal="right" vertical="center"/>
    </xf>
    <xf numFmtId="0" fontId="2" fillId="0" borderId="0" xfId="692" applyFont="1" applyAlignment="1" applyProtection="1">
      <alignment vertical="center"/>
    </xf>
    <xf numFmtId="0" fontId="2" fillId="0" borderId="0" xfId="692" applyFont="1" applyAlignment="1">
      <alignment vertical="center"/>
    </xf>
    <xf numFmtId="0" fontId="2" fillId="0" borderId="0" xfId="692" applyFont="1" applyBorder="1" applyAlignment="1">
      <alignment vertical="center"/>
    </xf>
    <xf numFmtId="2" fontId="2" fillId="4" borderId="5" xfId="686" applyNumberFormat="1" applyFont="1" applyFill="1" applyBorder="1" applyAlignment="1" applyProtection="1">
      <alignment horizontal="right" vertical="center"/>
    </xf>
    <xf numFmtId="0" fontId="3" fillId="3" borderId="5" xfId="686" applyFont="1" applyFill="1" applyBorder="1" applyAlignment="1" applyProtection="1">
      <alignment horizontal="center" vertical="center"/>
    </xf>
    <xf numFmtId="0" fontId="7" fillId="0" borderId="0" xfId="434" applyFont="1" applyAlignment="1" applyProtection="1">
      <alignment horizontal="left" vertical="center"/>
      <protection hidden="1"/>
    </xf>
  </cellXfs>
  <cellStyles count="877">
    <cellStyle name="常规" xfId="0" builtinId="0"/>
    <cellStyle name="货币[0]" xfId="1" builtinId="7"/>
    <cellStyle name="40% - 强调文字颜色 1 2_G4B-3（b）证券融资交易对手信用风险计算表(0621)" xfId="2"/>
    <cellStyle name="20% - 强调文字颜色 3" xfId="3" builtinId="38"/>
    <cellStyle name="标题 1 3 5" xfId="4"/>
    <cellStyle name="强调文字颜色 2 3 2" xfId="5"/>
    <cellStyle name="输入" xfId="6" builtinId="20"/>
    <cellStyle name="常规 2 2 4" xfId="7"/>
    <cellStyle name="货币" xfId="8" builtinId="4"/>
    <cellStyle name="强调文字颜色 3 2 2" xfId="9"/>
    <cellStyle name="40% - 强调文字颜色 6 3" xfId="10"/>
    <cellStyle name="好 3 4" xfId="11"/>
    <cellStyle name="标题 2 2 5" xfId="12"/>
    <cellStyle name="适中 2 3" xfId="13"/>
    <cellStyle name="40% - 强调文字颜色 1 3 5" xfId="14"/>
    <cellStyle name="强调文字颜色 6 3" xfId="15"/>
    <cellStyle name="60% - 强调文字颜色 1 3 5" xfId="16"/>
    <cellStyle name="千位分隔[0]" xfId="17" builtinId="6"/>
    <cellStyle name="40% - 强调文字颜色 3" xfId="18" builtinId="39"/>
    <cellStyle name="20% - 輔色4" xfId="19"/>
    <cellStyle name="40% - 輔色2" xfId="20"/>
    <cellStyle name="差" xfId="21" builtinId="27"/>
    <cellStyle name="千位分隔" xfId="22" builtinId="3"/>
    <cellStyle name="60% - 强调文字颜色 3" xfId="23" builtinId="40"/>
    <cellStyle name="超链接" xfId="24" builtinId="8"/>
    <cellStyle name="百分比" xfId="25" builtinId="5"/>
    <cellStyle name="已访问的超链接" xfId="26" builtinId="9"/>
    <cellStyle name="20% - 强调文字颜色 4 5" xfId="27"/>
    <cellStyle name="注释" xfId="28" builtinId="10"/>
    <cellStyle name="60% - 强调文字颜色 2 3" xfId="29"/>
    <cellStyle name="60% - 强调文字颜色 2" xfId="30" builtinId="36"/>
    <cellStyle name="标题 4" xfId="31" builtinId="19"/>
    <cellStyle name="注释 5" xfId="32"/>
    <cellStyle name="60% - 强调文字颜色 2 3 5" xfId="33"/>
    <cellStyle name="60% - 强调文字颜色 1 3_G4B-3（b）证券融资交易对手信用风险计算表(0621)" xfId="34"/>
    <cellStyle name="警告文本" xfId="35" builtinId="11"/>
    <cellStyle name="强调文字颜色 1 2 3" xfId="36"/>
    <cellStyle name="60% - 强调文字颜色 2 2 2" xfId="37"/>
    <cellStyle name="好_G4B-3（b）证券融资交易对手信用风险计算表(0621)" xfId="38"/>
    <cellStyle name="标题" xfId="39" builtinId="15"/>
    <cellStyle name="解释性文本" xfId="40" builtinId="53"/>
    <cellStyle name="差 6" xfId="41"/>
    <cellStyle name="20% - 强调文字颜色 5 3 3" xfId="42"/>
    <cellStyle name="标题 1" xfId="43" builtinId="16"/>
    <cellStyle name="差 7" xfId="44"/>
    <cellStyle name="0,0_x000d__x000a_NA_x000d__x000a_" xfId="45"/>
    <cellStyle name="20% - 强调文字颜色 5 3 4" xfId="46"/>
    <cellStyle name="百分比 5" xfId="47"/>
    <cellStyle name="标题 2" xfId="48" builtinId="17"/>
    <cellStyle name="60% - 强调文字颜色 1" xfId="49" builtinId="32"/>
    <cellStyle name="20% - 强调文字颜色 5 3 5" xfId="50"/>
    <cellStyle name="货币[0] 2" xfId="51"/>
    <cellStyle name="标题 3" xfId="52" builtinId="18"/>
    <cellStyle name="60% - 强调文字颜色 4" xfId="53" builtinId="44"/>
    <cellStyle name="60% - 强调文字颜色 3 3_G4B-3（b）证券融资交易对手信用风险计算表(0621)" xfId="54"/>
    <cellStyle name="输出" xfId="55" builtinId="21"/>
    <cellStyle name="常规_QIS reporting template unprotected_中英文0225" xfId="56"/>
    <cellStyle name="计算" xfId="57" builtinId="22"/>
    <cellStyle name="40% - 强调文字颜色 4 2" xfId="58"/>
    <cellStyle name="检查单元格" xfId="59" builtinId="23"/>
    <cellStyle name="20% - 强调文字颜色 6" xfId="60" builtinId="50"/>
    <cellStyle name="检查单元格 3 3" xfId="61"/>
    <cellStyle name="强调文字颜色 2" xfId="62" builtinId="33"/>
    <cellStyle name="注释 2 3" xfId="63"/>
    <cellStyle name="40% - 强调文字颜色 5 7" xfId="64"/>
    <cellStyle name="链接单元格" xfId="65" builtinId="24"/>
    <cellStyle name="20% - 强调文字颜色 6 3 5" xfId="66"/>
    <cellStyle name="适中 2 5" xfId="67"/>
    <cellStyle name="汇总" xfId="68" builtinId="25"/>
    <cellStyle name="輸入" xfId="69"/>
    <cellStyle name="好" xfId="70" builtinId="26"/>
    <cellStyle name="20% - 强调文字颜色 3 3" xfId="71"/>
    <cellStyle name="适中" xfId="72" builtinId="28"/>
    <cellStyle name="输出 3 3" xfId="73"/>
    <cellStyle name="输出 5" xfId="74"/>
    <cellStyle name="20% - 强调文字颜色 4 3_G4B-3（b）证券融资交易对手信用风险计算表(0621)" xfId="75"/>
    <cellStyle name="链接单元格 7" xfId="76"/>
    <cellStyle name="20% - 强调文字颜色 5" xfId="77" builtinId="46"/>
    <cellStyle name="检查单元格 3 2" xfId="78"/>
    <cellStyle name="强调文字颜色 1" xfId="79" builtinId="29"/>
    <cellStyle name="警告文字" xfId="80"/>
    <cellStyle name="20% - 强调文字颜色 1" xfId="81" builtinId="30"/>
    <cellStyle name="60% - 强调文字颜色 3 2 2" xfId="82"/>
    <cellStyle name="强调文字颜色 2 2 3" xfId="83"/>
    <cellStyle name="汇总 3 3" xfId="84"/>
    <cellStyle name="40% - 强调文字颜色 1" xfId="85" builtinId="31"/>
    <cellStyle name="20% - 輔色2" xfId="86"/>
    <cellStyle name="强调文字颜色 1 6" xfId="87"/>
    <cellStyle name="链接单元格 4" xfId="88"/>
    <cellStyle name="20% - 强调文字颜色 2" xfId="89" builtinId="34"/>
    <cellStyle name="汇总 3 4" xfId="90"/>
    <cellStyle name="40% - 强调文字颜色 4 3 3" xfId="91"/>
    <cellStyle name="标题 5 5" xfId="92"/>
    <cellStyle name="强调文字颜色 1 7" xfId="93"/>
    <cellStyle name="20% - 輔色3" xfId="94"/>
    <cellStyle name="40% - 强调文字颜色 2" xfId="95" builtinId="35"/>
    <cellStyle name="标题 1 4" xfId="96"/>
    <cellStyle name="强调文字颜色 2 3_G4B-3（b）证券融资交易对手信用风险计算表(0621)" xfId="97"/>
    <cellStyle name="检查单元格 3 4" xfId="98"/>
    <cellStyle name="千位分隔[0] 2" xfId="99"/>
    <cellStyle name="强调文字颜色 3" xfId="100" builtinId="37"/>
    <cellStyle name="强调文字颜色 4" xfId="101" builtinId="41"/>
    <cellStyle name="链接单元格 3 3" xfId="102"/>
    <cellStyle name="20% - 强调文字颜色 1 3" xfId="103"/>
    <cellStyle name="20% - 强调文字颜色 4" xfId="104" builtinId="42"/>
    <cellStyle name="40% - 强调文字颜色 4 3 5" xfId="105"/>
    <cellStyle name="40% - 强调文字颜色 4" xfId="106" builtinId="43"/>
    <cellStyle name="20% - 輔色5" xfId="107"/>
    <cellStyle name="强调文字颜色 5" xfId="108" builtinId="45"/>
    <cellStyle name="60% - 强调文字颜色 3 2 6" xfId="109"/>
    <cellStyle name="40% - 强调文字颜色 5" xfId="110" builtinId="47"/>
    <cellStyle name="20% - 輔色6" xfId="111"/>
    <cellStyle name="60% - 强调文字颜色 3 2_G4B-3（b）证券融资交易对手信用风险计算表(0621)" xfId="112"/>
    <cellStyle name="计算 4" xfId="113"/>
    <cellStyle name="60% - 强调文字颜色 5" xfId="114" builtinId="48"/>
    <cellStyle name="60% - 强调文字颜色 4 3_G4B-3（b）证券融资交易对手信用风险计算表(0621)" xfId="115"/>
    <cellStyle name="强调文字颜色 6" xfId="116" builtinId="49"/>
    <cellStyle name="20% - 强调文字颜色 3 3 2" xfId="117"/>
    <cellStyle name="输出 2_G4B-3（b）证券融资交易对手信用风险计算表(0621)" xfId="118"/>
    <cellStyle name="40% - 强调文字颜色 6" xfId="119" builtinId="51"/>
    <cellStyle name="60% - 强调文字颜色 6" xfId="120" builtinId="52"/>
    <cellStyle name="强调文字颜色 6 3_G4B-3（b）证券融资交易对手信用风险计算表(0621)" xfId="121"/>
    <cellStyle name="20% - 强调文字颜色 3 4" xfId="122"/>
    <cellStyle name="60% - 强调文字颜色 1 2" xfId="123"/>
    <cellStyle name="输出 3 4" xfId="124"/>
    <cellStyle name="适中 3_G4B-3（b）证券融资交易对手信用风险计算表(0621)" xfId="125"/>
    <cellStyle name="40% - 强调文字颜色 2 3" xfId="126"/>
    <cellStyle name="20% - 强调文字颜色 1 2 4" xfId="127"/>
    <cellStyle name="備註" xfId="128"/>
    <cellStyle name="输出 2 5" xfId="129"/>
    <cellStyle name="适中 2 6" xfId="130"/>
    <cellStyle name="强调文字颜色 3 2 5" xfId="131"/>
    <cellStyle name="60% - 强调文字颜色 4 2 4" xfId="132"/>
    <cellStyle name="40% - 强调文字颜色 6 6" xfId="133"/>
    <cellStyle name="注释 3 2" xfId="134"/>
    <cellStyle name="20% - 强调文字颜色 6 2 2" xfId="135"/>
    <cellStyle name="计算 3 4" xfId="136"/>
    <cellStyle name="强调文字颜色 3 2 3" xfId="137"/>
    <cellStyle name="40% - 强调文字颜色 6 4" xfId="138"/>
    <cellStyle name="60% - 强调文字颜色 4 2 2" xfId="139"/>
    <cellStyle name="好 3 5" xfId="140"/>
    <cellStyle name="适中 2 4" xfId="141"/>
    <cellStyle name="40% - 强调文字颜色 3 5" xfId="142"/>
    <cellStyle name="計算方式" xfId="143"/>
    <cellStyle name="60% - 强调文字颜色 1 3" xfId="144"/>
    <cellStyle name="20% - 强调文字颜色 3 5" xfId="145"/>
    <cellStyle name="输出 3 5" xfId="146"/>
    <cellStyle name="60% - 强调文字颜色 5 3 5" xfId="147"/>
    <cellStyle name="中等" xfId="148"/>
    <cellStyle name="标题 5 2" xfId="149"/>
    <cellStyle name="标题 1 3_G4B-2" xfId="150"/>
    <cellStyle name="注释 2_G4B-3（b）证券融资交易对手信用风险计算表(0621)" xfId="151"/>
    <cellStyle name="强调文字颜色 1 4" xfId="152"/>
    <cellStyle name="40% - 强调文字颜色 4 3" xfId="153"/>
    <cellStyle name="检查单元格 3_G4B-3（b）证券融资交易对手信用风险计算表(0621)" xfId="154"/>
    <cellStyle name="计算 3 3" xfId="155"/>
    <cellStyle name="20% - 强调文字颜色 2 3_G4B-3（b）证券融资交易对手信用风险计算表(0621)" xfId="156"/>
    <cellStyle name="20% - 强调文字颜色 1 2" xfId="157"/>
    <cellStyle name="强调文字颜色 2 2 2" xfId="158"/>
    <cellStyle name="标题 4 3 5" xfId="159"/>
    <cellStyle name="强调文字颜色 5 3 2" xfId="160"/>
    <cellStyle name="强调文字颜色 1 3_G4B-3（b）证券融资交易对手信用风险计算表(0621)" xfId="161"/>
    <cellStyle name="解释性文本 3" xfId="162"/>
    <cellStyle name="60% - 强调文字颜色 6 3_G4B-3（b）证券融资交易对手信用风险计算表(0621)" xfId="163"/>
    <cellStyle name="输入 2 6" xfId="164"/>
    <cellStyle name="强调文字颜色 3 6" xfId="165"/>
    <cellStyle name="解释性文本 7" xfId="166"/>
    <cellStyle name="差 4" xfId="167"/>
    <cellStyle name="标题 2 3 5" xfId="168"/>
    <cellStyle name="强调文字颜色 3 3 2" xfId="169"/>
    <cellStyle name="适中 3 3" xfId="170"/>
    <cellStyle name="强调文字颜色 5 3 5" xfId="171"/>
    <cellStyle name="输出 3 2" xfId="172"/>
    <cellStyle name="好 3 3" xfId="173"/>
    <cellStyle name="40% - 强调文字颜色 6 2" xfId="174"/>
    <cellStyle name="标题 2 2 4" xfId="175"/>
    <cellStyle name="适中 2 2" xfId="176"/>
    <cellStyle name="60% - 强调文字颜色 3 3 3" xfId="177"/>
    <cellStyle name="40% - 强调文字颜色 3 7" xfId="178"/>
    <cellStyle name="20% - 强调文字颜色 1 6" xfId="179"/>
    <cellStyle name="20% - 强调文字颜色 6 3_G4B-3（b）证券融资交易对手信用风险计算表(0621)" xfId="180"/>
    <cellStyle name="强调文字颜色 2 2 6" xfId="181"/>
    <cellStyle name="强调文字颜色 1 3 5" xfId="182"/>
    <cellStyle name="60% - 强调文字颜色 2 3 4" xfId="183"/>
    <cellStyle name="注释 4" xfId="184"/>
    <cellStyle name="20% - 强调文字颜色 5 2 4" xfId="185"/>
    <cellStyle name="适中 3 4" xfId="186"/>
    <cellStyle name="强调文字颜色 3 3 3" xfId="187"/>
    <cellStyle name="注释 2 2" xfId="188"/>
    <cellStyle name="40% - 强调文字颜色 5 6" xfId="189"/>
    <cellStyle name="40% - 强调文字颜色 2 3 3" xfId="190"/>
    <cellStyle name="标题 3 3 2" xfId="191"/>
    <cellStyle name="样式 1" xfId="192"/>
    <cellStyle name="60% - 强调文字颜色 3 6" xfId="193"/>
    <cellStyle name="40% - 强调文字颜色 5 2 2" xfId="194"/>
    <cellStyle name="20% - 强调文字颜色 6 5" xfId="195"/>
    <cellStyle name="强调文字颜色 1 3 4" xfId="196"/>
    <cellStyle name="60% - 强调文字颜色 2 3 3" xfId="197"/>
    <cellStyle name="注释 3" xfId="198"/>
    <cellStyle name="20% - 强调文字颜色 4 6" xfId="199"/>
    <cellStyle name="60% - 强调文字颜色 2 4" xfId="200"/>
    <cellStyle name="60% - 强调文字颜色 4 2 5" xfId="201"/>
    <cellStyle name="40% - 强调文字颜色 6 7" xfId="202"/>
    <cellStyle name="注释 3 3" xfId="203"/>
    <cellStyle name="强调文字颜色 3 2_G4B-3（b）证券融资交易对手信用风险计算表(0621)" xfId="204"/>
    <cellStyle name="强调文字颜色 3 2 6" xfId="205"/>
    <cellStyle name="20% - 强调文字颜色 5 3" xfId="206"/>
    <cellStyle name="强调文字颜色 5 2 5" xfId="207"/>
    <cellStyle name="20% - 强调文字颜色 6 2" xfId="208"/>
    <cellStyle name="强调文字颜色 5 2 6" xfId="209"/>
    <cellStyle name="60% - 强调文字颜色 3 3" xfId="210"/>
    <cellStyle name="强调文字颜色 3 3 5" xfId="211"/>
    <cellStyle name="注释 3 5" xfId="212"/>
    <cellStyle name="40% - 强调文字颜色 3 2 2" xfId="213"/>
    <cellStyle name="40% - 强调文字颜色 1 2" xfId="214"/>
    <cellStyle name="标题 3 2 6" xfId="215"/>
    <cellStyle name="强调文字颜色 4 2 3" xfId="216"/>
    <cellStyle name="标题 2 2_G4B-4 资产证券化业务风险加权资产表" xfId="217"/>
    <cellStyle name="60% - 强调文字颜色 1 2 2" xfId="218"/>
    <cellStyle name="强调文字颜色 6 5" xfId="219"/>
    <cellStyle name="60% - 强调文字颜色 5 7" xfId="220"/>
    <cellStyle name="好_资产证券化监管报表_G4B-3（a）场外衍生工具交易对手信用风险计算表(权重法)" xfId="221"/>
    <cellStyle name="20% - 强调文字颜色 5 2" xfId="222"/>
    <cellStyle name="输出 3_G4B-3（b）证券融资交易对手信用风险计算表(0621)" xfId="223"/>
    <cellStyle name="计算 2 2" xfId="224"/>
    <cellStyle name="40% - 强调文字颜色 3 2" xfId="225"/>
    <cellStyle name="解释性文本 2_G4B-4 资产证券化业务风险加权资产表" xfId="226"/>
    <cellStyle name="20% - 强调文字颜色 1 3 3" xfId="227"/>
    <cellStyle name="40% - 輔色1" xfId="228"/>
    <cellStyle name="差 2 6" xfId="229"/>
    <cellStyle name="好 2 5" xfId="230"/>
    <cellStyle name="40% - 强调文字颜色 5 4" xfId="231"/>
    <cellStyle name="20% - 强调文字颜色 6 3 2" xfId="232"/>
    <cellStyle name="40% - 强调文字颜色 1 6" xfId="233"/>
    <cellStyle name="强调文字颜色 2 6" xfId="234"/>
    <cellStyle name="标题 6 4" xfId="235"/>
    <cellStyle name="常规 2 2 3" xfId="236"/>
    <cellStyle name="60% - 强调文字颜色 1 2 3" xfId="237"/>
    <cellStyle name="强调文字颜色 5 3_G4B-3（b）证券融资交易对手信用风险计算表(0621)" xfId="238"/>
    <cellStyle name="强调文字颜色 4 2 2" xfId="239"/>
    <cellStyle name="注释 2 6" xfId="240"/>
    <cellStyle name="注释 2 5" xfId="241"/>
    <cellStyle name="40% - 强调文字颜色 3 2 5" xfId="242"/>
    <cellStyle name="注释 2 4" xfId="243"/>
    <cellStyle name="輸出" xfId="244"/>
    <cellStyle name="千位分隔 4" xfId="245"/>
    <cellStyle name="标题 4 3" xfId="246"/>
    <cellStyle name="输出 2 3" xfId="247"/>
    <cellStyle name="60% - 强调文字颜色 1 2 6" xfId="248"/>
    <cellStyle name="标题 3 3 5" xfId="249"/>
    <cellStyle name="输出 2 2" xfId="250"/>
    <cellStyle name="计算 2_G4B-3（b）证券融资交易对手信用风险计算表(0621)" xfId="251"/>
    <cellStyle name="千位分隔 4 2" xfId="252"/>
    <cellStyle name="标题 4 3 2" xfId="253"/>
    <cellStyle name="40% - 强调文字颜色 1 5" xfId="254"/>
    <cellStyle name="强调文字颜色 4 2_G4B-3（b）证券融资交易对手信用风险计算表(0621)" xfId="255"/>
    <cellStyle name="标题 1 2_G4B-2" xfId="256"/>
    <cellStyle name="强调文字颜色 6 2 5" xfId="257"/>
    <cellStyle name="适中 2_G4B-3（b）证券融资交易对手信用风险计算表(0621)" xfId="258"/>
    <cellStyle name="强调文字颜色 2 2 5" xfId="259"/>
    <cellStyle name="60% - 强调文字颜色 1 2_G4B-3（b）证券融资交易对手信用风险计算表(0621)" xfId="260"/>
    <cellStyle name="60% - 强调文字颜色 3 2 4" xfId="261"/>
    <cellStyle name="40% - 强调文字颜色 2 2 6" xfId="262"/>
    <cellStyle name="标题 3 2_G4B-2" xfId="263"/>
    <cellStyle name="好_资产证券化监管报表_G4B-4 资产证券化业务风险加权资产表" xfId="264"/>
    <cellStyle name="常规 2 2" xfId="265"/>
    <cellStyle name="强调文字颜色 2 2 4" xfId="266"/>
    <cellStyle name="60% - 强调文字颜色 3 2 3" xfId="267"/>
    <cellStyle name="强调文字颜色 6 3 5" xfId="268"/>
    <cellStyle name="壞_G4B-3（a）场外衍生工具交易对手信用风险计算表(权重法)" xfId="269"/>
    <cellStyle name="标题 3 3 4" xfId="270"/>
    <cellStyle name="差 2 5" xfId="271"/>
    <cellStyle name="适中 3 5" xfId="272"/>
    <cellStyle name="强调文字颜色 3 3 4" xfId="273"/>
    <cellStyle name="20% - 强调文字颜色 5 4" xfId="274"/>
    <cellStyle name="60% - 强调文字颜色 3 2" xfId="275"/>
    <cellStyle name="适中 3 2" xfId="276"/>
    <cellStyle name="标题 2 3 4" xfId="277"/>
    <cellStyle name="输入 2 5" xfId="278"/>
    <cellStyle name="解释性文本 2" xfId="279"/>
    <cellStyle name="20% - 强调文字颜色 4 2" xfId="280"/>
    <cellStyle name="常规 3" xfId="281"/>
    <cellStyle name="标题 9" xfId="282"/>
    <cellStyle name="" xfId="283"/>
    <cellStyle name="40% - 强调文字颜色 6 2_G4B-3（b）证券融资交易对手信用风险计算表(0621)" xfId="284"/>
    <cellStyle name="常规 3 2" xfId="285"/>
    <cellStyle name="检查单元格 2 6" xfId="286"/>
    <cellStyle name="40% - 强调文字颜色 5 3_G4B-3（b）证券融资交易对手信用风险计算表(0621)" xfId="287"/>
    <cellStyle name="警告文本 3 5" xfId="288"/>
    <cellStyle name="计算 7" xfId="289"/>
    <cellStyle name="适中 4" xfId="290"/>
    <cellStyle name="常规 3 2 2" xfId="291"/>
    <cellStyle name="20% - 强调文字颜色 4 2 3" xfId="292"/>
    <cellStyle name="常规 3 3" xfId="293"/>
    <cellStyle name="标题 3 3 3" xfId="294"/>
    <cellStyle name="标题 4 2_G4B-4 资产证券化业务风险加权资产表" xfId="295"/>
    <cellStyle name="60% - 强调文字颜色 2 2_G4B-3（b）证券融资交易对手信用风险计算表(0621)" xfId="296"/>
    <cellStyle name="20% - 强调文字颜色 4 2 5" xfId="297"/>
    <cellStyle name="常规 3 5" xfId="298"/>
    <cellStyle name="常规 3 6" xfId="299"/>
    <cellStyle name="20% - 强调文字颜色 4 3 2" xfId="300"/>
    <cellStyle name="强调文字颜色 5 2_G4B-3（b）证券融资交易对手信用风险计算表(0621)" xfId="301"/>
    <cellStyle name="常规 4 2" xfId="302"/>
    <cellStyle name="警告文本 3 3" xfId="303"/>
    <cellStyle name="壞_G4B-4 资产证券化业务风险加权资产表" xfId="304"/>
    <cellStyle name="常规 9" xfId="305"/>
    <cellStyle name="60% - 强调文字颜色 1 3 2" xfId="306"/>
    <cellStyle name="千位分隔 2 3" xfId="307"/>
    <cellStyle name="輔色1" xfId="308"/>
    <cellStyle name="20% - 强调文字颜色 2 2 2" xfId="309"/>
    <cellStyle name="标题 3 2 4" xfId="310"/>
    <cellStyle name="好 7" xfId="311"/>
    <cellStyle name="强调文字颜色 3 2" xfId="312"/>
    <cellStyle name="好_G4B-3（a）场外衍生工具交易对手信用风险计算表(权重法)" xfId="313"/>
    <cellStyle name="强调文字颜色 6 3 2" xfId="314"/>
    <cellStyle name="40% - 强调文字颜色 5 2_G4B-3（b）证券融资交易对手信用风险计算表(0621)" xfId="315"/>
    <cellStyle name="60% - 强调文字颜色 3 5" xfId="316"/>
    <cellStyle name="常规 6 2" xfId="317"/>
    <cellStyle name="60% - 强调文字颜色 2 3 2" xfId="318"/>
    <cellStyle name="注释 2" xfId="319"/>
    <cellStyle name="20% - 强调文字颜色 1 3_G4B-3（b）证券融资交易对手信用风险计算表(0621)" xfId="320"/>
    <cellStyle name="20% - 强调文字颜色 6 4" xfId="321"/>
    <cellStyle name="警告文本 3 2" xfId="322"/>
    <cellStyle name="差_G4B-3（b）证券融资交易对手信用风险计算表(0621)" xfId="323"/>
    <cellStyle name="20% - 强调文字颜色 4 7" xfId="324"/>
    <cellStyle name="60% - 强调文字颜色 2 5" xfId="325"/>
    <cellStyle name="强调文字颜色 5 2 3" xfId="326"/>
    <cellStyle name="标题 4 2 6" xfId="327"/>
    <cellStyle name="输入 6" xfId="328"/>
    <cellStyle name="常规 2 2 6" xfId="329"/>
    <cellStyle name="差 2_G4B-3（b）证券融资交易对手信用风险计算表(0621)" xfId="330"/>
    <cellStyle name="好 5" xfId="331"/>
    <cellStyle name="标题 3 2 2" xfId="332"/>
    <cellStyle name="好_资产证券化监管报表_G4B-3交易对手信用风险汇总表" xfId="333"/>
    <cellStyle name="輔色4" xfId="334"/>
    <cellStyle name="20% - 强调文字颜色 2 2 5" xfId="335"/>
    <cellStyle name="40% - 强调文字颜色 5 3 5" xfId="336"/>
    <cellStyle name="千位分隔 5 2" xfId="337"/>
    <cellStyle name="40% - 强调文字颜色 1 3_G4B-3（b）证券融资交易对手信用风险计算表(0621)" xfId="338"/>
    <cellStyle name="检查单元格 2 2" xfId="339"/>
    <cellStyle name="警告文本 2" xfId="340"/>
    <cellStyle name="汇总 3" xfId="341"/>
    <cellStyle name="标题 1 3 2" xfId="342"/>
    <cellStyle name="好 3_G4B-3（b）证券融资交易对手信用风险计算表(0621)" xfId="343"/>
    <cellStyle name="差 3 5" xfId="344"/>
    <cellStyle name="40% - 强调文字颜色 3 2 4" xfId="345"/>
    <cellStyle name="20% - 强调文字颜色 5 3 2" xfId="346"/>
    <cellStyle name="差 5" xfId="347"/>
    <cellStyle name="好 3 2" xfId="348"/>
    <cellStyle name="标题 2 2 3" xfId="349"/>
    <cellStyle name="货币 2" xfId="350"/>
    <cellStyle name="60% - 强调文字颜色 6 2_G4B-3（b）证券融资交易对手信用风险计算表(0621)" xfId="351"/>
    <cellStyle name="40% - 强调文字颜色 2 2 3" xfId="352"/>
    <cellStyle name="解释性文本 3 4" xfId="353"/>
    <cellStyle name="标题 2 2 2" xfId="354"/>
    <cellStyle name="强调文字颜色 6 7" xfId="355"/>
    <cellStyle name="40% - 强调文字颜色 2 5" xfId="356"/>
    <cellStyle name="40% - 强调文字颜色 1 2 5" xfId="357"/>
    <cellStyle name="壞" xfId="358"/>
    <cellStyle name="40% - 强调文字颜色 1 2 3" xfId="359"/>
    <cellStyle name="20% - 强调文字颜色 6 2 6" xfId="360"/>
    <cellStyle name="警告文本 7" xfId="361"/>
    <cellStyle name="60% - 强调文字颜色 2 2 4" xfId="362"/>
    <cellStyle name="强调文字颜色 1 2 5" xfId="363"/>
    <cellStyle name="强调文字颜色 4 4" xfId="364"/>
    <cellStyle name="常规 2 7" xfId="365"/>
    <cellStyle name="標題 4" xfId="366"/>
    <cellStyle name="60% - 强调文字颜色 3 7" xfId="367"/>
    <cellStyle name="40% - 强调文字颜色 2 2 2" xfId="368"/>
    <cellStyle name="40% - 强调文字颜色 2 2_G4B-3（b）证券融资交易对手信用风险计算表(0621)" xfId="369"/>
    <cellStyle name="40% - 强调文字颜色 5 2 3" xfId="370"/>
    <cellStyle name="20% - 强调文字颜色 6 6" xfId="371"/>
    <cellStyle name="20% - 强调文字颜色 6 7" xfId="372"/>
    <cellStyle name="40% - 强调文字颜色 5 2 4" xfId="373"/>
    <cellStyle name="汇总 3 2" xfId="374"/>
    <cellStyle name="20% - 輔色1" xfId="375"/>
    <cellStyle name="60% - 强调文字颜色 1 3 4" xfId="376"/>
    <cellStyle name="20% - 强调文字颜色 4 2 4" xfId="377"/>
    <cellStyle name="20% - 强调文字颜色 3 3 3" xfId="378"/>
    <cellStyle name="计算 6" xfId="379"/>
    <cellStyle name="40% - 强调文字颜色 6 3_G4B-3（b）证券融资交易对手信用风险计算表(0621)" xfId="380"/>
    <cellStyle name="20% - 强调文字颜色 2 3 4" xfId="381"/>
    <cellStyle name="常规 2 2 2" xfId="382"/>
    <cellStyle name="40% - 强调文字颜色 6 2 5" xfId="383"/>
    <cellStyle name="40% - 强调文字颜色 6 2 4" xfId="384"/>
    <cellStyle name="输入 2_G4B-3（b）证券融资交易对手信用风险计算表(0621)" xfId="385"/>
    <cellStyle name="20% - 强调文字颜色 3 2 6" xfId="386"/>
    <cellStyle name="标题 4 2 2" xfId="387"/>
    <cellStyle name="千位分隔 3 2" xfId="388"/>
    <cellStyle name="40% - 强调文字颜色 6 2 2" xfId="389"/>
    <cellStyle name="标题 4 4" xfId="390"/>
    <cellStyle name="千位分隔 5" xfId="391"/>
    <cellStyle name="40% - 强调文字颜色 4 2 2" xfId="392"/>
    <cellStyle name="标题 1 6" xfId="393"/>
    <cellStyle name="强调文字颜色 4 2 6" xfId="394"/>
    <cellStyle name="千位分隔 3" xfId="395"/>
    <cellStyle name="标题 4 2" xfId="396"/>
    <cellStyle name="60% - 强调文字颜色 1 6" xfId="397"/>
    <cellStyle name="20% - 强调文字颜色 6 3 3" xfId="398"/>
    <cellStyle name="20% - 强调文字颜色 3 3_G4B-3（b）证券融资交易对手信用风险计算表(0621)" xfId="399"/>
    <cellStyle name="好 2 6" xfId="400"/>
    <cellStyle name="40% - 强调文字颜色 5 5" xfId="401"/>
    <cellStyle name="60% - 强调文字颜色 4 2_G4B-3（b）证券融资交易对手信用风险计算表(0621)" xfId="402"/>
    <cellStyle name="60% - 輔色3" xfId="403"/>
    <cellStyle name="40% - 强调文字颜色 4 2 4" xfId="404"/>
    <cellStyle name="20% - 强调文字颜色 1 5" xfId="405"/>
    <cellStyle name="标题 2 3 2" xfId="406"/>
    <cellStyle name="60% - 輔色4" xfId="407"/>
    <cellStyle name="20% - 强调文字颜色 6 2 3" xfId="408"/>
    <cellStyle name="计算 3 5" xfId="409"/>
    <cellStyle name="链接单元格 3 4" xfId="410"/>
    <cellStyle name="40% - 强调文字颜色 3 2_G4B-3（b）证券融资交易对手信用风险计算表(0621)" xfId="411"/>
    <cellStyle name="20% - 强调文字颜色 1 4" xfId="412"/>
    <cellStyle name="标题 4 5" xfId="413"/>
    <cellStyle name="千位分隔 6" xfId="414"/>
    <cellStyle name="40% - 强调文字颜色 4 2 3" xfId="415"/>
    <cellStyle name="标题 1 7" xfId="416"/>
    <cellStyle name="警告文本 2 4" xfId="417"/>
    <cellStyle name="60% - 强调文字颜色 1 7" xfId="418"/>
    <cellStyle name="20% - 强调文字颜色 6 2 4" xfId="419"/>
    <cellStyle name="40% - 强调文字颜色 4 6" xfId="420"/>
    <cellStyle name="标题 2 7" xfId="421"/>
    <cellStyle name="强调文字颜色 3 3_G4B-3（b）证券融资交易对手信用风险计算表(0621)" xfId="422"/>
    <cellStyle name="20% - 强调文字颜色 1 3 4" xfId="423"/>
    <cellStyle name="40% - 强调文字颜色 3 3" xfId="424"/>
    <cellStyle name="强调文字颜色 1 2 6" xfId="425"/>
    <cellStyle name="40% - 强调文字颜色 3 2 6" xfId="426"/>
    <cellStyle name="好_资产证券化监管报表" xfId="427"/>
    <cellStyle name="40% - 强调文字颜色 5 2 5" xfId="428"/>
    <cellStyle name="40% - 强调文字颜色 4 2 5" xfId="429"/>
    <cellStyle name="标题 4 7" xfId="430"/>
    <cellStyle name="千位分隔 8" xfId="431"/>
    <cellStyle name="注释 7" xfId="432"/>
    <cellStyle name="40% - 强调文字颜色 1 3 2" xfId="433"/>
    <cellStyle name="常规_流动性测算模板" xfId="434"/>
    <cellStyle name="差 3 3" xfId="435"/>
    <cellStyle name="20% - 强调文字颜色 5 2 5" xfId="436"/>
    <cellStyle name="差 3" xfId="437"/>
    <cellStyle name="解释性文本 6" xfId="438"/>
    <cellStyle name="40% - 强调文字颜色 2 2 5" xfId="439"/>
    <cellStyle name="60% - 輔色1" xfId="440"/>
    <cellStyle name="标题 5" xfId="441"/>
    <cellStyle name="?鹎%U龡&amp;H?_x0008__x001c__x001c_?_x0007__x0001__x0001_" xfId="442"/>
    <cellStyle name="百分比 2 2 2" xfId="443"/>
    <cellStyle name="强调文字颜色 2 7" xfId="444"/>
    <cellStyle name="标题 6 5" xfId="445"/>
    <cellStyle name="40% - 强调文字颜色 1 7" xfId="446"/>
    <cellStyle name="好_G4B-3交易对手信用风险汇总表" xfId="447"/>
    <cellStyle name="标题 7" xfId="448"/>
    <cellStyle name="解释性文本 4" xfId="449"/>
    <cellStyle name="40% - 强调文字颜色 2 7" xfId="450"/>
    <cellStyle name="强调文字颜色 6 2 4" xfId="451"/>
    <cellStyle name="强调文字颜色 6 2 3" xfId="452"/>
    <cellStyle name="强调文字颜色 6 2 2" xfId="453"/>
    <cellStyle name="千位[0]_股东贷款" xfId="454"/>
    <cellStyle name="20% - 强调文字颜色 4 3 5" xfId="455"/>
    <cellStyle name="强调文字颜色 6 2" xfId="456"/>
    <cellStyle name="强调文字颜色 6 3 3" xfId="457"/>
    <cellStyle name="汇总 7" xfId="458"/>
    <cellStyle name="60% - 强调文字颜色 3 3 2" xfId="459"/>
    <cellStyle name="20% - 强调文字颜色 3 7" xfId="460"/>
    <cellStyle name="60% - 强调文字颜色 1 5" xfId="461"/>
    <cellStyle name="强调文字颜色 5 7" xfId="462"/>
    <cellStyle name="强调文字颜色 5 6" xfId="463"/>
    <cellStyle name="强调文字颜色 5 4" xfId="464"/>
    <cellStyle name="强调文字颜色 6 6" xfId="465"/>
    <cellStyle name="强调文字颜色 5 2 2" xfId="466"/>
    <cellStyle name="强调文字颜色 3 7" xfId="467"/>
    <cellStyle name="20% - 强调文字颜色 6 2_G4B-3（b）证券融资交易对手信用风险计算表(0621)" xfId="468"/>
    <cellStyle name="60% - 强调文字颜色 5 3 3" xfId="469"/>
    <cellStyle name="强调文字颜色 4 3 4" xfId="470"/>
    <cellStyle name="强调文字颜色 4 3 3" xfId="471"/>
    <cellStyle name="60% - 强调文字颜色 5 2 3" xfId="472"/>
    <cellStyle name="强调文字颜色 4 2 4" xfId="473"/>
    <cellStyle name="注释 6" xfId="474"/>
    <cellStyle name="强调文字颜色 4 2" xfId="475"/>
    <cellStyle name="强调文字颜色 3 5" xfId="476"/>
    <cellStyle name="标题 10" xfId="477"/>
    <cellStyle name="百分比 2 2" xfId="478"/>
    <cellStyle name="20% - 强调文字颜色 1 3 5" xfId="479"/>
    <cellStyle name="计算 2 4" xfId="480"/>
    <cellStyle name="40% - 强调文字颜色 3 4" xfId="481"/>
    <cellStyle name="百分比 2 3" xfId="482"/>
    <cellStyle name="标题 2 3 3" xfId="483"/>
    <cellStyle name="60% - 强调文字颜色 6 2" xfId="484"/>
    <cellStyle name="强调文字颜色 1 2 4" xfId="485"/>
    <cellStyle name="60% - 强调文字颜色 2 2 3" xfId="486"/>
    <cellStyle name="60% - 强调文字颜色 3 3 4" xfId="487"/>
    <cellStyle name="40% - 輔色4" xfId="488"/>
    <cellStyle name="千位分隔[0] 15" xfId="489"/>
    <cellStyle name="20% - 强调文字颜色 3 2 2" xfId="490"/>
    <cellStyle name="20% - 强调文字颜色 2 7" xfId="491"/>
    <cellStyle name="壞_G4B-3（b）证券融资交易对手信用风险计算表(0621)" xfId="492"/>
    <cellStyle name="常规 2 2 2 2" xfId="493"/>
    <cellStyle name="40% - 强调文字颜色 1 2 6" xfId="494"/>
    <cellStyle name="60% - 强调文字颜色 1 2 4" xfId="495"/>
    <cellStyle name="20% - 强调文字颜色 4 3 3" xfId="496"/>
    <cellStyle name="强调文字颜色 4 2 5" xfId="497"/>
    <cellStyle name="警告文本 5" xfId="498"/>
    <cellStyle name="20% - 强调文字颜色 2 6" xfId="499"/>
    <cellStyle name="输出 2 6" xfId="500"/>
    <cellStyle name="20% - 强调文字颜色 3 2 4" xfId="501"/>
    <cellStyle name="20% - 强调文字颜色 3 3 5" xfId="502"/>
    <cellStyle name="强调文字颜色 6 3 4" xfId="503"/>
    <cellStyle name="20% - 强调文字颜色 3 2 5" xfId="504"/>
    <cellStyle name="20% - 强调文字颜色 2 3 2" xfId="505"/>
    <cellStyle name="输入 3 3" xfId="506"/>
    <cellStyle name="標題 1" xfId="507"/>
    <cellStyle name="常规 2 4" xfId="508"/>
    <cellStyle name="20% - 强调文字颜色 3 6" xfId="509"/>
    <cellStyle name="40% - 强调文字颜色 2 6" xfId="510"/>
    <cellStyle name="20% - 强调文字颜色 4 3 4" xfId="511"/>
    <cellStyle name="40% - 强调文字颜色 1 3 4" xfId="512"/>
    <cellStyle name="20% - 强调文字颜色 2 3 3" xfId="513"/>
    <cellStyle name="强调文字颜色 2 4" xfId="514"/>
    <cellStyle name="标题 6 3" xfId="515"/>
    <cellStyle name="强调文字颜色 2 5" xfId="516"/>
    <cellStyle name="警告文本 3" xfId="517"/>
    <cellStyle name="强调文字颜色 4 7" xfId="518"/>
    <cellStyle name="强调文字颜色 1 2_G4B-3（b）证券融资交易对手信用风险计算表(0621)" xfId="519"/>
    <cellStyle name="强调文字颜色 1 2 2" xfId="520"/>
    <cellStyle name="警告文本 4" xfId="521"/>
    <cellStyle name="60% - 强调文字颜色 1 3 3" xfId="522"/>
    <cellStyle name="强调文字颜色 2 3" xfId="523"/>
    <cellStyle name="差_200909商业化业务统计报表（财政部新版）" xfId="524"/>
    <cellStyle name="20% - 强调文字颜色 1 2 2" xfId="525"/>
    <cellStyle name="60% - 强调文字颜色 6 3" xfId="526"/>
    <cellStyle name="标题 6" xfId="527"/>
    <cellStyle name="60% - 强调文字颜色 3 3 5" xfId="528"/>
    <cellStyle name="40% - 輔色3" xfId="529"/>
    <cellStyle name="20% - 强调文字颜色 1 2_G4B-3（b）证券融资交易对手信用风险计算表(0621)" xfId="530"/>
    <cellStyle name="20% - 强调文字颜色 3 2 3" xfId="531"/>
    <cellStyle name="警告文本 2 6" xfId="532"/>
    <cellStyle name="?" xfId="533"/>
    <cellStyle name="20% - 强调文字颜色 3 2_G4B-3（b）证券融资交易对手信用风险计算表(0621)" xfId="534"/>
    <cellStyle name="60% - 輔色2" xfId="535"/>
    <cellStyle name="强调文字颜色 4 5" xfId="536"/>
    <cellStyle name="20% - 强调文字颜色 1 2 3" xfId="537"/>
    <cellStyle name="60% - 强调文字颜色 6 4" xfId="538"/>
    <cellStyle name="强调文字颜色 4 6" xfId="539"/>
    <cellStyle name="40% - 强调文字颜色 3 3 2" xfId="540"/>
    <cellStyle name="警告文本 6" xfId="541"/>
    <cellStyle name="20% - 强调文字颜色 6 2 5" xfId="542"/>
    <cellStyle name="40% - 强调文字颜色 2 4" xfId="543"/>
    <cellStyle name="强调文字颜色 6 4" xfId="544"/>
    <cellStyle name="常规 2 2 5" xfId="545"/>
    <cellStyle name="输入 3_G4B-3（b）证券融资交易对手信用风险计算表(0621)" xfId="546"/>
    <cellStyle name="40% - 强调文字颜色 2 2 4" xfId="547"/>
    <cellStyle name="60% - 强调文字颜色 2 3_G4B-3（b）证券融资交易对手信用风险计算表(0621)" xfId="548"/>
    <cellStyle name="40% - 强调文字颜色 1 3" xfId="549"/>
    <cellStyle name="标题 1 3 4" xfId="550"/>
    <cellStyle name="强调文字颜色 1 3 2" xfId="551"/>
    <cellStyle name="20% - 强调文字颜色 1 7" xfId="552"/>
    <cellStyle name="40% - 强调文字颜色 2 2" xfId="553"/>
    <cellStyle name="标题 3 3" xfId="554"/>
    <cellStyle name="强调文字颜色 6 2_G4B-3（b）证券融资交易对手信用风险计算表(0621)" xfId="555"/>
    <cellStyle name="40% - 强调文字颜色 2 3 2" xfId="556"/>
    <cellStyle name="强调文字颜色 5 2" xfId="557"/>
    <cellStyle name="常规 2 8" xfId="558"/>
    <cellStyle name="输入 2" xfId="559"/>
    <cellStyle name="60% - 强调文字颜色 6 5" xfId="560"/>
    <cellStyle name="汇总 3 5" xfId="561"/>
    <cellStyle name="標題 3" xfId="562"/>
    <cellStyle name="常规 2 6" xfId="563"/>
    <cellStyle name="汇总 2" xfId="564"/>
    <cellStyle name="输入 3 2" xfId="565"/>
    <cellStyle name="强调文字颜色 2 2" xfId="566"/>
    <cellStyle name="合計" xfId="567"/>
    <cellStyle name="60% - 强调文字颜色 2 2" xfId="568"/>
    <cellStyle name="强调文字颜色 3 2 4" xfId="569"/>
    <cellStyle name="20% - 强调文字颜色 3 3 4" xfId="570"/>
    <cellStyle name="注释 3_G4B-3（b）证券融资交易对手信用风险计算表(0621)" xfId="571"/>
    <cellStyle name="检查单元格 7" xfId="572"/>
    <cellStyle name="检查单元格 6" xfId="573"/>
    <cellStyle name="40% - 强调文字颜色 5 2 6" xfId="574"/>
    <cellStyle name="常规 2 2_G4B-4 资产证券化业务风险加权资产表" xfId="575"/>
    <cellStyle name="40% - 强调文字颜色 4 2_G4B-3（b）证券融资交易对手信用风险计算表(0621)" xfId="576"/>
    <cellStyle name="Normal_--------------±-￡---------￡-" xfId="577"/>
    <cellStyle name="强调文字颜色 2 2_G4B-3（b）证券融资交易对手信用风险计算表(0621)" xfId="578"/>
    <cellStyle name="输出 2 4" xfId="579"/>
    <cellStyle name="强调文字颜色 4 3" xfId="580"/>
    <cellStyle name="40% - 强调文字颜色 4 3 4" xfId="581"/>
    <cellStyle name="标题 4 3 4" xfId="582"/>
    <cellStyle name="20% - 强调文字颜色 3 2" xfId="583"/>
    <cellStyle name="标题 5_G4B-4 资产证券化业务风险加权资产表" xfId="584"/>
    <cellStyle name="60% - 强调文字颜色 3 2 5" xfId="585"/>
    <cellStyle name="輔色6" xfId="586"/>
    <cellStyle name="40% - 强调文字颜色 4 5" xfId="587"/>
    <cellStyle name="60% - 强调文字颜色 5 2 2" xfId="588"/>
    <cellStyle name="20% - 强调文字颜色 5 5" xfId="589"/>
    <cellStyle name="60% - 强调文字颜色 2 6" xfId="590"/>
    <cellStyle name="40% - 强调文字颜色 4 3 2" xfId="591"/>
    <cellStyle name="标题 2 6" xfId="592"/>
    <cellStyle name="标题 3 2" xfId="593"/>
    <cellStyle name="差_G4B-4 资产证券化业务风险加权资产表" xfId="594"/>
    <cellStyle name="40% - 强调文字颜色 4 3_G4B-3（b）证券融资交易对手信用风险计算表(0621)" xfId="595"/>
    <cellStyle name="强调文字颜色 4 3 2" xfId="596"/>
    <cellStyle name="20% - 强调文字颜色 5 7" xfId="597"/>
    <cellStyle name="强调文字颜色 1 3 3" xfId="598"/>
    <cellStyle name="Heading 2" xfId="599"/>
    <cellStyle name="20% - 强调文字颜色 6 3 4" xfId="600"/>
    <cellStyle name="警告文本 2 5" xfId="601"/>
    <cellStyle name="警告文本 2 2" xfId="602"/>
    <cellStyle name="60% - 强调文字颜色 2 2 5" xfId="603"/>
    <cellStyle name="好 6" xfId="604"/>
    <cellStyle name="标题 3 2 3" xfId="605"/>
    <cellStyle name="40% - 輔色5" xfId="606"/>
    <cellStyle name="强调文字颜色 5 3 4" xfId="607"/>
    <cellStyle name="20% - 强调文字颜色 2 3 5" xfId="608"/>
    <cellStyle name="說明文字" xfId="609"/>
    <cellStyle name="40% - 强调文字颜色 6 2 3" xfId="610"/>
    <cellStyle name="60% - 强调文字颜色 5 2_G4B-3（b）证券融资交易对手信用风险计算表(0621)" xfId="611"/>
    <cellStyle name="20% - 强调文字颜色 5 2 3" xfId="612"/>
    <cellStyle name="标题 3 2 5" xfId="613"/>
    <cellStyle name="好 2 4" xfId="614"/>
    <cellStyle name="40% - 强调文字颜色 5 3" xfId="615"/>
    <cellStyle name="40% - 强调文字颜色 2 3 4" xfId="616"/>
    <cellStyle name="百分比 6 2" xfId="617"/>
    <cellStyle name="标题 4 2 3" xfId="618"/>
    <cellStyle name="输入 3" xfId="619"/>
    <cellStyle name="40% - 强调文字颜色 4 2 6" xfId="620"/>
    <cellStyle name="标题 2 2 6" xfId="621"/>
    <cellStyle name="标题 1 2 6" xfId="622"/>
    <cellStyle name="40% - 强调文字颜色 1 3 3" xfId="623"/>
    <cellStyle name="60% - 强调文字颜色 6 2 2" xfId="624"/>
    <cellStyle name="常规 10" xfId="625"/>
    <cellStyle name="标题 3 4" xfId="626"/>
    <cellStyle name="标题 1 2 5" xfId="627"/>
    <cellStyle name="常规 7" xfId="628"/>
    <cellStyle name="60% - 强调文字颜色 2 7" xfId="629"/>
    <cellStyle name="20% - 强调文字颜色 5 6" xfId="630"/>
    <cellStyle name="20% - 强调文字颜色 2 2" xfId="631"/>
    <cellStyle name="好 2_G4B-3（b）证券融资交易对手信用风险计算表(0621)" xfId="632"/>
    <cellStyle name="强调文字颜色 1 3" xfId="633"/>
    <cellStyle name="標題_G4B-3（a）场外衍生工具交易对手信用风险计算表(权重法)" xfId="634"/>
    <cellStyle name="差_G4B-3（a）场外衍生工具交易对手信用风险计算表(权重法)" xfId="635"/>
    <cellStyle name="标题 2 3" xfId="636"/>
    <cellStyle name="60% - 强调文字颜色 6 2 4" xfId="637"/>
    <cellStyle name="标题 3 6" xfId="638"/>
    <cellStyle name="40% - 强调文字颜色 6 3 3" xfId="639"/>
    <cellStyle name="輔色5" xfId="640"/>
    <cellStyle name="20% - 强调文字颜色 2 2 6" xfId="641"/>
    <cellStyle name="greyed" xfId="642"/>
    <cellStyle name="强调文字颜色 3 3" xfId="643"/>
    <cellStyle name="40% - 强调文字颜色 2 3 5" xfId="644"/>
    <cellStyle name="60% - 强调文字颜色 6 3 5" xfId="645"/>
    <cellStyle name="20% - 强调文字颜色 5 2 6" xfId="646"/>
    <cellStyle name="60% - 强调文字颜色 5 2 4" xfId="647"/>
    <cellStyle name="适中 3" xfId="648"/>
    <cellStyle name="40% - 强调文字颜色 5 3 4" xfId="649"/>
    <cellStyle name="输出 4" xfId="650"/>
    <cellStyle name="链接单元格 2 4" xfId="651"/>
    <cellStyle name="60% - 强调文字颜色 6 3 3" xfId="652"/>
    <cellStyle name="40% - 强调文字颜色 6 3 5" xfId="653"/>
    <cellStyle name="标题 4 6" xfId="654"/>
    <cellStyle name="60% - 强调文字颜色 6 3 4" xfId="655"/>
    <cellStyle name="汇总 2 5" xfId="656"/>
    <cellStyle name="标题 2 2" xfId="657"/>
    <cellStyle name="千位_股东贷款" xfId="658"/>
    <cellStyle name="强调文字颜色 3 4" xfId="659"/>
    <cellStyle name="标题 1 5" xfId="660"/>
    <cellStyle name="20% - 强调文字颜色 4 4" xfId="661"/>
    <cellStyle name="千位分隔 2" xfId="662"/>
    <cellStyle name="适中 6" xfId="663"/>
    <cellStyle name="好 2 2" xfId="664"/>
    <cellStyle name="输出 7" xfId="665"/>
    <cellStyle name="检查单元格 2 4" xfId="666"/>
    <cellStyle name="百分比 2" xfId="667"/>
    <cellStyle name="40% - 强调文字颜色 3 3 3" xfId="668"/>
    <cellStyle name="常规 26" xfId="669"/>
    <cellStyle name="壞_G4B-3交易对手信用风险汇总表" xfId="670"/>
    <cellStyle name="差 2 3" xfId="671"/>
    <cellStyle name="标题 1 3" xfId="672"/>
    <cellStyle name="60% - 强调文字颜色 5 6" xfId="673"/>
    <cellStyle name="汇总 2 6" xfId="674"/>
    <cellStyle name="標題" xfId="675"/>
    <cellStyle name="标题 1 2 4" xfId="676"/>
    <cellStyle name="常规 6" xfId="677"/>
    <cellStyle name="60% - 輔色6" xfId="678"/>
    <cellStyle name="标题 1 2 3" xfId="679"/>
    <cellStyle name="常规 5" xfId="680"/>
    <cellStyle name="60% - 輔色5" xfId="681"/>
    <cellStyle name="标题 1 2 2" xfId="682"/>
    <cellStyle name="常规 4" xfId="683"/>
    <cellStyle name="20% - 强调文字颜色 4 3" xfId="684"/>
    <cellStyle name="60% - 强调文字颜色 1 4" xfId="685"/>
    <cellStyle name="常规_表内风险资产" xfId="686"/>
    <cellStyle name="40% - 强调文字颜色 5 2" xfId="687"/>
    <cellStyle name="好 2 3" xfId="688"/>
    <cellStyle name="检查单元格 2 5" xfId="689"/>
    <cellStyle name="百分比 3" xfId="690"/>
    <cellStyle name="适中 7" xfId="691"/>
    <cellStyle name="Normal_G10revised-20050118" xfId="692"/>
    <cellStyle name="60% - 强调文字颜色 4 2" xfId="693"/>
    <cellStyle name="20% - 强调文字颜色 1 2 5" xfId="694"/>
    <cellStyle name="60% - 强调文字颜色 6 6" xfId="695"/>
    <cellStyle name="60% - 强调文字颜色 5 3 4" xfId="696"/>
    <cellStyle name="輔色2" xfId="697"/>
    <cellStyle name="20% - 强调文字颜色 2 2 3" xfId="698"/>
    <cellStyle name="强调文字颜色 4 3_G4B-3（b）证券融资交易对手信用风险计算表(0621)" xfId="699"/>
    <cellStyle name="好 3" xfId="700"/>
    <cellStyle name="60% - 强调文字颜色 6 3 2" xfId="701"/>
    <cellStyle name="20% - 强调文字颜色 4 2 2" xfId="702"/>
    <cellStyle name="标题 3 7" xfId="703"/>
    <cellStyle name="60% - 强调文字颜色 6 2 5" xfId="704"/>
    <cellStyle name="60% - 强调文字颜色 6 2 6" xfId="705"/>
    <cellStyle name="标题 3 5" xfId="706"/>
    <cellStyle name="好_G4B-4 资产证券化业务风险加权资产表" xfId="707"/>
    <cellStyle name="60% - 强调文字颜色 6 2 3" xfId="708"/>
    <cellStyle name="40% - 强调文字颜色 4 7" xfId="709"/>
    <cellStyle name="40% - 强调文字颜色 1 2 2" xfId="710"/>
    <cellStyle name="差 2 2" xfId="711"/>
    <cellStyle name="40% - 輔色6" xfId="712"/>
    <cellStyle name="百分比 6" xfId="713"/>
    <cellStyle name="汇总 2 3" xfId="714"/>
    <cellStyle name="60% - 强调文字颜色 5 5" xfId="715"/>
    <cellStyle name="60% - 强调文字颜色 4 3 5" xfId="716"/>
    <cellStyle name="汇总 2 4" xfId="717"/>
    <cellStyle name="20% - 强调文字颜色 5 2_G4B-3（b）证券融资交易对手信用风险计算表(0621)" xfId="718"/>
    <cellStyle name="60% - 强调文字颜色 3 4" xfId="719"/>
    <cellStyle name="20% - 强调文字颜色 6 3" xfId="720"/>
    <cellStyle name="标题 1 2" xfId="721"/>
    <cellStyle name="60% - 强调文字颜色 5 3_G4B-3（b）证券融资交易对手信用风险计算表(0621)" xfId="722"/>
    <cellStyle name="差 2" xfId="723"/>
    <cellStyle name="解释性文本 5" xfId="724"/>
    <cellStyle name="60% - 强调文字颜色 5 3 2" xfId="725"/>
    <cellStyle name="_ET_STYLE_NoName_00_" xfId="726"/>
    <cellStyle name="60% - 强调文字颜色 5 3" xfId="727"/>
    <cellStyle name="60% - 强调文字颜色 4 3 3" xfId="728"/>
    <cellStyle name="60% - 强调文字颜色 5 2 5" xfId="729"/>
    <cellStyle name="60% - 强调文字颜色 4 2 3" xfId="730"/>
    <cellStyle name="40% - 强调文字颜色 6 5" xfId="731"/>
    <cellStyle name="60% - 强调文字颜色 5 2 6" xfId="732"/>
    <cellStyle name="标题 2 4" xfId="733"/>
    <cellStyle name="标题 2 5" xfId="734"/>
    <cellStyle name="常规 2 5" xfId="735"/>
    <cellStyle name="標題 2" xfId="736"/>
    <cellStyle name="40% - 强调文字颜色 4 4" xfId="737"/>
    <cellStyle name="计算 3_G4B-3（b）证券融资交易对手信用风险计算表(0621)" xfId="738"/>
    <cellStyle name="20% - 强调文字颜色 4 2 6" xfId="739"/>
    <cellStyle name="汇总 2 2" xfId="740"/>
    <cellStyle name="60% - 强调文字颜色 4 3 2" xfId="741"/>
    <cellStyle name="60% - 强调文字颜色 5 2" xfId="742"/>
    <cellStyle name="计算 2" xfId="743"/>
    <cellStyle name="40% - 强调文字颜色 2 3_G4B-3（b）证券融资交易对手信用风险计算表(0621)" xfId="744"/>
    <cellStyle name="60% - 强调文字颜色 5 4" xfId="745"/>
    <cellStyle name="60% - 强调文字颜色 4 3 4" xfId="746"/>
    <cellStyle name="60% - 强调文字颜色 4 6" xfId="747"/>
    <cellStyle name="注释 3 4" xfId="748"/>
    <cellStyle name="60% - 强调文字颜色 4 2 6" xfId="749"/>
    <cellStyle name="60% - 强调文字颜色 4 5" xfId="750"/>
    <cellStyle name="警告文本 2 3" xfId="751"/>
    <cellStyle name="60% - 强调文字颜色 2 2 6" xfId="752"/>
    <cellStyle name="解释性文本 2 6" xfId="753"/>
    <cellStyle name="常规 7 2" xfId="754"/>
    <cellStyle name="强调文字颜色 5 2 4" xfId="755"/>
    <cellStyle name="链接单元格 3 2" xfId="756"/>
    <cellStyle name="链接单元格 6" xfId="757"/>
    <cellStyle name="标题 4 3 3" xfId="758"/>
    <cellStyle name="强调文字颜色 6 2 6" xfId="759"/>
    <cellStyle name="汇总 2_G4B-2" xfId="760"/>
    <cellStyle name="好_资产证券化监管报表_G4B-3（b）证券融资交易对手信用风险计算表(0621)" xfId="761"/>
    <cellStyle name="千位分隔 5 3" xfId="762"/>
    <cellStyle name="常规 2 3" xfId="763"/>
    <cellStyle name="标题 3 3_G4B-2" xfId="764"/>
    <cellStyle name="链接单元格 2 3" xfId="765"/>
    <cellStyle name="适中 2" xfId="766"/>
    <cellStyle name="40% - 强调文字颜色 5 3 3" xfId="767"/>
    <cellStyle name="输出 3" xfId="768"/>
    <cellStyle name="解释性文本 2 5" xfId="769"/>
    <cellStyle name="计算 2 3" xfId="770"/>
    <cellStyle name="連結的儲存格" xfId="771"/>
    <cellStyle name="好 2" xfId="772"/>
    <cellStyle name="60% - 强调文字颜色 4 7" xfId="773"/>
    <cellStyle name="解释性文本 2 4" xfId="774"/>
    <cellStyle name="链接单元格 2 5" xfId="775"/>
    <cellStyle name="警告文本 2_G4B-4 资产证券化业务风险加权资产表" xfId="776"/>
    <cellStyle name="差 2 4" xfId="777"/>
    <cellStyle name="20% - 强调文字颜色 2 2_G4B-3（b）证券融资交易对手信用风险计算表(0621)" xfId="778"/>
    <cellStyle name="百分比 4" xfId="779"/>
    <cellStyle name="20% - 强调文字颜色 1 3 2" xfId="780"/>
    <cellStyle name="链接单元格 3_G4B-2" xfId="781"/>
    <cellStyle name="20% - 强调文字颜色 2 2 4" xfId="782"/>
    <cellStyle name="輔色3" xfId="783"/>
    <cellStyle name="差 3 2" xfId="784"/>
    <cellStyle name="60% - 强调文字颜色 4 4" xfId="785"/>
    <cellStyle name="好_200909商业化业务统计报表（财政部新版）" xfId="786"/>
    <cellStyle name="输入 7" xfId="787"/>
    <cellStyle name="链接单元格 5" xfId="788"/>
    <cellStyle name="链接单元格 2 2" xfId="789"/>
    <cellStyle name="40% - 强调文字颜色 5 3 2" xfId="790"/>
    <cellStyle name="输出 2" xfId="791"/>
    <cellStyle name="强调文字颜色 1 2" xfId="792"/>
    <cellStyle name="解释性文本 2 3" xfId="793"/>
    <cellStyle name="标题 5 6" xfId="794"/>
    <cellStyle name="好 4" xfId="795"/>
    <cellStyle name="链接单元格 2 6" xfId="796"/>
    <cellStyle name="检查单元格 2 3" xfId="797"/>
    <cellStyle name="适中 5" xfId="798"/>
    <cellStyle name="输出 6" xfId="799"/>
    <cellStyle name="解释性文本 3 2" xfId="800"/>
    <cellStyle name="强调文字颜色 5 5" xfId="801"/>
    <cellStyle name="20% - 强调文字颜色 2 3" xfId="802"/>
    <cellStyle name="检查单元格 3" xfId="803"/>
    <cellStyle name="强调文字颜色 2 3 3" xfId="804"/>
    <cellStyle name="常规 3 4" xfId="805"/>
    <cellStyle name="标题 4 2 5" xfId="806"/>
    <cellStyle name="输入 5" xfId="807"/>
    <cellStyle name="链接单元格 3" xfId="808"/>
    <cellStyle name="标题 6 2" xfId="809"/>
    <cellStyle name="40% - 强调文字颜色 1 4" xfId="810"/>
    <cellStyle name="警告文本 3 4" xfId="811"/>
    <cellStyle name="检查单元格 3 5" xfId="812"/>
    <cellStyle name="常规_流动性覆盖率" xfId="813"/>
    <cellStyle name="强调文字颜色 1 5" xfId="814"/>
    <cellStyle name="40% - 强调文字颜色 1 2 4" xfId="815"/>
    <cellStyle name="千位分隔 6 2" xfId="816"/>
    <cellStyle name="解释性文本 2 2" xfId="817"/>
    <cellStyle name="解释性文本 3 5" xfId="818"/>
    <cellStyle name="链接单元格 2_G4B-2" xfId="819"/>
    <cellStyle name="40% - 强调文字颜色 6 3 2" xfId="820"/>
    <cellStyle name="解释性文本 3 3" xfId="821"/>
    <cellStyle name="40% - 强调文字颜色 3 2 3" xfId="822"/>
    <cellStyle name="差 3 4" xfId="823"/>
    <cellStyle name="20% - 强调文字颜色 2 4" xfId="824"/>
    <cellStyle name="检查单元格 4" xfId="825"/>
    <cellStyle name="强调文字颜色 2 3 4" xfId="826"/>
    <cellStyle name="60% - 强调文字颜色 4 3" xfId="827"/>
    <cellStyle name="输入 4" xfId="828"/>
    <cellStyle name="链接单元格 2" xfId="829"/>
    <cellStyle name="标题 4 2 4" xfId="830"/>
    <cellStyle name="20% - 强调文字颜色 1 2 6" xfId="831"/>
    <cellStyle name="60% - 强调文字颜色 6 7" xfId="832"/>
    <cellStyle name="强调文字颜色 5 3 3" xfId="833"/>
    <cellStyle name="40% - 强调文字颜色 3 6" xfId="834"/>
    <cellStyle name="常规 2_G4B-3（a）场外衍生工具交易对手信用风险计算表(权重法)" xfId="835"/>
    <cellStyle name="差_G4B-3交易对手信用风险汇总表" xfId="836"/>
    <cellStyle name="檢查儲存格" xfId="837"/>
    <cellStyle name="强调文字颜色 5 3" xfId="838"/>
    <cellStyle name="40% - 强调文字颜色 6 2 6" xfId="839"/>
    <cellStyle name="40% - 强调文字颜色 3 3_G4B-3（b）证券融资交易对手信用风险计算表(0621)" xfId="840"/>
    <cellStyle name="差 3_G4B-3（b）证券融资交易对手信用风险计算表(0621)" xfId="841"/>
    <cellStyle name="检查单元格 2" xfId="842"/>
    <cellStyle name="常规 2" xfId="843"/>
    <cellStyle name="检查单元格 2_G4B-3（b）证券融资交易对手信用风险计算表(0621)" xfId="844"/>
    <cellStyle name="标题 8" xfId="845"/>
    <cellStyle name="20% - 强调文字颜色 5 3_G4B-3（b）证券融资交易对手信用风险计算表(0621)" xfId="846"/>
    <cellStyle name="链接单元格 3 5" xfId="847"/>
    <cellStyle name="常规_G01" xfId="848"/>
    <cellStyle name="标题 1 3 3" xfId="849"/>
    <cellStyle name="计算 5" xfId="850"/>
    <cellStyle name="计算 3 2" xfId="851"/>
    <cellStyle name="20% - 强调文字颜色 2 5" xfId="852"/>
    <cellStyle name="计算 3" xfId="853"/>
    <cellStyle name="计算 2 6" xfId="854"/>
    <cellStyle name="60% - 强调文字颜色 1 2 5" xfId="855"/>
    <cellStyle name="40% - 强调文字颜色 6 3 4" xfId="856"/>
    <cellStyle name="20% - 强调文字颜色 5 2 2" xfId="857"/>
    <cellStyle name="计算 2 5" xfId="858"/>
    <cellStyle name="强调文字颜色 4 3 5" xfId="859"/>
    <cellStyle name="40% - 强调文字颜色 3 3 5" xfId="860"/>
    <cellStyle name="标题 5 4" xfId="861"/>
    <cellStyle name="汇总 6" xfId="862"/>
    <cellStyle name="输入 2 4" xfId="863"/>
    <cellStyle name="40% - 强调文字颜色 3 3 4" xfId="864"/>
    <cellStyle name="标题 5 3" xfId="865"/>
    <cellStyle name="输入 3 5" xfId="866"/>
    <cellStyle name="汇总 5" xfId="867"/>
    <cellStyle name="输入 2 3" xfId="868"/>
    <cellStyle name="输入 2 2" xfId="869"/>
    <cellStyle name="汇总 4" xfId="870"/>
    <cellStyle name="输入 3 4" xfId="871"/>
    <cellStyle name="强调文字颜色 2 3 5" xfId="872"/>
    <cellStyle name="检查单元格 5" xfId="873"/>
    <cellStyle name="千位分隔 2 2" xfId="874"/>
    <cellStyle name="汇总 3_G4B-2" xfId="875"/>
    <cellStyle name="20% - 强调文字颜色 4 2_G4B-3（b）证券融资交易对手信用风险计算表(0621)" xfId="87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46;&#26053;&#36153;&#20998;&#2651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31934;&#20934;&#25253;&#34920;&#35843;&#25972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zz"/>
      <sheetName val="cl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界面"/>
      <sheetName val="项目"/>
      <sheetName val="调整"/>
      <sheetName val="资产负债表底稿"/>
      <sheetName val="损益底稿"/>
      <sheetName val="资产负债表"/>
      <sheetName val="损益表"/>
      <sheetName val="外汇表"/>
      <sheetName val="流量表-主"/>
      <sheetName val="流量表-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49"/>
    <pageSetUpPr fitToPage="1"/>
  </sheetPr>
  <dimension ref="A1:F52"/>
  <sheetViews>
    <sheetView tabSelected="1" zoomScale="110" zoomScaleNormal="110" topLeftCell="A30" workbookViewId="0">
      <selection activeCell="B17" sqref="B17"/>
    </sheetView>
  </sheetViews>
  <sheetFormatPr defaultColWidth="9" defaultRowHeight="13.2" outlineLevelCol="5"/>
  <cols>
    <col min="1" max="1" width="10.5" style="4" customWidth="1"/>
    <col min="2" max="2" width="71.875" style="5" customWidth="1"/>
    <col min="3" max="3" width="17.375" style="6" customWidth="1"/>
    <col min="4" max="16384" width="9" style="7"/>
  </cols>
  <sheetData>
    <row r="1" ht="24.95" customHeight="1" spans="1:3">
      <c r="A1" s="8" t="s">
        <v>0</v>
      </c>
      <c r="B1" s="9"/>
      <c r="C1" s="9"/>
    </row>
    <row r="2" s="1" customFormat="1" ht="15" customHeight="1" spans="1:4">
      <c r="A2" s="10" t="s">
        <v>1</v>
      </c>
      <c r="B2" s="11" t="s">
        <v>2</v>
      </c>
      <c r="C2" s="12" t="s">
        <v>3</v>
      </c>
      <c r="D2" s="13"/>
    </row>
    <row r="3" ht="15" customHeight="1" spans="1:4">
      <c r="A3" s="14" t="s">
        <v>4</v>
      </c>
      <c r="B3" s="15" t="s">
        <v>5</v>
      </c>
      <c r="C3" s="16" t="s">
        <v>6</v>
      </c>
      <c r="D3" s="17"/>
    </row>
    <row r="4" s="2" customFormat="1" ht="15" customHeight="1" spans="1:3">
      <c r="A4" s="18"/>
      <c r="B4" s="19"/>
      <c r="C4" s="20" t="s">
        <v>7</v>
      </c>
    </row>
    <row r="5" ht="15" customHeight="1" spans="1:4">
      <c r="A5" s="21" t="s">
        <v>8</v>
      </c>
      <c r="B5" s="22"/>
      <c r="C5" s="23"/>
      <c r="D5" s="17"/>
    </row>
    <row r="6" ht="15" customHeight="1" spans="1:3">
      <c r="A6" s="24">
        <v>1</v>
      </c>
      <c r="B6" s="25" t="s">
        <v>9</v>
      </c>
      <c r="C6" s="26">
        <f>C7+C8+C9+C14</f>
        <v>0</v>
      </c>
    </row>
    <row r="7" ht="15" customHeight="1" spans="1:3">
      <c r="A7" s="24">
        <v>2</v>
      </c>
      <c r="B7" s="27" t="s">
        <v>10</v>
      </c>
      <c r="C7" s="28"/>
    </row>
    <row r="8" ht="15" customHeight="1" spans="1:3">
      <c r="A8" s="24">
        <v>3</v>
      </c>
      <c r="B8" s="27" t="s">
        <v>11</v>
      </c>
      <c r="C8" s="29"/>
    </row>
    <row r="9" ht="15" customHeight="1" spans="1:3">
      <c r="A9" s="24">
        <v>4</v>
      </c>
      <c r="B9" s="27" t="s">
        <v>12</v>
      </c>
      <c r="C9" s="26">
        <f>SUM(C10:C13)</f>
        <v>0</v>
      </c>
    </row>
    <row r="10" ht="15" customHeight="1" spans="1:3">
      <c r="A10" s="24">
        <v>5</v>
      </c>
      <c r="B10" s="30" t="s">
        <v>13</v>
      </c>
      <c r="C10" s="29"/>
    </row>
    <row r="11" ht="15" customHeight="1" spans="1:3">
      <c r="A11" s="24">
        <v>6</v>
      </c>
      <c r="B11" s="30" t="s">
        <v>14</v>
      </c>
      <c r="C11" s="29"/>
    </row>
    <row r="12" ht="15" customHeight="1" spans="1:3">
      <c r="A12" s="24">
        <v>7</v>
      </c>
      <c r="B12" s="30" t="s">
        <v>15</v>
      </c>
      <c r="C12" s="29"/>
    </row>
    <row r="13" ht="15" customHeight="1" spans="1:3">
      <c r="A13" s="24">
        <v>8</v>
      </c>
      <c r="B13" s="30" t="s">
        <v>16</v>
      </c>
      <c r="C13" s="29"/>
    </row>
    <row r="14" ht="15" customHeight="1" spans="1:3">
      <c r="A14" s="24">
        <v>9</v>
      </c>
      <c r="B14" s="27" t="s">
        <v>17</v>
      </c>
      <c r="C14" s="29"/>
    </row>
    <row r="15" ht="15" customHeight="1" spans="1:3">
      <c r="A15" s="24">
        <v>10</v>
      </c>
      <c r="B15" s="25" t="s">
        <v>18</v>
      </c>
      <c r="C15" s="31"/>
    </row>
    <row r="16" ht="15" customHeight="1" spans="1:3">
      <c r="A16" s="24">
        <v>11</v>
      </c>
      <c r="B16" s="32" t="s">
        <v>19</v>
      </c>
      <c r="C16" s="26">
        <f>SUM(C17:C27)</f>
        <v>0</v>
      </c>
    </row>
    <row r="17" ht="15" customHeight="1" spans="1:3">
      <c r="A17" s="24">
        <v>12</v>
      </c>
      <c r="B17" s="30" t="s">
        <v>20</v>
      </c>
      <c r="C17" s="33"/>
    </row>
    <row r="18" ht="15" customHeight="1" spans="1:3">
      <c r="A18" s="24">
        <v>13</v>
      </c>
      <c r="B18" s="30" t="s">
        <v>21</v>
      </c>
      <c r="C18" s="33"/>
    </row>
    <row r="19" ht="15" customHeight="1" spans="1:3">
      <c r="A19" s="24">
        <v>14</v>
      </c>
      <c r="B19" s="30" t="s">
        <v>22</v>
      </c>
      <c r="C19" s="29"/>
    </row>
    <row r="20" ht="15" customHeight="1" spans="1:3">
      <c r="A20" s="24">
        <v>15</v>
      </c>
      <c r="B20" s="30" t="s">
        <v>23</v>
      </c>
      <c r="C20" s="29"/>
    </row>
    <row r="21" ht="15" customHeight="1" spans="1:3">
      <c r="A21" s="24">
        <v>16</v>
      </c>
      <c r="B21" s="30" t="s">
        <v>24</v>
      </c>
      <c r="C21" s="33"/>
    </row>
    <row r="22" ht="15" customHeight="1" spans="1:3">
      <c r="A22" s="24">
        <v>17</v>
      </c>
      <c r="B22" s="30" t="s">
        <v>25</v>
      </c>
      <c r="C22" s="29"/>
    </row>
    <row r="23" ht="15" customHeight="1" spans="1:3">
      <c r="A23" s="24">
        <v>18</v>
      </c>
      <c r="B23" s="30" t="s">
        <v>26</v>
      </c>
      <c r="C23" s="29"/>
    </row>
    <row r="24" ht="15" customHeight="1" spans="1:3">
      <c r="A24" s="24">
        <v>19</v>
      </c>
      <c r="B24" s="30" t="s">
        <v>27</v>
      </c>
      <c r="C24" s="29"/>
    </row>
    <row r="25" ht="15" customHeight="1" spans="1:3">
      <c r="A25" s="24">
        <v>20</v>
      </c>
      <c r="B25" s="30" t="s">
        <v>28</v>
      </c>
      <c r="C25" s="29"/>
    </row>
    <row r="26" ht="15" customHeight="1" spans="1:3">
      <c r="A26" s="24">
        <v>21</v>
      </c>
      <c r="B26" s="30" t="s">
        <v>29</v>
      </c>
      <c r="C26" s="33"/>
    </row>
    <row r="27" ht="15" customHeight="1" spans="1:3">
      <c r="A27" s="24">
        <v>22</v>
      </c>
      <c r="B27" s="30" t="s">
        <v>30</v>
      </c>
      <c r="C27" s="29"/>
    </row>
    <row r="28" ht="15" customHeight="1" spans="1:3">
      <c r="A28" s="24">
        <v>23</v>
      </c>
      <c r="B28" s="32" t="s">
        <v>31</v>
      </c>
      <c r="C28" s="26">
        <f>SUM(C29:C41)</f>
        <v>0</v>
      </c>
    </row>
    <row r="29" ht="15" customHeight="1" spans="1:3">
      <c r="A29" s="24">
        <v>24</v>
      </c>
      <c r="B29" s="30" t="s">
        <v>32</v>
      </c>
      <c r="C29" s="33"/>
    </row>
    <row r="30" ht="15" customHeight="1" spans="1:3">
      <c r="A30" s="24">
        <v>25</v>
      </c>
      <c r="B30" s="30" t="s">
        <v>33</v>
      </c>
      <c r="C30" s="33"/>
    </row>
    <row r="31" ht="15" customHeight="1" spans="1:3">
      <c r="A31" s="24">
        <v>26</v>
      </c>
      <c r="B31" s="30" t="s">
        <v>34</v>
      </c>
      <c r="C31" s="29"/>
    </row>
    <row r="32" ht="15" customHeight="1" spans="1:3">
      <c r="A32" s="24">
        <v>27</v>
      </c>
      <c r="B32" s="30" t="s">
        <v>35</v>
      </c>
      <c r="C32" s="29"/>
    </row>
    <row r="33" ht="15" customHeight="1" spans="1:3">
      <c r="A33" s="24">
        <v>28</v>
      </c>
      <c r="B33" s="30" t="s">
        <v>36</v>
      </c>
      <c r="C33" s="33"/>
    </row>
    <row r="34" ht="15" customHeight="1" spans="1:3">
      <c r="A34" s="24">
        <v>29</v>
      </c>
      <c r="B34" s="30" t="s">
        <v>37</v>
      </c>
      <c r="C34" s="29"/>
    </row>
    <row r="35" ht="15" customHeight="1" spans="1:3">
      <c r="A35" s="24">
        <v>30</v>
      </c>
      <c r="B35" s="30" t="s">
        <v>38</v>
      </c>
      <c r="C35" s="29"/>
    </row>
    <row r="36" ht="15" customHeight="1" spans="1:3">
      <c r="A36" s="24">
        <v>31</v>
      </c>
      <c r="B36" s="30" t="s">
        <v>39</v>
      </c>
      <c r="C36" s="29"/>
    </row>
    <row r="37" ht="15" customHeight="1" spans="1:3">
      <c r="A37" s="24">
        <v>32</v>
      </c>
      <c r="B37" s="30" t="s">
        <v>40</v>
      </c>
      <c r="C37" s="29"/>
    </row>
    <row r="38" ht="15" customHeight="1" spans="1:3">
      <c r="A38" s="24">
        <v>33</v>
      </c>
      <c r="B38" s="30" t="s">
        <v>41</v>
      </c>
      <c r="C38" s="29"/>
    </row>
    <row r="39" ht="15" customHeight="1" spans="1:3">
      <c r="A39" s="24">
        <v>34</v>
      </c>
      <c r="B39" s="30" t="s">
        <v>42</v>
      </c>
      <c r="C39" s="29"/>
    </row>
    <row r="40" ht="15" customHeight="1" spans="1:3">
      <c r="A40" s="24">
        <v>35</v>
      </c>
      <c r="B40" s="30" t="s">
        <v>43</v>
      </c>
      <c r="C40" s="29"/>
    </row>
    <row r="41" ht="15" customHeight="1" spans="1:3">
      <c r="A41" s="24">
        <v>36</v>
      </c>
      <c r="B41" s="30" t="s">
        <v>44</v>
      </c>
      <c r="C41" s="29"/>
    </row>
    <row r="42" ht="15" customHeight="1" spans="1:3">
      <c r="A42" s="34" t="s">
        <v>45</v>
      </c>
      <c r="B42" s="35"/>
      <c r="C42" s="36"/>
    </row>
    <row r="43" ht="15" customHeight="1" spans="1:3">
      <c r="A43" s="37">
        <v>37</v>
      </c>
      <c r="B43" s="38" t="s">
        <v>46</v>
      </c>
      <c r="C43" s="39">
        <f>C6</f>
        <v>0</v>
      </c>
    </row>
    <row r="44" ht="15" customHeight="1" spans="1:3">
      <c r="A44" s="24">
        <v>38</v>
      </c>
      <c r="B44" s="40" t="s">
        <v>47</v>
      </c>
      <c r="C44" s="41">
        <f>C45-MIN(C46,C45*0.75)</f>
        <v>0</v>
      </c>
    </row>
    <row r="45" ht="15" customHeight="1" spans="1:3">
      <c r="A45" s="24">
        <v>39</v>
      </c>
      <c r="B45" s="42" t="s">
        <v>48</v>
      </c>
      <c r="C45" s="41">
        <f>C16</f>
        <v>0</v>
      </c>
    </row>
    <row r="46" ht="15" customHeight="1" spans="1:3">
      <c r="A46" s="24">
        <v>40</v>
      </c>
      <c r="B46" s="42" t="s">
        <v>49</v>
      </c>
      <c r="C46" s="41">
        <f>C28</f>
        <v>0</v>
      </c>
    </row>
    <row r="47" ht="15" customHeight="1" spans="1:3">
      <c r="A47" s="43">
        <v>41</v>
      </c>
      <c r="B47" s="44" t="s">
        <v>50</v>
      </c>
      <c r="C47" s="45" t="e">
        <f>C43/C44</f>
        <v>#DIV/0!</v>
      </c>
    </row>
    <row r="48" s="1" customFormat="1" ht="15" customHeight="1" spans="1:6">
      <c r="A48" s="46" t="s">
        <v>51</v>
      </c>
      <c r="B48" s="47" t="s">
        <v>52</v>
      </c>
      <c r="C48" s="1" t="s">
        <v>53</v>
      </c>
      <c r="E48" s="48"/>
      <c r="F48" s="48"/>
    </row>
    <row r="49" s="1" customFormat="1" ht="15" customHeight="1" spans="1:6">
      <c r="A49" s="49"/>
      <c r="B49" s="50" t="s">
        <v>54</v>
      </c>
      <c r="C49" s="51"/>
      <c r="D49" s="52"/>
      <c r="E49" s="51"/>
      <c r="F49" s="51"/>
    </row>
    <row r="50" s="3" customFormat="1" ht="15" customHeight="1" spans="1:2">
      <c r="A50" s="53"/>
      <c r="B50" s="50" t="s">
        <v>55</v>
      </c>
    </row>
    <row r="51" s="3" customFormat="1" ht="15" customHeight="1" spans="1:2">
      <c r="A51" s="54"/>
      <c r="B51" s="50" t="s">
        <v>56</v>
      </c>
    </row>
    <row r="52" spans="1:1">
      <c r="A52" s="55" t="s">
        <v>57</v>
      </c>
    </row>
  </sheetData>
  <mergeCells count="3">
    <mergeCell ref="A1:C1"/>
    <mergeCell ref="A3:A4"/>
    <mergeCell ref="B3:B4"/>
  </mergeCells>
  <printOptions horizontalCentered="1"/>
  <pageMargins left="0.118055555555556" right="0.118055555555556" top="0.156944444444444" bottom="0.156944444444444" header="0.314583333333333" footer="0.314583333333333"/>
  <pageSetup paperSize="9" scale="95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银监会银行四部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S3aa金融租赁公司流动性覆盖率情况表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计划部_徐军亮</dc:creator>
  <cp:lastModifiedBy>CBIRC</cp:lastModifiedBy>
  <dcterms:created xsi:type="dcterms:W3CDTF">2015-06-17T22:30:00Z</dcterms:created>
  <cp:lastPrinted>2015-12-05T21:28:00Z</cp:lastPrinted>
  <dcterms:modified xsi:type="dcterms:W3CDTF">2024-12-12T11:16:13Z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19024C1032144F77DF65F2669F1AB3F5</vt:lpwstr>
  </property>
</Properties>
</file>