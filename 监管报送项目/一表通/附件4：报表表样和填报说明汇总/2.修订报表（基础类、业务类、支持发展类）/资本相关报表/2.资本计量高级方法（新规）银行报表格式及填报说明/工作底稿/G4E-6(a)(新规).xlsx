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25"/>
  </bookViews>
  <sheets>
    <sheet name="G4E-6(a)" sheetId="1" r:id="rId1"/>
  </sheets>
  <calcPr calcId="144525"/>
</workbook>
</file>

<file path=xl/sharedStrings.xml><?xml version="1.0" encoding="utf-8"?>
<sst xmlns="http://schemas.openxmlformats.org/spreadsheetml/2006/main" count="140" uniqueCount="131">
  <si>
    <r>
      <t>G4E-6</t>
    </r>
    <r>
      <rPr>
        <b/>
        <sz val="14"/>
        <rFont val="宋体"/>
        <charset val="134"/>
      </rPr>
      <t>（</t>
    </r>
    <r>
      <rPr>
        <b/>
        <sz val="14"/>
        <rFont val="Times New Roman"/>
        <charset val="134"/>
      </rPr>
      <t>a</t>
    </r>
    <r>
      <rPr>
        <b/>
        <sz val="14"/>
        <rFont val="宋体"/>
        <charset val="134"/>
      </rPr>
      <t>）与非中央交易对手衍生工具交易对手信用风险情况表</t>
    </r>
    <r>
      <rPr>
        <b/>
        <sz val="14"/>
        <rFont val="Times New Roman"/>
        <charset val="134"/>
      </rPr>
      <t>(CEM IRB</t>
    </r>
    <r>
      <rPr>
        <b/>
        <sz val="14"/>
        <rFont val="宋体"/>
        <charset val="134"/>
      </rPr>
      <t>法</t>
    </r>
    <r>
      <rPr>
        <b/>
        <sz val="14"/>
        <rFont val="Times New Roman"/>
        <charset val="134"/>
      </rPr>
      <t>)</t>
    </r>
    <r>
      <rPr>
        <b/>
        <sz val="14"/>
        <rFont val="宋体"/>
        <charset val="134"/>
      </rPr>
      <t>（新规）</t>
    </r>
  </si>
  <si>
    <t>填报机构：</t>
  </si>
  <si>
    <r>
      <rPr>
        <sz val="10"/>
        <rFont val="宋体"/>
        <charset val="134"/>
      </rPr>
      <t>报表日期：</t>
    </r>
    <r>
      <rPr>
        <sz val="10"/>
        <rFont val="Arial"/>
        <charset val="134"/>
      </rPr>
      <t xml:space="preserve">     </t>
    </r>
    <r>
      <rPr>
        <sz val="10"/>
        <rFont val="宋体"/>
        <charset val="134"/>
      </rPr>
      <t>年</t>
    </r>
    <r>
      <rPr>
        <sz val="10"/>
        <rFont val="Arial"/>
        <charset val="134"/>
      </rPr>
      <t xml:space="preserve">     </t>
    </r>
    <r>
      <rPr>
        <sz val="10"/>
        <rFont val="宋体"/>
        <charset val="134"/>
      </rPr>
      <t>月</t>
    </r>
    <r>
      <rPr>
        <sz val="10"/>
        <rFont val="Arial"/>
        <charset val="134"/>
      </rPr>
      <t xml:space="preserve">      </t>
    </r>
    <r>
      <rPr>
        <sz val="10"/>
        <rFont val="宋体"/>
        <charset val="134"/>
      </rPr>
      <t>日</t>
    </r>
  </si>
  <si>
    <t>单位：万元</t>
  </si>
  <si>
    <r>
      <rPr>
        <b/>
        <sz val="10"/>
        <rFont val="宋体"/>
        <charset val="134"/>
      </rPr>
      <t>第</t>
    </r>
    <r>
      <rPr>
        <b/>
        <sz val="10"/>
        <rFont val="Times New Roman"/>
        <charset val="134"/>
      </rPr>
      <t>I</t>
    </r>
    <r>
      <rPr>
        <b/>
        <sz val="10"/>
        <rFont val="宋体"/>
        <charset val="134"/>
      </rPr>
      <t>部分：无净额结算的违约风险暴露计算表（</t>
    </r>
    <r>
      <rPr>
        <b/>
        <sz val="10"/>
        <rFont val="Times New Roman"/>
        <charset val="134"/>
      </rPr>
      <t>IRB</t>
    </r>
    <r>
      <rPr>
        <b/>
        <sz val="10"/>
        <rFont val="宋体"/>
        <charset val="134"/>
      </rPr>
      <t>法）</t>
    </r>
  </si>
  <si>
    <r>
      <rPr>
        <sz val="10"/>
        <rFont val="宋体"/>
        <charset val="134"/>
      </rPr>
      <t>序号</t>
    </r>
  </si>
  <si>
    <r>
      <rPr>
        <sz val="10"/>
        <rFont val="宋体"/>
        <charset val="134"/>
      </rPr>
      <t>项目</t>
    </r>
  </si>
  <si>
    <t>A</t>
  </si>
  <si>
    <t>B</t>
  </si>
  <si>
    <t>C</t>
  </si>
  <si>
    <t>D</t>
  </si>
  <si>
    <t>E</t>
  </si>
  <si>
    <r>
      <rPr>
        <sz val="10"/>
        <rFont val="宋体"/>
        <charset val="134"/>
      </rPr>
      <t>名义本金</t>
    </r>
  </si>
  <si>
    <r>
      <rPr>
        <sz val="10"/>
        <rFont val="宋体"/>
        <charset val="134"/>
      </rPr>
      <t>附加系数</t>
    </r>
  </si>
  <si>
    <r>
      <rPr>
        <sz val="10"/>
        <rFont val="宋体"/>
        <charset val="134"/>
      </rPr>
      <t>盯市成本</t>
    </r>
  </si>
  <si>
    <r>
      <rPr>
        <sz val="10"/>
        <rFont val="宋体"/>
        <charset val="134"/>
      </rPr>
      <t>风险暴露</t>
    </r>
  </si>
  <si>
    <r>
      <rPr>
        <sz val="10"/>
        <rFont val="宋体"/>
        <charset val="134"/>
      </rPr>
      <t>风险加权资产</t>
    </r>
  </si>
  <si>
    <r>
      <rPr>
        <b/>
        <sz val="10"/>
        <rFont val="Times New Roman"/>
        <charset val="134"/>
      </rPr>
      <t>1.</t>
    </r>
    <r>
      <rPr>
        <b/>
        <sz val="10"/>
        <rFont val="宋体"/>
        <charset val="134"/>
      </rPr>
      <t>信用衍生工具</t>
    </r>
  </si>
  <si>
    <r>
      <rPr>
        <sz val="10"/>
        <rFont val="Times New Roman"/>
        <charset val="134"/>
      </rPr>
      <t xml:space="preserve">  1.1</t>
    </r>
    <r>
      <rPr>
        <sz val="10"/>
        <rFont val="宋体"/>
        <charset val="134"/>
      </rPr>
      <t>标的资产为合格参照资产</t>
    </r>
  </si>
  <si>
    <r>
      <rPr>
        <sz val="10"/>
        <rFont val="Times New Roman"/>
        <charset val="134"/>
      </rPr>
      <t xml:space="preserve">1.1.1 </t>
    </r>
    <r>
      <rPr>
        <sz val="10"/>
        <rFont val="宋体"/>
        <charset val="134"/>
      </rPr>
      <t>公司</t>
    </r>
  </si>
  <si>
    <r>
      <rPr>
        <sz val="10"/>
        <rFont val="Times New Roman"/>
        <charset val="134"/>
      </rPr>
      <t xml:space="preserve">1.1.2 </t>
    </r>
    <r>
      <rPr>
        <sz val="10"/>
        <rFont val="宋体"/>
        <charset val="134"/>
      </rPr>
      <t>主权</t>
    </r>
  </si>
  <si>
    <r>
      <rPr>
        <sz val="10"/>
        <rFont val="Times New Roman"/>
        <charset val="134"/>
      </rPr>
      <t xml:space="preserve">1.1.3 </t>
    </r>
    <r>
      <rPr>
        <sz val="10"/>
        <rFont val="宋体"/>
        <charset val="134"/>
      </rPr>
      <t>金融机构</t>
    </r>
  </si>
  <si>
    <r>
      <rPr>
        <sz val="10"/>
        <rFont val="Times New Roman"/>
        <charset val="134"/>
      </rPr>
      <t xml:space="preserve">1.1.4 </t>
    </r>
    <r>
      <rPr>
        <sz val="10"/>
        <rFont val="宋体"/>
        <charset val="134"/>
      </rPr>
      <t>零售</t>
    </r>
  </si>
  <si>
    <r>
      <rPr>
        <sz val="10"/>
        <rFont val="Times New Roman"/>
        <charset val="134"/>
      </rPr>
      <t xml:space="preserve">1.1.5 </t>
    </r>
    <r>
      <rPr>
        <sz val="10"/>
        <rFont val="宋体"/>
        <charset val="134"/>
      </rPr>
      <t>其他</t>
    </r>
  </si>
  <si>
    <r>
      <rPr>
        <sz val="10"/>
        <rFont val="Times New Roman"/>
        <charset val="134"/>
      </rPr>
      <t xml:space="preserve">  1.2</t>
    </r>
    <r>
      <rPr>
        <sz val="10"/>
        <rFont val="宋体"/>
        <charset val="134"/>
      </rPr>
      <t>标的资产非合格参照资产</t>
    </r>
  </si>
  <si>
    <r>
      <rPr>
        <sz val="10"/>
        <rFont val="Times New Roman"/>
        <charset val="134"/>
      </rPr>
      <t xml:space="preserve">1.2.1 </t>
    </r>
    <r>
      <rPr>
        <sz val="10"/>
        <rFont val="宋体"/>
        <charset val="134"/>
      </rPr>
      <t>公司</t>
    </r>
  </si>
  <si>
    <r>
      <rPr>
        <sz val="10"/>
        <rFont val="Times New Roman"/>
        <charset val="134"/>
      </rPr>
      <t xml:space="preserve">1.2.2 </t>
    </r>
    <r>
      <rPr>
        <sz val="10"/>
        <rFont val="宋体"/>
        <charset val="134"/>
      </rPr>
      <t>主权</t>
    </r>
  </si>
  <si>
    <r>
      <rPr>
        <sz val="10"/>
        <rFont val="Times New Roman"/>
        <charset val="134"/>
      </rPr>
      <t xml:space="preserve">1.2.3 </t>
    </r>
    <r>
      <rPr>
        <sz val="10"/>
        <rFont val="宋体"/>
        <charset val="134"/>
      </rPr>
      <t>金融机构</t>
    </r>
  </si>
  <si>
    <r>
      <rPr>
        <sz val="10"/>
        <rFont val="Times New Roman"/>
        <charset val="134"/>
      </rPr>
      <t xml:space="preserve">1.2.4 </t>
    </r>
    <r>
      <rPr>
        <sz val="10"/>
        <rFont val="宋体"/>
        <charset val="134"/>
      </rPr>
      <t>零售</t>
    </r>
  </si>
  <si>
    <r>
      <rPr>
        <sz val="10"/>
        <rFont val="Times New Roman"/>
        <charset val="134"/>
      </rPr>
      <t xml:space="preserve">1.2.5 </t>
    </r>
    <r>
      <rPr>
        <sz val="10"/>
        <rFont val="宋体"/>
        <charset val="134"/>
      </rPr>
      <t>其他</t>
    </r>
  </si>
  <si>
    <r>
      <rPr>
        <b/>
        <sz val="10"/>
        <rFont val="Times New Roman"/>
        <charset val="134"/>
      </rPr>
      <t>2.</t>
    </r>
    <r>
      <rPr>
        <b/>
        <sz val="10"/>
        <rFont val="宋体"/>
        <charset val="134"/>
      </rPr>
      <t>利率衍生工具</t>
    </r>
  </si>
  <si>
    <r>
      <rPr>
        <sz val="10"/>
        <rFont val="Times New Roman"/>
        <charset val="134"/>
      </rPr>
      <t xml:space="preserve">2.1.1 </t>
    </r>
    <r>
      <rPr>
        <sz val="10"/>
        <rFont val="宋体"/>
        <charset val="134"/>
      </rPr>
      <t>公司</t>
    </r>
  </si>
  <si>
    <r>
      <rPr>
        <sz val="10"/>
        <rFont val="Times New Roman"/>
        <charset val="134"/>
      </rPr>
      <t xml:space="preserve">2.1.2 </t>
    </r>
    <r>
      <rPr>
        <sz val="10"/>
        <rFont val="宋体"/>
        <charset val="134"/>
      </rPr>
      <t>主权</t>
    </r>
  </si>
  <si>
    <r>
      <rPr>
        <sz val="10"/>
        <rFont val="Times New Roman"/>
        <charset val="134"/>
      </rPr>
      <t xml:space="preserve">2.1.3 </t>
    </r>
    <r>
      <rPr>
        <sz val="10"/>
        <rFont val="宋体"/>
        <charset val="134"/>
      </rPr>
      <t>金融机构</t>
    </r>
  </si>
  <si>
    <r>
      <rPr>
        <sz val="10"/>
        <rFont val="Times New Roman"/>
        <charset val="134"/>
      </rPr>
      <t xml:space="preserve">2.1.4 </t>
    </r>
    <r>
      <rPr>
        <sz val="10"/>
        <rFont val="宋体"/>
        <charset val="134"/>
      </rPr>
      <t>零售</t>
    </r>
  </si>
  <si>
    <r>
      <rPr>
        <sz val="10"/>
        <rFont val="Times New Roman"/>
        <charset val="134"/>
      </rPr>
      <t xml:space="preserve">2.1.5 </t>
    </r>
    <r>
      <rPr>
        <sz val="10"/>
        <rFont val="宋体"/>
        <charset val="134"/>
      </rPr>
      <t>其他</t>
    </r>
  </si>
  <si>
    <r>
      <rPr>
        <sz val="10"/>
        <rFont val="Times New Roman"/>
        <charset val="134"/>
      </rPr>
      <t xml:space="preserve">2.2.1 </t>
    </r>
    <r>
      <rPr>
        <sz val="10"/>
        <rFont val="宋体"/>
        <charset val="134"/>
      </rPr>
      <t>公司</t>
    </r>
  </si>
  <si>
    <r>
      <rPr>
        <sz val="10"/>
        <rFont val="Times New Roman"/>
        <charset val="134"/>
      </rPr>
      <t xml:space="preserve">2.2.2 </t>
    </r>
    <r>
      <rPr>
        <sz val="10"/>
        <rFont val="宋体"/>
        <charset val="134"/>
      </rPr>
      <t>主权</t>
    </r>
  </si>
  <si>
    <r>
      <rPr>
        <sz val="10"/>
        <rFont val="Times New Roman"/>
        <charset val="134"/>
      </rPr>
      <t xml:space="preserve">2.2.3 </t>
    </r>
    <r>
      <rPr>
        <sz val="10"/>
        <rFont val="宋体"/>
        <charset val="134"/>
      </rPr>
      <t>金融机构</t>
    </r>
  </si>
  <si>
    <r>
      <rPr>
        <sz val="10"/>
        <rFont val="Times New Roman"/>
        <charset val="134"/>
      </rPr>
      <t xml:space="preserve">2.2.4 </t>
    </r>
    <r>
      <rPr>
        <sz val="10"/>
        <rFont val="宋体"/>
        <charset val="134"/>
      </rPr>
      <t>零售</t>
    </r>
  </si>
  <si>
    <r>
      <rPr>
        <sz val="10"/>
        <rFont val="Times New Roman"/>
        <charset val="134"/>
      </rPr>
      <t xml:space="preserve">2.2.5 </t>
    </r>
    <r>
      <rPr>
        <sz val="10"/>
        <rFont val="宋体"/>
        <charset val="134"/>
      </rPr>
      <t>其他</t>
    </r>
  </si>
  <si>
    <r>
      <rPr>
        <sz val="10"/>
        <rFont val="Times New Roman"/>
        <charset val="134"/>
      </rPr>
      <t xml:space="preserve">2.3.1 </t>
    </r>
    <r>
      <rPr>
        <sz val="10"/>
        <rFont val="宋体"/>
        <charset val="134"/>
      </rPr>
      <t>公司</t>
    </r>
  </si>
  <si>
    <r>
      <rPr>
        <sz val="10"/>
        <rFont val="Times New Roman"/>
        <charset val="134"/>
      </rPr>
      <t xml:space="preserve">2.3.2 </t>
    </r>
    <r>
      <rPr>
        <sz val="10"/>
        <rFont val="宋体"/>
        <charset val="134"/>
      </rPr>
      <t>主权</t>
    </r>
  </si>
  <si>
    <r>
      <rPr>
        <sz val="10"/>
        <rFont val="Times New Roman"/>
        <charset val="134"/>
      </rPr>
      <t xml:space="preserve">2.3.3 </t>
    </r>
    <r>
      <rPr>
        <sz val="10"/>
        <rFont val="宋体"/>
        <charset val="134"/>
      </rPr>
      <t>金融机构</t>
    </r>
  </si>
  <si>
    <r>
      <rPr>
        <sz val="10"/>
        <rFont val="Times New Roman"/>
        <charset val="134"/>
      </rPr>
      <t xml:space="preserve">2.3.4 </t>
    </r>
    <r>
      <rPr>
        <sz val="10"/>
        <rFont val="宋体"/>
        <charset val="134"/>
      </rPr>
      <t>零售</t>
    </r>
  </si>
  <si>
    <r>
      <rPr>
        <sz val="10"/>
        <rFont val="Times New Roman"/>
        <charset val="134"/>
      </rPr>
      <t xml:space="preserve">2.3.5 </t>
    </r>
    <r>
      <rPr>
        <sz val="10"/>
        <rFont val="宋体"/>
        <charset val="134"/>
      </rPr>
      <t>其他</t>
    </r>
  </si>
  <si>
    <r>
      <rPr>
        <b/>
        <sz val="10"/>
        <rFont val="Times New Roman"/>
        <charset val="134"/>
      </rPr>
      <t>3.</t>
    </r>
    <r>
      <rPr>
        <b/>
        <sz val="10"/>
        <rFont val="宋体"/>
        <charset val="134"/>
      </rPr>
      <t>汇率和黄金衍生工具</t>
    </r>
  </si>
  <si>
    <r>
      <rPr>
        <sz val="10"/>
        <rFont val="Times New Roman"/>
        <charset val="134"/>
      </rPr>
      <t xml:space="preserve">3.1.1 </t>
    </r>
    <r>
      <rPr>
        <sz val="10"/>
        <rFont val="宋体"/>
        <charset val="134"/>
      </rPr>
      <t>公司</t>
    </r>
  </si>
  <si>
    <r>
      <rPr>
        <sz val="10"/>
        <rFont val="Times New Roman"/>
        <charset val="134"/>
      </rPr>
      <t xml:space="preserve">3.1.2 </t>
    </r>
    <r>
      <rPr>
        <sz val="10"/>
        <rFont val="宋体"/>
        <charset val="134"/>
      </rPr>
      <t>主权</t>
    </r>
  </si>
  <si>
    <r>
      <rPr>
        <sz val="10"/>
        <rFont val="Times New Roman"/>
        <charset val="134"/>
      </rPr>
      <t xml:space="preserve">3.1.3 </t>
    </r>
    <r>
      <rPr>
        <sz val="10"/>
        <rFont val="宋体"/>
        <charset val="134"/>
      </rPr>
      <t>金融机构</t>
    </r>
  </si>
  <si>
    <r>
      <rPr>
        <sz val="10"/>
        <rFont val="Times New Roman"/>
        <charset val="134"/>
      </rPr>
      <t xml:space="preserve">3.1.4 </t>
    </r>
    <r>
      <rPr>
        <sz val="10"/>
        <rFont val="宋体"/>
        <charset val="134"/>
      </rPr>
      <t>零售</t>
    </r>
  </si>
  <si>
    <r>
      <rPr>
        <sz val="10"/>
        <rFont val="Times New Roman"/>
        <charset val="134"/>
      </rPr>
      <t xml:space="preserve">3.1.5 </t>
    </r>
    <r>
      <rPr>
        <sz val="10"/>
        <rFont val="宋体"/>
        <charset val="134"/>
      </rPr>
      <t>其他</t>
    </r>
  </si>
  <si>
    <r>
      <rPr>
        <sz val="10"/>
        <rFont val="Times New Roman"/>
        <charset val="134"/>
      </rPr>
      <t xml:space="preserve">3.2.1 </t>
    </r>
    <r>
      <rPr>
        <sz val="10"/>
        <rFont val="宋体"/>
        <charset val="134"/>
      </rPr>
      <t>公司</t>
    </r>
  </si>
  <si>
    <r>
      <rPr>
        <sz val="10"/>
        <rFont val="Times New Roman"/>
        <charset val="134"/>
      </rPr>
      <t xml:space="preserve">3.2.2 </t>
    </r>
    <r>
      <rPr>
        <sz val="10"/>
        <rFont val="宋体"/>
        <charset val="134"/>
      </rPr>
      <t>主权</t>
    </r>
  </si>
  <si>
    <r>
      <rPr>
        <sz val="10"/>
        <rFont val="Times New Roman"/>
        <charset val="134"/>
      </rPr>
      <t xml:space="preserve">3.2.3 </t>
    </r>
    <r>
      <rPr>
        <sz val="10"/>
        <rFont val="宋体"/>
        <charset val="134"/>
      </rPr>
      <t>金融机构</t>
    </r>
  </si>
  <si>
    <r>
      <rPr>
        <sz val="10"/>
        <rFont val="Times New Roman"/>
        <charset val="134"/>
      </rPr>
      <t xml:space="preserve">3.2.4 </t>
    </r>
    <r>
      <rPr>
        <sz val="10"/>
        <rFont val="宋体"/>
        <charset val="134"/>
      </rPr>
      <t>零售</t>
    </r>
  </si>
  <si>
    <r>
      <rPr>
        <sz val="10"/>
        <rFont val="Times New Roman"/>
        <charset val="134"/>
      </rPr>
      <t xml:space="preserve">3.2.5 </t>
    </r>
    <r>
      <rPr>
        <sz val="10"/>
        <rFont val="宋体"/>
        <charset val="134"/>
      </rPr>
      <t>其他</t>
    </r>
  </si>
  <si>
    <r>
      <rPr>
        <sz val="10"/>
        <rFont val="Times New Roman"/>
        <charset val="134"/>
      </rPr>
      <t xml:space="preserve">3.3.1 </t>
    </r>
    <r>
      <rPr>
        <sz val="10"/>
        <rFont val="宋体"/>
        <charset val="134"/>
      </rPr>
      <t>公司</t>
    </r>
  </si>
  <si>
    <r>
      <rPr>
        <sz val="10"/>
        <rFont val="Times New Roman"/>
        <charset val="134"/>
      </rPr>
      <t xml:space="preserve">3.3.2 </t>
    </r>
    <r>
      <rPr>
        <sz val="10"/>
        <rFont val="宋体"/>
        <charset val="134"/>
      </rPr>
      <t>主权</t>
    </r>
  </si>
  <si>
    <r>
      <rPr>
        <sz val="10"/>
        <rFont val="Times New Roman"/>
        <charset val="134"/>
      </rPr>
      <t xml:space="preserve">3.3.3 </t>
    </r>
    <r>
      <rPr>
        <sz val="10"/>
        <rFont val="宋体"/>
        <charset val="134"/>
      </rPr>
      <t>金融机构</t>
    </r>
  </si>
  <si>
    <r>
      <rPr>
        <sz val="10"/>
        <rFont val="Times New Roman"/>
        <charset val="134"/>
      </rPr>
      <t xml:space="preserve">3.3.4 </t>
    </r>
    <r>
      <rPr>
        <sz val="10"/>
        <rFont val="宋体"/>
        <charset val="134"/>
      </rPr>
      <t>零售</t>
    </r>
  </si>
  <si>
    <r>
      <rPr>
        <sz val="10"/>
        <rFont val="Times New Roman"/>
        <charset val="134"/>
      </rPr>
      <t xml:space="preserve">3.3.5 </t>
    </r>
    <r>
      <rPr>
        <sz val="10"/>
        <rFont val="宋体"/>
        <charset val="134"/>
      </rPr>
      <t>其他</t>
    </r>
  </si>
  <si>
    <r>
      <rPr>
        <b/>
        <sz val="10"/>
        <rFont val="Times New Roman"/>
        <charset val="134"/>
      </rPr>
      <t>4.</t>
    </r>
    <r>
      <rPr>
        <b/>
        <sz val="10"/>
        <rFont val="宋体"/>
        <charset val="134"/>
      </rPr>
      <t>股权衍生工具</t>
    </r>
  </si>
  <si>
    <r>
      <rPr>
        <sz val="10"/>
        <rFont val="Times New Roman"/>
        <charset val="134"/>
      </rPr>
      <t xml:space="preserve">4.1.1 </t>
    </r>
    <r>
      <rPr>
        <sz val="10"/>
        <rFont val="宋体"/>
        <charset val="134"/>
      </rPr>
      <t>公司</t>
    </r>
  </si>
  <si>
    <r>
      <rPr>
        <sz val="10"/>
        <rFont val="Times New Roman"/>
        <charset val="134"/>
      </rPr>
      <t xml:space="preserve">4.1.2 </t>
    </r>
    <r>
      <rPr>
        <sz val="10"/>
        <rFont val="宋体"/>
        <charset val="134"/>
      </rPr>
      <t>主权</t>
    </r>
  </si>
  <si>
    <r>
      <rPr>
        <sz val="10"/>
        <rFont val="Times New Roman"/>
        <charset val="134"/>
      </rPr>
      <t xml:space="preserve">4.1.3 </t>
    </r>
    <r>
      <rPr>
        <sz val="10"/>
        <rFont val="宋体"/>
        <charset val="134"/>
      </rPr>
      <t>金融机构</t>
    </r>
  </si>
  <si>
    <r>
      <rPr>
        <sz val="10"/>
        <rFont val="Times New Roman"/>
        <charset val="134"/>
      </rPr>
      <t xml:space="preserve">4.1.4 </t>
    </r>
    <r>
      <rPr>
        <sz val="10"/>
        <rFont val="宋体"/>
        <charset val="134"/>
      </rPr>
      <t>零售</t>
    </r>
  </si>
  <si>
    <r>
      <rPr>
        <sz val="10"/>
        <rFont val="Times New Roman"/>
        <charset val="134"/>
      </rPr>
      <t xml:space="preserve">4.1.5 </t>
    </r>
    <r>
      <rPr>
        <sz val="10"/>
        <rFont val="宋体"/>
        <charset val="134"/>
      </rPr>
      <t>其他</t>
    </r>
  </si>
  <si>
    <r>
      <rPr>
        <sz val="10"/>
        <rFont val="Times New Roman"/>
        <charset val="134"/>
      </rPr>
      <t xml:space="preserve">4.2.1 </t>
    </r>
    <r>
      <rPr>
        <sz val="10"/>
        <rFont val="宋体"/>
        <charset val="134"/>
      </rPr>
      <t>公司</t>
    </r>
  </si>
  <si>
    <r>
      <rPr>
        <sz val="10"/>
        <rFont val="Times New Roman"/>
        <charset val="134"/>
      </rPr>
      <t xml:space="preserve">4.2.2 </t>
    </r>
    <r>
      <rPr>
        <sz val="10"/>
        <rFont val="宋体"/>
        <charset val="134"/>
      </rPr>
      <t>主权</t>
    </r>
  </si>
  <si>
    <r>
      <rPr>
        <sz val="10"/>
        <rFont val="Times New Roman"/>
        <charset val="134"/>
      </rPr>
      <t xml:space="preserve">4.2.3 </t>
    </r>
    <r>
      <rPr>
        <sz val="10"/>
        <rFont val="宋体"/>
        <charset val="134"/>
      </rPr>
      <t>金融机构</t>
    </r>
  </si>
  <si>
    <r>
      <rPr>
        <sz val="10"/>
        <rFont val="Times New Roman"/>
        <charset val="134"/>
      </rPr>
      <t xml:space="preserve">4.2.4 </t>
    </r>
    <r>
      <rPr>
        <sz val="10"/>
        <rFont val="宋体"/>
        <charset val="134"/>
      </rPr>
      <t>零售</t>
    </r>
  </si>
  <si>
    <r>
      <rPr>
        <sz val="10"/>
        <rFont val="Times New Roman"/>
        <charset val="134"/>
      </rPr>
      <t xml:space="preserve">4.2.5 </t>
    </r>
    <r>
      <rPr>
        <sz val="10"/>
        <rFont val="宋体"/>
        <charset val="134"/>
      </rPr>
      <t>其他</t>
    </r>
  </si>
  <si>
    <r>
      <rPr>
        <sz val="10"/>
        <rFont val="Times New Roman"/>
        <charset val="134"/>
      </rPr>
      <t xml:space="preserve">4.3.1 </t>
    </r>
    <r>
      <rPr>
        <sz val="10"/>
        <rFont val="宋体"/>
        <charset val="134"/>
      </rPr>
      <t>公司</t>
    </r>
  </si>
  <si>
    <r>
      <rPr>
        <sz val="10"/>
        <rFont val="Times New Roman"/>
        <charset val="134"/>
      </rPr>
      <t xml:space="preserve">4.3.2 </t>
    </r>
    <r>
      <rPr>
        <sz val="10"/>
        <rFont val="宋体"/>
        <charset val="134"/>
      </rPr>
      <t>主权</t>
    </r>
  </si>
  <si>
    <r>
      <rPr>
        <sz val="10"/>
        <rFont val="Times New Roman"/>
        <charset val="134"/>
      </rPr>
      <t xml:space="preserve">4.3.3 </t>
    </r>
    <r>
      <rPr>
        <sz val="10"/>
        <rFont val="宋体"/>
        <charset val="134"/>
      </rPr>
      <t>金融机构</t>
    </r>
  </si>
  <si>
    <r>
      <rPr>
        <sz val="10"/>
        <rFont val="Times New Roman"/>
        <charset val="134"/>
      </rPr>
      <t xml:space="preserve">4.3.4 </t>
    </r>
    <r>
      <rPr>
        <sz val="10"/>
        <rFont val="宋体"/>
        <charset val="134"/>
      </rPr>
      <t>零售</t>
    </r>
  </si>
  <si>
    <r>
      <rPr>
        <sz val="10"/>
        <rFont val="Times New Roman"/>
        <charset val="134"/>
      </rPr>
      <t xml:space="preserve">4.3.5 </t>
    </r>
    <r>
      <rPr>
        <sz val="10"/>
        <rFont val="宋体"/>
        <charset val="134"/>
      </rPr>
      <t>其他</t>
    </r>
  </si>
  <si>
    <r>
      <rPr>
        <b/>
        <sz val="10"/>
        <rFont val="Times New Roman"/>
        <charset val="134"/>
      </rPr>
      <t>5.</t>
    </r>
    <r>
      <rPr>
        <b/>
        <sz val="10"/>
        <rFont val="宋体"/>
        <charset val="134"/>
      </rPr>
      <t>贵金属衍生工具（不含黄金）</t>
    </r>
  </si>
  <si>
    <r>
      <rPr>
        <sz val="10"/>
        <rFont val="Times New Roman"/>
        <charset val="134"/>
      </rPr>
      <t xml:space="preserve">5.1.1 </t>
    </r>
    <r>
      <rPr>
        <sz val="10"/>
        <rFont val="宋体"/>
        <charset val="134"/>
      </rPr>
      <t>公司</t>
    </r>
  </si>
  <si>
    <r>
      <rPr>
        <sz val="10"/>
        <rFont val="Times New Roman"/>
        <charset val="134"/>
      </rPr>
      <t xml:space="preserve">5.1.2 </t>
    </r>
    <r>
      <rPr>
        <sz val="10"/>
        <rFont val="宋体"/>
        <charset val="134"/>
      </rPr>
      <t>主权</t>
    </r>
  </si>
  <si>
    <r>
      <rPr>
        <sz val="10"/>
        <rFont val="Times New Roman"/>
        <charset val="134"/>
      </rPr>
      <t xml:space="preserve">5.1.3 </t>
    </r>
    <r>
      <rPr>
        <sz val="10"/>
        <rFont val="宋体"/>
        <charset val="134"/>
      </rPr>
      <t>金融机构</t>
    </r>
  </si>
  <si>
    <r>
      <rPr>
        <sz val="10"/>
        <rFont val="Times New Roman"/>
        <charset val="134"/>
      </rPr>
      <t xml:space="preserve">5.1.4 </t>
    </r>
    <r>
      <rPr>
        <sz val="10"/>
        <rFont val="宋体"/>
        <charset val="134"/>
      </rPr>
      <t>零售</t>
    </r>
  </si>
  <si>
    <r>
      <rPr>
        <sz val="10"/>
        <rFont val="Times New Roman"/>
        <charset val="134"/>
      </rPr>
      <t xml:space="preserve">5.1.5 </t>
    </r>
    <r>
      <rPr>
        <sz val="10"/>
        <rFont val="宋体"/>
        <charset val="134"/>
      </rPr>
      <t>其他</t>
    </r>
  </si>
  <si>
    <r>
      <rPr>
        <sz val="10"/>
        <rFont val="Times New Roman"/>
        <charset val="134"/>
      </rPr>
      <t xml:space="preserve">5.2.1 </t>
    </r>
    <r>
      <rPr>
        <sz val="10"/>
        <rFont val="宋体"/>
        <charset val="134"/>
      </rPr>
      <t>公司</t>
    </r>
  </si>
  <si>
    <r>
      <rPr>
        <sz val="10"/>
        <rFont val="Times New Roman"/>
        <charset val="134"/>
      </rPr>
      <t xml:space="preserve">5.2.2 </t>
    </r>
    <r>
      <rPr>
        <sz val="10"/>
        <rFont val="宋体"/>
        <charset val="134"/>
      </rPr>
      <t>主权</t>
    </r>
  </si>
  <si>
    <r>
      <rPr>
        <sz val="10"/>
        <rFont val="Times New Roman"/>
        <charset val="134"/>
      </rPr>
      <t xml:space="preserve">5.2.3 </t>
    </r>
    <r>
      <rPr>
        <sz val="10"/>
        <rFont val="宋体"/>
        <charset val="134"/>
      </rPr>
      <t>金融机构</t>
    </r>
  </si>
  <si>
    <r>
      <rPr>
        <sz val="10"/>
        <rFont val="Times New Roman"/>
        <charset val="134"/>
      </rPr>
      <t xml:space="preserve">5.2.4 </t>
    </r>
    <r>
      <rPr>
        <sz val="10"/>
        <rFont val="宋体"/>
        <charset val="134"/>
      </rPr>
      <t>零售</t>
    </r>
  </si>
  <si>
    <r>
      <rPr>
        <sz val="10"/>
        <rFont val="Times New Roman"/>
        <charset val="134"/>
      </rPr>
      <t xml:space="preserve">5.2.5 </t>
    </r>
    <r>
      <rPr>
        <sz val="10"/>
        <rFont val="宋体"/>
        <charset val="134"/>
      </rPr>
      <t>其他</t>
    </r>
  </si>
  <si>
    <r>
      <rPr>
        <sz val="10"/>
        <rFont val="Times New Roman"/>
        <charset val="134"/>
      </rPr>
      <t xml:space="preserve">5.3.1 </t>
    </r>
    <r>
      <rPr>
        <sz val="10"/>
        <rFont val="宋体"/>
        <charset val="134"/>
      </rPr>
      <t>公司</t>
    </r>
  </si>
  <si>
    <r>
      <rPr>
        <sz val="10"/>
        <rFont val="Times New Roman"/>
        <charset val="134"/>
      </rPr>
      <t xml:space="preserve">5.3.2 </t>
    </r>
    <r>
      <rPr>
        <sz val="10"/>
        <rFont val="宋体"/>
        <charset val="134"/>
      </rPr>
      <t>主权</t>
    </r>
  </si>
  <si>
    <r>
      <rPr>
        <sz val="10"/>
        <rFont val="Times New Roman"/>
        <charset val="134"/>
      </rPr>
      <t xml:space="preserve">5.3.3 </t>
    </r>
    <r>
      <rPr>
        <sz val="10"/>
        <rFont val="宋体"/>
        <charset val="134"/>
      </rPr>
      <t>金融机构</t>
    </r>
  </si>
  <si>
    <r>
      <rPr>
        <sz val="10"/>
        <rFont val="Times New Roman"/>
        <charset val="134"/>
      </rPr>
      <t xml:space="preserve">5.3.4 </t>
    </r>
    <r>
      <rPr>
        <sz val="10"/>
        <rFont val="宋体"/>
        <charset val="134"/>
      </rPr>
      <t>零售</t>
    </r>
  </si>
  <si>
    <r>
      <rPr>
        <sz val="10"/>
        <rFont val="Times New Roman"/>
        <charset val="134"/>
      </rPr>
      <t xml:space="preserve">5.3.5 </t>
    </r>
    <r>
      <rPr>
        <sz val="10"/>
        <rFont val="宋体"/>
        <charset val="134"/>
      </rPr>
      <t>其他</t>
    </r>
  </si>
  <si>
    <r>
      <rPr>
        <b/>
        <sz val="10"/>
        <rFont val="Times New Roman"/>
        <charset val="134"/>
      </rPr>
      <t>6.</t>
    </r>
    <r>
      <rPr>
        <b/>
        <sz val="10"/>
        <rFont val="宋体"/>
        <charset val="134"/>
      </rPr>
      <t>其他商品衍生工具</t>
    </r>
  </si>
  <si>
    <r>
      <rPr>
        <sz val="10"/>
        <rFont val="Times New Roman"/>
        <charset val="134"/>
      </rPr>
      <t xml:space="preserve">6.1.1 </t>
    </r>
    <r>
      <rPr>
        <sz val="10"/>
        <rFont val="宋体"/>
        <charset val="134"/>
      </rPr>
      <t>公司</t>
    </r>
  </si>
  <si>
    <r>
      <rPr>
        <sz val="10"/>
        <rFont val="Times New Roman"/>
        <charset val="134"/>
      </rPr>
      <t xml:space="preserve">6.1.2 </t>
    </r>
    <r>
      <rPr>
        <sz val="10"/>
        <rFont val="宋体"/>
        <charset val="134"/>
      </rPr>
      <t>主权</t>
    </r>
  </si>
  <si>
    <r>
      <rPr>
        <sz val="10"/>
        <rFont val="Times New Roman"/>
        <charset val="134"/>
      </rPr>
      <t xml:space="preserve">6.1.3 </t>
    </r>
    <r>
      <rPr>
        <sz val="10"/>
        <rFont val="宋体"/>
        <charset val="134"/>
      </rPr>
      <t>金融机构</t>
    </r>
  </si>
  <si>
    <r>
      <rPr>
        <sz val="10"/>
        <rFont val="Times New Roman"/>
        <charset val="134"/>
      </rPr>
      <t xml:space="preserve">6.1.4 </t>
    </r>
    <r>
      <rPr>
        <sz val="10"/>
        <rFont val="宋体"/>
        <charset val="134"/>
      </rPr>
      <t>零售</t>
    </r>
  </si>
  <si>
    <r>
      <rPr>
        <sz val="10"/>
        <rFont val="Times New Roman"/>
        <charset val="134"/>
      </rPr>
      <t xml:space="preserve">6.1.5 </t>
    </r>
    <r>
      <rPr>
        <sz val="10"/>
        <rFont val="宋体"/>
        <charset val="134"/>
      </rPr>
      <t>其他</t>
    </r>
  </si>
  <si>
    <r>
      <rPr>
        <sz val="10"/>
        <rFont val="Times New Roman"/>
        <charset val="134"/>
      </rPr>
      <t xml:space="preserve">6.2.1 </t>
    </r>
    <r>
      <rPr>
        <sz val="10"/>
        <rFont val="宋体"/>
        <charset val="134"/>
      </rPr>
      <t>公司</t>
    </r>
  </si>
  <si>
    <r>
      <rPr>
        <sz val="10"/>
        <rFont val="Times New Roman"/>
        <charset val="134"/>
      </rPr>
      <t xml:space="preserve">6.2.2 </t>
    </r>
    <r>
      <rPr>
        <sz val="10"/>
        <rFont val="宋体"/>
        <charset val="134"/>
      </rPr>
      <t>主权</t>
    </r>
  </si>
  <si>
    <r>
      <rPr>
        <sz val="10"/>
        <rFont val="Times New Roman"/>
        <charset val="134"/>
      </rPr>
      <t xml:space="preserve">6.2.3 </t>
    </r>
    <r>
      <rPr>
        <sz val="10"/>
        <rFont val="宋体"/>
        <charset val="134"/>
      </rPr>
      <t>金融机构</t>
    </r>
  </si>
  <si>
    <r>
      <rPr>
        <sz val="10"/>
        <rFont val="Times New Roman"/>
        <charset val="134"/>
      </rPr>
      <t xml:space="preserve">6.2.4 </t>
    </r>
    <r>
      <rPr>
        <sz val="10"/>
        <rFont val="宋体"/>
        <charset val="134"/>
      </rPr>
      <t>零售</t>
    </r>
  </si>
  <si>
    <r>
      <rPr>
        <sz val="10"/>
        <rFont val="Times New Roman"/>
        <charset val="134"/>
      </rPr>
      <t xml:space="preserve">6.2.5 </t>
    </r>
    <r>
      <rPr>
        <sz val="10"/>
        <rFont val="宋体"/>
        <charset val="134"/>
      </rPr>
      <t>其他</t>
    </r>
  </si>
  <si>
    <r>
      <rPr>
        <sz val="10"/>
        <rFont val="Times New Roman"/>
        <charset val="134"/>
      </rPr>
      <t xml:space="preserve">6.3.1 </t>
    </r>
    <r>
      <rPr>
        <sz val="10"/>
        <rFont val="宋体"/>
        <charset val="134"/>
      </rPr>
      <t>公司</t>
    </r>
  </si>
  <si>
    <r>
      <rPr>
        <sz val="10"/>
        <rFont val="Times New Roman"/>
        <charset val="134"/>
      </rPr>
      <t xml:space="preserve">6.3.2 </t>
    </r>
    <r>
      <rPr>
        <sz val="10"/>
        <rFont val="宋体"/>
        <charset val="134"/>
      </rPr>
      <t>主权</t>
    </r>
  </si>
  <si>
    <r>
      <rPr>
        <sz val="10"/>
        <rFont val="Times New Roman"/>
        <charset val="134"/>
      </rPr>
      <t xml:space="preserve">6.3.3 </t>
    </r>
    <r>
      <rPr>
        <sz val="10"/>
        <rFont val="宋体"/>
        <charset val="134"/>
      </rPr>
      <t>金融机构</t>
    </r>
  </si>
  <si>
    <r>
      <rPr>
        <sz val="10"/>
        <rFont val="Times New Roman"/>
        <charset val="134"/>
      </rPr>
      <t xml:space="preserve">6.3.4 </t>
    </r>
    <r>
      <rPr>
        <sz val="10"/>
        <rFont val="宋体"/>
        <charset val="134"/>
      </rPr>
      <t>零售</t>
    </r>
  </si>
  <si>
    <r>
      <rPr>
        <sz val="10"/>
        <rFont val="Times New Roman"/>
        <charset val="134"/>
      </rPr>
      <t xml:space="preserve">6.3.5 </t>
    </r>
    <r>
      <rPr>
        <sz val="10"/>
        <rFont val="宋体"/>
        <charset val="134"/>
      </rPr>
      <t>其他</t>
    </r>
  </si>
  <si>
    <r>
      <rPr>
        <b/>
        <sz val="10"/>
        <rFont val="Times New Roman"/>
        <charset val="134"/>
      </rPr>
      <t>7.</t>
    </r>
    <r>
      <rPr>
        <b/>
        <sz val="10"/>
        <rFont val="宋体"/>
        <charset val="134"/>
      </rPr>
      <t>合计</t>
    </r>
  </si>
  <si>
    <r>
      <rPr>
        <b/>
        <sz val="10"/>
        <rFont val="宋体"/>
        <charset val="134"/>
      </rPr>
      <t>第</t>
    </r>
    <r>
      <rPr>
        <b/>
        <sz val="10"/>
        <rFont val="Times New Roman"/>
        <charset val="134"/>
      </rPr>
      <t>II</t>
    </r>
    <r>
      <rPr>
        <b/>
        <sz val="10"/>
        <rFont val="宋体"/>
        <charset val="134"/>
      </rPr>
      <t>部分：净额结算的违约风险暴露计算表（IRB法）</t>
    </r>
  </si>
  <si>
    <r>
      <rPr>
        <sz val="10"/>
        <rFont val="宋体"/>
        <charset val="134"/>
      </rPr>
      <t>交易对手名称</t>
    </r>
  </si>
  <si>
    <t>F</t>
  </si>
  <si>
    <t>G</t>
  </si>
  <si>
    <r>
      <rPr>
        <sz val="10"/>
        <color rgb="FFFF0000"/>
        <rFont val="宋体"/>
        <charset val="134"/>
      </rPr>
      <t>潜在暴露之和</t>
    </r>
    <r>
      <rPr>
        <sz val="10"/>
        <rFont val="宋体"/>
        <charset val="134"/>
      </rPr>
      <t>（</t>
    </r>
    <r>
      <rPr>
        <i/>
        <sz val="10"/>
        <rFont val="Times New Roman"/>
        <charset val="134"/>
      </rPr>
      <t>A</t>
    </r>
    <r>
      <rPr>
        <sz val="10"/>
        <rFont val="Times New Roman"/>
        <charset val="134"/>
      </rPr>
      <t>gross</t>
    </r>
    <r>
      <rPr>
        <sz val="10"/>
        <rFont val="宋体"/>
        <charset val="134"/>
      </rPr>
      <t>）</t>
    </r>
  </si>
  <si>
    <t>平均重置成本比率</t>
  </si>
  <si>
    <r>
      <rPr>
        <sz val="10"/>
        <rFont val="宋体"/>
        <charset val="134"/>
      </rPr>
      <t>潜在暴露净额（</t>
    </r>
    <r>
      <rPr>
        <i/>
        <sz val="10"/>
        <rFont val="Times New Roman"/>
        <charset val="134"/>
      </rPr>
      <t>A</t>
    </r>
    <r>
      <rPr>
        <sz val="10"/>
        <rFont val="Times New Roman"/>
        <charset val="134"/>
      </rPr>
      <t>net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</si>
  <si>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当前暴露净额</t>
    </r>
  </si>
  <si>
    <r>
      <rPr>
        <b/>
        <sz val="10"/>
        <rFont val="Times New Roman"/>
        <charset val="134"/>
      </rPr>
      <t>1.</t>
    </r>
    <r>
      <rPr>
        <b/>
        <sz val="10"/>
        <rFont val="宋体"/>
        <charset val="134"/>
      </rPr>
      <t>公司</t>
    </r>
  </si>
  <si>
    <r>
      <rPr>
        <b/>
        <sz val="10"/>
        <rFont val="Times New Roman"/>
        <charset val="134"/>
      </rPr>
      <t>2.</t>
    </r>
    <r>
      <rPr>
        <b/>
        <sz val="10"/>
        <rFont val="宋体"/>
        <charset val="134"/>
      </rPr>
      <t>主权</t>
    </r>
  </si>
  <si>
    <r>
      <rPr>
        <b/>
        <sz val="10"/>
        <rFont val="Times New Roman"/>
        <charset val="134"/>
      </rPr>
      <t>3.</t>
    </r>
    <r>
      <rPr>
        <b/>
        <sz val="10"/>
        <rFont val="宋体"/>
        <charset val="134"/>
      </rPr>
      <t>金融机构</t>
    </r>
  </si>
  <si>
    <r>
      <rPr>
        <b/>
        <sz val="10"/>
        <rFont val="Times New Roman"/>
        <charset val="134"/>
      </rPr>
      <t>4.</t>
    </r>
    <r>
      <rPr>
        <b/>
        <sz val="10"/>
        <rFont val="宋体"/>
        <charset val="134"/>
      </rPr>
      <t>零售</t>
    </r>
  </si>
  <si>
    <r>
      <rPr>
        <b/>
        <sz val="10"/>
        <rFont val="Times New Roman"/>
        <charset val="134"/>
      </rPr>
      <t>5.</t>
    </r>
    <r>
      <rPr>
        <b/>
        <sz val="10"/>
        <rFont val="宋体"/>
        <charset val="134"/>
      </rPr>
      <t>其他</t>
    </r>
  </si>
  <si>
    <r>
      <rPr>
        <b/>
        <sz val="10"/>
        <rFont val="Times New Roman"/>
        <charset val="134"/>
      </rPr>
      <t>6.</t>
    </r>
    <r>
      <rPr>
        <b/>
        <sz val="10"/>
        <rFont val="宋体"/>
        <charset val="134"/>
      </rPr>
      <t>合计</t>
    </r>
  </si>
  <si>
    <r>
      <rPr>
        <sz val="10"/>
        <rFont val="宋体"/>
        <charset val="134"/>
      </rPr>
      <t>填表人：</t>
    </r>
  </si>
  <si>
    <r>
      <rPr>
        <sz val="10"/>
        <rFont val="宋体"/>
        <charset val="134"/>
      </rPr>
      <t>复核人：</t>
    </r>
  </si>
  <si>
    <t>负责人：</t>
  </si>
  <si>
    <r>
      <rPr>
        <sz val="10"/>
        <rFont val="宋体"/>
        <charset val="134"/>
      </rPr>
      <t>黄色部分填数</t>
    </r>
  </si>
  <si>
    <r>
      <rPr>
        <sz val="10"/>
        <rFont val="宋体"/>
        <charset val="134"/>
      </rPr>
      <t>淡紫色部分为公式</t>
    </r>
  </si>
  <si>
    <r>
      <rPr>
        <sz val="10"/>
        <rFont val="宋体"/>
        <charset val="134"/>
      </rPr>
      <t>灰色部分不填数</t>
    </r>
  </si>
</sst>
</file>

<file path=xl/styles.xml><?xml version="1.0" encoding="utf-8"?>
<styleSheet xmlns="http://schemas.openxmlformats.org/spreadsheetml/2006/main">
  <numFmts count="7">
    <numFmt numFmtId="176" formatCode="0.0%"/>
    <numFmt numFmtId="177" formatCode="0.00_ "/>
    <numFmt numFmtId="178" formatCode="#,##0.00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9" formatCode="_(* #,##0.00_);_(* \(#,##0.00\);_(* &quot;-&quot;??_);_(@_)"/>
    <numFmt numFmtId="41" formatCode="_ * #,##0_ ;_ * \-#,##0_ ;_ * &quot;-&quot;_ ;_ @_ "/>
  </numFmts>
  <fonts count="35">
    <font>
      <sz val="12"/>
      <color theme="1"/>
      <name val="等线"/>
      <charset val="134"/>
      <scheme val="minor"/>
    </font>
    <font>
      <sz val="12"/>
      <name val="Times New Roman"/>
      <charset val="134"/>
    </font>
    <font>
      <sz val="10"/>
      <name val="Times New Roman"/>
      <charset val="134"/>
    </font>
    <font>
      <b/>
      <sz val="14"/>
      <name val="Times New Roman"/>
      <charset val="134"/>
    </font>
    <font>
      <sz val="10"/>
      <name val="宋体"/>
      <charset val="134"/>
    </font>
    <font>
      <b/>
      <sz val="10"/>
      <name val="宋体"/>
      <charset val="134"/>
    </font>
    <font>
      <b/>
      <sz val="10"/>
      <name val="Times New Roman"/>
      <charset val="134"/>
    </font>
    <font>
      <sz val="10"/>
      <name val="Arial"/>
      <charset val="134"/>
    </font>
    <font>
      <sz val="10"/>
      <name val="Times New Roman"/>
      <charset val="134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theme="1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sz val="12"/>
      <color theme="1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4"/>
      <name val="宋体"/>
      <charset val="134"/>
    </font>
    <font>
      <sz val="10"/>
      <color rgb="FFFF0000"/>
      <name val="宋体"/>
      <charset val="134"/>
    </font>
    <font>
      <i/>
      <sz val="10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4">
    <xf numFmtId="0" fontId="0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23" fillId="0" borderId="0">
      <alignment vertical="center"/>
    </xf>
    <xf numFmtId="3" fontId="24" fillId="4" borderId="1" applyFont="0">
      <alignment horizontal="right" vertical="center"/>
      <protection locked="0"/>
    </xf>
    <xf numFmtId="0" fontId="10" fillId="3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179" fontId="25" fillId="0" borderId="0" applyFon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9" fillId="19" borderId="10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31" fillId="34" borderId="10" applyNumberFormat="0" applyAlignment="0" applyProtection="0">
      <alignment vertical="center"/>
    </xf>
    <xf numFmtId="0" fontId="23" fillId="0" borderId="0">
      <alignment vertical="center"/>
    </xf>
    <xf numFmtId="0" fontId="17" fillId="19" borderId="6" applyNumberFormat="0" applyAlignment="0" applyProtection="0">
      <alignment vertical="center"/>
    </xf>
    <xf numFmtId="0" fontId="16" fillId="18" borderId="5" applyNumberFormat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5" fillId="17" borderId="4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35" applyFont="1">
      <alignment vertical="center"/>
    </xf>
    <xf numFmtId="0" fontId="2" fillId="0" borderId="0" xfId="2" applyFont="1" applyAlignment="1">
      <alignment horizontal="center" vertical="center" wrapText="1"/>
    </xf>
    <xf numFmtId="0" fontId="2" fillId="0" borderId="0" xfId="2" applyFont="1" applyAlignment="1">
      <alignment vertical="center" wrapText="1"/>
    </xf>
    <xf numFmtId="0" fontId="3" fillId="0" borderId="0" xfId="2" applyFont="1" applyAlignment="1">
      <alignment horizontal="center" vertical="center" wrapText="1"/>
    </xf>
    <xf numFmtId="0" fontId="4" fillId="0" borderId="0" xfId="2" applyFont="1" applyAlignment="1">
      <alignment horizontal="left" vertical="center" wrapText="1"/>
    </xf>
    <xf numFmtId="0" fontId="4" fillId="0" borderId="0" xfId="3" applyFont="1" applyAlignment="1" applyProtection="1">
      <alignment horizontal="left" vertical="center" wrapText="1"/>
      <protection locked="0"/>
    </xf>
    <xf numFmtId="0" fontId="5" fillId="0" borderId="0" xfId="2" applyFont="1" applyAlignment="1">
      <alignment horizontal="left" vertical="center" wrapText="1"/>
    </xf>
    <xf numFmtId="0" fontId="6" fillId="0" borderId="0" xfId="2" applyFont="1" applyAlignment="1">
      <alignment horizontal="left" vertical="center" wrapText="1"/>
    </xf>
    <xf numFmtId="0" fontId="2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vertical="center" wrapText="1"/>
    </xf>
    <xf numFmtId="178" fontId="2" fillId="2" borderId="1" xfId="16" applyNumberFormat="1" applyFont="1" applyFill="1" applyBorder="1" applyAlignment="1">
      <alignment horizontal="center" vertical="center" wrapText="1"/>
    </xf>
    <xf numFmtId="0" fontId="2" fillId="3" borderId="1" xfId="2" applyFont="1" applyFill="1" applyBorder="1" applyAlignment="1">
      <alignment horizontal="center" vertical="center" wrapText="1"/>
    </xf>
    <xf numFmtId="0" fontId="2" fillId="0" borderId="1" xfId="2" applyFont="1" applyBorder="1" applyAlignment="1">
      <alignment vertical="center" wrapText="1"/>
    </xf>
    <xf numFmtId="9" fontId="2" fillId="3" borderId="1" xfId="2" applyNumberFormat="1" applyFont="1" applyFill="1" applyBorder="1" applyAlignment="1">
      <alignment horizontal="center" vertical="center" wrapText="1"/>
    </xf>
    <xf numFmtId="0" fontId="2" fillId="0" borderId="1" xfId="2" applyFont="1" applyBorder="1" applyAlignment="1">
      <alignment horizontal="left" vertical="center" wrapText="1" indent="1"/>
    </xf>
    <xf numFmtId="177" fontId="7" fillId="4" borderId="1" xfId="4" applyNumberFormat="1" applyFont="1" applyAlignment="1">
      <alignment horizontal="right"/>
      <protection locked="0"/>
    </xf>
    <xf numFmtId="9" fontId="2" fillId="0" borderId="1" xfId="2" applyNumberFormat="1" applyFont="1" applyBorder="1" applyAlignment="1">
      <alignment horizontal="center" vertical="center" wrapText="1"/>
    </xf>
    <xf numFmtId="178" fontId="2" fillId="2" borderId="1" xfId="2" applyNumberFormat="1" applyFont="1" applyFill="1" applyBorder="1" applyAlignment="1">
      <alignment horizontal="center" vertical="center" wrapText="1"/>
    </xf>
    <xf numFmtId="176" fontId="2" fillId="0" borderId="1" xfId="2" applyNumberFormat="1" applyFont="1" applyBorder="1" applyAlignment="1">
      <alignment horizontal="center" vertical="center" wrapText="1"/>
    </xf>
    <xf numFmtId="176" fontId="2" fillId="3" borderId="1" xfId="2" applyNumberFormat="1" applyFont="1" applyFill="1" applyBorder="1" applyAlignment="1">
      <alignment horizontal="center" vertical="center" wrapText="1"/>
    </xf>
    <xf numFmtId="0" fontId="4" fillId="0" borderId="0" xfId="2" applyFont="1">
      <alignment vertical="center"/>
    </xf>
    <xf numFmtId="177" fontId="2" fillId="2" borderId="1" xfId="2" applyNumberFormat="1" applyFont="1" applyFill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left" vertical="center" wrapText="1"/>
    </xf>
    <xf numFmtId="0" fontId="4" fillId="0" borderId="1" xfId="2" applyFont="1" applyBorder="1" applyAlignment="1">
      <alignment horizontal="center" vertical="center" wrapText="1"/>
    </xf>
    <xf numFmtId="0" fontId="2" fillId="0" borderId="1" xfId="35" applyFont="1" applyBorder="1" applyAlignment="1">
      <alignment horizontal="center" vertical="center"/>
    </xf>
    <xf numFmtId="0" fontId="2" fillId="0" borderId="2" xfId="2" applyFont="1" applyBorder="1">
      <alignment vertical="center"/>
    </xf>
    <xf numFmtId="0" fontId="2" fillId="4" borderId="0" xfId="1" applyFont="1" applyFill="1" applyAlignment="1">
      <alignment wrapText="1"/>
    </xf>
    <xf numFmtId="0" fontId="2" fillId="0" borderId="0" xfId="1" applyFont="1" applyAlignment="1">
      <alignment wrapText="1"/>
    </xf>
    <xf numFmtId="0" fontId="2" fillId="2" borderId="0" xfId="1" applyFont="1" applyFill="1" applyAlignment="1">
      <alignment wrapText="1"/>
    </xf>
    <xf numFmtId="0" fontId="2" fillId="3" borderId="0" xfId="1" applyFont="1" applyFill="1" applyAlignment="1">
      <alignment wrapText="1"/>
    </xf>
  </cellXfs>
  <cellStyles count="54">
    <cellStyle name="常规" xfId="0" builtinId="0"/>
    <cellStyle name="常规_测算模板1" xfId="1"/>
    <cellStyle name="常规_表1：场外衍生工具交易对手信用风险计算表" xfId="2"/>
    <cellStyle name="常规_G4B-3交易对手信用风险汇总表" xfId="3"/>
    <cellStyle name="inputExposure" xfId="4"/>
    <cellStyle name="40% - 强调文字颜色 6" xfId="5" builtinId="51"/>
    <cellStyle name="20% - 强调文字颜色 6" xfId="6" builtinId="50"/>
    <cellStyle name="强调文字颜色 6" xfId="7" builtinId="49"/>
    <cellStyle name="40% - 强调文字颜色 5" xfId="8" builtinId="47"/>
    <cellStyle name="20% - 强调文字颜色 5" xfId="9" builtinId="46"/>
    <cellStyle name="强调文字颜色 5" xfId="10" builtinId="45"/>
    <cellStyle name="40% - 强调文字颜色 4" xfId="11" builtinId="43"/>
    <cellStyle name="标题 3" xfId="12" builtinId="18"/>
    <cellStyle name="解释性文本" xfId="13" builtinId="53"/>
    <cellStyle name="汇总" xfId="14" builtinId="25"/>
    <cellStyle name="百分比" xfId="15" builtinId="5"/>
    <cellStyle name="千位分隔" xfId="16" builtinId="3"/>
    <cellStyle name="标题 2" xfId="17" builtinId="17"/>
    <cellStyle name="货币[0]" xfId="18" builtinId="7"/>
    <cellStyle name="60% - 强调文字颜色 4" xfId="19" builtinId="44"/>
    <cellStyle name="警告文本" xfId="20" builtinId="11"/>
    <cellStyle name="20% - 强调文字颜色 2" xfId="21" builtinId="34"/>
    <cellStyle name="60% - 强调文字颜色 5" xfId="22" builtinId="48"/>
    <cellStyle name="标题 1" xfId="23" builtinId="16"/>
    <cellStyle name="超链接" xfId="24" builtinId="8"/>
    <cellStyle name="20% - 强调文字颜色 3" xfId="25" builtinId="38"/>
    <cellStyle name="货币" xfId="26" builtinId="4"/>
    <cellStyle name="20% - 强调文字颜色 4" xfId="27" builtinId="42"/>
    <cellStyle name="计算" xfId="28" builtinId="22"/>
    <cellStyle name="已访问的超链接" xfId="29" builtinId="9"/>
    <cellStyle name="千位分隔[0]" xfId="30" builtinId="6"/>
    <cellStyle name="强调文字颜色 4" xfId="31" builtinId="41"/>
    <cellStyle name="40% - 强调文字颜色 3" xfId="32" builtinId="39"/>
    <cellStyle name="60% - 强调文字颜色 6" xfId="33" builtinId="52"/>
    <cellStyle name="输入" xfId="34" builtinId="20"/>
    <cellStyle name="常规_G4B-3（a）场外衍生工具交易对手信用风险计算表(权重法)" xfId="35"/>
    <cellStyle name="输出" xfId="36" builtinId="21"/>
    <cellStyle name="检查单元格" xfId="37" builtinId="23"/>
    <cellStyle name="链接单元格" xfId="38" builtinId="24"/>
    <cellStyle name="60% - 强调文字颜色 1" xfId="39" builtinId="32"/>
    <cellStyle name="60% - 强调文字颜色 3" xfId="40" builtinId="40"/>
    <cellStyle name="注释" xfId="41" builtinId="10"/>
    <cellStyle name="标题" xfId="42" builtinId="15"/>
    <cellStyle name="好" xfId="43" builtinId="26"/>
    <cellStyle name="标题 4" xfId="44" builtinId="19"/>
    <cellStyle name="强调文字颜色 1" xfId="45" builtinId="29"/>
    <cellStyle name="适中" xfId="46" builtinId="28"/>
    <cellStyle name="20% - 强调文字颜色 1" xfId="47" builtinId="30"/>
    <cellStyle name="差" xfId="48" builtinId="27"/>
    <cellStyle name="强调文字颜色 2" xfId="49" builtinId="33"/>
    <cellStyle name="40% - 强调文字颜色 1" xfId="50" builtinId="31"/>
    <cellStyle name="60% - 强调文字颜色 2" xfId="51" builtinId="36"/>
    <cellStyle name="40% - 强调文字颜色 2" xfId="52" builtinId="35"/>
    <cellStyle name="强调文字颜色 3" xfId="53" builtinId="37"/>
  </cellStyles>
  <dxfs count="1">
    <dxf>
      <fill>
        <patternFill patternType="solid">
          <fgColor indexed="10"/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133"/>
  <sheetViews>
    <sheetView tabSelected="1" zoomScale="115" zoomScaleNormal="115" workbookViewId="0">
      <selection activeCell="I6" sqref="I6"/>
    </sheetView>
  </sheetViews>
  <sheetFormatPr defaultColWidth="9" defaultRowHeight="12.75"/>
  <cols>
    <col min="1" max="1" width="5.81666666666667" style="2" customWidth="1"/>
    <col min="2" max="2" width="34.8166666666667" style="3" customWidth="1"/>
    <col min="3" max="9" width="10.3666666666667" style="3" customWidth="1"/>
    <col min="10" max="240" width="9" style="3"/>
    <col min="241" max="241" width="8.81666666666667" style="3" customWidth="1"/>
    <col min="242" max="242" width="37.1833333333333" style="3" customWidth="1"/>
    <col min="243" max="256" width="9" style="3"/>
    <col min="257" max="257" width="8.81666666666667" style="3" customWidth="1"/>
    <col min="258" max="258" width="34.8166666666667" style="3" customWidth="1"/>
    <col min="259" max="265" width="10.3666666666667" style="3" customWidth="1"/>
    <col min="266" max="496" width="9" style="3"/>
    <col min="497" max="497" width="8.81666666666667" style="3" customWidth="1"/>
    <col min="498" max="498" width="37.1833333333333" style="3" customWidth="1"/>
    <col min="499" max="512" width="9" style="3"/>
    <col min="513" max="513" width="8.81666666666667" style="3" customWidth="1"/>
    <col min="514" max="514" width="34.8166666666667" style="3" customWidth="1"/>
    <col min="515" max="521" width="10.3666666666667" style="3" customWidth="1"/>
    <col min="522" max="752" width="9" style="3"/>
    <col min="753" max="753" width="8.81666666666667" style="3" customWidth="1"/>
    <col min="754" max="754" width="37.1833333333333" style="3" customWidth="1"/>
    <col min="755" max="768" width="9" style="3"/>
    <col min="769" max="769" width="8.81666666666667" style="3" customWidth="1"/>
    <col min="770" max="770" width="34.8166666666667" style="3" customWidth="1"/>
    <col min="771" max="777" width="10.3666666666667" style="3" customWidth="1"/>
    <col min="778" max="1008" width="9" style="3"/>
    <col min="1009" max="1009" width="8.81666666666667" style="3" customWidth="1"/>
    <col min="1010" max="1010" width="37.1833333333333" style="3" customWidth="1"/>
    <col min="1011" max="1024" width="9" style="3"/>
    <col min="1025" max="1025" width="8.81666666666667" style="3" customWidth="1"/>
    <col min="1026" max="1026" width="34.8166666666667" style="3" customWidth="1"/>
    <col min="1027" max="1033" width="10.3666666666667" style="3" customWidth="1"/>
    <col min="1034" max="1264" width="9" style="3"/>
    <col min="1265" max="1265" width="8.81666666666667" style="3" customWidth="1"/>
    <col min="1266" max="1266" width="37.1833333333333" style="3" customWidth="1"/>
    <col min="1267" max="1280" width="9" style="3"/>
    <col min="1281" max="1281" width="8.81666666666667" style="3" customWidth="1"/>
    <col min="1282" max="1282" width="34.8166666666667" style="3" customWidth="1"/>
    <col min="1283" max="1289" width="10.3666666666667" style="3" customWidth="1"/>
    <col min="1290" max="1520" width="9" style="3"/>
    <col min="1521" max="1521" width="8.81666666666667" style="3" customWidth="1"/>
    <col min="1522" max="1522" width="37.1833333333333" style="3" customWidth="1"/>
    <col min="1523" max="1536" width="9" style="3"/>
    <col min="1537" max="1537" width="8.81666666666667" style="3" customWidth="1"/>
    <col min="1538" max="1538" width="34.8166666666667" style="3" customWidth="1"/>
    <col min="1539" max="1545" width="10.3666666666667" style="3" customWidth="1"/>
    <col min="1546" max="1776" width="9" style="3"/>
    <col min="1777" max="1777" width="8.81666666666667" style="3" customWidth="1"/>
    <col min="1778" max="1778" width="37.1833333333333" style="3" customWidth="1"/>
    <col min="1779" max="1792" width="9" style="3"/>
    <col min="1793" max="1793" width="8.81666666666667" style="3" customWidth="1"/>
    <col min="1794" max="1794" width="34.8166666666667" style="3" customWidth="1"/>
    <col min="1795" max="1801" width="10.3666666666667" style="3" customWidth="1"/>
    <col min="1802" max="2032" width="9" style="3"/>
    <col min="2033" max="2033" width="8.81666666666667" style="3" customWidth="1"/>
    <col min="2034" max="2034" width="37.1833333333333" style="3" customWidth="1"/>
    <col min="2035" max="2048" width="9" style="3"/>
    <col min="2049" max="2049" width="8.81666666666667" style="3" customWidth="1"/>
    <col min="2050" max="2050" width="34.8166666666667" style="3" customWidth="1"/>
    <col min="2051" max="2057" width="10.3666666666667" style="3" customWidth="1"/>
    <col min="2058" max="2288" width="9" style="3"/>
    <col min="2289" max="2289" width="8.81666666666667" style="3" customWidth="1"/>
    <col min="2290" max="2290" width="37.1833333333333" style="3" customWidth="1"/>
    <col min="2291" max="2304" width="9" style="3"/>
    <col min="2305" max="2305" width="8.81666666666667" style="3" customWidth="1"/>
    <col min="2306" max="2306" width="34.8166666666667" style="3" customWidth="1"/>
    <col min="2307" max="2313" width="10.3666666666667" style="3" customWidth="1"/>
    <col min="2314" max="2544" width="9" style="3"/>
    <col min="2545" max="2545" width="8.81666666666667" style="3" customWidth="1"/>
    <col min="2546" max="2546" width="37.1833333333333" style="3" customWidth="1"/>
    <col min="2547" max="2560" width="9" style="3"/>
    <col min="2561" max="2561" width="8.81666666666667" style="3" customWidth="1"/>
    <col min="2562" max="2562" width="34.8166666666667" style="3" customWidth="1"/>
    <col min="2563" max="2569" width="10.3666666666667" style="3" customWidth="1"/>
    <col min="2570" max="2800" width="9" style="3"/>
    <col min="2801" max="2801" width="8.81666666666667" style="3" customWidth="1"/>
    <col min="2802" max="2802" width="37.1833333333333" style="3" customWidth="1"/>
    <col min="2803" max="2816" width="9" style="3"/>
    <col min="2817" max="2817" width="8.81666666666667" style="3" customWidth="1"/>
    <col min="2818" max="2818" width="34.8166666666667" style="3" customWidth="1"/>
    <col min="2819" max="2825" width="10.3666666666667" style="3" customWidth="1"/>
    <col min="2826" max="3056" width="9" style="3"/>
    <col min="3057" max="3057" width="8.81666666666667" style="3" customWidth="1"/>
    <col min="3058" max="3058" width="37.1833333333333" style="3" customWidth="1"/>
    <col min="3059" max="3072" width="9" style="3"/>
    <col min="3073" max="3073" width="8.81666666666667" style="3" customWidth="1"/>
    <col min="3074" max="3074" width="34.8166666666667" style="3" customWidth="1"/>
    <col min="3075" max="3081" width="10.3666666666667" style="3" customWidth="1"/>
    <col min="3082" max="3312" width="9" style="3"/>
    <col min="3313" max="3313" width="8.81666666666667" style="3" customWidth="1"/>
    <col min="3314" max="3314" width="37.1833333333333" style="3" customWidth="1"/>
    <col min="3315" max="3328" width="9" style="3"/>
    <col min="3329" max="3329" width="8.81666666666667" style="3" customWidth="1"/>
    <col min="3330" max="3330" width="34.8166666666667" style="3" customWidth="1"/>
    <col min="3331" max="3337" width="10.3666666666667" style="3" customWidth="1"/>
    <col min="3338" max="3568" width="9" style="3"/>
    <col min="3569" max="3569" width="8.81666666666667" style="3" customWidth="1"/>
    <col min="3570" max="3570" width="37.1833333333333" style="3" customWidth="1"/>
    <col min="3571" max="3584" width="9" style="3"/>
    <col min="3585" max="3585" width="8.81666666666667" style="3" customWidth="1"/>
    <col min="3586" max="3586" width="34.8166666666667" style="3" customWidth="1"/>
    <col min="3587" max="3593" width="10.3666666666667" style="3" customWidth="1"/>
    <col min="3594" max="3824" width="9" style="3"/>
    <col min="3825" max="3825" width="8.81666666666667" style="3" customWidth="1"/>
    <col min="3826" max="3826" width="37.1833333333333" style="3" customWidth="1"/>
    <col min="3827" max="3840" width="9" style="3"/>
    <col min="3841" max="3841" width="8.81666666666667" style="3" customWidth="1"/>
    <col min="3842" max="3842" width="34.8166666666667" style="3" customWidth="1"/>
    <col min="3843" max="3849" width="10.3666666666667" style="3" customWidth="1"/>
    <col min="3850" max="4080" width="9" style="3"/>
    <col min="4081" max="4081" width="8.81666666666667" style="3" customWidth="1"/>
    <col min="4082" max="4082" width="37.1833333333333" style="3" customWidth="1"/>
    <col min="4083" max="4096" width="9" style="3"/>
    <col min="4097" max="4097" width="8.81666666666667" style="3" customWidth="1"/>
    <col min="4098" max="4098" width="34.8166666666667" style="3" customWidth="1"/>
    <col min="4099" max="4105" width="10.3666666666667" style="3" customWidth="1"/>
    <col min="4106" max="4336" width="9" style="3"/>
    <col min="4337" max="4337" width="8.81666666666667" style="3" customWidth="1"/>
    <col min="4338" max="4338" width="37.1833333333333" style="3" customWidth="1"/>
    <col min="4339" max="4352" width="9" style="3"/>
    <col min="4353" max="4353" width="8.81666666666667" style="3" customWidth="1"/>
    <col min="4354" max="4354" width="34.8166666666667" style="3" customWidth="1"/>
    <col min="4355" max="4361" width="10.3666666666667" style="3" customWidth="1"/>
    <col min="4362" max="4592" width="9" style="3"/>
    <col min="4593" max="4593" width="8.81666666666667" style="3" customWidth="1"/>
    <col min="4594" max="4594" width="37.1833333333333" style="3" customWidth="1"/>
    <col min="4595" max="4608" width="9" style="3"/>
    <col min="4609" max="4609" width="8.81666666666667" style="3" customWidth="1"/>
    <col min="4610" max="4610" width="34.8166666666667" style="3" customWidth="1"/>
    <col min="4611" max="4617" width="10.3666666666667" style="3" customWidth="1"/>
    <col min="4618" max="4848" width="9" style="3"/>
    <col min="4849" max="4849" width="8.81666666666667" style="3" customWidth="1"/>
    <col min="4850" max="4850" width="37.1833333333333" style="3" customWidth="1"/>
    <col min="4851" max="4864" width="9" style="3"/>
    <col min="4865" max="4865" width="8.81666666666667" style="3" customWidth="1"/>
    <col min="4866" max="4866" width="34.8166666666667" style="3" customWidth="1"/>
    <col min="4867" max="4873" width="10.3666666666667" style="3" customWidth="1"/>
    <col min="4874" max="5104" width="9" style="3"/>
    <col min="5105" max="5105" width="8.81666666666667" style="3" customWidth="1"/>
    <col min="5106" max="5106" width="37.1833333333333" style="3" customWidth="1"/>
    <col min="5107" max="5120" width="9" style="3"/>
    <col min="5121" max="5121" width="8.81666666666667" style="3" customWidth="1"/>
    <col min="5122" max="5122" width="34.8166666666667" style="3" customWidth="1"/>
    <col min="5123" max="5129" width="10.3666666666667" style="3" customWidth="1"/>
    <col min="5130" max="5360" width="9" style="3"/>
    <col min="5361" max="5361" width="8.81666666666667" style="3" customWidth="1"/>
    <col min="5362" max="5362" width="37.1833333333333" style="3" customWidth="1"/>
    <col min="5363" max="5376" width="9" style="3"/>
    <col min="5377" max="5377" width="8.81666666666667" style="3" customWidth="1"/>
    <col min="5378" max="5378" width="34.8166666666667" style="3" customWidth="1"/>
    <col min="5379" max="5385" width="10.3666666666667" style="3" customWidth="1"/>
    <col min="5386" max="5616" width="9" style="3"/>
    <col min="5617" max="5617" width="8.81666666666667" style="3" customWidth="1"/>
    <col min="5618" max="5618" width="37.1833333333333" style="3" customWidth="1"/>
    <col min="5619" max="5632" width="9" style="3"/>
    <col min="5633" max="5633" width="8.81666666666667" style="3" customWidth="1"/>
    <col min="5634" max="5634" width="34.8166666666667" style="3" customWidth="1"/>
    <col min="5635" max="5641" width="10.3666666666667" style="3" customWidth="1"/>
    <col min="5642" max="5872" width="9" style="3"/>
    <col min="5873" max="5873" width="8.81666666666667" style="3" customWidth="1"/>
    <col min="5874" max="5874" width="37.1833333333333" style="3" customWidth="1"/>
    <col min="5875" max="5888" width="9" style="3"/>
    <col min="5889" max="5889" width="8.81666666666667" style="3" customWidth="1"/>
    <col min="5890" max="5890" width="34.8166666666667" style="3" customWidth="1"/>
    <col min="5891" max="5897" width="10.3666666666667" style="3" customWidth="1"/>
    <col min="5898" max="6128" width="9" style="3"/>
    <col min="6129" max="6129" width="8.81666666666667" style="3" customWidth="1"/>
    <col min="6130" max="6130" width="37.1833333333333" style="3" customWidth="1"/>
    <col min="6131" max="6144" width="9" style="3"/>
    <col min="6145" max="6145" width="8.81666666666667" style="3" customWidth="1"/>
    <col min="6146" max="6146" width="34.8166666666667" style="3" customWidth="1"/>
    <col min="6147" max="6153" width="10.3666666666667" style="3" customWidth="1"/>
    <col min="6154" max="6384" width="9" style="3"/>
    <col min="6385" max="6385" width="8.81666666666667" style="3" customWidth="1"/>
    <col min="6386" max="6386" width="37.1833333333333" style="3" customWidth="1"/>
    <col min="6387" max="6400" width="9" style="3"/>
    <col min="6401" max="6401" width="8.81666666666667" style="3" customWidth="1"/>
    <col min="6402" max="6402" width="34.8166666666667" style="3" customWidth="1"/>
    <col min="6403" max="6409" width="10.3666666666667" style="3" customWidth="1"/>
    <col min="6410" max="6640" width="9" style="3"/>
    <col min="6641" max="6641" width="8.81666666666667" style="3" customWidth="1"/>
    <col min="6642" max="6642" width="37.1833333333333" style="3" customWidth="1"/>
    <col min="6643" max="6656" width="9" style="3"/>
    <col min="6657" max="6657" width="8.81666666666667" style="3" customWidth="1"/>
    <col min="6658" max="6658" width="34.8166666666667" style="3" customWidth="1"/>
    <col min="6659" max="6665" width="10.3666666666667" style="3" customWidth="1"/>
    <col min="6666" max="6896" width="9" style="3"/>
    <col min="6897" max="6897" width="8.81666666666667" style="3" customWidth="1"/>
    <col min="6898" max="6898" width="37.1833333333333" style="3" customWidth="1"/>
    <col min="6899" max="6912" width="9" style="3"/>
    <col min="6913" max="6913" width="8.81666666666667" style="3" customWidth="1"/>
    <col min="6914" max="6914" width="34.8166666666667" style="3" customWidth="1"/>
    <col min="6915" max="6921" width="10.3666666666667" style="3" customWidth="1"/>
    <col min="6922" max="7152" width="9" style="3"/>
    <col min="7153" max="7153" width="8.81666666666667" style="3" customWidth="1"/>
    <col min="7154" max="7154" width="37.1833333333333" style="3" customWidth="1"/>
    <col min="7155" max="7168" width="9" style="3"/>
    <col min="7169" max="7169" width="8.81666666666667" style="3" customWidth="1"/>
    <col min="7170" max="7170" width="34.8166666666667" style="3" customWidth="1"/>
    <col min="7171" max="7177" width="10.3666666666667" style="3" customWidth="1"/>
    <col min="7178" max="7408" width="9" style="3"/>
    <col min="7409" max="7409" width="8.81666666666667" style="3" customWidth="1"/>
    <col min="7410" max="7410" width="37.1833333333333" style="3" customWidth="1"/>
    <col min="7411" max="7424" width="9" style="3"/>
    <col min="7425" max="7425" width="8.81666666666667" style="3" customWidth="1"/>
    <col min="7426" max="7426" width="34.8166666666667" style="3" customWidth="1"/>
    <col min="7427" max="7433" width="10.3666666666667" style="3" customWidth="1"/>
    <col min="7434" max="7664" width="9" style="3"/>
    <col min="7665" max="7665" width="8.81666666666667" style="3" customWidth="1"/>
    <col min="7666" max="7666" width="37.1833333333333" style="3" customWidth="1"/>
    <col min="7667" max="7680" width="9" style="3"/>
    <col min="7681" max="7681" width="8.81666666666667" style="3" customWidth="1"/>
    <col min="7682" max="7682" width="34.8166666666667" style="3" customWidth="1"/>
    <col min="7683" max="7689" width="10.3666666666667" style="3" customWidth="1"/>
    <col min="7690" max="7920" width="9" style="3"/>
    <col min="7921" max="7921" width="8.81666666666667" style="3" customWidth="1"/>
    <col min="7922" max="7922" width="37.1833333333333" style="3" customWidth="1"/>
    <col min="7923" max="7936" width="9" style="3"/>
    <col min="7937" max="7937" width="8.81666666666667" style="3" customWidth="1"/>
    <col min="7938" max="7938" width="34.8166666666667" style="3" customWidth="1"/>
    <col min="7939" max="7945" width="10.3666666666667" style="3" customWidth="1"/>
    <col min="7946" max="8176" width="9" style="3"/>
    <col min="8177" max="8177" width="8.81666666666667" style="3" customWidth="1"/>
    <col min="8178" max="8178" width="37.1833333333333" style="3" customWidth="1"/>
    <col min="8179" max="8192" width="9" style="3"/>
    <col min="8193" max="8193" width="8.81666666666667" style="3" customWidth="1"/>
    <col min="8194" max="8194" width="34.8166666666667" style="3" customWidth="1"/>
    <col min="8195" max="8201" width="10.3666666666667" style="3" customWidth="1"/>
    <col min="8202" max="8432" width="9" style="3"/>
    <col min="8433" max="8433" width="8.81666666666667" style="3" customWidth="1"/>
    <col min="8434" max="8434" width="37.1833333333333" style="3" customWidth="1"/>
    <col min="8435" max="8448" width="9" style="3"/>
    <col min="8449" max="8449" width="8.81666666666667" style="3" customWidth="1"/>
    <col min="8450" max="8450" width="34.8166666666667" style="3" customWidth="1"/>
    <col min="8451" max="8457" width="10.3666666666667" style="3" customWidth="1"/>
    <col min="8458" max="8688" width="9" style="3"/>
    <col min="8689" max="8689" width="8.81666666666667" style="3" customWidth="1"/>
    <col min="8690" max="8690" width="37.1833333333333" style="3" customWidth="1"/>
    <col min="8691" max="8704" width="9" style="3"/>
    <col min="8705" max="8705" width="8.81666666666667" style="3" customWidth="1"/>
    <col min="8706" max="8706" width="34.8166666666667" style="3" customWidth="1"/>
    <col min="8707" max="8713" width="10.3666666666667" style="3" customWidth="1"/>
    <col min="8714" max="8944" width="9" style="3"/>
    <col min="8945" max="8945" width="8.81666666666667" style="3" customWidth="1"/>
    <col min="8946" max="8946" width="37.1833333333333" style="3" customWidth="1"/>
    <col min="8947" max="8960" width="9" style="3"/>
    <col min="8961" max="8961" width="8.81666666666667" style="3" customWidth="1"/>
    <col min="8962" max="8962" width="34.8166666666667" style="3" customWidth="1"/>
    <col min="8963" max="8969" width="10.3666666666667" style="3" customWidth="1"/>
    <col min="8970" max="9200" width="9" style="3"/>
    <col min="9201" max="9201" width="8.81666666666667" style="3" customWidth="1"/>
    <col min="9202" max="9202" width="37.1833333333333" style="3" customWidth="1"/>
    <col min="9203" max="9216" width="9" style="3"/>
    <col min="9217" max="9217" width="8.81666666666667" style="3" customWidth="1"/>
    <col min="9218" max="9218" width="34.8166666666667" style="3" customWidth="1"/>
    <col min="9219" max="9225" width="10.3666666666667" style="3" customWidth="1"/>
    <col min="9226" max="9456" width="9" style="3"/>
    <col min="9457" max="9457" width="8.81666666666667" style="3" customWidth="1"/>
    <col min="9458" max="9458" width="37.1833333333333" style="3" customWidth="1"/>
    <col min="9459" max="9472" width="9" style="3"/>
    <col min="9473" max="9473" width="8.81666666666667" style="3" customWidth="1"/>
    <col min="9474" max="9474" width="34.8166666666667" style="3" customWidth="1"/>
    <col min="9475" max="9481" width="10.3666666666667" style="3" customWidth="1"/>
    <col min="9482" max="9712" width="9" style="3"/>
    <col min="9713" max="9713" width="8.81666666666667" style="3" customWidth="1"/>
    <col min="9714" max="9714" width="37.1833333333333" style="3" customWidth="1"/>
    <col min="9715" max="9728" width="9" style="3"/>
    <col min="9729" max="9729" width="8.81666666666667" style="3" customWidth="1"/>
    <col min="9730" max="9730" width="34.8166666666667" style="3" customWidth="1"/>
    <col min="9731" max="9737" width="10.3666666666667" style="3" customWidth="1"/>
    <col min="9738" max="9968" width="9" style="3"/>
    <col min="9969" max="9969" width="8.81666666666667" style="3" customWidth="1"/>
    <col min="9970" max="9970" width="37.1833333333333" style="3" customWidth="1"/>
    <col min="9971" max="9984" width="9" style="3"/>
    <col min="9985" max="9985" width="8.81666666666667" style="3" customWidth="1"/>
    <col min="9986" max="9986" width="34.8166666666667" style="3" customWidth="1"/>
    <col min="9987" max="9993" width="10.3666666666667" style="3" customWidth="1"/>
    <col min="9994" max="10224" width="9" style="3"/>
    <col min="10225" max="10225" width="8.81666666666667" style="3" customWidth="1"/>
    <col min="10226" max="10226" width="37.1833333333333" style="3" customWidth="1"/>
    <col min="10227" max="10240" width="9" style="3"/>
    <col min="10241" max="10241" width="8.81666666666667" style="3" customWidth="1"/>
    <col min="10242" max="10242" width="34.8166666666667" style="3" customWidth="1"/>
    <col min="10243" max="10249" width="10.3666666666667" style="3" customWidth="1"/>
    <col min="10250" max="10480" width="9" style="3"/>
    <col min="10481" max="10481" width="8.81666666666667" style="3" customWidth="1"/>
    <col min="10482" max="10482" width="37.1833333333333" style="3" customWidth="1"/>
    <col min="10483" max="10496" width="9" style="3"/>
    <col min="10497" max="10497" width="8.81666666666667" style="3" customWidth="1"/>
    <col min="10498" max="10498" width="34.8166666666667" style="3" customWidth="1"/>
    <col min="10499" max="10505" width="10.3666666666667" style="3" customWidth="1"/>
    <col min="10506" max="10736" width="9" style="3"/>
    <col min="10737" max="10737" width="8.81666666666667" style="3" customWidth="1"/>
    <col min="10738" max="10738" width="37.1833333333333" style="3" customWidth="1"/>
    <col min="10739" max="10752" width="9" style="3"/>
    <col min="10753" max="10753" width="8.81666666666667" style="3" customWidth="1"/>
    <col min="10754" max="10754" width="34.8166666666667" style="3" customWidth="1"/>
    <col min="10755" max="10761" width="10.3666666666667" style="3" customWidth="1"/>
    <col min="10762" max="10992" width="9" style="3"/>
    <col min="10993" max="10993" width="8.81666666666667" style="3" customWidth="1"/>
    <col min="10994" max="10994" width="37.1833333333333" style="3" customWidth="1"/>
    <col min="10995" max="11008" width="9" style="3"/>
    <col min="11009" max="11009" width="8.81666666666667" style="3" customWidth="1"/>
    <col min="11010" max="11010" width="34.8166666666667" style="3" customWidth="1"/>
    <col min="11011" max="11017" width="10.3666666666667" style="3" customWidth="1"/>
    <col min="11018" max="11248" width="9" style="3"/>
    <col min="11249" max="11249" width="8.81666666666667" style="3" customWidth="1"/>
    <col min="11250" max="11250" width="37.1833333333333" style="3" customWidth="1"/>
    <col min="11251" max="11264" width="9" style="3"/>
    <col min="11265" max="11265" width="8.81666666666667" style="3" customWidth="1"/>
    <col min="11266" max="11266" width="34.8166666666667" style="3" customWidth="1"/>
    <col min="11267" max="11273" width="10.3666666666667" style="3" customWidth="1"/>
    <col min="11274" max="11504" width="9" style="3"/>
    <col min="11505" max="11505" width="8.81666666666667" style="3" customWidth="1"/>
    <col min="11506" max="11506" width="37.1833333333333" style="3" customWidth="1"/>
    <col min="11507" max="11520" width="9" style="3"/>
    <col min="11521" max="11521" width="8.81666666666667" style="3" customWidth="1"/>
    <col min="11522" max="11522" width="34.8166666666667" style="3" customWidth="1"/>
    <col min="11523" max="11529" width="10.3666666666667" style="3" customWidth="1"/>
    <col min="11530" max="11760" width="9" style="3"/>
    <col min="11761" max="11761" width="8.81666666666667" style="3" customWidth="1"/>
    <col min="11762" max="11762" width="37.1833333333333" style="3" customWidth="1"/>
    <col min="11763" max="11776" width="9" style="3"/>
    <col min="11777" max="11777" width="8.81666666666667" style="3" customWidth="1"/>
    <col min="11778" max="11778" width="34.8166666666667" style="3" customWidth="1"/>
    <col min="11779" max="11785" width="10.3666666666667" style="3" customWidth="1"/>
    <col min="11786" max="12016" width="9" style="3"/>
    <col min="12017" max="12017" width="8.81666666666667" style="3" customWidth="1"/>
    <col min="12018" max="12018" width="37.1833333333333" style="3" customWidth="1"/>
    <col min="12019" max="12032" width="9" style="3"/>
    <col min="12033" max="12033" width="8.81666666666667" style="3" customWidth="1"/>
    <col min="12034" max="12034" width="34.8166666666667" style="3" customWidth="1"/>
    <col min="12035" max="12041" width="10.3666666666667" style="3" customWidth="1"/>
    <col min="12042" max="12272" width="9" style="3"/>
    <col min="12273" max="12273" width="8.81666666666667" style="3" customWidth="1"/>
    <col min="12274" max="12274" width="37.1833333333333" style="3" customWidth="1"/>
    <col min="12275" max="12288" width="9" style="3"/>
    <col min="12289" max="12289" width="8.81666666666667" style="3" customWidth="1"/>
    <col min="12290" max="12290" width="34.8166666666667" style="3" customWidth="1"/>
    <col min="12291" max="12297" width="10.3666666666667" style="3" customWidth="1"/>
    <col min="12298" max="12528" width="9" style="3"/>
    <col min="12529" max="12529" width="8.81666666666667" style="3" customWidth="1"/>
    <col min="12530" max="12530" width="37.1833333333333" style="3" customWidth="1"/>
    <col min="12531" max="12544" width="9" style="3"/>
    <col min="12545" max="12545" width="8.81666666666667" style="3" customWidth="1"/>
    <col min="12546" max="12546" width="34.8166666666667" style="3" customWidth="1"/>
    <col min="12547" max="12553" width="10.3666666666667" style="3" customWidth="1"/>
    <col min="12554" max="12784" width="9" style="3"/>
    <col min="12785" max="12785" width="8.81666666666667" style="3" customWidth="1"/>
    <col min="12786" max="12786" width="37.1833333333333" style="3" customWidth="1"/>
    <col min="12787" max="12800" width="9" style="3"/>
    <col min="12801" max="12801" width="8.81666666666667" style="3" customWidth="1"/>
    <col min="12802" max="12802" width="34.8166666666667" style="3" customWidth="1"/>
    <col min="12803" max="12809" width="10.3666666666667" style="3" customWidth="1"/>
    <col min="12810" max="13040" width="9" style="3"/>
    <col min="13041" max="13041" width="8.81666666666667" style="3" customWidth="1"/>
    <col min="13042" max="13042" width="37.1833333333333" style="3" customWidth="1"/>
    <col min="13043" max="13056" width="9" style="3"/>
    <col min="13057" max="13057" width="8.81666666666667" style="3" customWidth="1"/>
    <col min="13058" max="13058" width="34.8166666666667" style="3" customWidth="1"/>
    <col min="13059" max="13065" width="10.3666666666667" style="3" customWidth="1"/>
    <col min="13066" max="13296" width="9" style="3"/>
    <col min="13297" max="13297" width="8.81666666666667" style="3" customWidth="1"/>
    <col min="13298" max="13298" width="37.1833333333333" style="3" customWidth="1"/>
    <col min="13299" max="13312" width="9" style="3"/>
    <col min="13313" max="13313" width="8.81666666666667" style="3" customWidth="1"/>
    <col min="13314" max="13314" width="34.8166666666667" style="3" customWidth="1"/>
    <col min="13315" max="13321" width="10.3666666666667" style="3" customWidth="1"/>
    <col min="13322" max="13552" width="9" style="3"/>
    <col min="13553" max="13553" width="8.81666666666667" style="3" customWidth="1"/>
    <col min="13554" max="13554" width="37.1833333333333" style="3" customWidth="1"/>
    <col min="13555" max="13568" width="9" style="3"/>
    <col min="13569" max="13569" width="8.81666666666667" style="3" customWidth="1"/>
    <col min="13570" max="13570" width="34.8166666666667" style="3" customWidth="1"/>
    <col min="13571" max="13577" width="10.3666666666667" style="3" customWidth="1"/>
    <col min="13578" max="13808" width="9" style="3"/>
    <col min="13809" max="13809" width="8.81666666666667" style="3" customWidth="1"/>
    <col min="13810" max="13810" width="37.1833333333333" style="3" customWidth="1"/>
    <col min="13811" max="13824" width="9" style="3"/>
    <col min="13825" max="13825" width="8.81666666666667" style="3" customWidth="1"/>
    <col min="13826" max="13826" width="34.8166666666667" style="3" customWidth="1"/>
    <col min="13827" max="13833" width="10.3666666666667" style="3" customWidth="1"/>
    <col min="13834" max="14064" width="9" style="3"/>
    <col min="14065" max="14065" width="8.81666666666667" style="3" customWidth="1"/>
    <col min="14066" max="14066" width="37.1833333333333" style="3" customWidth="1"/>
    <col min="14067" max="14080" width="9" style="3"/>
    <col min="14081" max="14081" width="8.81666666666667" style="3" customWidth="1"/>
    <col min="14082" max="14082" width="34.8166666666667" style="3" customWidth="1"/>
    <col min="14083" max="14089" width="10.3666666666667" style="3" customWidth="1"/>
    <col min="14090" max="14320" width="9" style="3"/>
    <col min="14321" max="14321" width="8.81666666666667" style="3" customWidth="1"/>
    <col min="14322" max="14322" width="37.1833333333333" style="3" customWidth="1"/>
    <col min="14323" max="14336" width="9" style="3"/>
    <col min="14337" max="14337" width="8.81666666666667" style="3" customWidth="1"/>
    <col min="14338" max="14338" width="34.8166666666667" style="3" customWidth="1"/>
    <col min="14339" max="14345" width="10.3666666666667" style="3" customWidth="1"/>
    <col min="14346" max="14576" width="9" style="3"/>
    <col min="14577" max="14577" width="8.81666666666667" style="3" customWidth="1"/>
    <col min="14578" max="14578" width="37.1833333333333" style="3" customWidth="1"/>
    <col min="14579" max="14592" width="9" style="3"/>
    <col min="14593" max="14593" width="8.81666666666667" style="3" customWidth="1"/>
    <col min="14594" max="14594" width="34.8166666666667" style="3" customWidth="1"/>
    <col min="14595" max="14601" width="10.3666666666667" style="3" customWidth="1"/>
    <col min="14602" max="14832" width="9" style="3"/>
    <col min="14833" max="14833" width="8.81666666666667" style="3" customWidth="1"/>
    <col min="14834" max="14834" width="37.1833333333333" style="3" customWidth="1"/>
    <col min="14835" max="14848" width="9" style="3"/>
    <col min="14849" max="14849" width="8.81666666666667" style="3" customWidth="1"/>
    <col min="14850" max="14850" width="34.8166666666667" style="3" customWidth="1"/>
    <col min="14851" max="14857" width="10.3666666666667" style="3" customWidth="1"/>
    <col min="14858" max="15088" width="9" style="3"/>
    <col min="15089" max="15089" width="8.81666666666667" style="3" customWidth="1"/>
    <col min="15090" max="15090" width="37.1833333333333" style="3" customWidth="1"/>
    <col min="15091" max="15104" width="9" style="3"/>
    <col min="15105" max="15105" width="8.81666666666667" style="3" customWidth="1"/>
    <col min="15106" max="15106" width="34.8166666666667" style="3" customWidth="1"/>
    <col min="15107" max="15113" width="10.3666666666667" style="3" customWidth="1"/>
    <col min="15114" max="15344" width="9" style="3"/>
    <col min="15345" max="15345" width="8.81666666666667" style="3" customWidth="1"/>
    <col min="15346" max="15346" width="37.1833333333333" style="3" customWidth="1"/>
    <col min="15347" max="15360" width="9" style="3"/>
    <col min="15361" max="15361" width="8.81666666666667" style="3" customWidth="1"/>
    <col min="15362" max="15362" width="34.8166666666667" style="3" customWidth="1"/>
    <col min="15363" max="15369" width="10.3666666666667" style="3" customWidth="1"/>
    <col min="15370" max="15600" width="9" style="3"/>
    <col min="15601" max="15601" width="8.81666666666667" style="3" customWidth="1"/>
    <col min="15602" max="15602" width="37.1833333333333" style="3" customWidth="1"/>
    <col min="15603" max="15616" width="9" style="3"/>
    <col min="15617" max="15617" width="8.81666666666667" style="3" customWidth="1"/>
    <col min="15618" max="15618" width="34.8166666666667" style="3" customWidth="1"/>
    <col min="15619" max="15625" width="10.3666666666667" style="3" customWidth="1"/>
    <col min="15626" max="15856" width="9" style="3"/>
    <col min="15857" max="15857" width="8.81666666666667" style="3" customWidth="1"/>
    <col min="15858" max="15858" width="37.1833333333333" style="3" customWidth="1"/>
    <col min="15859" max="15872" width="9" style="3"/>
    <col min="15873" max="15873" width="8.81666666666667" style="3" customWidth="1"/>
    <col min="15874" max="15874" width="34.8166666666667" style="3" customWidth="1"/>
    <col min="15875" max="15881" width="10.3666666666667" style="3" customWidth="1"/>
    <col min="15882" max="16112" width="9" style="3"/>
    <col min="16113" max="16113" width="8.81666666666667" style="3" customWidth="1"/>
    <col min="16114" max="16114" width="37.1833333333333" style="3" customWidth="1"/>
    <col min="16115" max="16128" width="9" style="3"/>
    <col min="16129" max="16129" width="8.81666666666667" style="3" customWidth="1"/>
    <col min="16130" max="16130" width="34.8166666666667" style="3" customWidth="1"/>
    <col min="16131" max="16137" width="10.3666666666667" style="3" customWidth="1"/>
    <col min="16138" max="16368" width="9" style="3"/>
    <col min="16369" max="16369" width="8.81666666666667" style="3" customWidth="1"/>
    <col min="16370" max="16370" width="37.1833333333333" style="3" customWidth="1"/>
    <col min="16371" max="16384" width="9" style="3"/>
  </cols>
  <sheetData>
    <row r="1" customFormat="1" ht="25.05" customHeight="1" spans="1:256">
      <c r="A1" s="4" t="s">
        <v>0</v>
      </c>
      <c r="B1" s="4"/>
      <c r="C1" s="4"/>
      <c r="D1" s="4"/>
      <c r="E1" s="4"/>
      <c r="F1" s="4"/>
      <c r="G1" s="4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</row>
    <row r="2" customFormat="1" ht="19.05" customHeight="1" spans="1:256">
      <c r="A2" s="5" t="s">
        <v>1</v>
      </c>
      <c r="B2" s="5"/>
      <c r="C2" s="6" t="s">
        <v>2</v>
      </c>
      <c r="D2" s="6"/>
      <c r="E2" s="6"/>
      <c r="F2" s="3"/>
      <c r="G2" s="21" t="s">
        <v>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</row>
    <row r="3" s="1" customFormat="1" ht="15.75" spans="1:8">
      <c r="A3" s="7" t="s">
        <v>4</v>
      </c>
      <c r="B3" s="8"/>
      <c r="C3" s="8"/>
      <c r="D3" s="8"/>
      <c r="E3" s="8"/>
      <c r="F3" s="8"/>
      <c r="G3" s="8"/>
      <c r="H3" s="8"/>
    </row>
    <row r="4" customFormat="1" ht="14.25" customHeight="1" spans="1:256">
      <c r="A4" s="9" t="s">
        <v>5</v>
      </c>
      <c r="B4" s="9" t="s">
        <v>6</v>
      </c>
      <c r="C4" s="9" t="s">
        <v>7</v>
      </c>
      <c r="D4" s="9" t="s">
        <v>8</v>
      </c>
      <c r="E4" s="9" t="s">
        <v>9</v>
      </c>
      <c r="F4" s="9" t="s">
        <v>10</v>
      </c>
      <c r="G4" s="9" t="s">
        <v>11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</row>
    <row r="5" customFormat="1" ht="14.25" customHeight="1" spans="1:256">
      <c r="A5" s="9"/>
      <c r="B5" s="9"/>
      <c r="C5" s="9" t="s">
        <v>12</v>
      </c>
      <c r="D5" s="9" t="s">
        <v>13</v>
      </c>
      <c r="E5" s="9" t="s">
        <v>14</v>
      </c>
      <c r="F5" s="9" t="s">
        <v>15</v>
      </c>
      <c r="G5" s="9" t="s">
        <v>16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</row>
    <row r="6" customFormat="1" ht="14.25" spans="1:256">
      <c r="A6" s="9"/>
      <c r="B6" s="9"/>
      <c r="C6" s="9"/>
      <c r="D6" s="9"/>
      <c r="E6" s="9"/>
      <c r="F6" s="9"/>
      <c r="G6" s="9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</row>
    <row r="7" customFormat="1" ht="14.25" spans="1:256">
      <c r="A7" s="9"/>
      <c r="B7" s="9"/>
      <c r="C7" s="9"/>
      <c r="D7" s="9"/>
      <c r="E7" s="9"/>
      <c r="F7" s="9"/>
      <c r="G7" s="9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</row>
    <row r="8" customFormat="1" ht="14.25" spans="1:256">
      <c r="A8" s="9"/>
      <c r="B8" s="9"/>
      <c r="C8" s="9"/>
      <c r="D8" s="9"/>
      <c r="E8" s="9"/>
      <c r="F8" s="9"/>
      <c r="G8" s="9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</row>
    <row r="9" customFormat="1" ht="14.25" spans="1:256">
      <c r="A9" s="9">
        <v>1</v>
      </c>
      <c r="B9" s="10" t="s">
        <v>17</v>
      </c>
      <c r="C9" s="11">
        <f>C10+C16</f>
        <v>0</v>
      </c>
      <c r="D9" s="12"/>
      <c r="E9" s="11">
        <f>E10+E16</f>
        <v>0</v>
      </c>
      <c r="F9" s="11">
        <f>F10+F16</f>
        <v>0</v>
      </c>
      <c r="G9" s="11">
        <f>G10+G16</f>
        <v>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</row>
    <row r="10" customFormat="1" ht="12" customHeight="1" spans="1:256">
      <c r="A10" s="9">
        <v>2</v>
      </c>
      <c r="B10" s="13" t="s">
        <v>18</v>
      </c>
      <c r="C10" s="11">
        <f>SUM(C11:C15)</f>
        <v>0</v>
      </c>
      <c r="D10" s="14"/>
      <c r="E10" s="11">
        <f>SUM(E11:E15)</f>
        <v>0</v>
      </c>
      <c r="F10" s="11">
        <f>SUM(F11:F15)</f>
        <v>0</v>
      </c>
      <c r="G10" s="11">
        <f>SUM(G11:G15)</f>
        <v>0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</row>
    <row r="11" customFormat="1" ht="14.25" spans="1:256">
      <c r="A11" s="9">
        <v>3</v>
      </c>
      <c r="B11" s="15" t="s">
        <v>19</v>
      </c>
      <c r="C11" s="16"/>
      <c r="D11" s="17">
        <v>0.05</v>
      </c>
      <c r="E11" s="16"/>
      <c r="F11" s="16"/>
      <c r="G11" s="16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</row>
    <row r="12" customFormat="1" ht="14.25" spans="1:256">
      <c r="A12" s="9">
        <v>4</v>
      </c>
      <c r="B12" s="15" t="s">
        <v>20</v>
      </c>
      <c r="C12" s="16"/>
      <c r="D12" s="17">
        <f>D11</f>
        <v>0.05</v>
      </c>
      <c r="E12" s="16"/>
      <c r="F12" s="16"/>
      <c r="G12" s="1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  <c r="GY12" s="3"/>
      <c r="GZ12" s="3"/>
      <c r="HA12" s="3"/>
      <c r="HB12" s="3"/>
      <c r="HC12" s="3"/>
      <c r="HD12" s="3"/>
      <c r="HE12" s="3"/>
      <c r="HF12" s="3"/>
      <c r="HG12" s="3"/>
      <c r="HH12" s="3"/>
      <c r="HI12" s="3"/>
      <c r="HJ12" s="3"/>
      <c r="HK12" s="3"/>
      <c r="HL12" s="3"/>
      <c r="HM12" s="3"/>
      <c r="HN12" s="3"/>
      <c r="HO12" s="3"/>
      <c r="HP12" s="3"/>
      <c r="HQ12" s="3"/>
      <c r="HR12" s="3"/>
      <c r="HS12" s="3"/>
      <c r="HT12" s="3"/>
      <c r="HU12" s="3"/>
      <c r="HV12" s="3"/>
      <c r="HW12" s="3"/>
      <c r="HX12" s="3"/>
      <c r="HY12" s="3"/>
      <c r="HZ12" s="3"/>
      <c r="IA12" s="3"/>
      <c r="IB12" s="3"/>
      <c r="IC12" s="3"/>
      <c r="ID12" s="3"/>
      <c r="IE12" s="3"/>
      <c r="IF12" s="3"/>
      <c r="IG12" s="3"/>
      <c r="IH12" s="3"/>
      <c r="II12" s="3"/>
      <c r="IJ12" s="3"/>
      <c r="IK12" s="3"/>
      <c r="IL12" s="3"/>
      <c r="IM12" s="3"/>
      <c r="IN12" s="3"/>
      <c r="IO12" s="3"/>
      <c r="IP12" s="3"/>
      <c r="IQ12" s="3"/>
      <c r="IR12" s="3"/>
      <c r="IS12" s="3"/>
      <c r="IT12" s="3"/>
      <c r="IU12" s="3"/>
      <c r="IV12" s="3"/>
    </row>
    <row r="13" customFormat="1" ht="14.25" spans="1:256">
      <c r="A13" s="9">
        <v>5</v>
      </c>
      <c r="B13" s="15" t="s">
        <v>21</v>
      </c>
      <c r="C13" s="16"/>
      <c r="D13" s="17">
        <f>D12</f>
        <v>0.05</v>
      </c>
      <c r="E13" s="16"/>
      <c r="F13" s="16"/>
      <c r="G13" s="16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3"/>
      <c r="GZ13" s="3"/>
      <c r="HA13" s="3"/>
      <c r="HB13" s="3"/>
      <c r="HC13" s="3"/>
      <c r="HD13" s="3"/>
      <c r="HE13" s="3"/>
      <c r="HF13" s="3"/>
      <c r="HG13" s="3"/>
      <c r="HH13" s="3"/>
      <c r="HI13" s="3"/>
      <c r="HJ13" s="3"/>
      <c r="HK13" s="3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3"/>
      <c r="IB13" s="3"/>
      <c r="IC13" s="3"/>
      <c r="ID13" s="3"/>
      <c r="IE13" s="3"/>
      <c r="IF13" s="3"/>
      <c r="IG13" s="3"/>
      <c r="IH13" s="3"/>
      <c r="II13" s="3"/>
      <c r="IJ13" s="3"/>
      <c r="IK13" s="3"/>
      <c r="IL13" s="3"/>
      <c r="IM13" s="3"/>
      <c r="IN13" s="3"/>
      <c r="IO13" s="3"/>
      <c r="IP13" s="3"/>
      <c r="IQ13" s="3"/>
      <c r="IR13" s="3"/>
      <c r="IS13" s="3"/>
      <c r="IT13" s="3"/>
      <c r="IU13" s="3"/>
      <c r="IV13" s="3"/>
    </row>
    <row r="14" customFormat="1" ht="14.25" spans="1:256">
      <c r="A14" s="9">
        <v>6</v>
      </c>
      <c r="B14" s="15" t="s">
        <v>22</v>
      </c>
      <c r="C14" s="16"/>
      <c r="D14" s="17">
        <f>D13</f>
        <v>0.05</v>
      </c>
      <c r="E14" s="16"/>
      <c r="F14" s="16"/>
      <c r="G14" s="16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</row>
    <row r="15" customFormat="1" ht="14.25" spans="1:256">
      <c r="A15" s="9">
        <v>7</v>
      </c>
      <c r="B15" s="15" t="s">
        <v>23</v>
      </c>
      <c r="C15" s="16"/>
      <c r="D15" s="17">
        <f>D14</f>
        <v>0.05</v>
      </c>
      <c r="E15" s="16"/>
      <c r="F15" s="16"/>
      <c r="G15" s="16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</row>
    <row r="16" customFormat="1" ht="12" customHeight="1" spans="1:256">
      <c r="A16" s="9">
        <v>8</v>
      </c>
      <c r="B16" s="13" t="s">
        <v>24</v>
      </c>
      <c r="C16" s="11">
        <f>SUM(C17:C21)</f>
        <v>0</v>
      </c>
      <c r="D16" s="14"/>
      <c r="E16" s="11">
        <f>SUM(E17:E21)</f>
        <v>0</v>
      </c>
      <c r="F16" s="11">
        <f>SUM(F17:F21)</f>
        <v>0</v>
      </c>
      <c r="G16" s="11">
        <f>SUM(G17:G21)</f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</row>
    <row r="17" customFormat="1" ht="14.25" spans="1:256">
      <c r="A17" s="9">
        <v>9</v>
      </c>
      <c r="B17" s="15" t="s">
        <v>25</v>
      </c>
      <c r="C17" s="16"/>
      <c r="D17" s="17">
        <v>0.1</v>
      </c>
      <c r="E17" s="16"/>
      <c r="F17" s="16"/>
      <c r="G17" s="16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</row>
    <row r="18" customFormat="1" ht="14.25" spans="1:256">
      <c r="A18" s="9">
        <v>10</v>
      </c>
      <c r="B18" s="15" t="s">
        <v>26</v>
      </c>
      <c r="C18" s="16"/>
      <c r="D18" s="17">
        <f>D17</f>
        <v>0.1</v>
      </c>
      <c r="E18" s="16"/>
      <c r="F18" s="16"/>
      <c r="G18" s="16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</row>
    <row r="19" customFormat="1" ht="14.25" spans="1:256">
      <c r="A19" s="9">
        <v>11</v>
      </c>
      <c r="B19" s="15" t="s">
        <v>27</v>
      </c>
      <c r="C19" s="16"/>
      <c r="D19" s="17">
        <f>D18</f>
        <v>0.1</v>
      </c>
      <c r="E19" s="16"/>
      <c r="F19" s="16"/>
      <c r="G19" s="16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</row>
    <row r="20" customFormat="1" ht="14.25" spans="1:256">
      <c r="A20" s="9">
        <v>12</v>
      </c>
      <c r="B20" s="15" t="s">
        <v>28</v>
      </c>
      <c r="C20" s="16"/>
      <c r="D20" s="17">
        <f>D19</f>
        <v>0.1</v>
      </c>
      <c r="E20" s="16"/>
      <c r="F20" s="16"/>
      <c r="G20" s="16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  <c r="IU20" s="3"/>
      <c r="IV20" s="3"/>
    </row>
    <row r="21" customFormat="1" ht="14.25" spans="1:256">
      <c r="A21" s="9">
        <v>13</v>
      </c>
      <c r="B21" s="15" t="s">
        <v>29</v>
      </c>
      <c r="C21" s="16"/>
      <c r="D21" s="17">
        <f>D20</f>
        <v>0.1</v>
      </c>
      <c r="E21" s="16"/>
      <c r="F21" s="16"/>
      <c r="G21" s="16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</row>
    <row r="22" customFormat="1" ht="14.25" spans="1:256">
      <c r="A22" s="9">
        <v>14</v>
      </c>
      <c r="B22" s="10" t="s">
        <v>30</v>
      </c>
      <c r="C22" s="18">
        <f>C23+C29+C35</f>
        <v>0</v>
      </c>
      <c r="D22" s="12"/>
      <c r="E22" s="18">
        <f>E23+E29+E35</f>
        <v>0</v>
      </c>
      <c r="F22" s="18">
        <f>F23+F29+F35</f>
        <v>0</v>
      </c>
      <c r="G22" s="18">
        <f>G23+G29+G35</f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  <c r="IU22" s="3"/>
      <c r="IV22" s="3"/>
    </row>
    <row r="23" customFormat="1" ht="14.25" spans="1:256">
      <c r="A23" s="9">
        <v>15</v>
      </c>
      <c r="B23" s="13" t="str">
        <f>"  "&amp;LEFT(B22,2)&amp;"1剩余期限不超过1年（含1年）"</f>
        <v>  2.1剩余期限不超过1年（含1年）</v>
      </c>
      <c r="C23" s="11">
        <f>SUM(C24:C28)</f>
        <v>0</v>
      </c>
      <c r="D23" s="14"/>
      <c r="E23" s="11">
        <f>SUM(E24:E28)</f>
        <v>0</v>
      </c>
      <c r="F23" s="11">
        <f>SUM(F24:F28)</f>
        <v>0</v>
      </c>
      <c r="G23" s="11">
        <f>SUM(G24:G28)</f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</row>
    <row r="24" customFormat="1" ht="14.25" spans="1:256">
      <c r="A24" s="9">
        <v>16</v>
      </c>
      <c r="B24" s="15" t="s">
        <v>31</v>
      </c>
      <c r="C24" s="16"/>
      <c r="D24" s="19">
        <v>0</v>
      </c>
      <c r="E24" s="16"/>
      <c r="F24" s="22">
        <f>C24*D24+E24</f>
        <v>0</v>
      </c>
      <c r="G24" s="16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</row>
    <row r="25" customFormat="1" ht="14.25" spans="1:256">
      <c r="A25" s="9">
        <v>17</v>
      </c>
      <c r="B25" s="15" t="s">
        <v>32</v>
      </c>
      <c r="C25" s="16"/>
      <c r="D25" s="19">
        <f>D24</f>
        <v>0</v>
      </c>
      <c r="E25" s="16"/>
      <c r="F25" s="22">
        <f>C25*D25+E25</f>
        <v>0</v>
      </c>
      <c r="G25" s="16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</row>
    <row r="26" customFormat="1" ht="14.25" spans="1:256">
      <c r="A26" s="9">
        <v>18</v>
      </c>
      <c r="B26" s="15" t="s">
        <v>33</v>
      </c>
      <c r="C26" s="16"/>
      <c r="D26" s="19">
        <f>D25</f>
        <v>0</v>
      </c>
      <c r="E26" s="16"/>
      <c r="F26" s="22">
        <f>C26*D26+E26</f>
        <v>0</v>
      </c>
      <c r="G26" s="16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</row>
    <row r="27" customFormat="1" ht="14.25" spans="1:256">
      <c r="A27" s="9">
        <v>19</v>
      </c>
      <c r="B27" s="15" t="s">
        <v>34</v>
      </c>
      <c r="C27" s="16"/>
      <c r="D27" s="19">
        <f>D26</f>
        <v>0</v>
      </c>
      <c r="E27" s="16"/>
      <c r="F27" s="22">
        <f>C27*D27+E27</f>
        <v>0</v>
      </c>
      <c r="G27" s="16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</row>
    <row r="28" customFormat="1" ht="14.25" spans="1:256">
      <c r="A28" s="9">
        <v>20</v>
      </c>
      <c r="B28" s="15" t="s">
        <v>35</v>
      </c>
      <c r="C28" s="16"/>
      <c r="D28" s="19">
        <f>D27</f>
        <v>0</v>
      </c>
      <c r="E28" s="16"/>
      <c r="F28" s="22">
        <f>C28*D28+E28</f>
        <v>0</v>
      </c>
      <c r="G28" s="16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</row>
    <row r="29" customFormat="1" ht="14.25" spans="1:256">
      <c r="A29" s="9">
        <v>21</v>
      </c>
      <c r="B29" s="13" t="str">
        <f>"  "&amp;LEFT(B22,2)&amp;"2剩余期限在1年以上，5年（含5年）以下"</f>
        <v>  2.2剩余期限在1年以上，5年（含5年）以下</v>
      </c>
      <c r="C29" s="11">
        <f>SUM(C30:C34)</f>
        <v>0</v>
      </c>
      <c r="D29" s="20"/>
      <c r="E29" s="11">
        <f>SUM(E30:E34)</f>
        <v>0</v>
      </c>
      <c r="F29" s="11">
        <f>SUM(F30:F34)</f>
        <v>0</v>
      </c>
      <c r="G29" s="11">
        <f>SUM(G30:G34)</f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</row>
    <row r="30" customFormat="1" ht="14.25" spans="1:256">
      <c r="A30" s="9">
        <v>22</v>
      </c>
      <c r="B30" s="15" t="s">
        <v>36</v>
      </c>
      <c r="C30" s="16"/>
      <c r="D30" s="19">
        <v>0.005</v>
      </c>
      <c r="E30" s="16"/>
      <c r="F30" s="22">
        <f>C30*D30+E30</f>
        <v>0</v>
      </c>
      <c r="G30" s="16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  <c r="IU30" s="3"/>
      <c r="IV30" s="3"/>
    </row>
    <row r="31" customFormat="1" ht="14.25" spans="1:256">
      <c r="A31" s="9">
        <v>23</v>
      </c>
      <c r="B31" s="15" t="s">
        <v>37</v>
      </c>
      <c r="C31" s="16"/>
      <c r="D31" s="19">
        <f>D30</f>
        <v>0.005</v>
      </c>
      <c r="E31" s="16"/>
      <c r="F31" s="22">
        <f>C31*D31+E31</f>
        <v>0</v>
      </c>
      <c r="G31" s="16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</row>
    <row r="32" customFormat="1" ht="14.25" spans="1:256">
      <c r="A32" s="9">
        <v>24</v>
      </c>
      <c r="B32" s="15" t="s">
        <v>38</v>
      </c>
      <c r="C32" s="16"/>
      <c r="D32" s="19">
        <f>D31</f>
        <v>0.005</v>
      </c>
      <c r="E32" s="16"/>
      <c r="F32" s="22">
        <f>C32*D32+E32</f>
        <v>0</v>
      </c>
      <c r="G32" s="16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</row>
    <row r="33" customFormat="1" ht="14.25" spans="1:256">
      <c r="A33" s="9">
        <v>25</v>
      </c>
      <c r="B33" s="15" t="s">
        <v>39</v>
      </c>
      <c r="C33" s="16"/>
      <c r="D33" s="19">
        <f>D32</f>
        <v>0.005</v>
      </c>
      <c r="E33" s="16"/>
      <c r="F33" s="22">
        <f>C33*D33+E33</f>
        <v>0</v>
      </c>
      <c r="G33" s="16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</row>
    <row r="34" customFormat="1" ht="14.25" spans="1:256">
      <c r="A34" s="9">
        <v>26</v>
      </c>
      <c r="B34" s="15" t="s">
        <v>40</v>
      </c>
      <c r="C34" s="16"/>
      <c r="D34" s="19">
        <v>0.005</v>
      </c>
      <c r="E34" s="16"/>
      <c r="F34" s="22">
        <f>C34*D34+E34</f>
        <v>0</v>
      </c>
      <c r="G34" s="16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</row>
    <row r="35" customFormat="1" ht="14.25" spans="1:256">
      <c r="A35" s="9">
        <v>27</v>
      </c>
      <c r="B35" s="13" t="str">
        <f>"  "&amp;LEFT(B22,2)&amp;"3剩余期限在5年以上"</f>
        <v>  2.3剩余期限在5年以上</v>
      </c>
      <c r="C35" s="11">
        <f>SUM(C36:C40)</f>
        <v>0</v>
      </c>
      <c r="D35" s="20"/>
      <c r="E35" s="11">
        <f>SUM(E36:E40)</f>
        <v>0</v>
      </c>
      <c r="F35" s="11">
        <f>SUM(F36:F40)</f>
        <v>0</v>
      </c>
      <c r="G35" s="11">
        <f>SUM(G36:G40)</f>
        <v>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  <c r="HJ35" s="3"/>
      <c r="HK35" s="3"/>
      <c r="HL35" s="3"/>
      <c r="HM35" s="3"/>
      <c r="HN35" s="3"/>
      <c r="HO35" s="3"/>
      <c r="HP35" s="3"/>
      <c r="HQ35" s="3"/>
      <c r="HR35" s="3"/>
      <c r="HS35" s="3"/>
      <c r="HT35" s="3"/>
      <c r="HU35" s="3"/>
      <c r="HV35" s="3"/>
      <c r="HW35" s="3"/>
      <c r="HX35" s="3"/>
      <c r="HY35" s="3"/>
      <c r="HZ35" s="3"/>
      <c r="IA35" s="3"/>
      <c r="IB35" s="3"/>
      <c r="IC35" s="3"/>
      <c r="ID35" s="3"/>
      <c r="IE35" s="3"/>
      <c r="IF35" s="3"/>
      <c r="IG35" s="3"/>
      <c r="IH35" s="3"/>
      <c r="II35" s="3"/>
      <c r="IJ35" s="3"/>
      <c r="IK35" s="3"/>
      <c r="IL35" s="3"/>
      <c r="IM35" s="3"/>
      <c r="IN35" s="3"/>
      <c r="IO35" s="3"/>
      <c r="IP35" s="3"/>
      <c r="IQ35" s="3"/>
      <c r="IR35" s="3"/>
      <c r="IS35" s="3"/>
      <c r="IT35" s="3"/>
      <c r="IU35" s="3"/>
      <c r="IV35" s="3"/>
    </row>
    <row r="36" customFormat="1" ht="14.25" spans="1:256">
      <c r="A36" s="9">
        <v>28</v>
      </c>
      <c r="B36" s="15" t="s">
        <v>41</v>
      </c>
      <c r="C36" s="16"/>
      <c r="D36" s="19">
        <v>0.015</v>
      </c>
      <c r="E36" s="16"/>
      <c r="F36" s="22">
        <f>C36*D36+E36</f>
        <v>0</v>
      </c>
      <c r="G36" s="16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  <c r="IU36" s="3"/>
      <c r="IV36" s="3"/>
    </row>
    <row r="37" customFormat="1" ht="14.25" spans="1:256">
      <c r="A37" s="9">
        <v>29</v>
      </c>
      <c r="B37" s="15" t="s">
        <v>42</v>
      </c>
      <c r="C37" s="16"/>
      <c r="D37" s="19">
        <f>D36</f>
        <v>0.015</v>
      </c>
      <c r="E37" s="16"/>
      <c r="F37" s="22">
        <f>C37*D37+E37</f>
        <v>0</v>
      </c>
      <c r="G37" s="16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</row>
    <row r="38" customFormat="1" ht="14.25" spans="1:256">
      <c r="A38" s="9">
        <v>30</v>
      </c>
      <c r="B38" s="15" t="s">
        <v>43</v>
      </c>
      <c r="C38" s="16"/>
      <c r="D38" s="19">
        <f>D37</f>
        <v>0.015</v>
      </c>
      <c r="E38" s="16"/>
      <c r="F38" s="22">
        <f>C38*D38+E38</f>
        <v>0</v>
      </c>
      <c r="G38" s="16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</row>
    <row r="39" customFormat="1" ht="14.25" spans="1:256">
      <c r="A39" s="9">
        <v>31</v>
      </c>
      <c r="B39" s="15" t="s">
        <v>44</v>
      </c>
      <c r="C39" s="16"/>
      <c r="D39" s="19">
        <f>D38</f>
        <v>0.015</v>
      </c>
      <c r="E39" s="16"/>
      <c r="F39" s="22">
        <f>C39*D39+E39</f>
        <v>0</v>
      </c>
      <c r="G39" s="16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/>
    </row>
    <row r="40" customFormat="1" ht="14.25" spans="1:256">
      <c r="A40" s="9">
        <v>32</v>
      </c>
      <c r="B40" s="15" t="s">
        <v>45</v>
      </c>
      <c r="C40" s="16"/>
      <c r="D40" s="19">
        <f>D39</f>
        <v>0.015</v>
      </c>
      <c r="E40" s="16"/>
      <c r="F40" s="22">
        <f>C40*D40+E40</f>
        <v>0</v>
      </c>
      <c r="G40" s="16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  <c r="IP40" s="3"/>
      <c r="IQ40" s="3"/>
      <c r="IR40" s="3"/>
      <c r="IS40" s="3"/>
      <c r="IT40" s="3"/>
      <c r="IU40" s="3"/>
      <c r="IV40" s="3"/>
    </row>
    <row r="41" customFormat="1" ht="14.25" spans="1:256">
      <c r="A41" s="9">
        <v>33</v>
      </c>
      <c r="B41" s="10" t="s">
        <v>46</v>
      </c>
      <c r="C41" s="18">
        <f>C42+C48+C54</f>
        <v>0</v>
      </c>
      <c r="D41" s="12"/>
      <c r="E41" s="18">
        <f>E42+E48+E54</f>
        <v>0</v>
      </c>
      <c r="F41" s="18">
        <f>F42+F48+F54</f>
        <v>0</v>
      </c>
      <c r="G41" s="18">
        <f>G42+G48+G54</f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</row>
    <row r="42" customFormat="1" ht="14.25" spans="1:256">
      <c r="A42" s="9">
        <v>34</v>
      </c>
      <c r="B42" s="13" t="str">
        <f>"  "&amp;LEFT(B41,2)&amp;"1剩余期限不超过1年（含1年）"</f>
        <v>  3.1剩余期限不超过1年（含1年）</v>
      </c>
      <c r="C42" s="11">
        <f>SUM(C43:C47)</f>
        <v>0</v>
      </c>
      <c r="D42" s="14"/>
      <c r="E42" s="11">
        <f>SUM(E43:E47)</f>
        <v>0</v>
      </c>
      <c r="F42" s="11">
        <f>SUM(F43:F47)</f>
        <v>0</v>
      </c>
      <c r="G42" s="11">
        <f>SUM(G43:G47)</f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  <c r="HJ42" s="3"/>
      <c r="HK42" s="3"/>
      <c r="HL42" s="3"/>
      <c r="HM42" s="3"/>
      <c r="HN42" s="3"/>
      <c r="HO42" s="3"/>
      <c r="HP42" s="3"/>
      <c r="HQ42" s="3"/>
      <c r="HR42" s="3"/>
      <c r="HS42" s="3"/>
      <c r="HT42" s="3"/>
      <c r="HU42" s="3"/>
      <c r="HV42" s="3"/>
      <c r="HW42" s="3"/>
      <c r="HX42" s="3"/>
      <c r="HY42" s="3"/>
      <c r="HZ42" s="3"/>
      <c r="IA42" s="3"/>
      <c r="IB42" s="3"/>
      <c r="IC42" s="3"/>
      <c r="ID42" s="3"/>
      <c r="IE42" s="3"/>
      <c r="IF42" s="3"/>
      <c r="IG42" s="3"/>
      <c r="IH42" s="3"/>
      <c r="II42" s="3"/>
      <c r="IJ42" s="3"/>
      <c r="IK42" s="3"/>
      <c r="IL42" s="3"/>
      <c r="IM42" s="3"/>
      <c r="IN42" s="3"/>
      <c r="IO42" s="3"/>
      <c r="IP42" s="3"/>
      <c r="IQ42" s="3"/>
      <c r="IR42" s="3"/>
      <c r="IS42" s="3"/>
      <c r="IT42" s="3"/>
      <c r="IU42" s="3"/>
      <c r="IV42" s="3"/>
    </row>
    <row r="43" customFormat="1" ht="14.25" spans="1:256">
      <c r="A43" s="9">
        <v>35</v>
      </c>
      <c r="B43" s="15" t="s">
        <v>47</v>
      </c>
      <c r="C43" s="16"/>
      <c r="D43" s="19">
        <v>0.01</v>
      </c>
      <c r="E43" s="16"/>
      <c r="F43" s="22">
        <f>C43*D43+E43</f>
        <v>0</v>
      </c>
      <c r="G43" s="16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  <c r="HJ43" s="3"/>
      <c r="HK43" s="3"/>
      <c r="HL43" s="3"/>
      <c r="HM43" s="3"/>
      <c r="HN43" s="3"/>
      <c r="HO43" s="3"/>
      <c r="HP43" s="3"/>
      <c r="HQ43" s="3"/>
      <c r="HR43" s="3"/>
      <c r="HS43" s="3"/>
      <c r="HT43" s="3"/>
      <c r="HU43" s="3"/>
      <c r="HV43" s="3"/>
      <c r="HW43" s="3"/>
      <c r="HX43" s="3"/>
      <c r="HY43" s="3"/>
      <c r="HZ43" s="3"/>
      <c r="IA43" s="3"/>
      <c r="IB43" s="3"/>
      <c r="IC43" s="3"/>
      <c r="ID43" s="3"/>
      <c r="IE43" s="3"/>
      <c r="IF43" s="3"/>
      <c r="IG43" s="3"/>
      <c r="IH43" s="3"/>
      <c r="II43" s="3"/>
      <c r="IJ43" s="3"/>
      <c r="IK43" s="3"/>
      <c r="IL43" s="3"/>
      <c r="IM43" s="3"/>
      <c r="IN43" s="3"/>
      <c r="IO43" s="3"/>
      <c r="IP43" s="3"/>
      <c r="IQ43" s="3"/>
      <c r="IR43" s="3"/>
      <c r="IS43" s="3"/>
      <c r="IT43" s="3"/>
      <c r="IU43" s="3"/>
      <c r="IV43" s="3"/>
    </row>
    <row r="44" customFormat="1" ht="14.25" spans="1:256">
      <c r="A44" s="9">
        <v>36</v>
      </c>
      <c r="B44" s="15" t="s">
        <v>48</v>
      </c>
      <c r="C44" s="16"/>
      <c r="D44" s="19">
        <f>D43</f>
        <v>0.01</v>
      </c>
      <c r="E44" s="16"/>
      <c r="F44" s="22">
        <f>C44*D44+E44</f>
        <v>0</v>
      </c>
      <c r="G44" s="16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3"/>
      <c r="HM44" s="3"/>
      <c r="HN44" s="3"/>
      <c r="HO44" s="3"/>
      <c r="HP44" s="3"/>
      <c r="HQ44" s="3"/>
      <c r="HR44" s="3"/>
      <c r="HS44" s="3"/>
      <c r="HT44" s="3"/>
      <c r="HU44" s="3"/>
      <c r="HV44" s="3"/>
      <c r="HW44" s="3"/>
      <c r="HX44" s="3"/>
      <c r="HY44" s="3"/>
      <c r="HZ44" s="3"/>
      <c r="IA44" s="3"/>
      <c r="IB44" s="3"/>
      <c r="IC44" s="3"/>
      <c r="ID44" s="3"/>
      <c r="IE44" s="3"/>
      <c r="IF44" s="3"/>
      <c r="IG44" s="3"/>
      <c r="IH44" s="3"/>
      <c r="II44" s="3"/>
      <c r="IJ44" s="3"/>
      <c r="IK44" s="3"/>
      <c r="IL44" s="3"/>
      <c r="IM44" s="3"/>
      <c r="IN44" s="3"/>
      <c r="IO44" s="3"/>
      <c r="IP44" s="3"/>
      <c r="IQ44" s="3"/>
      <c r="IR44" s="3"/>
      <c r="IS44" s="3"/>
      <c r="IT44" s="3"/>
      <c r="IU44" s="3"/>
      <c r="IV44" s="3"/>
    </row>
    <row r="45" customFormat="1" ht="14.25" spans="1:256">
      <c r="A45" s="9">
        <v>37</v>
      </c>
      <c r="B45" s="15" t="s">
        <v>49</v>
      </c>
      <c r="C45" s="16"/>
      <c r="D45" s="19">
        <f>D44</f>
        <v>0.01</v>
      </c>
      <c r="E45" s="16"/>
      <c r="F45" s="22">
        <f>C45*D45+E45</f>
        <v>0</v>
      </c>
      <c r="G45" s="16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</row>
    <row r="46" customFormat="1" ht="14.25" spans="1:256">
      <c r="A46" s="9">
        <v>38</v>
      </c>
      <c r="B46" s="15" t="s">
        <v>50</v>
      </c>
      <c r="C46" s="16"/>
      <c r="D46" s="19">
        <f>D45</f>
        <v>0.01</v>
      </c>
      <c r="E46" s="16"/>
      <c r="F46" s="22">
        <f>C46*D46+E46</f>
        <v>0</v>
      </c>
      <c r="G46" s="16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</row>
    <row r="47" customFormat="1" ht="14.25" spans="1:256">
      <c r="A47" s="9">
        <v>39</v>
      </c>
      <c r="B47" s="15" t="s">
        <v>51</v>
      </c>
      <c r="C47" s="16"/>
      <c r="D47" s="19">
        <f>D46</f>
        <v>0.01</v>
      </c>
      <c r="E47" s="16"/>
      <c r="F47" s="22">
        <f>C47*D47+E47</f>
        <v>0</v>
      </c>
      <c r="G47" s="16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  <c r="HJ47" s="3"/>
      <c r="HK47" s="3"/>
      <c r="HL47" s="3"/>
      <c r="HM47" s="3"/>
      <c r="HN47" s="3"/>
      <c r="HO47" s="3"/>
      <c r="HP47" s="3"/>
      <c r="HQ47" s="3"/>
      <c r="HR47" s="3"/>
      <c r="HS47" s="3"/>
      <c r="HT47" s="3"/>
      <c r="HU47" s="3"/>
      <c r="HV47" s="3"/>
      <c r="HW47" s="3"/>
      <c r="HX47" s="3"/>
      <c r="HY47" s="3"/>
      <c r="HZ47" s="3"/>
      <c r="IA47" s="3"/>
      <c r="IB47" s="3"/>
      <c r="IC47" s="3"/>
      <c r="ID47" s="3"/>
      <c r="IE47" s="3"/>
      <c r="IF47" s="3"/>
      <c r="IG47" s="3"/>
      <c r="IH47" s="3"/>
      <c r="II47" s="3"/>
      <c r="IJ47" s="3"/>
      <c r="IK47" s="3"/>
      <c r="IL47" s="3"/>
      <c r="IM47" s="3"/>
      <c r="IN47" s="3"/>
      <c r="IO47" s="3"/>
      <c r="IP47" s="3"/>
      <c r="IQ47" s="3"/>
      <c r="IR47" s="3"/>
      <c r="IS47" s="3"/>
      <c r="IT47" s="3"/>
      <c r="IU47" s="3"/>
      <c r="IV47" s="3"/>
    </row>
    <row r="48" customFormat="1" ht="14.25" spans="1:256">
      <c r="A48" s="9">
        <v>40</v>
      </c>
      <c r="B48" s="13" t="str">
        <f>"  "&amp;LEFT(B41,2)&amp;"2剩余期限在1年以上，5年（含5年）以下"</f>
        <v>  3.2剩余期限在1年以上，5年（含5年）以下</v>
      </c>
      <c r="C48" s="11">
        <f>SUM(C49:C53)</f>
        <v>0</v>
      </c>
      <c r="D48" s="20"/>
      <c r="E48" s="11">
        <f>SUM(E49:E53)</f>
        <v>0</v>
      </c>
      <c r="F48" s="11">
        <f>SUM(F49:F53)</f>
        <v>0</v>
      </c>
      <c r="G48" s="11">
        <f>SUM(G49:G53)</f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/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/>
      <c r="IL48" s="3"/>
      <c r="IM48" s="3"/>
      <c r="IN48" s="3"/>
      <c r="IO48" s="3"/>
      <c r="IP48" s="3"/>
      <c r="IQ48" s="3"/>
      <c r="IR48" s="3"/>
      <c r="IS48" s="3"/>
      <c r="IT48" s="3"/>
      <c r="IU48" s="3"/>
      <c r="IV48" s="3"/>
    </row>
    <row r="49" customFormat="1" ht="14.25" spans="1:256">
      <c r="A49" s="9">
        <v>41</v>
      </c>
      <c r="B49" s="15" t="s">
        <v>52</v>
      </c>
      <c r="C49" s="16"/>
      <c r="D49" s="19">
        <v>0.05</v>
      </c>
      <c r="E49" s="16"/>
      <c r="F49" s="22">
        <f>C49*D49+E49</f>
        <v>0</v>
      </c>
      <c r="G49" s="16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  <c r="HJ49" s="3"/>
      <c r="HK49" s="3"/>
      <c r="HL49" s="3"/>
      <c r="HM49" s="3"/>
      <c r="HN49" s="3"/>
      <c r="HO49" s="3"/>
      <c r="HP49" s="3"/>
      <c r="HQ49" s="3"/>
      <c r="HR49" s="3"/>
      <c r="HS49" s="3"/>
      <c r="HT49" s="3"/>
      <c r="HU49" s="3"/>
      <c r="HV49" s="3"/>
      <c r="HW49" s="3"/>
      <c r="HX49" s="3"/>
      <c r="HY49" s="3"/>
      <c r="HZ49" s="3"/>
      <c r="IA49" s="3"/>
      <c r="IB49" s="3"/>
      <c r="IC49" s="3"/>
      <c r="ID49" s="3"/>
      <c r="IE49" s="3"/>
      <c r="IF49" s="3"/>
      <c r="IG49" s="3"/>
      <c r="IH49" s="3"/>
      <c r="II49" s="3"/>
      <c r="IJ49" s="3"/>
      <c r="IK49" s="3"/>
      <c r="IL49" s="3"/>
      <c r="IM49" s="3"/>
      <c r="IN49" s="3"/>
      <c r="IO49" s="3"/>
      <c r="IP49" s="3"/>
      <c r="IQ49" s="3"/>
      <c r="IR49" s="3"/>
      <c r="IS49" s="3"/>
      <c r="IT49" s="3"/>
      <c r="IU49" s="3"/>
      <c r="IV49" s="3"/>
    </row>
    <row r="50" customFormat="1" ht="14.25" spans="1:256">
      <c r="A50" s="9">
        <v>42</v>
      </c>
      <c r="B50" s="15" t="s">
        <v>53</v>
      </c>
      <c r="C50" s="16"/>
      <c r="D50" s="19">
        <f>D49</f>
        <v>0.05</v>
      </c>
      <c r="E50" s="16"/>
      <c r="F50" s="22">
        <f>C50*D50+E50</f>
        <v>0</v>
      </c>
      <c r="G50" s="16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/>
      <c r="HV50" s="3"/>
      <c r="HW50" s="3"/>
      <c r="HX50" s="3"/>
      <c r="HY50" s="3"/>
      <c r="HZ50" s="3"/>
      <c r="IA50" s="3"/>
      <c r="IB50" s="3"/>
      <c r="IC50" s="3"/>
      <c r="ID50" s="3"/>
      <c r="IE50" s="3"/>
      <c r="IF50" s="3"/>
      <c r="IG50" s="3"/>
      <c r="IH50" s="3"/>
      <c r="II50" s="3"/>
      <c r="IJ50" s="3"/>
      <c r="IK50" s="3"/>
      <c r="IL50" s="3"/>
      <c r="IM50" s="3"/>
      <c r="IN50" s="3"/>
      <c r="IO50" s="3"/>
      <c r="IP50" s="3"/>
      <c r="IQ50" s="3"/>
      <c r="IR50" s="3"/>
      <c r="IS50" s="3"/>
      <c r="IT50" s="3"/>
      <c r="IU50" s="3"/>
      <c r="IV50" s="3"/>
    </row>
    <row r="51" customFormat="1" ht="14.25" spans="1:256">
      <c r="A51" s="9">
        <v>43</v>
      </c>
      <c r="B51" s="15" t="s">
        <v>54</v>
      </c>
      <c r="C51" s="16"/>
      <c r="D51" s="19">
        <f>D50</f>
        <v>0.05</v>
      </c>
      <c r="E51" s="16"/>
      <c r="F51" s="22">
        <f>C51*D51+E51</f>
        <v>0</v>
      </c>
      <c r="G51" s="16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  <c r="HJ51" s="3"/>
      <c r="HK51" s="3"/>
      <c r="HL51" s="3"/>
      <c r="HM51" s="3"/>
      <c r="HN51" s="3"/>
      <c r="HO51" s="3"/>
      <c r="HP51" s="3"/>
      <c r="HQ51" s="3"/>
      <c r="HR51" s="3"/>
      <c r="HS51" s="3"/>
      <c r="HT51" s="3"/>
      <c r="HU51" s="3"/>
      <c r="HV51" s="3"/>
      <c r="HW51" s="3"/>
      <c r="HX51" s="3"/>
      <c r="HY51" s="3"/>
      <c r="HZ51" s="3"/>
      <c r="IA51" s="3"/>
      <c r="IB51" s="3"/>
      <c r="IC51" s="3"/>
      <c r="ID51" s="3"/>
      <c r="IE51" s="3"/>
      <c r="IF51" s="3"/>
      <c r="IG51" s="3"/>
      <c r="IH51" s="3"/>
      <c r="II51" s="3"/>
      <c r="IJ51" s="3"/>
      <c r="IK51" s="3"/>
      <c r="IL51" s="3"/>
      <c r="IM51" s="3"/>
      <c r="IN51" s="3"/>
      <c r="IO51" s="3"/>
      <c r="IP51" s="3"/>
      <c r="IQ51" s="3"/>
      <c r="IR51" s="3"/>
      <c r="IS51" s="3"/>
      <c r="IT51" s="3"/>
      <c r="IU51" s="3"/>
      <c r="IV51" s="3"/>
    </row>
    <row r="52" customFormat="1" ht="14.25" spans="1:256">
      <c r="A52" s="9">
        <v>44</v>
      </c>
      <c r="B52" s="15" t="s">
        <v>55</v>
      </c>
      <c r="C52" s="16"/>
      <c r="D52" s="19">
        <f>D51</f>
        <v>0.05</v>
      </c>
      <c r="E52" s="16"/>
      <c r="F52" s="22">
        <f>C52*D52+E52</f>
        <v>0</v>
      </c>
      <c r="G52" s="16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/>
      <c r="HQ52" s="3"/>
      <c r="HR52" s="3"/>
      <c r="HS52" s="3"/>
      <c r="HT52" s="3"/>
      <c r="HU52" s="3"/>
      <c r="HV52" s="3"/>
      <c r="HW52" s="3"/>
      <c r="HX52" s="3"/>
      <c r="HY52" s="3"/>
      <c r="HZ52" s="3"/>
      <c r="IA52" s="3"/>
      <c r="IB52" s="3"/>
      <c r="IC52" s="3"/>
      <c r="ID52" s="3"/>
      <c r="IE52" s="3"/>
      <c r="IF52" s="3"/>
      <c r="IG52" s="3"/>
      <c r="IH52" s="3"/>
      <c r="II52" s="3"/>
      <c r="IJ52" s="3"/>
      <c r="IK52" s="3"/>
      <c r="IL52" s="3"/>
      <c r="IM52" s="3"/>
      <c r="IN52" s="3"/>
      <c r="IO52" s="3"/>
      <c r="IP52" s="3"/>
      <c r="IQ52" s="3"/>
      <c r="IR52" s="3"/>
      <c r="IS52" s="3"/>
      <c r="IT52" s="3"/>
      <c r="IU52" s="3"/>
      <c r="IV52" s="3"/>
    </row>
    <row r="53" customFormat="1" ht="14.25" spans="1:256">
      <c r="A53" s="9">
        <v>45</v>
      </c>
      <c r="B53" s="15" t="s">
        <v>56</v>
      </c>
      <c r="C53" s="16"/>
      <c r="D53" s="19">
        <f>D52</f>
        <v>0.05</v>
      </c>
      <c r="E53" s="16"/>
      <c r="F53" s="22">
        <f>C53*D53+E53</f>
        <v>0</v>
      </c>
      <c r="G53" s="16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  <c r="HJ53" s="3"/>
      <c r="HK53" s="3"/>
      <c r="HL53" s="3"/>
      <c r="HM53" s="3"/>
      <c r="HN53" s="3"/>
      <c r="HO53" s="3"/>
      <c r="HP53" s="3"/>
      <c r="HQ53" s="3"/>
      <c r="HR53" s="3"/>
      <c r="HS53" s="3"/>
      <c r="HT53" s="3"/>
      <c r="HU53" s="3"/>
      <c r="HV53" s="3"/>
      <c r="HW53" s="3"/>
      <c r="HX53" s="3"/>
      <c r="HY53" s="3"/>
      <c r="HZ53" s="3"/>
      <c r="IA53" s="3"/>
      <c r="IB53" s="3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3"/>
      <c r="IP53" s="3"/>
      <c r="IQ53" s="3"/>
      <c r="IR53" s="3"/>
      <c r="IS53" s="3"/>
      <c r="IT53" s="3"/>
      <c r="IU53" s="3"/>
      <c r="IV53" s="3"/>
    </row>
    <row r="54" customFormat="1" ht="14.25" spans="1:256">
      <c r="A54" s="9">
        <v>46</v>
      </c>
      <c r="B54" s="13" t="str">
        <f>"  "&amp;LEFT(B41,2)&amp;"3剩余期限在5年以上"</f>
        <v>  3.3剩余期限在5年以上</v>
      </c>
      <c r="C54" s="11">
        <f>SUM(C55:C59)</f>
        <v>0</v>
      </c>
      <c r="D54" s="20"/>
      <c r="E54" s="11">
        <f>SUM(E55:E59)</f>
        <v>0</v>
      </c>
      <c r="F54" s="11">
        <f>SUM(F55:F59)</f>
        <v>0</v>
      </c>
      <c r="G54" s="11">
        <f>SUM(G55:G59)</f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  <c r="HJ54" s="3"/>
      <c r="HK54" s="3"/>
      <c r="HL54" s="3"/>
      <c r="HM54" s="3"/>
      <c r="HN54" s="3"/>
      <c r="HO54" s="3"/>
      <c r="HP54" s="3"/>
      <c r="HQ54" s="3"/>
      <c r="HR54" s="3"/>
      <c r="HS54" s="3"/>
      <c r="HT54" s="3"/>
      <c r="HU54" s="3"/>
      <c r="HV54" s="3"/>
      <c r="HW54" s="3"/>
      <c r="HX54" s="3"/>
      <c r="HY54" s="3"/>
      <c r="HZ54" s="3"/>
      <c r="IA54" s="3"/>
      <c r="IB54" s="3"/>
      <c r="IC54" s="3"/>
      <c r="ID54" s="3"/>
      <c r="IE54" s="3"/>
      <c r="IF54" s="3"/>
      <c r="IG54" s="3"/>
      <c r="IH54" s="3"/>
      <c r="II54" s="3"/>
      <c r="IJ54" s="3"/>
      <c r="IK54" s="3"/>
      <c r="IL54" s="3"/>
      <c r="IM54" s="3"/>
      <c r="IN54" s="3"/>
      <c r="IO54" s="3"/>
      <c r="IP54" s="3"/>
      <c r="IQ54" s="3"/>
      <c r="IR54" s="3"/>
      <c r="IS54" s="3"/>
      <c r="IT54" s="3"/>
      <c r="IU54" s="3"/>
      <c r="IV54" s="3"/>
    </row>
    <row r="55" customFormat="1" ht="14.25" spans="1:256">
      <c r="A55" s="9">
        <v>47</v>
      </c>
      <c r="B55" s="15" t="s">
        <v>57</v>
      </c>
      <c r="C55" s="16"/>
      <c r="D55" s="19">
        <v>0.075</v>
      </c>
      <c r="E55" s="16"/>
      <c r="F55" s="22">
        <f>C55*D55+E55</f>
        <v>0</v>
      </c>
      <c r="G55" s="16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  <c r="HU55" s="3"/>
      <c r="HV55" s="3"/>
      <c r="HW55" s="3"/>
      <c r="HX55" s="3"/>
      <c r="HY55" s="3"/>
      <c r="HZ55" s="3"/>
      <c r="IA55" s="3"/>
      <c r="IB55" s="3"/>
      <c r="IC55" s="3"/>
      <c r="ID55" s="3"/>
      <c r="IE55" s="3"/>
      <c r="IF55" s="3"/>
      <c r="IG55" s="3"/>
      <c r="IH55" s="3"/>
      <c r="II55" s="3"/>
      <c r="IJ55" s="3"/>
      <c r="IK55" s="3"/>
      <c r="IL55" s="3"/>
      <c r="IM55" s="3"/>
      <c r="IN55" s="3"/>
      <c r="IO55" s="3"/>
      <c r="IP55" s="3"/>
      <c r="IQ55" s="3"/>
      <c r="IR55" s="3"/>
      <c r="IS55" s="3"/>
      <c r="IT55" s="3"/>
      <c r="IU55" s="3"/>
      <c r="IV55" s="3"/>
    </row>
    <row r="56" customFormat="1" ht="14.25" spans="1:256">
      <c r="A56" s="9">
        <v>48</v>
      </c>
      <c r="B56" s="15" t="s">
        <v>58</v>
      </c>
      <c r="C56" s="16"/>
      <c r="D56" s="19">
        <f>D55</f>
        <v>0.075</v>
      </c>
      <c r="E56" s="16"/>
      <c r="F56" s="22">
        <f>C56*D56+E56</f>
        <v>0</v>
      </c>
      <c r="G56" s="16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  <c r="HU56" s="3"/>
      <c r="HV56" s="3"/>
      <c r="HW56" s="3"/>
      <c r="HX56" s="3"/>
      <c r="HY56" s="3"/>
      <c r="HZ56" s="3"/>
      <c r="IA56" s="3"/>
      <c r="IB56" s="3"/>
      <c r="IC56" s="3"/>
      <c r="ID56" s="3"/>
      <c r="IE56" s="3"/>
      <c r="IF56" s="3"/>
      <c r="IG56" s="3"/>
      <c r="IH56" s="3"/>
      <c r="II56" s="3"/>
      <c r="IJ56" s="3"/>
      <c r="IK56" s="3"/>
      <c r="IL56" s="3"/>
      <c r="IM56" s="3"/>
      <c r="IN56" s="3"/>
      <c r="IO56" s="3"/>
      <c r="IP56" s="3"/>
      <c r="IQ56" s="3"/>
      <c r="IR56" s="3"/>
      <c r="IS56" s="3"/>
      <c r="IT56" s="3"/>
      <c r="IU56" s="3"/>
      <c r="IV56" s="3"/>
    </row>
    <row r="57" customFormat="1" ht="14.25" spans="1:256">
      <c r="A57" s="9">
        <v>49</v>
      </c>
      <c r="B57" s="15" t="s">
        <v>59</v>
      </c>
      <c r="C57" s="16"/>
      <c r="D57" s="19">
        <f>D56</f>
        <v>0.075</v>
      </c>
      <c r="E57" s="16"/>
      <c r="F57" s="22">
        <f>C57*D57+E57</f>
        <v>0</v>
      </c>
      <c r="G57" s="16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  <c r="HT57" s="3"/>
      <c r="HU57" s="3"/>
      <c r="HV57" s="3"/>
      <c r="HW57" s="3"/>
      <c r="HX57" s="3"/>
      <c r="HY57" s="3"/>
      <c r="HZ57" s="3"/>
      <c r="IA57" s="3"/>
      <c r="IB57" s="3"/>
      <c r="IC57" s="3"/>
      <c r="ID57" s="3"/>
      <c r="IE57" s="3"/>
      <c r="IF57" s="3"/>
      <c r="IG57" s="3"/>
      <c r="IH57" s="3"/>
      <c r="II57" s="3"/>
      <c r="IJ57" s="3"/>
      <c r="IK57" s="3"/>
      <c r="IL57" s="3"/>
      <c r="IM57" s="3"/>
      <c r="IN57" s="3"/>
      <c r="IO57" s="3"/>
      <c r="IP57" s="3"/>
      <c r="IQ57" s="3"/>
      <c r="IR57" s="3"/>
      <c r="IS57" s="3"/>
      <c r="IT57" s="3"/>
      <c r="IU57" s="3"/>
      <c r="IV57" s="3"/>
    </row>
    <row r="58" customFormat="1" ht="14.25" spans="1:256">
      <c r="A58" s="9">
        <v>50</v>
      </c>
      <c r="B58" s="15" t="s">
        <v>60</v>
      </c>
      <c r="C58" s="16"/>
      <c r="D58" s="19">
        <f>D57</f>
        <v>0.075</v>
      </c>
      <c r="E58" s="16"/>
      <c r="F58" s="22">
        <f>C58*D58+E58</f>
        <v>0</v>
      </c>
      <c r="G58" s="16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  <c r="HJ58" s="3"/>
      <c r="HK58" s="3"/>
      <c r="HL58" s="3"/>
      <c r="HM58" s="3"/>
      <c r="HN58" s="3"/>
      <c r="HO58" s="3"/>
      <c r="HP58" s="3"/>
      <c r="HQ58" s="3"/>
      <c r="HR58" s="3"/>
      <c r="HS58" s="3"/>
      <c r="HT58" s="3"/>
      <c r="HU58" s="3"/>
      <c r="HV58" s="3"/>
      <c r="HW58" s="3"/>
      <c r="HX58" s="3"/>
      <c r="HY58" s="3"/>
      <c r="HZ58" s="3"/>
      <c r="IA58" s="3"/>
      <c r="IB58" s="3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3"/>
      <c r="IP58" s="3"/>
      <c r="IQ58" s="3"/>
      <c r="IR58" s="3"/>
      <c r="IS58" s="3"/>
      <c r="IT58" s="3"/>
      <c r="IU58" s="3"/>
      <c r="IV58" s="3"/>
    </row>
    <row r="59" customFormat="1" ht="14.25" spans="1:256">
      <c r="A59" s="9">
        <v>51</v>
      </c>
      <c r="B59" s="15" t="s">
        <v>61</v>
      </c>
      <c r="C59" s="16"/>
      <c r="D59" s="19">
        <f>D58</f>
        <v>0.075</v>
      </c>
      <c r="E59" s="16"/>
      <c r="F59" s="22">
        <f>C59*D59+E59</f>
        <v>0</v>
      </c>
      <c r="G59" s="16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  <c r="HJ59" s="3"/>
      <c r="HK59" s="3"/>
      <c r="HL59" s="3"/>
      <c r="HM59" s="3"/>
      <c r="HN59" s="3"/>
      <c r="HO59" s="3"/>
      <c r="HP59" s="3"/>
      <c r="HQ59" s="3"/>
      <c r="HR59" s="3"/>
      <c r="HS59" s="3"/>
      <c r="HT59" s="3"/>
      <c r="HU59" s="3"/>
      <c r="HV59" s="3"/>
      <c r="HW59" s="3"/>
      <c r="HX59" s="3"/>
      <c r="HY59" s="3"/>
      <c r="HZ59" s="3"/>
      <c r="IA59" s="3"/>
      <c r="IB59" s="3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3"/>
      <c r="IP59" s="3"/>
      <c r="IQ59" s="3"/>
      <c r="IR59" s="3"/>
      <c r="IS59" s="3"/>
      <c r="IT59" s="3"/>
      <c r="IU59" s="3"/>
      <c r="IV59" s="3"/>
    </row>
    <row r="60" customFormat="1" ht="14.25" spans="1:256">
      <c r="A60" s="9">
        <v>52</v>
      </c>
      <c r="B60" s="10" t="s">
        <v>62</v>
      </c>
      <c r="C60" s="18">
        <f>C61+C67+C73</f>
        <v>0</v>
      </c>
      <c r="D60" s="12"/>
      <c r="E60" s="18">
        <f>E61+E67+E73</f>
        <v>0</v>
      </c>
      <c r="F60" s="18">
        <f>F61+F67+F73</f>
        <v>0</v>
      </c>
      <c r="G60" s="18">
        <f>G61+G67+G73</f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/>
      <c r="HM60" s="3"/>
      <c r="HN60" s="3"/>
      <c r="HO60" s="3"/>
      <c r="HP60" s="3"/>
      <c r="HQ60" s="3"/>
      <c r="HR60" s="3"/>
      <c r="HS60" s="3"/>
      <c r="HT60" s="3"/>
      <c r="HU60" s="3"/>
      <c r="HV60" s="3"/>
      <c r="HW60" s="3"/>
      <c r="HX60" s="3"/>
      <c r="HY60" s="3"/>
      <c r="HZ60" s="3"/>
      <c r="IA60" s="3"/>
      <c r="IB60" s="3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3"/>
      <c r="IP60" s="3"/>
      <c r="IQ60" s="3"/>
      <c r="IR60" s="3"/>
      <c r="IS60" s="3"/>
      <c r="IT60" s="3"/>
      <c r="IU60" s="3"/>
      <c r="IV60" s="3"/>
    </row>
    <row r="61" customFormat="1" ht="14.25" spans="1:256">
      <c r="A61" s="9">
        <v>53</v>
      </c>
      <c r="B61" s="13" t="str">
        <f>"  "&amp;LEFT(B60,2)&amp;"1剩余期限不超过1年（含1年）"</f>
        <v>  4.1剩余期限不超过1年（含1年）</v>
      </c>
      <c r="C61" s="11">
        <f>SUM(C62:C66)</f>
        <v>0</v>
      </c>
      <c r="D61" s="14"/>
      <c r="E61" s="11">
        <f>SUM(E62:E66)</f>
        <v>0</v>
      </c>
      <c r="F61" s="11">
        <f>SUM(F62:F66)</f>
        <v>0</v>
      </c>
      <c r="G61" s="11">
        <f>SUM(G62:G66)</f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R61" s="3"/>
      <c r="HS61" s="3"/>
      <c r="HT61" s="3"/>
      <c r="HU61" s="3"/>
      <c r="HV61" s="3"/>
      <c r="HW61" s="3"/>
      <c r="HX61" s="3"/>
      <c r="HY61" s="3"/>
      <c r="HZ61" s="3"/>
      <c r="IA61" s="3"/>
      <c r="IB61" s="3"/>
      <c r="IC61" s="3"/>
      <c r="ID61" s="3"/>
      <c r="IE61" s="3"/>
      <c r="IF61" s="3"/>
      <c r="IG61" s="3"/>
      <c r="IH61" s="3"/>
      <c r="II61" s="3"/>
      <c r="IJ61" s="3"/>
      <c r="IK61" s="3"/>
      <c r="IL61" s="3"/>
      <c r="IM61" s="3"/>
      <c r="IN61" s="3"/>
      <c r="IO61" s="3"/>
      <c r="IP61" s="3"/>
      <c r="IQ61" s="3"/>
      <c r="IR61" s="3"/>
      <c r="IS61" s="3"/>
      <c r="IT61" s="3"/>
      <c r="IU61" s="3"/>
      <c r="IV61" s="3"/>
    </row>
    <row r="62" customFormat="1" ht="14.25" spans="1:256">
      <c r="A62" s="9">
        <v>54</v>
      </c>
      <c r="B62" s="15" t="s">
        <v>63</v>
      </c>
      <c r="C62" s="16"/>
      <c r="D62" s="19">
        <v>0.06</v>
      </c>
      <c r="E62" s="16"/>
      <c r="F62" s="22">
        <f>C62*D62+E62</f>
        <v>0</v>
      </c>
      <c r="G62" s="16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3"/>
      <c r="HR62" s="3"/>
      <c r="HS62" s="3"/>
      <c r="HT62" s="3"/>
      <c r="HU62" s="3"/>
      <c r="HV62" s="3"/>
      <c r="HW62" s="3"/>
      <c r="HX62" s="3"/>
      <c r="HY62" s="3"/>
      <c r="HZ62" s="3"/>
      <c r="IA62" s="3"/>
      <c r="IB62" s="3"/>
      <c r="IC62" s="3"/>
      <c r="ID62" s="3"/>
      <c r="IE62" s="3"/>
      <c r="IF62" s="3"/>
      <c r="IG62" s="3"/>
      <c r="IH62" s="3"/>
      <c r="II62" s="3"/>
      <c r="IJ62" s="3"/>
      <c r="IK62" s="3"/>
      <c r="IL62" s="3"/>
      <c r="IM62" s="3"/>
      <c r="IN62" s="3"/>
      <c r="IO62" s="3"/>
      <c r="IP62" s="3"/>
      <c r="IQ62" s="3"/>
      <c r="IR62" s="3"/>
      <c r="IS62" s="3"/>
      <c r="IT62" s="3"/>
      <c r="IU62" s="3"/>
      <c r="IV62" s="3"/>
    </row>
    <row r="63" customFormat="1" ht="14.25" spans="1:256">
      <c r="A63" s="9">
        <v>55</v>
      </c>
      <c r="B63" s="15" t="s">
        <v>64</v>
      </c>
      <c r="C63" s="16"/>
      <c r="D63" s="19">
        <f>D62</f>
        <v>0.06</v>
      </c>
      <c r="E63" s="16"/>
      <c r="F63" s="22">
        <f>C63*D63+E63</f>
        <v>0</v>
      </c>
      <c r="G63" s="16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3"/>
      <c r="HQ63" s="3"/>
      <c r="HR63" s="3"/>
      <c r="HS63" s="3"/>
      <c r="HT63" s="3"/>
      <c r="HU63" s="3"/>
      <c r="HV63" s="3"/>
      <c r="HW63" s="3"/>
      <c r="HX63" s="3"/>
      <c r="HY63" s="3"/>
      <c r="HZ63" s="3"/>
      <c r="IA63" s="3"/>
      <c r="IB63" s="3"/>
      <c r="IC63" s="3"/>
      <c r="ID63" s="3"/>
      <c r="IE63" s="3"/>
      <c r="IF63" s="3"/>
      <c r="IG63" s="3"/>
      <c r="IH63" s="3"/>
      <c r="II63" s="3"/>
      <c r="IJ63" s="3"/>
      <c r="IK63" s="3"/>
      <c r="IL63" s="3"/>
      <c r="IM63" s="3"/>
      <c r="IN63" s="3"/>
      <c r="IO63" s="3"/>
      <c r="IP63" s="3"/>
      <c r="IQ63" s="3"/>
      <c r="IR63" s="3"/>
      <c r="IS63" s="3"/>
      <c r="IT63" s="3"/>
      <c r="IU63" s="3"/>
      <c r="IV63" s="3"/>
    </row>
    <row r="64" customFormat="1" ht="14.25" spans="1:256">
      <c r="A64" s="9">
        <v>56</v>
      </c>
      <c r="B64" s="15" t="s">
        <v>65</v>
      </c>
      <c r="C64" s="16"/>
      <c r="D64" s="19">
        <f>D63</f>
        <v>0.06</v>
      </c>
      <c r="E64" s="16"/>
      <c r="F64" s="22">
        <f>C64*D64+E64</f>
        <v>0</v>
      </c>
      <c r="G64" s="16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/>
      <c r="HP64" s="3"/>
      <c r="HQ64" s="3"/>
      <c r="HR64" s="3"/>
      <c r="HS64" s="3"/>
      <c r="HT64" s="3"/>
      <c r="HU64" s="3"/>
      <c r="HV64" s="3"/>
      <c r="HW64" s="3"/>
      <c r="HX64" s="3"/>
      <c r="HY64" s="3"/>
      <c r="HZ64" s="3"/>
      <c r="IA64" s="3"/>
      <c r="IB64" s="3"/>
      <c r="IC64" s="3"/>
      <c r="ID64" s="3"/>
      <c r="IE64" s="3"/>
      <c r="IF64" s="3"/>
      <c r="IG64" s="3"/>
      <c r="IH64" s="3"/>
      <c r="II64" s="3"/>
      <c r="IJ64" s="3"/>
      <c r="IK64" s="3"/>
      <c r="IL64" s="3"/>
      <c r="IM64" s="3"/>
      <c r="IN64" s="3"/>
      <c r="IO64" s="3"/>
      <c r="IP64" s="3"/>
      <c r="IQ64" s="3"/>
      <c r="IR64" s="3"/>
      <c r="IS64" s="3"/>
      <c r="IT64" s="3"/>
      <c r="IU64" s="3"/>
      <c r="IV64" s="3"/>
    </row>
    <row r="65" customFormat="1" ht="14.25" spans="1:256">
      <c r="A65" s="9">
        <v>57</v>
      </c>
      <c r="B65" s="15" t="s">
        <v>66</v>
      </c>
      <c r="C65" s="16"/>
      <c r="D65" s="19">
        <f>D64</f>
        <v>0.06</v>
      </c>
      <c r="E65" s="16"/>
      <c r="F65" s="22">
        <f>C65*D65+E65</f>
        <v>0</v>
      </c>
      <c r="G65" s="16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3"/>
      <c r="HR65" s="3"/>
      <c r="HS65" s="3"/>
      <c r="HT65" s="3"/>
      <c r="HU65" s="3"/>
      <c r="HV65" s="3"/>
      <c r="HW65" s="3"/>
      <c r="HX65" s="3"/>
      <c r="HY65" s="3"/>
      <c r="HZ65" s="3"/>
      <c r="IA65" s="3"/>
      <c r="IB65" s="3"/>
      <c r="IC65" s="3"/>
      <c r="ID65" s="3"/>
      <c r="IE65" s="3"/>
      <c r="IF65" s="3"/>
      <c r="IG65" s="3"/>
      <c r="IH65" s="3"/>
      <c r="II65" s="3"/>
      <c r="IJ65" s="3"/>
      <c r="IK65" s="3"/>
      <c r="IL65" s="3"/>
      <c r="IM65" s="3"/>
      <c r="IN65" s="3"/>
      <c r="IO65" s="3"/>
      <c r="IP65" s="3"/>
      <c r="IQ65" s="3"/>
      <c r="IR65" s="3"/>
      <c r="IS65" s="3"/>
      <c r="IT65" s="3"/>
      <c r="IU65" s="3"/>
      <c r="IV65" s="3"/>
    </row>
    <row r="66" customFormat="1" ht="14.25" spans="1:256">
      <c r="A66" s="9">
        <v>58</v>
      </c>
      <c r="B66" s="15" t="s">
        <v>67</v>
      </c>
      <c r="C66" s="16"/>
      <c r="D66" s="19">
        <f>D65</f>
        <v>0.06</v>
      </c>
      <c r="E66" s="16"/>
      <c r="F66" s="22">
        <f>C66*D66+E66</f>
        <v>0</v>
      </c>
      <c r="G66" s="16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  <c r="HJ66" s="3"/>
      <c r="HK66" s="3"/>
      <c r="HL66" s="3"/>
      <c r="HM66" s="3"/>
      <c r="HN66" s="3"/>
      <c r="HO66" s="3"/>
      <c r="HP66" s="3"/>
      <c r="HQ66" s="3"/>
      <c r="HR66" s="3"/>
      <c r="HS66" s="3"/>
      <c r="HT66" s="3"/>
      <c r="HU66" s="3"/>
      <c r="HV66" s="3"/>
      <c r="HW66" s="3"/>
      <c r="HX66" s="3"/>
      <c r="HY66" s="3"/>
      <c r="HZ66" s="3"/>
      <c r="IA66" s="3"/>
      <c r="IB66" s="3"/>
      <c r="IC66" s="3"/>
      <c r="ID66" s="3"/>
      <c r="IE66" s="3"/>
      <c r="IF66" s="3"/>
      <c r="IG66" s="3"/>
      <c r="IH66" s="3"/>
      <c r="II66" s="3"/>
      <c r="IJ66" s="3"/>
      <c r="IK66" s="3"/>
      <c r="IL66" s="3"/>
      <c r="IM66" s="3"/>
      <c r="IN66" s="3"/>
      <c r="IO66" s="3"/>
      <c r="IP66" s="3"/>
      <c r="IQ66" s="3"/>
      <c r="IR66" s="3"/>
      <c r="IS66" s="3"/>
      <c r="IT66" s="3"/>
      <c r="IU66" s="3"/>
      <c r="IV66" s="3"/>
    </row>
    <row r="67" customFormat="1" ht="14.25" spans="1:256">
      <c r="A67" s="9">
        <v>59</v>
      </c>
      <c r="B67" s="13" t="str">
        <f>"  "&amp;LEFT(B60,2)&amp;"2剩余期限在1年以上，5年（含5年）以下"</f>
        <v>  4.2剩余期限在1年以上，5年（含5年）以下</v>
      </c>
      <c r="C67" s="11">
        <f>SUM(C68:C72)</f>
        <v>0</v>
      </c>
      <c r="D67" s="14"/>
      <c r="E67" s="11">
        <f>SUM(E68:E72)</f>
        <v>0</v>
      </c>
      <c r="F67" s="11">
        <f>SUM(F68:F72)</f>
        <v>0</v>
      </c>
      <c r="G67" s="11">
        <f>SUM(G68:G72)</f>
        <v>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  <c r="IA67" s="3"/>
      <c r="IB67" s="3"/>
      <c r="IC67" s="3"/>
      <c r="ID67" s="3"/>
      <c r="IE67" s="3"/>
      <c r="IF67" s="3"/>
      <c r="IG67" s="3"/>
      <c r="IH67" s="3"/>
      <c r="II67" s="3"/>
      <c r="IJ67" s="3"/>
      <c r="IK67" s="3"/>
      <c r="IL67" s="3"/>
      <c r="IM67" s="3"/>
      <c r="IN67" s="3"/>
      <c r="IO67" s="3"/>
      <c r="IP67" s="3"/>
      <c r="IQ67" s="3"/>
      <c r="IR67" s="3"/>
      <c r="IS67" s="3"/>
      <c r="IT67" s="3"/>
      <c r="IU67" s="3"/>
      <c r="IV67" s="3"/>
    </row>
    <row r="68" customFormat="1" ht="14.25" spans="1:256">
      <c r="A68" s="9">
        <v>60</v>
      </c>
      <c r="B68" s="15" t="s">
        <v>68</v>
      </c>
      <c r="C68" s="16"/>
      <c r="D68" s="19">
        <v>0.08</v>
      </c>
      <c r="E68" s="16"/>
      <c r="F68" s="22">
        <f>C68*D68+E68</f>
        <v>0</v>
      </c>
      <c r="G68" s="16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  <c r="IA68" s="3"/>
      <c r="IB68" s="3"/>
      <c r="IC68" s="3"/>
      <c r="ID68" s="3"/>
      <c r="IE68" s="3"/>
      <c r="IF68" s="3"/>
      <c r="IG68" s="3"/>
      <c r="IH68" s="3"/>
      <c r="II68" s="3"/>
      <c r="IJ68" s="3"/>
      <c r="IK68" s="3"/>
      <c r="IL68" s="3"/>
      <c r="IM68" s="3"/>
      <c r="IN68" s="3"/>
      <c r="IO68" s="3"/>
      <c r="IP68" s="3"/>
      <c r="IQ68" s="3"/>
      <c r="IR68" s="3"/>
      <c r="IS68" s="3"/>
      <c r="IT68" s="3"/>
      <c r="IU68" s="3"/>
      <c r="IV68" s="3"/>
    </row>
    <row r="69" customFormat="1" ht="14.25" spans="1:256">
      <c r="A69" s="9">
        <v>61</v>
      </c>
      <c r="B69" s="15" t="s">
        <v>69</v>
      </c>
      <c r="C69" s="16"/>
      <c r="D69" s="19">
        <f>D68</f>
        <v>0.08</v>
      </c>
      <c r="E69" s="16"/>
      <c r="F69" s="22">
        <f>C69*D69+E69</f>
        <v>0</v>
      </c>
      <c r="G69" s="16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  <c r="IA69" s="3"/>
      <c r="IB69" s="3"/>
      <c r="IC69" s="3"/>
      <c r="ID69" s="3"/>
      <c r="IE69" s="3"/>
      <c r="IF69" s="3"/>
      <c r="IG69" s="3"/>
      <c r="IH69" s="3"/>
      <c r="II69" s="3"/>
      <c r="IJ69" s="3"/>
      <c r="IK69" s="3"/>
      <c r="IL69" s="3"/>
      <c r="IM69" s="3"/>
      <c r="IN69" s="3"/>
      <c r="IO69" s="3"/>
      <c r="IP69" s="3"/>
      <c r="IQ69" s="3"/>
      <c r="IR69" s="3"/>
      <c r="IS69" s="3"/>
      <c r="IT69" s="3"/>
      <c r="IU69" s="3"/>
      <c r="IV69" s="3"/>
    </row>
    <row r="70" customFormat="1" ht="14.25" spans="1:256">
      <c r="A70" s="9">
        <v>62</v>
      </c>
      <c r="B70" s="15" t="s">
        <v>70</v>
      </c>
      <c r="C70" s="16"/>
      <c r="D70" s="19">
        <f>D69</f>
        <v>0.08</v>
      </c>
      <c r="E70" s="16"/>
      <c r="F70" s="22">
        <f>C70*D70+E70</f>
        <v>0</v>
      </c>
      <c r="G70" s="16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  <c r="IA70" s="3"/>
      <c r="IB70" s="3"/>
      <c r="IC70" s="3"/>
      <c r="ID70" s="3"/>
      <c r="IE70" s="3"/>
      <c r="IF70" s="3"/>
      <c r="IG70" s="3"/>
      <c r="IH70" s="3"/>
      <c r="II70" s="3"/>
      <c r="IJ70" s="3"/>
      <c r="IK70" s="3"/>
      <c r="IL70" s="3"/>
      <c r="IM70" s="3"/>
      <c r="IN70" s="3"/>
      <c r="IO70" s="3"/>
      <c r="IP70" s="3"/>
      <c r="IQ70" s="3"/>
      <c r="IR70" s="3"/>
      <c r="IS70" s="3"/>
      <c r="IT70" s="3"/>
      <c r="IU70" s="3"/>
      <c r="IV70" s="3"/>
    </row>
    <row r="71" customFormat="1" ht="14.25" spans="1:256">
      <c r="A71" s="9">
        <v>63</v>
      </c>
      <c r="B71" s="15" t="s">
        <v>71</v>
      </c>
      <c r="C71" s="16"/>
      <c r="D71" s="19">
        <f>D70</f>
        <v>0.08</v>
      </c>
      <c r="E71" s="16"/>
      <c r="F71" s="22">
        <f>C71*D71+E71</f>
        <v>0</v>
      </c>
      <c r="G71" s="16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  <c r="IA71" s="3"/>
      <c r="IB71" s="3"/>
      <c r="IC71" s="3"/>
      <c r="ID71" s="3"/>
      <c r="IE71" s="3"/>
      <c r="IF71" s="3"/>
      <c r="IG71" s="3"/>
      <c r="IH71" s="3"/>
      <c r="II71" s="3"/>
      <c r="IJ71" s="3"/>
      <c r="IK71" s="3"/>
      <c r="IL71" s="3"/>
      <c r="IM71" s="3"/>
      <c r="IN71" s="3"/>
      <c r="IO71" s="3"/>
      <c r="IP71" s="3"/>
      <c r="IQ71" s="3"/>
      <c r="IR71" s="3"/>
      <c r="IS71" s="3"/>
      <c r="IT71" s="3"/>
      <c r="IU71" s="3"/>
      <c r="IV71" s="3"/>
    </row>
    <row r="72" customFormat="1" ht="14.25" spans="1:256">
      <c r="A72" s="9">
        <v>64</v>
      </c>
      <c r="B72" s="15" t="s">
        <v>72</v>
      </c>
      <c r="C72" s="16"/>
      <c r="D72" s="19">
        <f>D71</f>
        <v>0.08</v>
      </c>
      <c r="E72" s="16"/>
      <c r="F72" s="22">
        <f>C72*D72+E72</f>
        <v>0</v>
      </c>
      <c r="G72" s="16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  <c r="IA72" s="3"/>
      <c r="IB72" s="3"/>
      <c r="IC72" s="3"/>
      <c r="ID72" s="3"/>
      <c r="IE72" s="3"/>
      <c r="IF72" s="3"/>
      <c r="IG72" s="3"/>
      <c r="IH72" s="3"/>
      <c r="II72" s="3"/>
      <c r="IJ72" s="3"/>
      <c r="IK72" s="3"/>
      <c r="IL72" s="3"/>
      <c r="IM72" s="3"/>
      <c r="IN72" s="3"/>
      <c r="IO72" s="3"/>
      <c r="IP72" s="3"/>
      <c r="IQ72" s="3"/>
      <c r="IR72" s="3"/>
      <c r="IS72" s="3"/>
      <c r="IT72" s="3"/>
      <c r="IU72" s="3"/>
      <c r="IV72" s="3"/>
    </row>
    <row r="73" customFormat="1" ht="14.25" spans="1:256">
      <c r="A73" s="9">
        <v>65</v>
      </c>
      <c r="B73" s="13" t="str">
        <f>"  "&amp;LEFT(B60,2)&amp;"3剩余期限在5年以上"</f>
        <v>  4.3剩余期限在5年以上</v>
      </c>
      <c r="C73" s="11">
        <f>SUM(C74:C78)</f>
        <v>0</v>
      </c>
      <c r="D73" s="14"/>
      <c r="E73" s="11">
        <f>SUM(E74:E78)</f>
        <v>0</v>
      </c>
      <c r="F73" s="11">
        <f>SUM(F74:F78)</f>
        <v>0</v>
      </c>
      <c r="G73" s="11">
        <f>SUM(G74:G78)</f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  <c r="IA73" s="3"/>
      <c r="IB73" s="3"/>
      <c r="IC73" s="3"/>
      <c r="ID73" s="3"/>
      <c r="IE73" s="3"/>
      <c r="IF73" s="3"/>
      <c r="IG73" s="3"/>
      <c r="IH73" s="3"/>
      <c r="II73" s="3"/>
      <c r="IJ73" s="3"/>
      <c r="IK73" s="3"/>
      <c r="IL73" s="3"/>
      <c r="IM73" s="3"/>
      <c r="IN73" s="3"/>
      <c r="IO73" s="3"/>
      <c r="IP73" s="3"/>
      <c r="IQ73" s="3"/>
      <c r="IR73" s="3"/>
      <c r="IS73" s="3"/>
      <c r="IT73" s="3"/>
      <c r="IU73" s="3"/>
      <c r="IV73" s="3"/>
    </row>
    <row r="74" customFormat="1" ht="14.25" spans="1:256">
      <c r="A74" s="9">
        <v>66</v>
      </c>
      <c r="B74" s="15" t="s">
        <v>73</v>
      </c>
      <c r="C74" s="16"/>
      <c r="D74" s="19">
        <v>0.1</v>
      </c>
      <c r="E74" s="16"/>
      <c r="F74" s="22">
        <f>C74*D74+E74</f>
        <v>0</v>
      </c>
      <c r="G74" s="16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  <c r="IA74" s="3"/>
      <c r="IB74" s="3"/>
      <c r="IC74" s="3"/>
      <c r="ID74" s="3"/>
      <c r="IE74" s="3"/>
      <c r="IF74" s="3"/>
      <c r="IG74" s="3"/>
      <c r="IH74" s="3"/>
      <c r="II74" s="3"/>
      <c r="IJ74" s="3"/>
      <c r="IK74" s="3"/>
      <c r="IL74" s="3"/>
      <c r="IM74" s="3"/>
      <c r="IN74" s="3"/>
      <c r="IO74" s="3"/>
      <c r="IP74" s="3"/>
      <c r="IQ74" s="3"/>
      <c r="IR74" s="3"/>
      <c r="IS74" s="3"/>
      <c r="IT74" s="3"/>
      <c r="IU74" s="3"/>
      <c r="IV74" s="3"/>
    </row>
    <row r="75" customFormat="1" ht="14.25" spans="1:256">
      <c r="A75" s="9">
        <v>67</v>
      </c>
      <c r="B75" s="15" t="s">
        <v>74</v>
      </c>
      <c r="C75" s="16"/>
      <c r="D75" s="19">
        <f>D74</f>
        <v>0.1</v>
      </c>
      <c r="E75" s="16"/>
      <c r="F75" s="22">
        <f>C75*D75+E75</f>
        <v>0</v>
      </c>
      <c r="G75" s="16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  <c r="IA75" s="3"/>
      <c r="IB75" s="3"/>
      <c r="IC75" s="3"/>
      <c r="ID75" s="3"/>
      <c r="IE75" s="3"/>
      <c r="IF75" s="3"/>
      <c r="IG75" s="3"/>
      <c r="IH75" s="3"/>
      <c r="II75" s="3"/>
      <c r="IJ75" s="3"/>
      <c r="IK75" s="3"/>
      <c r="IL75" s="3"/>
      <c r="IM75" s="3"/>
      <c r="IN75" s="3"/>
      <c r="IO75" s="3"/>
      <c r="IP75" s="3"/>
      <c r="IQ75" s="3"/>
      <c r="IR75" s="3"/>
      <c r="IS75" s="3"/>
      <c r="IT75" s="3"/>
      <c r="IU75" s="3"/>
      <c r="IV75" s="3"/>
    </row>
    <row r="76" customFormat="1" ht="14.25" spans="1:256">
      <c r="A76" s="9">
        <v>68</v>
      </c>
      <c r="B76" s="15" t="s">
        <v>75</v>
      </c>
      <c r="C76" s="16"/>
      <c r="D76" s="19">
        <f>D75</f>
        <v>0.1</v>
      </c>
      <c r="E76" s="16"/>
      <c r="F76" s="22">
        <f>C76*D76+E76</f>
        <v>0</v>
      </c>
      <c r="G76" s="16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</row>
    <row r="77" customFormat="1" ht="14.25" spans="1:256">
      <c r="A77" s="9">
        <v>69</v>
      </c>
      <c r="B77" s="15" t="s">
        <v>76</v>
      </c>
      <c r="C77" s="16"/>
      <c r="D77" s="19">
        <f>D76</f>
        <v>0.1</v>
      </c>
      <c r="E77" s="16"/>
      <c r="F77" s="22">
        <f>C77*D77+E77</f>
        <v>0</v>
      </c>
      <c r="G77" s="16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  <c r="IV77" s="3"/>
    </row>
    <row r="78" customFormat="1" ht="14.25" spans="1:256">
      <c r="A78" s="9">
        <v>70</v>
      </c>
      <c r="B78" s="15" t="s">
        <v>77</v>
      </c>
      <c r="C78" s="16"/>
      <c r="D78" s="19">
        <f>D77</f>
        <v>0.1</v>
      </c>
      <c r="E78" s="16"/>
      <c r="F78" s="22">
        <f>C78*D78+E78</f>
        <v>0</v>
      </c>
      <c r="G78" s="16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  <c r="IA78" s="3"/>
      <c r="IB78" s="3"/>
      <c r="IC78" s="3"/>
      <c r="ID78" s="3"/>
      <c r="IE78" s="3"/>
      <c r="IF78" s="3"/>
      <c r="IG78" s="3"/>
      <c r="IH78" s="3"/>
      <c r="II78" s="3"/>
      <c r="IJ78" s="3"/>
      <c r="IK78" s="3"/>
      <c r="IL78" s="3"/>
      <c r="IM78" s="3"/>
      <c r="IN78" s="3"/>
      <c r="IO78" s="3"/>
      <c r="IP78" s="3"/>
      <c r="IQ78" s="3"/>
      <c r="IR78" s="3"/>
      <c r="IS78" s="3"/>
      <c r="IT78" s="3"/>
      <c r="IU78" s="3"/>
      <c r="IV78" s="3"/>
    </row>
    <row r="79" customFormat="1" ht="14.25" spans="1:256">
      <c r="A79" s="9">
        <v>71</v>
      </c>
      <c r="B79" s="10" t="s">
        <v>78</v>
      </c>
      <c r="C79" s="18">
        <f>C80+C86+C92</f>
        <v>0</v>
      </c>
      <c r="D79" s="12"/>
      <c r="E79" s="18">
        <f>E80+E86+E92</f>
        <v>0</v>
      </c>
      <c r="F79" s="18">
        <f>F80+F86+F92</f>
        <v>0</v>
      </c>
      <c r="G79" s="18">
        <f>G80+G86+G92</f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  <c r="IA79" s="3"/>
      <c r="IB79" s="3"/>
      <c r="IC79" s="3"/>
      <c r="ID79" s="3"/>
      <c r="IE79" s="3"/>
      <c r="IF79" s="3"/>
      <c r="IG79" s="3"/>
      <c r="IH79" s="3"/>
      <c r="II79" s="3"/>
      <c r="IJ79" s="3"/>
      <c r="IK79" s="3"/>
      <c r="IL79" s="3"/>
      <c r="IM79" s="3"/>
      <c r="IN79" s="3"/>
      <c r="IO79" s="3"/>
      <c r="IP79" s="3"/>
      <c r="IQ79" s="3"/>
      <c r="IR79" s="3"/>
      <c r="IS79" s="3"/>
      <c r="IT79" s="3"/>
      <c r="IU79" s="3"/>
      <c r="IV79" s="3"/>
    </row>
    <row r="80" customFormat="1" ht="14.25" spans="1:256">
      <c r="A80" s="9">
        <v>72</v>
      </c>
      <c r="B80" s="13" t="str">
        <f>"  "&amp;LEFT(B79,2)&amp;"1剩余期限不超过1年（含1年）"</f>
        <v>  5.1剩余期限不超过1年（含1年）</v>
      </c>
      <c r="C80" s="11">
        <f>SUM(C81:C85)</f>
        <v>0</v>
      </c>
      <c r="D80" s="14"/>
      <c r="E80" s="11">
        <f>SUM(E81:E85)</f>
        <v>0</v>
      </c>
      <c r="F80" s="11">
        <f>SUM(F81:F85)</f>
        <v>0</v>
      </c>
      <c r="G80" s="11">
        <f>SUM(G81:G85)</f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  <c r="IA80" s="3"/>
      <c r="IB80" s="3"/>
      <c r="IC80" s="3"/>
      <c r="ID80" s="3"/>
      <c r="IE80" s="3"/>
      <c r="IF80" s="3"/>
      <c r="IG80" s="3"/>
      <c r="IH80" s="3"/>
      <c r="II80" s="3"/>
      <c r="IJ80" s="3"/>
      <c r="IK80" s="3"/>
      <c r="IL80" s="3"/>
      <c r="IM80" s="3"/>
      <c r="IN80" s="3"/>
      <c r="IO80" s="3"/>
      <c r="IP80" s="3"/>
      <c r="IQ80" s="3"/>
      <c r="IR80" s="3"/>
      <c r="IS80" s="3"/>
      <c r="IT80" s="3"/>
      <c r="IU80" s="3"/>
      <c r="IV80" s="3"/>
    </row>
    <row r="81" customFormat="1" ht="14.25" spans="1:256">
      <c r="A81" s="9">
        <v>73</v>
      </c>
      <c r="B81" s="15" t="s">
        <v>79</v>
      </c>
      <c r="C81" s="16"/>
      <c r="D81" s="19">
        <v>0.07</v>
      </c>
      <c r="E81" s="16"/>
      <c r="F81" s="22">
        <f>C81*D81+E81</f>
        <v>0</v>
      </c>
      <c r="G81" s="16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  <c r="IA81" s="3"/>
      <c r="IB81" s="3"/>
      <c r="IC81" s="3"/>
      <c r="ID81" s="3"/>
      <c r="IE81" s="3"/>
      <c r="IF81" s="3"/>
      <c r="IG81" s="3"/>
      <c r="IH81" s="3"/>
      <c r="II81" s="3"/>
      <c r="IJ81" s="3"/>
      <c r="IK81" s="3"/>
      <c r="IL81" s="3"/>
      <c r="IM81" s="3"/>
      <c r="IN81" s="3"/>
      <c r="IO81" s="3"/>
      <c r="IP81" s="3"/>
      <c r="IQ81" s="3"/>
      <c r="IR81" s="3"/>
      <c r="IS81" s="3"/>
      <c r="IT81" s="3"/>
      <c r="IU81" s="3"/>
      <c r="IV81" s="3"/>
    </row>
    <row r="82" customFormat="1" ht="14.25" spans="1:256">
      <c r="A82" s="9">
        <v>74</v>
      </c>
      <c r="B82" s="15" t="s">
        <v>80</v>
      </c>
      <c r="C82" s="16"/>
      <c r="D82" s="19">
        <f>D81</f>
        <v>0.07</v>
      </c>
      <c r="E82" s="16"/>
      <c r="F82" s="22">
        <f>C82*D82+E82</f>
        <v>0</v>
      </c>
      <c r="G82" s="16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  <c r="IA82" s="3"/>
      <c r="IB82" s="3"/>
      <c r="IC82" s="3"/>
      <c r="ID82" s="3"/>
      <c r="IE82" s="3"/>
      <c r="IF82" s="3"/>
      <c r="IG82" s="3"/>
      <c r="IH82" s="3"/>
      <c r="II82" s="3"/>
      <c r="IJ82" s="3"/>
      <c r="IK82" s="3"/>
      <c r="IL82" s="3"/>
      <c r="IM82" s="3"/>
      <c r="IN82" s="3"/>
      <c r="IO82" s="3"/>
      <c r="IP82" s="3"/>
      <c r="IQ82" s="3"/>
      <c r="IR82" s="3"/>
      <c r="IS82" s="3"/>
      <c r="IT82" s="3"/>
      <c r="IU82" s="3"/>
      <c r="IV82" s="3"/>
    </row>
    <row r="83" customFormat="1" ht="14.25" spans="1:256">
      <c r="A83" s="9">
        <v>75</v>
      </c>
      <c r="B83" s="15" t="s">
        <v>81</v>
      </c>
      <c r="C83" s="16"/>
      <c r="D83" s="19">
        <f>D82</f>
        <v>0.07</v>
      </c>
      <c r="E83" s="16"/>
      <c r="F83" s="22">
        <f>C83*D83+E83</f>
        <v>0</v>
      </c>
      <c r="G83" s="16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  <c r="IA83" s="3"/>
      <c r="IB83" s="3"/>
      <c r="IC83" s="3"/>
      <c r="ID83" s="3"/>
      <c r="IE83" s="3"/>
      <c r="IF83" s="3"/>
      <c r="IG83" s="3"/>
      <c r="IH83" s="3"/>
      <c r="II83" s="3"/>
      <c r="IJ83" s="3"/>
      <c r="IK83" s="3"/>
      <c r="IL83" s="3"/>
      <c r="IM83" s="3"/>
      <c r="IN83" s="3"/>
      <c r="IO83" s="3"/>
      <c r="IP83" s="3"/>
      <c r="IQ83" s="3"/>
      <c r="IR83" s="3"/>
      <c r="IS83" s="3"/>
      <c r="IT83" s="3"/>
      <c r="IU83" s="3"/>
      <c r="IV83" s="3"/>
    </row>
    <row r="84" customFormat="1" ht="14.25" spans="1:256">
      <c r="A84" s="9">
        <v>76</v>
      </c>
      <c r="B84" s="15" t="s">
        <v>82</v>
      </c>
      <c r="C84" s="16"/>
      <c r="D84" s="19">
        <f>D83</f>
        <v>0.07</v>
      </c>
      <c r="E84" s="16"/>
      <c r="F84" s="22">
        <f>C84*D84+E84</f>
        <v>0</v>
      </c>
      <c r="G84" s="16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  <c r="IA84" s="3"/>
      <c r="IB84" s="3"/>
      <c r="IC84" s="3"/>
      <c r="ID84" s="3"/>
      <c r="IE84" s="3"/>
      <c r="IF84" s="3"/>
      <c r="IG84" s="3"/>
      <c r="IH84" s="3"/>
      <c r="II84" s="3"/>
      <c r="IJ84" s="3"/>
      <c r="IK84" s="3"/>
      <c r="IL84" s="3"/>
      <c r="IM84" s="3"/>
      <c r="IN84" s="3"/>
      <c r="IO84" s="3"/>
      <c r="IP84" s="3"/>
      <c r="IQ84" s="3"/>
      <c r="IR84" s="3"/>
      <c r="IS84" s="3"/>
      <c r="IT84" s="3"/>
      <c r="IU84" s="3"/>
      <c r="IV84" s="3"/>
    </row>
    <row r="85" customFormat="1" ht="14.25" spans="1:256">
      <c r="A85" s="9">
        <v>77</v>
      </c>
      <c r="B85" s="15" t="s">
        <v>83</v>
      </c>
      <c r="C85" s="16"/>
      <c r="D85" s="19">
        <f>D84</f>
        <v>0.07</v>
      </c>
      <c r="E85" s="16"/>
      <c r="F85" s="22">
        <f>C85*D85+E85</f>
        <v>0</v>
      </c>
      <c r="G85" s="16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  <c r="IA85" s="3"/>
      <c r="IB85" s="3"/>
      <c r="IC85" s="3"/>
      <c r="ID85" s="3"/>
      <c r="IE85" s="3"/>
      <c r="IF85" s="3"/>
      <c r="IG85" s="3"/>
      <c r="IH85" s="3"/>
      <c r="II85" s="3"/>
      <c r="IJ85" s="3"/>
      <c r="IK85" s="3"/>
      <c r="IL85" s="3"/>
      <c r="IM85" s="3"/>
      <c r="IN85" s="3"/>
      <c r="IO85" s="3"/>
      <c r="IP85" s="3"/>
      <c r="IQ85" s="3"/>
      <c r="IR85" s="3"/>
      <c r="IS85" s="3"/>
      <c r="IT85" s="3"/>
      <c r="IU85" s="3"/>
      <c r="IV85" s="3"/>
    </row>
    <row r="86" customFormat="1" ht="14.25" spans="1:256">
      <c r="A86" s="9">
        <v>78</v>
      </c>
      <c r="B86" s="13" t="str">
        <f>"  "&amp;LEFT(B79,2)&amp;"2剩余期限在1年以上，5年（含5年）以下"</f>
        <v>  5.2剩余期限在1年以上，5年（含5年）以下</v>
      </c>
      <c r="C86" s="11">
        <f>SUM(C87:C91)</f>
        <v>0</v>
      </c>
      <c r="D86" s="20"/>
      <c r="E86" s="11">
        <f>SUM(E87:E91)</f>
        <v>0</v>
      </c>
      <c r="F86" s="11">
        <f>SUM(F87:F91)</f>
        <v>0</v>
      </c>
      <c r="G86" s="11">
        <f>SUM(G87:G91)</f>
        <v>0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  <c r="IA86" s="3"/>
      <c r="IB86" s="3"/>
      <c r="IC86" s="3"/>
      <c r="ID86" s="3"/>
      <c r="IE86" s="3"/>
      <c r="IF86" s="3"/>
      <c r="IG86" s="3"/>
      <c r="IH86" s="3"/>
      <c r="II86" s="3"/>
      <c r="IJ86" s="3"/>
      <c r="IK86" s="3"/>
      <c r="IL86" s="3"/>
      <c r="IM86" s="3"/>
      <c r="IN86" s="3"/>
      <c r="IO86" s="3"/>
      <c r="IP86" s="3"/>
      <c r="IQ86" s="3"/>
      <c r="IR86" s="3"/>
      <c r="IS86" s="3"/>
      <c r="IT86" s="3"/>
      <c r="IU86" s="3"/>
      <c r="IV86" s="3"/>
    </row>
    <row r="87" customFormat="1" ht="14.25" spans="1:256">
      <c r="A87" s="9">
        <v>79</v>
      </c>
      <c r="B87" s="15" t="s">
        <v>84</v>
      </c>
      <c r="C87" s="16"/>
      <c r="D87" s="19">
        <v>0.07</v>
      </c>
      <c r="E87" s="16"/>
      <c r="F87" s="22">
        <f>C87*D87+E87</f>
        <v>0</v>
      </c>
      <c r="G87" s="16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  <c r="IA87" s="3"/>
      <c r="IB87" s="3"/>
      <c r="IC87" s="3"/>
      <c r="ID87" s="3"/>
      <c r="IE87" s="3"/>
      <c r="IF87" s="3"/>
      <c r="IG87" s="3"/>
      <c r="IH87" s="3"/>
      <c r="II87" s="3"/>
      <c r="IJ87" s="3"/>
      <c r="IK87" s="3"/>
      <c r="IL87" s="3"/>
      <c r="IM87" s="3"/>
      <c r="IN87" s="3"/>
      <c r="IO87" s="3"/>
      <c r="IP87" s="3"/>
      <c r="IQ87" s="3"/>
      <c r="IR87" s="3"/>
      <c r="IS87" s="3"/>
      <c r="IT87" s="3"/>
      <c r="IU87" s="3"/>
      <c r="IV87" s="3"/>
    </row>
    <row r="88" customFormat="1" ht="14.25" spans="1:256">
      <c r="A88" s="9">
        <v>80</v>
      </c>
      <c r="B88" s="15" t="s">
        <v>85</v>
      </c>
      <c r="C88" s="16"/>
      <c r="D88" s="19">
        <f>D87</f>
        <v>0.07</v>
      </c>
      <c r="E88" s="16"/>
      <c r="F88" s="22">
        <f>C88*D88+E88</f>
        <v>0</v>
      </c>
      <c r="G88" s="16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  <c r="IA88" s="3"/>
      <c r="IB88" s="3"/>
      <c r="IC88" s="3"/>
      <c r="ID88" s="3"/>
      <c r="IE88" s="3"/>
      <c r="IF88" s="3"/>
      <c r="IG88" s="3"/>
      <c r="IH88" s="3"/>
      <c r="II88" s="3"/>
      <c r="IJ88" s="3"/>
      <c r="IK88" s="3"/>
      <c r="IL88" s="3"/>
      <c r="IM88" s="3"/>
      <c r="IN88" s="3"/>
      <c r="IO88" s="3"/>
      <c r="IP88" s="3"/>
      <c r="IQ88" s="3"/>
      <c r="IR88" s="3"/>
      <c r="IS88" s="3"/>
      <c r="IT88" s="3"/>
      <c r="IU88" s="3"/>
      <c r="IV88" s="3"/>
    </row>
    <row r="89" customFormat="1" ht="14.25" spans="1:256">
      <c r="A89" s="9">
        <v>81</v>
      </c>
      <c r="B89" s="15" t="s">
        <v>86</v>
      </c>
      <c r="C89" s="16"/>
      <c r="D89" s="19">
        <f>D88</f>
        <v>0.07</v>
      </c>
      <c r="E89" s="16"/>
      <c r="F89" s="22">
        <f>C89*D89+E89</f>
        <v>0</v>
      </c>
      <c r="G89" s="16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  <c r="IA89" s="3"/>
      <c r="IB89" s="3"/>
      <c r="IC89" s="3"/>
      <c r="ID89" s="3"/>
      <c r="IE89" s="3"/>
      <c r="IF89" s="3"/>
      <c r="IG89" s="3"/>
      <c r="IH89" s="3"/>
      <c r="II89" s="3"/>
      <c r="IJ89" s="3"/>
      <c r="IK89" s="3"/>
      <c r="IL89" s="3"/>
      <c r="IM89" s="3"/>
      <c r="IN89" s="3"/>
      <c r="IO89" s="3"/>
      <c r="IP89" s="3"/>
      <c r="IQ89" s="3"/>
      <c r="IR89" s="3"/>
      <c r="IS89" s="3"/>
      <c r="IT89" s="3"/>
      <c r="IU89" s="3"/>
      <c r="IV89" s="3"/>
    </row>
    <row r="90" customFormat="1" ht="14.25" spans="1:256">
      <c r="A90" s="9">
        <v>82</v>
      </c>
      <c r="B90" s="15" t="s">
        <v>87</v>
      </c>
      <c r="C90" s="16"/>
      <c r="D90" s="19">
        <f>D89</f>
        <v>0.07</v>
      </c>
      <c r="E90" s="16"/>
      <c r="F90" s="22">
        <f>C90*D90+E90</f>
        <v>0</v>
      </c>
      <c r="G90" s="16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  <c r="IA90" s="3"/>
      <c r="IB90" s="3"/>
      <c r="IC90" s="3"/>
      <c r="ID90" s="3"/>
      <c r="IE90" s="3"/>
      <c r="IF90" s="3"/>
      <c r="IG90" s="3"/>
      <c r="IH90" s="3"/>
      <c r="II90" s="3"/>
      <c r="IJ90" s="3"/>
      <c r="IK90" s="3"/>
      <c r="IL90" s="3"/>
      <c r="IM90" s="3"/>
      <c r="IN90" s="3"/>
      <c r="IO90" s="3"/>
      <c r="IP90" s="3"/>
      <c r="IQ90" s="3"/>
      <c r="IR90" s="3"/>
      <c r="IS90" s="3"/>
      <c r="IT90" s="3"/>
      <c r="IU90" s="3"/>
      <c r="IV90" s="3"/>
    </row>
    <row r="91" customFormat="1" ht="14.25" spans="1:256">
      <c r="A91" s="9">
        <v>83</v>
      </c>
      <c r="B91" s="15" t="s">
        <v>88</v>
      </c>
      <c r="C91" s="16"/>
      <c r="D91" s="19">
        <f>D90</f>
        <v>0.07</v>
      </c>
      <c r="E91" s="16"/>
      <c r="F91" s="22">
        <f>C91*D91+E91</f>
        <v>0</v>
      </c>
      <c r="G91" s="16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  <c r="IA91" s="3"/>
      <c r="IB91" s="3"/>
      <c r="IC91" s="3"/>
      <c r="ID91" s="3"/>
      <c r="IE91" s="3"/>
      <c r="IF91" s="3"/>
      <c r="IG91" s="3"/>
      <c r="IH91" s="3"/>
      <c r="II91" s="3"/>
      <c r="IJ91" s="3"/>
      <c r="IK91" s="3"/>
      <c r="IL91" s="3"/>
      <c r="IM91" s="3"/>
      <c r="IN91" s="3"/>
      <c r="IO91" s="3"/>
      <c r="IP91" s="3"/>
      <c r="IQ91" s="3"/>
      <c r="IR91" s="3"/>
      <c r="IS91" s="3"/>
      <c r="IT91" s="3"/>
      <c r="IU91" s="3"/>
      <c r="IV91" s="3"/>
    </row>
    <row r="92" customFormat="1" ht="14.25" spans="1:256">
      <c r="A92" s="9">
        <v>84</v>
      </c>
      <c r="B92" s="13" t="str">
        <f>"  "&amp;LEFT(B79,2)&amp;"3剩余期限在5年以上"</f>
        <v>  5.3剩余期限在5年以上</v>
      </c>
      <c r="C92" s="11">
        <f>SUM(C93:C97)</f>
        <v>0</v>
      </c>
      <c r="D92" s="20"/>
      <c r="E92" s="11">
        <f>SUM(E93:E97)</f>
        <v>0</v>
      </c>
      <c r="F92" s="11">
        <f>SUM(F93:F97)</f>
        <v>0</v>
      </c>
      <c r="G92" s="11">
        <f>SUM(G93:G97)</f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  <c r="IA92" s="3"/>
      <c r="IB92" s="3"/>
      <c r="IC92" s="3"/>
      <c r="ID92" s="3"/>
      <c r="IE92" s="3"/>
      <c r="IF92" s="3"/>
      <c r="IG92" s="3"/>
      <c r="IH92" s="3"/>
      <c r="II92" s="3"/>
      <c r="IJ92" s="3"/>
      <c r="IK92" s="3"/>
      <c r="IL92" s="3"/>
      <c r="IM92" s="3"/>
      <c r="IN92" s="3"/>
      <c r="IO92" s="3"/>
      <c r="IP92" s="3"/>
      <c r="IQ92" s="3"/>
      <c r="IR92" s="3"/>
      <c r="IS92" s="3"/>
      <c r="IT92" s="3"/>
      <c r="IU92" s="3"/>
      <c r="IV92" s="3"/>
    </row>
    <row r="93" customFormat="1" ht="14.25" spans="1:256">
      <c r="A93" s="9">
        <v>85</v>
      </c>
      <c r="B93" s="15" t="s">
        <v>89</v>
      </c>
      <c r="C93" s="16"/>
      <c r="D93" s="19">
        <v>0.08</v>
      </c>
      <c r="E93" s="16"/>
      <c r="F93" s="22">
        <f>C93*D93+E93</f>
        <v>0</v>
      </c>
      <c r="G93" s="16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  <c r="IA93" s="3"/>
      <c r="IB93" s="3"/>
      <c r="IC93" s="3"/>
      <c r="ID93" s="3"/>
      <c r="IE93" s="3"/>
      <c r="IF93" s="3"/>
      <c r="IG93" s="3"/>
      <c r="IH93" s="3"/>
      <c r="II93" s="3"/>
      <c r="IJ93" s="3"/>
      <c r="IK93" s="3"/>
      <c r="IL93" s="3"/>
      <c r="IM93" s="3"/>
      <c r="IN93" s="3"/>
      <c r="IO93" s="3"/>
      <c r="IP93" s="3"/>
      <c r="IQ93" s="3"/>
      <c r="IR93" s="3"/>
      <c r="IS93" s="3"/>
      <c r="IT93" s="3"/>
      <c r="IU93" s="3"/>
      <c r="IV93" s="3"/>
    </row>
    <row r="94" customFormat="1" ht="14.25" spans="1:256">
      <c r="A94" s="9">
        <v>86</v>
      </c>
      <c r="B94" s="15" t="s">
        <v>90</v>
      </c>
      <c r="C94" s="16"/>
      <c r="D94" s="19">
        <f>D93</f>
        <v>0.08</v>
      </c>
      <c r="E94" s="16"/>
      <c r="F94" s="22">
        <f>C94*D94+E94</f>
        <v>0</v>
      </c>
      <c r="G94" s="16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  <c r="IA94" s="3"/>
      <c r="IB94" s="3"/>
      <c r="IC94" s="3"/>
      <c r="ID94" s="3"/>
      <c r="IE94" s="3"/>
      <c r="IF94" s="3"/>
      <c r="IG94" s="3"/>
      <c r="IH94" s="3"/>
      <c r="II94" s="3"/>
      <c r="IJ94" s="3"/>
      <c r="IK94" s="3"/>
      <c r="IL94" s="3"/>
      <c r="IM94" s="3"/>
      <c r="IN94" s="3"/>
      <c r="IO94" s="3"/>
      <c r="IP94" s="3"/>
      <c r="IQ94" s="3"/>
      <c r="IR94" s="3"/>
      <c r="IS94" s="3"/>
      <c r="IT94" s="3"/>
      <c r="IU94" s="3"/>
      <c r="IV94" s="3"/>
    </row>
    <row r="95" customFormat="1" ht="14.25" spans="1:256">
      <c r="A95" s="9">
        <v>87</v>
      </c>
      <c r="B95" s="15" t="s">
        <v>91</v>
      </c>
      <c r="C95" s="16"/>
      <c r="D95" s="19">
        <f>D94</f>
        <v>0.08</v>
      </c>
      <c r="E95" s="16"/>
      <c r="F95" s="22">
        <f>C95*D95+E95</f>
        <v>0</v>
      </c>
      <c r="G95" s="16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  <c r="IA95" s="3"/>
      <c r="IB95" s="3"/>
      <c r="IC95" s="3"/>
      <c r="ID95" s="3"/>
      <c r="IE95" s="3"/>
      <c r="IF95" s="3"/>
      <c r="IG95" s="3"/>
      <c r="IH95" s="3"/>
      <c r="II95" s="3"/>
      <c r="IJ95" s="3"/>
      <c r="IK95" s="3"/>
      <c r="IL95" s="3"/>
      <c r="IM95" s="3"/>
      <c r="IN95" s="3"/>
      <c r="IO95" s="3"/>
      <c r="IP95" s="3"/>
      <c r="IQ95" s="3"/>
      <c r="IR95" s="3"/>
      <c r="IS95" s="3"/>
      <c r="IT95" s="3"/>
      <c r="IU95" s="3"/>
      <c r="IV95" s="3"/>
    </row>
    <row r="96" customFormat="1" ht="14.25" spans="1:256">
      <c r="A96" s="9">
        <v>88</v>
      </c>
      <c r="B96" s="15" t="s">
        <v>92</v>
      </c>
      <c r="C96" s="16"/>
      <c r="D96" s="19">
        <f>D95</f>
        <v>0.08</v>
      </c>
      <c r="E96" s="16"/>
      <c r="F96" s="22">
        <f>C96*D96+E96</f>
        <v>0</v>
      </c>
      <c r="G96" s="16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  <c r="IA96" s="3"/>
      <c r="IB96" s="3"/>
      <c r="IC96" s="3"/>
      <c r="ID96" s="3"/>
      <c r="IE96" s="3"/>
      <c r="IF96" s="3"/>
      <c r="IG96" s="3"/>
      <c r="IH96" s="3"/>
      <c r="II96" s="3"/>
      <c r="IJ96" s="3"/>
      <c r="IK96" s="3"/>
      <c r="IL96" s="3"/>
      <c r="IM96" s="3"/>
      <c r="IN96" s="3"/>
      <c r="IO96" s="3"/>
      <c r="IP96" s="3"/>
      <c r="IQ96" s="3"/>
      <c r="IR96" s="3"/>
      <c r="IS96" s="3"/>
      <c r="IT96" s="3"/>
      <c r="IU96" s="3"/>
      <c r="IV96" s="3"/>
    </row>
    <row r="97" customFormat="1" ht="14.25" spans="1:256">
      <c r="A97" s="9">
        <v>89</v>
      </c>
      <c r="B97" s="15" t="s">
        <v>93</v>
      </c>
      <c r="C97" s="16"/>
      <c r="D97" s="19">
        <f>D96</f>
        <v>0.08</v>
      </c>
      <c r="E97" s="16"/>
      <c r="F97" s="22">
        <f>C97*D97+E97</f>
        <v>0</v>
      </c>
      <c r="G97" s="16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  <c r="IA97" s="3"/>
      <c r="IB97" s="3"/>
      <c r="IC97" s="3"/>
      <c r="ID97" s="3"/>
      <c r="IE97" s="3"/>
      <c r="IF97" s="3"/>
      <c r="IG97" s="3"/>
      <c r="IH97" s="3"/>
      <c r="II97" s="3"/>
      <c r="IJ97" s="3"/>
      <c r="IK97" s="3"/>
      <c r="IL97" s="3"/>
      <c r="IM97" s="3"/>
      <c r="IN97" s="3"/>
      <c r="IO97" s="3"/>
      <c r="IP97" s="3"/>
      <c r="IQ97" s="3"/>
      <c r="IR97" s="3"/>
      <c r="IS97" s="3"/>
      <c r="IT97" s="3"/>
      <c r="IU97" s="3"/>
      <c r="IV97" s="3"/>
    </row>
    <row r="98" customFormat="1" ht="14.25" spans="1:256">
      <c r="A98" s="9">
        <v>90</v>
      </c>
      <c r="B98" s="10" t="s">
        <v>94</v>
      </c>
      <c r="C98" s="18">
        <f>C99+C105+C111</f>
        <v>0</v>
      </c>
      <c r="D98" s="12"/>
      <c r="E98" s="18">
        <f>E99+E105+E111</f>
        <v>0</v>
      </c>
      <c r="F98" s="18">
        <f>F99+F105+F111</f>
        <v>0</v>
      </c>
      <c r="G98" s="18">
        <f>G99+G105+G111</f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  <c r="IA98" s="3"/>
      <c r="IB98" s="3"/>
      <c r="IC98" s="3"/>
      <c r="ID98" s="3"/>
      <c r="IE98" s="3"/>
      <c r="IF98" s="3"/>
      <c r="IG98" s="3"/>
      <c r="IH98" s="3"/>
      <c r="II98" s="3"/>
      <c r="IJ98" s="3"/>
      <c r="IK98" s="3"/>
      <c r="IL98" s="3"/>
      <c r="IM98" s="3"/>
      <c r="IN98" s="3"/>
      <c r="IO98" s="3"/>
      <c r="IP98" s="3"/>
      <c r="IQ98" s="3"/>
      <c r="IR98" s="3"/>
      <c r="IS98" s="3"/>
      <c r="IT98" s="3"/>
      <c r="IU98" s="3"/>
      <c r="IV98" s="3"/>
    </row>
    <row r="99" customFormat="1" ht="14.25" spans="1:256">
      <c r="A99" s="9">
        <v>91</v>
      </c>
      <c r="B99" s="13" t="str">
        <f>"  "&amp;LEFT(B98,2)&amp;"1剩余期限不超过1年（含1年）"</f>
        <v>  6.1剩余期限不超过1年（含1年）</v>
      </c>
      <c r="C99" s="11">
        <f>SUM(C100:C104)</f>
        <v>0</v>
      </c>
      <c r="D99" s="14"/>
      <c r="E99" s="11">
        <f>SUM(E100:E104)</f>
        <v>0</v>
      </c>
      <c r="F99" s="11">
        <f>SUM(F100:F104)</f>
        <v>0</v>
      </c>
      <c r="G99" s="11">
        <f>SUM(G100:G104)</f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  <c r="IA99" s="3"/>
      <c r="IB99" s="3"/>
      <c r="IC99" s="3"/>
      <c r="ID99" s="3"/>
      <c r="IE99" s="3"/>
      <c r="IF99" s="3"/>
      <c r="IG99" s="3"/>
      <c r="IH99" s="3"/>
      <c r="II99" s="3"/>
      <c r="IJ99" s="3"/>
      <c r="IK99" s="3"/>
      <c r="IL99" s="3"/>
      <c r="IM99" s="3"/>
      <c r="IN99" s="3"/>
      <c r="IO99" s="3"/>
      <c r="IP99" s="3"/>
      <c r="IQ99" s="3"/>
      <c r="IR99" s="3"/>
      <c r="IS99" s="3"/>
      <c r="IT99" s="3"/>
      <c r="IU99" s="3"/>
      <c r="IV99" s="3"/>
    </row>
    <row r="100" customFormat="1" ht="14.25" spans="1:256">
      <c r="A100" s="9">
        <v>92</v>
      </c>
      <c r="B100" s="15" t="s">
        <v>95</v>
      </c>
      <c r="C100" s="16"/>
      <c r="D100" s="19">
        <v>0.1</v>
      </c>
      <c r="E100" s="16"/>
      <c r="F100" s="22">
        <f>C100*D100+E100</f>
        <v>0</v>
      </c>
      <c r="G100" s="16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  <c r="IA100" s="3"/>
      <c r="IB100" s="3"/>
      <c r="IC100" s="3"/>
      <c r="ID100" s="3"/>
      <c r="IE100" s="3"/>
      <c r="IF100" s="3"/>
      <c r="IG100" s="3"/>
      <c r="IH100" s="3"/>
      <c r="II100" s="3"/>
      <c r="IJ100" s="3"/>
      <c r="IK100" s="3"/>
      <c r="IL100" s="3"/>
      <c r="IM100" s="3"/>
      <c r="IN100" s="3"/>
      <c r="IO100" s="3"/>
      <c r="IP100" s="3"/>
      <c r="IQ100" s="3"/>
      <c r="IR100" s="3"/>
      <c r="IS100" s="3"/>
      <c r="IT100" s="3"/>
      <c r="IU100" s="3"/>
      <c r="IV100" s="3"/>
    </row>
    <row r="101" customFormat="1" ht="14.25" spans="1:256">
      <c r="A101" s="9">
        <v>93</v>
      </c>
      <c r="B101" s="15" t="s">
        <v>96</v>
      </c>
      <c r="C101" s="16"/>
      <c r="D101" s="19">
        <f>D100</f>
        <v>0.1</v>
      </c>
      <c r="E101" s="16"/>
      <c r="F101" s="22">
        <f>C101*D101+E101</f>
        <v>0</v>
      </c>
      <c r="G101" s="16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  <c r="IA101" s="3"/>
      <c r="IB101" s="3"/>
      <c r="IC101" s="3"/>
      <c r="ID101" s="3"/>
      <c r="IE101" s="3"/>
      <c r="IF101" s="3"/>
      <c r="IG101" s="3"/>
      <c r="IH101" s="3"/>
      <c r="II101" s="3"/>
      <c r="IJ101" s="3"/>
      <c r="IK101" s="3"/>
      <c r="IL101" s="3"/>
      <c r="IM101" s="3"/>
      <c r="IN101" s="3"/>
      <c r="IO101" s="3"/>
      <c r="IP101" s="3"/>
      <c r="IQ101" s="3"/>
      <c r="IR101" s="3"/>
      <c r="IS101" s="3"/>
      <c r="IT101" s="3"/>
      <c r="IU101" s="3"/>
      <c r="IV101" s="3"/>
    </row>
    <row r="102" customFormat="1" ht="14.25" spans="1:256">
      <c r="A102" s="9">
        <v>94</v>
      </c>
      <c r="B102" s="15" t="s">
        <v>97</v>
      </c>
      <c r="C102" s="16"/>
      <c r="D102" s="19">
        <f>D101</f>
        <v>0.1</v>
      </c>
      <c r="E102" s="16"/>
      <c r="F102" s="22">
        <f>C102*D102+E102</f>
        <v>0</v>
      </c>
      <c r="G102" s="16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  <c r="IA102" s="3"/>
      <c r="IB102" s="3"/>
      <c r="IC102" s="3"/>
      <c r="ID102" s="3"/>
      <c r="IE102" s="3"/>
      <c r="IF102" s="3"/>
      <c r="IG102" s="3"/>
      <c r="IH102" s="3"/>
      <c r="II102" s="3"/>
      <c r="IJ102" s="3"/>
      <c r="IK102" s="3"/>
      <c r="IL102" s="3"/>
      <c r="IM102" s="3"/>
      <c r="IN102" s="3"/>
      <c r="IO102" s="3"/>
      <c r="IP102" s="3"/>
      <c r="IQ102" s="3"/>
      <c r="IR102" s="3"/>
      <c r="IS102" s="3"/>
      <c r="IT102" s="3"/>
      <c r="IU102" s="3"/>
      <c r="IV102" s="3"/>
    </row>
    <row r="103" customFormat="1" ht="14.25" spans="1:256">
      <c r="A103" s="9">
        <v>95</v>
      </c>
      <c r="B103" s="15" t="s">
        <v>98</v>
      </c>
      <c r="C103" s="16"/>
      <c r="D103" s="19">
        <f>D102</f>
        <v>0.1</v>
      </c>
      <c r="E103" s="16"/>
      <c r="F103" s="22">
        <f>C103*D103+E103</f>
        <v>0</v>
      </c>
      <c r="G103" s="16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  <c r="IA103" s="3"/>
      <c r="IB103" s="3"/>
      <c r="IC103" s="3"/>
      <c r="ID103" s="3"/>
      <c r="IE103" s="3"/>
      <c r="IF103" s="3"/>
      <c r="IG103" s="3"/>
      <c r="IH103" s="3"/>
      <c r="II103" s="3"/>
      <c r="IJ103" s="3"/>
      <c r="IK103" s="3"/>
      <c r="IL103" s="3"/>
      <c r="IM103" s="3"/>
      <c r="IN103" s="3"/>
      <c r="IO103" s="3"/>
      <c r="IP103" s="3"/>
      <c r="IQ103" s="3"/>
      <c r="IR103" s="3"/>
      <c r="IS103" s="3"/>
      <c r="IT103" s="3"/>
      <c r="IU103" s="3"/>
      <c r="IV103" s="3"/>
    </row>
    <row r="104" customFormat="1" ht="14.25" spans="1:256">
      <c r="A104" s="9">
        <v>96</v>
      </c>
      <c r="B104" s="15" t="s">
        <v>99</v>
      </c>
      <c r="C104" s="16"/>
      <c r="D104" s="19">
        <f>D103</f>
        <v>0.1</v>
      </c>
      <c r="E104" s="16"/>
      <c r="F104" s="22">
        <f>C104*D104+E104</f>
        <v>0</v>
      </c>
      <c r="G104" s="16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  <c r="IA104" s="3"/>
      <c r="IB104" s="3"/>
      <c r="IC104" s="3"/>
      <c r="ID104" s="3"/>
      <c r="IE104" s="3"/>
      <c r="IF104" s="3"/>
      <c r="IG104" s="3"/>
      <c r="IH104" s="3"/>
      <c r="II104" s="3"/>
      <c r="IJ104" s="3"/>
      <c r="IK104" s="3"/>
      <c r="IL104" s="3"/>
      <c r="IM104" s="3"/>
      <c r="IN104" s="3"/>
      <c r="IO104" s="3"/>
      <c r="IP104" s="3"/>
      <c r="IQ104" s="3"/>
      <c r="IR104" s="3"/>
      <c r="IS104" s="3"/>
      <c r="IT104" s="3"/>
      <c r="IU104" s="3"/>
      <c r="IV104" s="3"/>
    </row>
    <row r="105" customFormat="1" ht="14.25" spans="1:256">
      <c r="A105" s="9">
        <v>97</v>
      </c>
      <c r="B105" s="13" t="str">
        <f>"  "&amp;LEFT(B98,2)&amp;"2剩余期限在1年以上，5年（含5年）以下"</f>
        <v>  6.2剩余期限在1年以上，5年（含5年）以下</v>
      </c>
      <c r="C105" s="11">
        <f>SUM(C106:C110)</f>
        <v>0</v>
      </c>
      <c r="D105" s="20"/>
      <c r="E105" s="11">
        <f>SUM(E106:E110)</f>
        <v>0</v>
      </c>
      <c r="F105" s="11">
        <f>SUM(F106:F110)</f>
        <v>0</v>
      </c>
      <c r="G105" s="11">
        <f>SUM(G106:G110)</f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  <c r="IA105" s="3"/>
      <c r="IB105" s="3"/>
      <c r="IC105" s="3"/>
      <c r="ID105" s="3"/>
      <c r="IE105" s="3"/>
      <c r="IF105" s="3"/>
      <c r="IG105" s="3"/>
      <c r="IH105" s="3"/>
      <c r="II105" s="3"/>
      <c r="IJ105" s="3"/>
      <c r="IK105" s="3"/>
      <c r="IL105" s="3"/>
      <c r="IM105" s="3"/>
      <c r="IN105" s="3"/>
      <c r="IO105" s="3"/>
      <c r="IP105" s="3"/>
      <c r="IQ105" s="3"/>
      <c r="IR105" s="3"/>
      <c r="IS105" s="3"/>
      <c r="IT105" s="3"/>
      <c r="IU105" s="3"/>
      <c r="IV105" s="3"/>
    </row>
    <row r="106" customFormat="1" ht="14.25" spans="1:256">
      <c r="A106" s="9">
        <v>98</v>
      </c>
      <c r="B106" s="15" t="s">
        <v>100</v>
      </c>
      <c r="C106" s="16"/>
      <c r="D106" s="19">
        <v>0.12</v>
      </c>
      <c r="E106" s="16"/>
      <c r="F106" s="22">
        <f>C106*D106+E106</f>
        <v>0</v>
      </c>
      <c r="G106" s="16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  <c r="IA106" s="3"/>
      <c r="IB106" s="3"/>
      <c r="IC106" s="3"/>
      <c r="ID106" s="3"/>
      <c r="IE106" s="3"/>
      <c r="IF106" s="3"/>
      <c r="IG106" s="3"/>
      <c r="IH106" s="3"/>
      <c r="II106" s="3"/>
      <c r="IJ106" s="3"/>
      <c r="IK106" s="3"/>
      <c r="IL106" s="3"/>
      <c r="IM106" s="3"/>
      <c r="IN106" s="3"/>
      <c r="IO106" s="3"/>
      <c r="IP106" s="3"/>
      <c r="IQ106" s="3"/>
      <c r="IR106" s="3"/>
      <c r="IS106" s="3"/>
      <c r="IT106" s="3"/>
      <c r="IU106" s="3"/>
      <c r="IV106" s="3"/>
    </row>
    <row r="107" customFormat="1" ht="14.25" spans="1:256">
      <c r="A107" s="9">
        <v>99</v>
      </c>
      <c r="B107" s="15" t="s">
        <v>101</v>
      </c>
      <c r="C107" s="16"/>
      <c r="D107" s="19">
        <f>D106</f>
        <v>0.12</v>
      </c>
      <c r="E107" s="16"/>
      <c r="F107" s="22">
        <f>C107*D107+E107</f>
        <v>0</v>
      </c>
      <c r="G107" s="16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  <c r="IA107" s="3"/>
      <c r="IB107" s="3"/>
      <c r="IC107" s="3"/>
      <c r="ID107" s="3"/>
      <c r="IE107" s="3"/>
      <c r="IF107" s="3"/>
      <c r="IG107" s="3"/>
      <c r="IH107" s="3"/>
      <c r="II107" s="3"/>
      <c r="IJ107" s="3"/>
      <c r="IK107" s="3"/>
      <c r="IL107" s="3"/>
      <c r="IM107" s="3"/>
      <c r="IN107" s="3"/>
      <c r="IO107" s="3"/>
      <c r="IP107" s="3"/>
      <c r="IQ107" s="3"/>
      <c r="IR107" s="3"/>
      <c r="IS107" s="3"/>
      <c r="IT107" s="3"/>
      <c r="IU107" s="3"/>
      <c r="IV107" s="3"/>
    </row>
    <row r="108" customFormat="1" ht="14.25" spans="1:256">
      <c r="A108" s="9">
        <v>100</v>
      </c>
      <c r="B108" s="15" t="s">
        <v>102</v>
      </c>
      <c r="C108" s="16"/>
      <c r="D108" s="19">
        <f>D107</f>
        <v>0.12</v>
      </c>
      <c r="E108" s="16"/>
      <c r="F108" s="22">
        <f>C108*D108+E108</f>
        <v>0</v>
      </c>
      <c r="G108" s="16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  <c r="IA108" s="3"/>
      <c r="IB108" s="3"/>
      <c r="IC108" s="3"/>
      <c r="ID108" s="3"/>
      <c r="IE108" s="3"/>
      <c r="IF108" s="3"/>
      <c r="IG108" s="3"/>
      <c r="IH108" s="3"/>
      <c r="II108" s="3"/>
      <c r="IJ108" s="3"/>
      <c r="IK108" s="3"/>
      <c r="IL108" s="3"/>
      <c r="IM108" s="3"/>
      <c r="IN108" s="3"/>
      <c r="IO108" s="3"/>
      <c r="IP108" s="3"/>
      <c r="IQ108" s="3"/>
      <c r="IR108" s="3"/>
      <c r="IS108" s="3"/>
      <c r="IT108" s="3"/>
      <c r="IU108" s="3"/>
      <c r="IV108" s="3"/>
    </row>
    <row r="109" customFormat="1" ht="14.25" spans="1:256">
      <c r="A109" s="9">
        <v>101</v>
      </c>
      <c r="B109" s="15" t="s">
        <v>103</v>
      </c>
      <c r="C109" s="16"/>
      <c r="D109" s="19">
        <f>D108</f>
        <v>0.12</v>
      </c>
      <c r="E109" s="16"/>
      <c r="F109" s="22">
        <f>C109*D109+E109</f>
        <v>0</v>
      </c>
      <c r="G109" s="16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  <c r="IA109" s="3"/>
      <c r="IB109" s="3"/>
      <c r="IC109" s="3"/>
      <c r="ID109" s="3"/>
      <c r="IE109" s="3"/>
      <c r="IF109" s="3"/>
      <c r="IG109" s="3"/>
      <c r="IH109" s="3"/>
      <c r="II109" s="3"/>
      <c r="IJ109" s="3"/>
      <c r="IK109" s="3"/>
      <c r="IL109" s="3"/>
      <c r="IM109" s="3"/>
      <c r="IN109" s="3"/>
      <c r="IO109" s="3"/>
      <c r="IP109" s="3"/>
      <c r="IQ109" s="3"/>
      <c r="IR109" s="3"/>
      <c r="IS109" s="3"/>
      <c r="IT109" s="3"/>
      <c r="IU109" s="3"/>
      <c r="IV109" s="3"/>
    </row>
    <row r="110" customFormat="1" ht="14.25" spans="1:256">
      <c r="A110" s="9">
        <v>102</v>
      </c>
      <c r="B110" s="15" t="s">
        <v>104</v>
      </c>
      <c r="C110" s="16"/>
      <c r="D110" s="19">
        <f>D109</f>
        <v>0.12</v>
      </c>
      <c r="E110" s="16"/>
      <c r="F110" s="22">
        <f>C110*D110+E110</f>
        <v>0</v>
      </c>
      <c r="G110" s="16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  <c r="IA110" s="3"/>
      <c r="IB110" s="3"/>
      <c r="IC110" s="3"/>
      <c r="ID110" s="3"/>
      <c r="IE110" s="3"/>
      <c r="IF110" s="3"/>
      <c r="IG110" s="3"/>
      <c r="IH110" s="3"/>
      <c r="II110" s="3"/>
      <c r="IJ110" s="3"/>
      <c r="IK110" s="3"/>
      <c r="IL110" s="3"/>
      <c r="IM110" s="3"/>
      <c r="IN110" s="3"/>
      <c r="IO110" s="3"/>
      <c r="IP110" s="3"/>
      <c r="IQ110" s="3"/>
      <c r="IR110" s="3"/>
      <c r="IS110" s="3"/>
      <c r="IT110" s="3"/>
      <c r="IU110" s="3"/>
      <c r="IV110" s="3"/>
    </row>
    <row r="111" customFormat="1" ht="14.25" spans="1:256">
      <c r="A111" s="9">
        <v>103</v>
      </c>
      <c r="B111" s="13" t="str">
        <f>"  "&amp;LEFT(B98,2)&amp;"3剩余期限在5年以上"</f>
        <v>  6.3剩余期限在5年以上</v>
      </c>
      <c r="C111" s="11">
        <f>SUM(C112:C116)</f>
        <v>0</v>
      </c>
      <c r="D111" s="20"/>
      <c r="E111" s="11">
        <f>SUM(E112:E116)</f>
        <v>0</v>
      </c>
      <c r="F111" s="11">
        <f>SUM(F112:F116)</f>
        <v>0</v>
      </c>
      <c r="G111" s="11">
        <f>SUM(G112:G116)</f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  <c r="IA111" s="3"/>
      <c r="IB111" s="3"/>
      <c r="IC111" s="3"/>
      <c r="ID111" s="3"/>
      <c r="IE111" s="3"/>
      <c r="IF111" s="3"/>
      <c r="IG111" s="3"/>
      <c r="IH111" s="3"/>
      <c r="II111" s="3"/>
      <c r="IJ111" s="3"/>
      <c r="IK111" s="3"/>
      <c r="IL111" s="3"/>
      <c r="IM111" s="3"/>
      <c r="IN111" s="3"/>
      <c r="IO111" s="3"/>
      <c r="IP111" s="3"/>
      <c r="IQ111" s="3"/>
      <c r="IR111" s="3"/>
      <c r="IS111" s="3"/>
      <c r="IT111" s="3"/>
      <c r="IU111" s="3"/>
      <c r="IV111" s="3"/>
    </row>
    <row r="112" customFormat="1" ht="14.25" spans="1:256">
      <c r="A112" s="9">
        <v>104</v>
      </c>
      <c r="B112" s="15" t="s">
        <v>105</v>
      </c>
      <c r="C112" s="16"/>
      <c r="D112" s="19">
        <v>0.15</v>
      </c>
      <c r="E112" s="16"/>
      <c r="F112" s="22">
        <f>C112*D112+E112</f>
        <v>0</v>
      </c>
      <c r="G112" s="16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  <c r="IA112" s="3"/>
      <c r="IB112" s="3"/>
      <c r="IC112" s="3"/>
      <c r="ID112" s="3"/>
      <c r="IE112" s="3"/>
      <c r="IF112" s="3"/>
      <c r="IG112" s="3"/>
      <c r="IH112" s="3"/>
      <c r="II112" s="3"/>
      <c r="IJ112" s="3"/>
      <c r="IK112" s="3"/>
      <c r="IL112" s="3"/>
      <c r="IM112" s="3"/>
      <c r="IN112" s="3"/>
      <c r="IO112" s="3"/>
      <c r="IP112" s="3"/>
      <c r="IQ112" s="3"/>
      <c r="IR112" s="3"/>
      <c r="IS112" s="3"/>
      <c r="IT112" s="3"/>
      <c r="IU112" s="3"/>
      <c r="IV112" s="3"/>
    </row>
    <row r="113" customFormat="1" ht="14.25" spans="1:256">
      <c r="A113" s="9">
        <v>105</v>
      </c>
      <c r="B113" s="15" t="s">
        <v>106</v>
      </c>
      <c r="C113" s="16"/>
      <c r="D113" s="19">
        <f>D112</f>
        <v>0.15</v>
      </c>
      <c r="E113" s="16"/>
      <c r="F113" s="22">
        <f>C113*D113+E113</f>
        <v>0</v>
      </c>
      <c r="G113" s="16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  <c r="IA113" s="3"/>
      <c r="IB113" s="3"/>
      <c r="IC113" s="3"/>
      <c r="ID113" s="3"/>
      <c r="IE113" s="3"/>
      <c r="IF113" s="3"/>
      <c r="IG113" s="3"/>
      <c r="IH113" s="3"/>
      <c r="II113" s="3"/>
      <c r="IJ113" s="3"/>
      <c r="IK113" s="3"/>
      <c r="IL113" s="3"/>
      <c r="IM113" s="3"/>
      <c r="IN113" s="3"/>
      <c r="IO113" s="3"/>
      <c r="IP113" s="3"/>
      <c r="IQ113" s="3"/>
      <c r="IR113" s="3"/>
      <c r="IS113" s="3"/>
      <c r="IT113" s="3"/>
      <c r="IU113" s="3"/>
      <c r="IV113" s="3"/>
    </row>
    <row r="114" customFormat="1" ht="14.25" spans="1:256">
      <c r="A114" s="9">
        <v>106</v>
      </c>
      <c r="B114" s="15" t="s">
        <v>107</v>
      </c>
      <c r="C114" s="16"/>
      <c r="D114" s="19">
        <f>D113</f>
        <v>0.15</v>
      </c>
      <c r="E114" s="16"/>
      <c r="F114" s="22">
        <f>C114*D114+E114</f>
        <v>0</v>
      </c>
      <c r="G114" s="16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  <c r="IA114" s="3"/>
      <c r="IB114" s="3"/>
      <c r="IC114" s="3"/>
      <c r="ID114" s="3"/>
      <c r="IE114" s="3"/>
      <c r="IF114" s="3"/>
      <c r="IG114" s="3"/>
      <c r="IH114" s="3"/>
      <c r="II114" s="3"/>
      <c r="IJ114" s="3"/>
      <c r="IK114" s="3"/>
      <c r="IL114" s="3"/>
      <c r="IM114" s="3"/>
      <c r="IN114" s="3"/>
      <c r="IO114" s="3"/>
      <c r="IP114" s="3"/>
      <c r="IQ114" s="3"/>
      <c r="IR114" s="3"/>
      <c r="IS114" s="3"/>
      <c r="IT114" s="3"/>
      <c r="IU114" s="3"/>
      <c r="IV114" s="3"/>
    </row>
    <row r="115" customFormat="1" ht="14.25" spans="1:256">
      <c r="A115" s="9">
        <v>107</v>
      </c>
      <c r="B115" s="15" t="s">
        <v>108</v>
      </c>
      <c r="C115" s="16"/>
      <c r="D115" s="19">
        <f>D114</f>
        <v>0.15</v>
      </c>
      <c r="E115" s="16"/>
      <c r="F115" s="22">
        <f>C115*D115+E115</f>
        <v>0</v>
      </c>
      <c r="G115" s="16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  <c r="IA115" s="3"/>
      <c r="IB115" s="3"/>
      <c r="IC115" s="3"/>
      <c r="ID115" s="3"/>
      <c r="IE115" s="3"/>
      <c r="IF115" s="3"/>
      <c r="IG115" s="3"/>
      <c r="IH115" s="3"/>
      <c r="II115" s="3"/>
      <c r="IJ115" s="3"/>
      <c r="IK115" s="3"/>
      <c r="IL115" s="3"/>
      <c r="IM115" s="3"/>
      <c r="IN115" s="3"/>
      <c r="IO115" s="3"/>
      <c r="IP115" s="3"/>
      <c r="IQ115" s="3"/>
      <c r="IR115" s="3"/>
      <c r="IS115" s="3"/>
      <c r="IT115" s="3"/>
      <c r="IU115" s="3"/>
      <c r="IV115" s="3"/>
    </row>
    <row r="116" customFormat="1" ht="14.25" spans="1:256">
      <c r="A116" s="9">
        <v>108</v>
      </c>
      <c r="B116" s="15" t="s">
        <v>109</v>
      </c>
      <c r="C116" s="16"/>
      <c r="D116" s="19">
        <f>D115</f>
        <v>0.15</v>
      </c>
      <c r="E116" s="16"/>
      <c r="F116" s="22">
        <f>C116*D116+E116</f>
        <v>0</v>
      </c>
      <c r="G116" s="16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  <c r="IA116" s="3"/>
      <c r="IB116" s="3"/>
      <c r="IC116" s="3"/>
      <c r="ID116" s="3"/>
      <c r="IE116" s="3"/>
      <c r="IF116" s="3"/>
      <c r="IG116" s="3"/>
      <c r="IH116" s="3"/>
      <c r="II116" s="3"/>
      <c r="IJ116" s="3"/>
      <c r="IK116" s="3"/>
      <c r="IL116" s="3"/>
      <c r="IM116" s="3"/>
      <c r="IN116" s="3"/>
      <c r="IO116" s="3"/>
      <c r="IP116" s="3"/>
      <c r="IQ116" s="3"/>
      <c r="IR116" s="3"/>
      <c r="IS116" s="3"/>
      <c r="IT116" s="3"/>
      <c r="IU116" s="3"/>
      <c r="IV116" s="3"/>
    </row>
    <row r="117" customFormat="1" ht="14.25" spans="1:256">
      <c r="A117" s="9">
        <v>109</v>
      </c>
      <c r="B117" s="10" t="s">
        <v>110</v>
      </c>
      <c r="C117" s="18">
        <f>C9+C22+C41+C60+C79+C98</f>
        <v>0</v>
      </c>
      <c r="D117" s="20"/>
      <c r="E117" s="18">
        <f>E9+E22+E41+E60+E79+E98</f>
        <v>0</v>
      </c>
      <c r="F117" s="18">
        <f>F9+F22+F41+F60+F79+F98</f>
        <v>0</v>
      </c>
      <c r="G117" s="18">
        <f>G9+G22+G41+G60+G79+G98</f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  <c r="GZ117" s="3"/>
      <c r="HA117" s="3"/>
      <c r="HB117" s="3"/>
      <c r="HC117" s="3"/>
      <c r="HD117" s="3"/>
      <c r="HE117" s="3"/>
      <c r="HF117" s="3"/>
      <c r="HG117" s="3"/>
      <c r="HH117" s="3"/>
      <c r="HI117" s="3"/>
      <c r="HJ117" s="3"/>
      <c r="HK117" s="3"/>
      <c r="HL117" s="3"/>
      <c r="HM117" s="3"/>
      <c r="HN117" s="3"/>
      <c r="HO117" s="3"/>
      <c r="HP117" s="3"/>
      <c r="HQ117" s="3"/>
      <c r="HR117" s="3"/>
      <c r="HS117" s="3"/>
      <c r="HT117" s="3"/>
      <c r="HU117" s="3"/>
      <c r="HV117" s="3"/>
      <c r="HW117" s="3"/>
      <c r="HX117" s="3"/>
      <c r="HY117" s="3"/>
      <c r="HZ117" s="3"/>
      <c r="IA117" s="3"/>
      <c r="IB117" s="3"/>
      <c r="IC117" s="3"/>
      <c r="ID117" s="3"/>
      <c r="IE117" s="3"/>
      <c r="IF117" s="3"/>
      <c r="IG117" s="3"/>
      <c r="IH117" s="3"/>
      <c r="II117" s="3"/>
      <c r="IJ117" s="3"/>
      <c r="IK117" s="3"/>
      <c r="IL117" s="3"/>
      <c r="IM117" s="3"/>
      <c r="IN117" s="3"/>
      <c r="IO117" s="3"/>
      <c r="IP117" s="3"/>
      <c r="IQ117" s="3"/>
      <c r="IR117" s="3"/>
      <c r="IS117" s="3"/>
      <c r="IT117" s="3"/>
      <c r="IU117" s="3"/>
      <c r="IV117" s="3"/>
    </row>
    <row r="118" s="1" customFormat="1" ht="15.75" spans="1:8">
      <c r="A118" s="7" t="s">
        <v>111</v>
      </c>
      <c r="B118" s="8"/>
      <c r="C118" s="8"/>
      <c r="D118" s="8"/>
      <c r="E118" s="8"/>
      <c r="F118" s="8"/>
      <c r="G118" s="8"/>
      <c r="H118" s="8"/>
    </row>
    <row r="119" s="1" customFormat="1" ht="15.75" spans="1:9">
      <c r="A119" s="9" t="s">
        <v>5</v>
      </c>
      <c r="B119" s="9" t="s">
        <v>112</v>
      </c>
      <c r="C119" s="9" t="s">
        <v>7</v>
      </c>
      <c r="D119" s="9" t="s">
        <v>8</v>
      </c>
      <c r="E119" s="9" t="s">
        <v>9</v>
      </c>
      <c r="F119" s="9" t="s">
        <v>10</v>
      </c>
      <c r="G119" s="9" t="s">
        <v>11</v>
      </c>
      <c r="H119" s="9" t="s">
        <v>113</v>
      </c>
      <c r="I119" s="26" t="s">
        <v>114</v>
      </c>
    </row>
    <row r="120" s="1" customFormat="1" ht="15.75" spans="1:9">
      <c r="A120" s="9"/>
      <c r="B120" s="9"/>
      <c r="C120" s="9" t="s">
        <v>12</v>
      </c>
      <c r="D120" s="23" t="s">
        <v>115</v>
      </c>
      <c r="E120" s="25" t="s">
        <v>116</v>
      </c>
      <c r="F120" s="9" t="s">
        <v>117</v>
      </c>
      <c r="G120" s="9" t="s">
        <v>118</v>
      </c>
      <c r="H120" s="9" t="s">
        <v>15</v>
      </c>
      <c r="I120" s="9" t="s">
        <v>16</v>
      </c>
    </row>
    <row r="121" spans="1:9">
      <c r="A121" s="9"/>
      <c r="B121" s="9"/>
      <c r="C121" s="9"/>
      <c r="D121" s="9"/>
      <c r="E121" s="9"/>
      <c r="F121" s="9"/>
      <c r="G121" s="9"/>
      <c r="H121" s="9"/>
      <c r="I121" s="9"/>
    </row>
    <row r="122" customHeight="1" spans="1:9">
      <c r="A122" s="9"/>
      <c r="B122" s="9"/>
      <c r="C122" s="9"/>
      <c r="D122" s="9"/>
      <c r="E122" s="9"/>
      <c r="F122" s="9"/>
      <c r="G122" s="9"/>
      <c r="H122" s="9"/>
      <c r="I122" s="9"/>
    </row>
    <row r="123" ht="14.25" customHeight="1" spans="1:9">
      <c r="A123" s="9"/>
      <c r="B123" s="9"/>
      <c r="C123" s="9"/>
      <c r="D123" s="9"/>
      <c r="E123" s="9"/>
      <c r="F123" s="9"/>
      <c r="G123" s="9"/>
      <c r="H123" s="9"/>
      <c r="I123" s="9"/>
    </row>
    <row r="124" ht="14.25" customHeight="1" spans="1:9">
      <c r="A124" s="9">
        <v>110</v>
      </c>
      <c r="B124" s="24" t="s">
        <v>119</v>
      </c>
      <c r="C124" s="16"/>
      <c r="D124" s="16"/>
      <c r="E124" s="18" t="e">
        <f>(F124-0.4*D124)/(0.6*D124)</f>
        <v>#DIV/0!</v>
      </c>
      <c r="F124" s="16"/>
      <c r="G124" s="16"/>
      <c r="H124" s="18">
        <f>F124+G124</f>
        <v>0</v>
      </c>
      <c r="I124" s="16"/>
    </row>
    <row r="125" ht="14.25" customHeight="1" spans="1:9">
      <c r="A125" s="9">
        <v>111</v>
      </c>
      <c r="B125" s="24" t="s">
        <v>120</v>
      </c>
      <c r="C125" s="16"/>
      <c r="D125" s="16"/>
      <c r="E125" s="18" t="e">
        <f>(F125-0.4*D125)/(0.6*D125)</f>
        <v>#DIV/0!</v>
      </c>
      <c r="F125" s="16"/>
      <c r="G125" s="16"/>
      <c r="H125" s="18">
        <f>F125+G125</f>
        <v>0</v>
      </c>
      <c r="I125" s="16"/>
    </row>
    <row r="126" s="1" customFormat="1" ht="15.75" spans="1:9">
      <c r="A126" s="9">
        <v>112</v>
      </c>
      <c r="B126" s="24" t="s">
        <v>121</v>
      </c>
      <c r="C126" s="16"/>
      <c r="D126" s="16"/>
      <c r="E126" s="18" t="e">
        <f>(F126-0.4*D126)/(0.6*D126)</f>
        <v>#DIV/0!</v>
      </c>
      <c r="F126" s="16"/>
      <c r="G126" s="16"/>
      <c r="H126" s="18">
        <f>F126+G126</f>
        <v>0</v>
      </c>
      <c r="I126" s="16"/>
    </row>
    <row r="127" s="1" customFormat="1" ht="15.75" spans="1:9">
      <c r="A127" s="9">
        <v>113</v>
      </c>
      <c r="B127" s="24" t="s">
        <v>122</v>
      </c>
      <c r="C127" s="16"/>
      <c r="D127" s="16"/>
      <c r="E127" s="18" t="e">
        <f>(F127-0.4*D127)/(0.6*D127)</f>
        <v>#DIV/0!</v>
      </c>
      <c r="F127" s="16"/>
      <c r="G127" s="16"/>
      <c r="H127" s="18">
        <f>F127+G127</f>
        <v>0</v>
      </c>
      <c r="I127" s="16"/>
    </row>
    <row r="128" s="1" customFormat="1" ht="15.75" spans="1:9">
      <c r="A128" s="9">
        <v>114</v>
      </c>
      <c r="B128" s="24" t="s">
        <v>123</v>
      </c>
      <c r="C128" s="16"/>
      <c r="D128" s="16"/>
      <c r="E128" s="18" t="e">
        <f>(F128-0.4*D128)/(0.6*D128)</f>
        <v>#DIV/0!</v>
      </c>
      <c r="F128" s="16"/>
      <c r="G128" s="16"/>
      <c r="H128" s="18">
        <f>F128+G128</f>
        <v>0</v>
      </c>
      <c r="I128" s="16"/>
    </row>
    <row r="129" s="1" customFormat="1" ht="15.75" spans="1:9">
      <c r="A129" s="9">
        <v>115</v>
      </c>
      <c r="B129" s="24" t="s">
        <v>124</v>
      </c>
      <c r="C129" s="18">
        <f t="shared" ref="C129:I129" si="0">SUM(C124:C128)</f>
        <v>0</v>
      </c>
      <c r="D129" s="18">
        <f t="shared" si="0"/>
        <v>0</v>
      </c>
      <c r="E129" s="20"/>
      <c r="F129" s="18">
        <f t="shared" si="0"/>
        <v>0</v>
      </c>
      <c r="G129" s="18">
        <f t="shared" si="0"/>
        <v>0</v>
      </c>
      <c r="H129" s="18">
        <f t="shared" si="0"/>
        <v>0</v>
      </c>
      <c r="I129" s="18">
        <f t="shared" si="0"/>
        <v>0</v>
      </c>
    </row>
    <row r="130" customFormat="1" ht="14.25" spans="1:256">
      <c r="A130" s="27" t="s">
        <v>125</v>
      </c>
      <c r="B130" s="27"/>
      <c r="C130" s="3" t="s">
        <v>126</v>
      </c>
      <c r="D130" s="3"/>
      <c r="E130" s="3"/>
      <c r="F130" s="3"/>
      <c r="G130" s="3"/>
      <c r="H130" s="3" t="s">
        <v>127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/>
      <c r="GY130" s="3"/>
      <c r="GZ130" s="3"/>
      <c r="HA130" s="3"/>
      <c r="HB130" s="3"/>
      <c r="HC130" s="3"/>
      <c r="HD130" s="3"/>
      <c r="HE130" s="3"/>
      <c r="HF130" s="3"/>
      <c r="HG130" s="3"/>
      <c r="HH130" s="3"/>
      <c r="HI130" s="3"/>
      <c r="HJ130" s="3"/>
      <c r="HK130" s="3"/>
      <c r="HL130" s="3"/>
      <c r="HM130" s="3"/>
      <c r="HN130" s="3"/>
      <c r="HO130" s="3"/>
      <c r="HP130" s="3"/>
      <c r="HQ130" s="3"/>
      <c r="HR130" s="3"/>
      <c r="HS130" s="3"/>
      <c r="HT130" s="3"/>
      <c r="HU130" s="3"/>
      <c r="HV130" s="3"/>
      <c r="HW130" s="3"/>
      <c r="HX130" s="3"/>
      <c r="HY130" s="3"/>
      <c r="HZ130" s="3"/>
      <c r="IA130" s="3"/>
      <c r="IB130" s="3"/>
      <c r="IC130" s="3"/>
      <c r="ID130" s="3"/>
      <c r="IE130" s="3"/>
      <c r="IF130" s="3"/>
      <c r="IG130" s="3"/>
      <c r="IH130" s="3"/>
      <c r="II130" s="3"/>
      <c r="IJ130" s="3"/>
      <c r="IK130" s="3"/>
      <c r="IL130" s="3"/>
      <c r="IM130" s="3"/>
      <c r="IN130" s="3"/>
      <c r="IO130" s="3"/>
      <c r="IP130" s="3"/>
      <c r="IQ130" s="3"/>
      <c r="IR130" s="3"/>
      <c r="IS130" s="3"/>
      <c r="IT130" s="3"/>
      <c r="IU130" s="3"/>
      <c r="IV130" s="3"/>
    </row>
    <row r="131" customFormat="1" ht="14.25" spans="1:256">
      <c r="A131" s="28"/>
      <c r="B131" s="29" t="s">
        <v>128</v>
      </c>
      <c r="C131" s="29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  <c r="GV131" s="3"/>
      <c r="GW131" s="3"/>
      <c r="GX131" s="3"/>
      <c r="GY131" s="3"/>
      <c r="GZ131" s="3"/>
      <c r="HA131" s="3"/>
      <c r="HB131" s="3"/>
      <c r="HC131" s="3"/>
      <c r="HD131" s="3"/>
      <c r="HE131" s="3"/>
      <c r="HF131" s="3"/>
      <c r="HG131" s="3"/>
      <c r="HH131" s="3"/>
      <c r="HI131" s="3"/>
      <c r="HJ131" s="3"/>
      <c r="HK131" s="3"/>
      <c r="HL131" s="3"/>
      <c r="HM131" s="3"/>
      <c r="HN131" s="3"/>
      <c r="HO131" s="3"/>
      <c r="HP131" s="3"/>
      <c r="HQ131" s="3"/>
      <c r="HR131" s="3"/>
      <c r="HS131" s="3"/>
      <c r="HT131" s="3"/>
      <c r="HU131" s="3"/>
      <c r="HV131" s="3"/>
      <c r="HW131" s="3"/>
      <c r="HX131" s="3"/>
      <c r="HY131" s="3"/>
      <c r="HZ131" s="3"/>
      <c r="IA131" s="3"/>
      <c r="IB131" s="3"/>
      <c r="IC131" s="3"/>
      <c r="ID131" s="3"/>
      <c r="IE131" s="3"/>
      <c r="IF131" s="3"/>
      <c r="IG131" s="3"/>
      <c r="IH131" s="3"/>
      <c r="II131" s="3"/>
      <c r="IJ131" s="3"/>
      <c r="IK131" s="3"/>
      <c r="IL131" s="3"/>
      <c r="IM131" s="3"/>
      <c r="IN131" s="3"/>
      <c r="IO131" s="3"/>
      <c r="IP131" s="3"/>
      <c r="IQ131" s="3"/>
      <c r="IR131" s="3"/>
      <c r="IS131" s="3"/>
      <c r="IT131" s="3"/>
      <c r="IU131" s="3"/>
      <c r="IV131" s="3"/>
    </row>
    <row r="132" customFormat="1" ht="14.25" spans="1:256">
      <c r="A132" s="30"/>
      <c r="B132" s="29" t="s">
        <v>129</v>
      </c>
      <c r="C132" s="29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  <c r="GV132" s="3"/>
      <c r="GW132" s="3"/>
      <c r="GX132" s="3"/>
      <c r="GY132" s="3"/>
      <c r="GZ132" s="3"/>
      <c r="HA132" s="3"/>
      <c r="HB132" s="3"/>
      <c r="HC132" s="3"/>
      <c r="HD132" s="3"/>
      <c r="HE132" s="3"/>
      <c r="HF132" s="3"/>
      <c r="HG132" s="3"/>
      <c r="HH132" s="3"/>
      <c r="HI132" s="3"/>
      <c r="HJ132" s="3"/>
      <c r="HK132" s="3"/>
      <c r="HL132" s="3"/>
      <c r="HM132" s="3"/>
      <c r="HN132" s="3"/>
      <c r="HO132" s="3"/>
      <c r="HP132" s="3"/>
      <c r="HQ132" s="3"/>
      <c r="HR132" s="3"/>
      <c r="HS132" s="3"/>
      <c r="HT132" s="3"/>
      <c r="HU132" s="3"/>
      <c r="HV132" s="3"/>
      <c r="HW132" s="3"/>
      <c r="HX132" s="3"/>
      <c r="HY132" s="3"/>
      <c r="HZ132" s="3"/>
      <c r="IA132" s="3"/>
      <c r="IB132" s="3"/>
      <c r="IC132" s="3"/>
      <c r="ID132" s="3"/>
      <c r="IE132" s="3"/>
      <c r="IF132" s="3"/>
      <c r="IG132" s="3"/>
      <c r="IH132" s="3"/>
      <c r="II132" s="3"/>
      <c r="IJ132" s="3"/>
      <c r="IK132" s="3"/>
      <c r="IL132" s="3"/>
      <c r="IM132" s="3"/>
      <c r="IN132" s="3"/>
      <c r="IO132" s="3"/>
      <c r="IP132" s="3"/>
      <c r="IQ132" s="3"/>
      <c r="IR132" s="3"/>
      <c r="IS132" s="3"/>
      <c r="IT132" s="3"/>
      <c r="IU132" s="3"/>
      <c r="IV132" s="3"/>
    </row>
    <row r="133" customFormat="1" ht="14.25" spans="1:256">
      <c r="A133" s="31"/>
      <c r="B133" s="29" t="s">
        <v>130</v>
      </c>
      <c r="C133" s="29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  <c r="GS133" s="3"/>
      <c r="GT133" s="3"/>
      <c r="GU133" s="3"/>
      <c r="GV133" s="3"/>
      <c r="GW133" s="3"/>
      <c r="GX133" s="3"/>
      <c r="GY133" s="3"/>
      <c r="GZ133" s="3"/>
      <c r="HA133" s="3"/>
      <c r="HB133" s="3"/>
      <c r="HC133" s="3"/>
      <c r="HD133" s="3"/>
      <c r="HE133" s="3"/>
      <c r="HF133" s="3"/>
      <c r="HG133" s="3"/>
      <c r="HH133" s="3"/>
      <c r="HI133" s="3"/>
      <c r="HJ133" s="3"/>
      <c r="HK133" s="3"/>
      <c r="HL133" s="3"/>
      <c r="HM133" s="3"/>
      <c r="HN133" s="3"/>
      <c r="HO133" s="3"/>
      <c r="HP133" s="3"/>
      <c r="HQ133" s="3"/>
      <c r="HR133" s="3"/>
      <c r="HS133" s="3"/>
      <c r="HT133" s="3"/>
      <c r="HU133" s="3"/>
      <c r="HV133" s="3"/>
      <c r="HW133" s="3"/>
      <c r="HX133" s="3"/>
      <c r="HY133" s="3"/>
      <c r="HZ133" s="3"/>
      <c r="IA133" s="3"/>
      <c r="IB133" s="3"/>
      <c r="IC133" s="3"/>
      <c r="ID133" s="3"/>
      <c r="IE133" s="3"/>
      <c r="IF133" s="3"/>
      <c r="IG133" s="3"/>
      <c r="IH133" s="3"/>
      <c r="II133" s="3"/>
      <c r="IJ133" s="3"/>
      <c r="IK133" s="3"/>
      <c r="IL133" s="3"/>
      <c r="IM133" s="3"/>
      <c r="IN133" s="3"/>
      <c r="IO133" s="3"/>
      <c r="IP133" s="3"/>
      <c r="IQ133" s="3"/>
      <c r="IR133" s="3"/>
      <c r="IS133" s="3"/>
      <c r="IT133" s="3"/>
      <c r="IU133" s="3"/>
      <c r="IV133" s="3"/>
    </row>
  </sheetData>
  <mergeCells count="21">
    <mergeCell ref="A1:G1"/>
    <mergeCell ref="A2:B2"/>
    <mergeCell ref="C2:E2"/>
    <mergeCell ref="A3:H3"/>
    <mergeCell ref="A118:H118"/>
    <mergeCell ref="A4:A8"/>
    <mergeCell ref="A119:A123"/>
    <mergeCell ref="B4:B8"/>
    <mergeCell ref="B119:B123"/>
    <mergeCell ref="C5:C8"/>
    <mergeCell ref="C120:C123"/>
    <mergeCell ref="D5:D8"/>
    <mergeCell ref="D120:D123"/>
    <mergeCell ref="E5:E8"/>
    <mergeCell ref="E120:E123"/>
    <mergeCell ref="F5:F8"/>
    <mergeCell ref="F120:F123"/>
    <mergeCell ref="G5:G8"/>
    <mergeCell ref="G120:G123"/>
    <mergeCell ref="H120:H123"/>
    <mergeCell ref="I120:I123"/>
  </mergeCells>
  <conditionalFormatting sqref="C11:C15 E11:G15 C17:C21 E17:G21 C24:C28 E24:E28 G24:G28 C30:C34 E30:E34 G30:G34 C36:C40 E36:E40 G36:G40 C43:C47 E43:E47 G43:G47 C49:C53 E49:E53 G49:G53 C55:C59 E55:E59 G55:G59 C62:C66 E62:E66 G62:G66 C68:C72 E68:E72 G68:G72 C74:C78 E74:E78 G74:G78 C81:C85 E81:E85 G81:G85 C87:C91 E87:E91 G87:G91 C93:C97 E93:E97 G93:G97 C100:C104 E100:E104 G100:G104 C106:C110 E106:E110 G106:G110 C112:C116 E112:E116 G112:G116 C124:D128 F124:G128 I124:I128">
    <cfRule type="cellIs" dxfId="0" priority="1" stopIfTrue="1" operator="lessThan">
      <formula>0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G4E-6(a)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梁爽</dc:creator>
  <cp:lastModifiedBy>陈静</cp:lastModifiedBy>
  <dcterms:created xsi:type="dcterms:W3CDTF">2023-08-28T18:37:00Z</dcterms:created>
  <dcterms:modified xsi:type="dcterms:W3CDTF">2024-12-12T17:53:27Z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29E3196F986045D5A6BB07CB608D418D_13</vt:lpwstr>
  </property>
  <property fmtid="{D5CDD505-2E9C-101B-9397-08002B2CF9AE}" pid="3" name="KSOProductBuildVer">
    <vt:lpwstr>2052-11.8.2.11764</vt:lpwstr>
  </property>
</Properties>
</file>