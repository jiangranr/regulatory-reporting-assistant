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 activeTab="1"/>
  </bookViews>
  <sheets>
    <sheet name="G4E-6(b)-普通方法版" sheetId="1" r:id="rId1"/>
    <sheet name="G4E-6(b)-VaR方法版" sheetId="3" r:id="rId2"/>
  </sheets>
  <calcPr calcId="144525"/>
</workbook>
</file>

<file path=xl/sharedStrings.xml><?xml version="1.0" encoding="utf-8"?>
<sst xmlns="http://schemas.openxmlformats.org/spreadsheetml/2006/main" count="338" uniqueCount="46">
  <si>
    <r>
      <t>G4E-6(b)</t>
    </r>
    <r>
      <rPr>
        <b/>
        <sz val="18"/>
        <rFont val="宋体"/>
        <charset val="134"/>
      </rPr>
      <t>与非中央交易对手的证券融资交易的交易对手信用风险情况表</t>
    </r>
    <r>
      <rPr>
        <b/>
        <sz val="18"/>
        <rFont val="Times New Roman"/>
        <charset val="134"/>
      </rPr>
      <t>(IRB</t>
    </r>
    <r>
      <rPr>
        <b/>
        <sz val="18"/>
        <rFont val="宋体"/>
        <charset val="134"/>
      </rPr>
      <t>法普通方法版</t>
    </r>
    <r>
      <rPr>
        <b/>
        <sz val="18"/>
        <rFont val="Times New Roman"/>
        <charset val="134"/>
      </rPr>
      <t>)</t>
    </r>
    <r>
      <rPr>
        <b/>
        <sz val="18"/>
        <rFont val="宋体"/>
        <charset val="134"/>
      </rPr>
      <t>（新规）</t>
    </r>
  </si>
  <si>
    <t>第I部分.合格净额结算协议未覆盖部分交易（逐笔交易填报）</t>
  </si>
  <si>
    <t>I.I 银行账簿</t>
  </si>
  <si>
    <t>序号</t>
  </si>
  <si>
    <t>A</t>
  </si>
  <si>
    <t>B</t>
  </si>
  <si>
    <t>C</t>
  </si>
  <si>
    <t>D</t>
  </si>
  <si>
    <t>E</t>
  </si>
  <si>
    <t>F</t>
  </si>
  <si>
    <t>G</t>
  </si>
  <si>
    <r>
      <rPr>
        <sz val="10"/>
        <rFont val="宋体"/>
        <charset val="134"/>
      </rPr>
      <t>缓释前风险暴露（</t>
    </r>
    <r>
      <rPr>
        <sz val="10"/>
        <rFont val="Times New Roman"/>
        <charset val="134"/>
      </rPr>
      <t>E)</t>
    </r>
  </si>
  <si>
    <r>
      <rPr>
        <sz val="10"/>
        <rFont val="宋体"/>
        <charset val="134"/>
      </rPr>
      <t>折扣后的缓释前风险暴露</t>
    </r>
    <r>
      <rPr>
        <sz val="10"/>
        <rFont val="Times New Roman"/>
        <charset val="134"/>
      </rPr>
      <t>(E*(1+He))</t>
    </r>
  </si>
  <si>
    <r>
      <rPr>
        <sz val="10"/>
        <rFont val="宋体"/>
        <charset val="134"/>
      </rPr>
      <t>金融质押品价值（</t>
    </r>
    <r>
      <rPr>
        <sz val="10"/>
        <rFont val="Times New Roman"/>
        <charset val="134"/>
      </rPr>
      <t>C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</si>
  <si>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金融质押品折扣和币种错配折扣后的价值</t>
    </r>
    <r>
      <rPr>
        <sz val="10"/>
        <rFont val="Times New Roman"/>
        <charset val="134"/>
      </rPr>
      <t>(C*(1-Hc-Hfx)</t>
    </r>
  </si>
  <si>
    <r>
      <rPr>
        <sz val="10"/>
        <rFont val="宋体"/>
        <charset val="134"/>
      </rPr>
      <t>风险暴露（</t>
    </r>
    <r>
      <rPr>
        <sz val="10"/>
        <rFont val="Times New Roman"/>
        <charset val="134"/>
      </rPr>
      <t>EAD</t>
    </r>
    <r>
      <rPr>
        <sz val="10"/>
        <rFont val="宋体"/>
        <charset val="134"/>
      </rPr>
      <t>）</t>
    </r>
  </si>
  <si>
    <t>风险暴露的资本要求（K）</t>
  </si>
  <si>
    <t>风险加权资产
（RWA）</t>
  </si>
  <si>
    <t>合计</t>
  </si>
  <si>
    <r>
      <rPr>
        <sz val="10"/>
        <rFont val="Times New Roman"/>
        <charset val="134"/>
      </rPr>
      <t>1.</t>
    </r>
    <r>
      <rPr>
        <sz val="10"/>
        <rFont val="宋体"/>
        <charset val="134"/>
      </rPr>
      <t>公司小计</t>
    </r>
  </si>
  <si>
    <t>......</t>
  </si>
  <si>
    <t>n</t>
  </si>
  <si>
    <t>2.主权小计</t>
  </si>
  <si>
    <r>
      <rPr>
        <sz val="10"/>
        <rFont val="Times New Roman"/>
        <charset val="134"/>
      </rPr>
      <t>3.</t>
    </r>
    <r>
      <rPr>
        <sz val="10"/>
        <rFont val="宋体"/>
        <charset val="134"/>
      </rPr>
      <t>金融机构小计</t>
    </r>
  </si>
  <si>
    <t>4.零售小计</t>
  </si>
  <si>
    <t>5.股权小计</t>
  </si>
  <si>
    <t>6.其他小计</t>
  </si>
  <si>
    <t>I.II 交易账簿</t>
  </si>
  <si>
    <t>第II部分.合格净额结算协议覆盖部分交易（逐净额结算协议填报）</t>
  </si>
  <si>
    <t>II.I 银行账簿</t>
  </si>
  <si>
    <t>H</t>
  </si>
  <si>
    <t>I</t>
  </si>
  <si>
    <t>交易对手名称</t>
  </si>
  <si>
    <r>
      <rPr>
        <sz val="10"/>
        <rFont val="宋体"/>
        <charset val="134"/>
      </rPr>
      <t>押品价值</t>
    </r>
    <r>
      <rPr>
        <sz val="10"/>
        <rFont val="Times New Roman"/>
        <charset val="134"/>
      </rPr>
      <t>(C)</t>
    </r>
  </si>
  <si>
    <t>总敞口（gross exposure）</t>
  </si>
  <si>
    <t>净敞口（net exposure）</t>
  </si>
  <si>
    <t>证券个数（N）</t>
  </si>
  <si>
    <t>净额错配（fx）</t>
  </si>
  <si>
    <t>风险缓释后的风险暴露（E*）</t>
  </si>
  <si>
    <t>风险加权资产</t>
  </si>
  <si>
    <r>
      <rPr>
        <sz val="10"/>
        <rFont val="Times New Roman"/>
        <charset val="134"/>
      </rPr>
      <t>5.</t>
    </r>
    <r>
      <rPr>
        <sz val="10"/>
        <rFont val="宋体"/>
        <charset val="134"/>
      </rPr>
      <t>股权小计</t>
    </r>
  </si>
  <si>
    <t>II.II 交易账簿</t>
  </si>
  <si>
    <t>II.III 可在银行账簿和交易账簿间轧差的头寸</t>
  </si>
  <si>
    <r>
      <t>G4E-6(b)</t>
    </r>
    <r>
      <rPr>
        <b/>
        <sz val="18"/>
        <rFont val="宋体"/>
        <charset val="134"/>
      </rPr>
      <t>与非中央交易对手的证券融资交易的交易对手信用风险情况表</t>
    </r>
    <r>
      <rPr>
        <b/>
        <sz val="18"/>
        <rFont val="Times New Roman"/>
        <charset val="134"/>
      </rPr>
      <t>(IRB</t>
    </r>
    <r>
      <rPr>
        <b/>
        <sz val="18"/>
        <rFont val="宋体"/>
        <charset val="134"/>
      </rPr>
      <t>法</t>
    </r>
    <r>
      <rPr>
        <b/>
        <sz val="18"/>
        <rFont val="Times New Roman"/>
        <charset val="134"/>
      </rPr>
      <t>VaR</t>
    </r>
    <r>
      <rPr>
        <b/>
        <sz val="18"/>
        <rFont val="宋体"/>
        <charset val="134"/>
      </rPr>
      <t>方法版</t>
    </r>
    <r>
      <rPr>
        <b/>
        <sz val="18"/>
        <rFont val="Times New Roman"/>
        <charset val="134"/>
      </rPr>
      <t>)</t>
    </r>
    <r>
      <rPr>
        <sz val="18"/>
        <rFont val="宋体"/>
        <charset val="134"/>
      </rPr>
      <t>（新规）</t>
    </r>
  </si>
  <si>
    <t>前一日风险价值（VaR）</t>
  </si>
  <si>
    <t>风险加权资产（RWA）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</si>
</sst>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176" formatCode="0.00_);[Red]\(0.00\)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30">
    <font>
      <sz val="11"/>
      <color theme="1"/>
      <name val="等线"/>
      <charset val="134"/>
      <scheme val="minor"/>
    </font>
    <font>
      <sz val="10"/>
      <name val="Times New Roman"/>
      <charset val="134"/>
    </font>
    <font>
      <b/>
      <sz val="18"/>
      <name val="Times New Roman"/>
      <charset val="134"/>
    </font>
    <font>
      <b/>
      <sz val="10"/>
      <color rgb="FFFF0000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0"/>
      <name val="Times New Roman"/>
      <charset val="134"/>
    </font>
    <font>
      <sz val="12"/>
      <name val="宋体"/>
      <charset val="134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0"/>
      <name val="Arial"/>
      <charset val="134"/>
    </font>
    <font>
      <sz val="11"/>
      <color rgb="FF0061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FA7D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8"/>
      <name val="宋体"/>
      <charset val="134"/>
    </font>
    <font>
      <sz val="18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0" borderId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5" fillId="32" borderId="14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0" fillId="28" borderId="14" applyNumberFormat="0" applyAlignment="0" applyProtection="0">
      <alignment vertical="center"/>
    </xf>
    <xf numFmtId="0" fontId="26" fillId="32" borderId="16" applyNumberFormat="0" applyAlignment="0" applyProtection="0">
      <alignment vertical="center"/>
    </xf>
    <xf numFmtId="0" fontId="27" fillId="36" borderId="17" applyNumberFormat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0" fillId="13" borderId="10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2" applyFont="1" applyAlignment="1">
      <alignment vertical="center" wrapText="1"/>
    </xf>
    <xf numFmtId="0" fontId="2" fillId="0" borderId="0" xfId="2" applyFont="1" applyAlignment="1">
      <alignment horizontal="center" vertical="center" wrapText="1"/>
    </xf>
    <xf numFmtId="0" fontId="3" fillId="0" borderId="0" xfId="2" applyFont="1" applyAlignment="1">
      <alignment horizontal="left" vertical="center" wrapText="1"/>
    </xf>
    <xf numFmtId="0" fontId="4" fillId="0" borderId="0" xfId="2" applyFont="1" applyAlignment="1">
      <alignment horizontal="left" vertical="center" wrapText="1"/>
    </xf>
    <xf numFmtId="0" fontId="4" fillId="0" borderId="1" xfId="24" applyFont="1" applyBorder="1" applyAlignment="1">
      <alignment horizontal="center" vertical="center" wrapText="1"/>
    </xf>
    <xf numFmtId="0" fontId="1" fillId="0" borderId="2" xfId="2" applyFont="1" applyBorder="1" applyAlignment="1">
      <alignment horizontal="center" vertical="center" wrapText="1"/>
    </xf>
    <xf numFmtId="0" fontId="1" fillId="0" borderId="3" xfId="24" applyFont="1" applyBorder="1" applyAlignment="1">
      <alignment horizontal="center" vertical="center" wrapText="1"/>
    </xf>
    <xf numFmtId="0" fontId="4" fillId="0" borderId="4" xfId="24" applyFont="1" applyBorder="1" applyAlignment="1">
      <alignment horizontal="center" vertical="center" wrapText="1"/>
    </xf>
    <xf numFmtId="0" fontId="4" fillId="0" borderId="3" xfId="24" applyFont="1" applyBorder="1" applyAlignment="1">
      <alignment horizontal="center" vertical="center" wrapText="1"/>
    </xf>
    <xf numFmtId="176" fontId="1" fillId="2" borderId="4" xfId="24" applyNumberFormat="1" applyFont="1" applyFill="1" applyBorder="1" applyAlignment="1">
      <alignment horizontal="center" vertical="center" wrapText="1"/>
    </xf>
    <xf numFmtId="176" fontId="1" fillId="3" borderId="4" xfId="24" applyNumberFormat="1" applyFont="1" applyFill="1" applyBorder="1" applyAlignment="1">
      <alignment horizontal="center" vertical="center" wrapText="1"/>
    </xf>
    <xf numFmtId="176" fontId="1" fillId="4" borderId="4" xfId="24" applyNumberFormat="1" applyFont="1" applyFill="1" applyBorder="1" applyAlignment="1">
      <alignment horizontal="center" vertical="center" wrapText="1"/>
    </xf>
    <xf numFmtId="0" fontId="1" fillId="0" borderId="5" xfId="24" applyFont="1" applyBorder="1" applyAlignment="1">
      <alignment horizontal="center" vertical="center" wrapText="1"/>
    </xf>
    <xf numFmtId="0" fontId="4" fillId="0" borderId="0" xfId="24" applyFont="1" applyAlignment="1">
      <alignment horizontal="left" vertical="center" wrapText="1"/>
    </xf>
    <xf numFmtId="0" fontId="1" fillId="0" borderId="0" xfId="24" applyFont="1" applyAlignment="1">
      <alignment horizontal="left" vertical="center" wrapText="1"/>
    </xf>
    <xf numFmtId="0" fontId="1" fillId="0" borderId="6" xfId="2" applyFont="1" applyBorder="1" applyAlignment="1">
      <alignment horizontal="center" vertical="center" wrapText="1"/>
    </xf>
    <xf numFmtId="0" fontId="4" fillId="0" borderId="7" xfId="24" applyFont="1" applyBorder="1" applyAlignment="1">
      <alignment horizontal="center" vertical="center" wrapText="1"/>
    </xf>
    <xf numFmtId="176" fontId="1" fillId="3" borderId="7" xfId="24" applyNumberFormat="1" applyFont="1" applyFill="1" applyBorder="1" applyAlignment="1">
      <alignment horizontal="center" vertical="center" wrapText="1"/>
    </xf>
    <xf numFmtId="176" fontId="1" fillId="4" borderId="7" xfId="24" applyNumberFormat="1" applyFont="1" applyFill="1" applyBorder="1" applyAlignment="1">
      <alignment horizontal="center" vertical="center" wrapText="1"/>
    </xf>
    <xf numFmtId="0" fontId="5" fillId="0" borderId="0" xfId="2" applyFont="1" applyAlignment="1">
      <alignment horizontal="left" vertical="center" wrapText="1"/>
    </xf>
    <xf numFmtId="0" fontId="6" fillId="0" borderId="0" xfId="2" applyFont="1" applyAlignment="1">
      <alignment horizontal="left" vertical="center" wrapText="1"/>
    </xf>
    <xf numFmtId="0" fontId="4" fillId="0" borderId="8" xfId="2" applyFont="1" applyBorder="1" applyAlignment="1">
      <alignment horizontal="left" vertical="center" wrapText="1"/>
    </xf>
    <xf numFmtId="0" fontId="1" fillId="0" borderId="2" xfId="24" applyFont="1" applyBorder="1" applyAlignment="1">
      <alignment horizontal="center" vertical="center" wrapText="1"/>
    </xf>
    <xf numFmtId="0" fontId="7" fillId="4" borderId="4" xfId="0" applyFont="1" applyFill="1" applyBorder="1" applyAlignment="1"/>
    <xf numFmtId="0" fontId="1" fillId="0" borderId="9" xfId="24" applyFont="1" applyBorder="1" applyAlignment="1">
      <alignment horizontal="center" vertical="center" wrapText="1"/>
    </xf>
    <xf numFmtId="0" fontId="1" fillId="0" borderId="4" xfId="24" applyFont="1" applyBorder="1" applyAlignment="1">
      <alignment horizontal="center" vertical="center" wrapText="1"/>
    </xf>
    <xf numFmtId="0" fontId="1" fillId="0" borderId="6" xfId="24" applyFont="1" applyBorder="1" applyAlignment="1">
      <alignment horizontal="center" vertical="center" wrapText="1"/>
    </xf>
    <xf numFmtId="176" fontId="1" fillId="5" borderId="4" xfId="14" applyNumberFormat="1" applyFont="1" applyFill="1" applyBorder="1" applyAlignment="1">
      <alignment horizontal="center" vertical="center" wrapText="1"/>
    </xf>
    <xf numFmtId="176" fontId="1" fillId="2" borderId="7" xfId="24" applyNumberFormat="1" applyFont="1" applyFill="1" applyBorder="1" applyAlignment="1">
      <alignment horizontal="center" vertical="center" wrapText="1"/>
    </xf>
    <xf numFmtId="0" fontId="7" fillId="4" borderId="7" xfId="0" applyFont="1" applyFill="1" applyBorder="1" applyAlignment="1"/>
    <xf numFmtId="176" fontId="1" fillId="0" borderId="0" xfId="24" applyNumberFormat="1" applyFont="1" applyAlignment="1">
      <alignment horizontal="center" vertical="center" wrapText="1"/>
    </xf>
    <xf numFmtId="0" fontId="2" fillId="0" borderId="0" xfId="2" applyFont="1" applyAlignment="1">
      <alignment vertical="center" wrapText="1"/>
    </xf>
  </cellXfs>
  <cellStyles count="52">
    <cellStyle name="常规" xfId="0" builtinId="0"/>
    <cellStyle name="千位分隔 2" xfId="1"/>
    <cellStyle name="常规_表1：场外衍生工具交易对手信用风险计算表" xfId="2"/>
    <cellStyle name="40% - 强调文字颜色 6" xfId="3" builtinId="51"/>
    <cellStyle name="20% - 强调文字颜色 6" xfId="4" builtinId="50"/>
    <cellStyle name="强调文字颜色 6" xfId="5" builtinId="49"/>
    <cellStyle name="40% - 强调文字颜色 5" xfId="6" builtinId="47"/>
    <cellStyle name="20% - 强调文字颜色 5" xfId="7" builtinId="46"/>
    <cellStyle name="强调文字颜色 5" xfId="8" builtinId="45"/>
    <cellStyle name="40% - 强调文字颜色 4" xfId="9" builtinId="43"/>
    <cellStyle name="标题 3" xfId="10" builtinId="18"/>
    <cellStyle name="解释性文本" xfId="11" builtinId="53"/>
    <cellStyle name="汇总" xfId="12" builtinId="25"/>
    <cellStyle name="百分比" xfId="13" builtinId="5"/>
    <cellStyle name="千位分隔" xfId="14" builtinId="3"/>
    <cellStyle name="标题 2" xfId="15" builtinId="17"/>
    <cellStyle name="货币[0]" xfId="16" builtinId="7"/>
    <cellStyle name="60% - 强调文字颜色 4" xfId="17" builtinId="44"/>
    <cellStyle name="警告文本" xfId="18" builtinId="11"/>
    <cellStyle name="20% - 强调文字颜色 2" xfId="19" builtinId="34"/>
    <cellStyle name="60% - 强调文字颜色 5" xfId="20" builtinId="48"/>
    <cellStyle name="标题 1" xfId="21" builtinId="16"/>
    <cellStyle name="超链接" xfId="22" builtinId="8"/>
    <cellStyle name="20% - 强调文字颜色 3" xfId="23" builtinId="38"/>
    <cellStyle name="常规_G4B-3（b）证券融资交易对手信用风险计算表(0621)" xfId="24"/>
    <cellStyle name="货币" xfId="25" builtinId="4"/>
    <cellStyle name="20% - 强调文字颜色 4" xfId="26" builtinId="42"/>
    <cellStyle name="计算" xfId="27" builtinId="22"/>
    <cellStyle name="已访问的超链接" xfId="28" builtinId="9"/>
    <cellStyle name="千位分隔[0]" xfId="29" builtinId="6"/>
    <cellStyle name="强调文字颜色 4" xfId="30" builtinId="41"/>
    <cellStyle name="40% - 强调文字颜色 3" xfId="31" builtinId="39"/>
    <cellStyle name="60% - 强调文字颜色 6" xfId="32" builtinId="52"/>
    <cellStyle name="输入" xfId="33" builtinId="20"/>
    <cellStyle name="输出" xfId="34" builtinId="21"/>
    <cellStyle name="检查单元格" xfId="35" builtinId="23"/>
    <cellStyle name="链接单元格" xfId="36" builtinId="24"/>
    <cellStyle name="60% - 强调文字颜色 1" xfId="37" builtinId="32"/>
    <cellStyle name="60% - 强调文字颜色 3" xfId="38" builtinId="40"/>
    <cellStyle name="注释" xfId="39" builtinId="10"/>
    <cellStyle name="标题" xfId="40" builtinId="15"/>
    <cellStyle name="好" xfId="41" builtinId="26"/>
    <cellStyle name="标题 4" xfId="42" builtinId="19"/>
    <cellStyle name="强调文字颜色 1" xfId="43" builtinId="29"/>
    <cellStyle name="适中" xfId="44" builtinId="28"/>
    <cellStyle name="20% - 强调文字颜色 1" xfId="45" builtinId="30"/>
    <cellStyle name="差" xfId="46" builtinId="27"/>
    <cellStyle name="强调文字颜色 2" xfId="47" builtinId="33"/>
    <cellStyle name="40% - 强调文字颜色 1" xfId="48" builtinId="31"/>
    <cellStyle name="60% - 强调文字颜色 2" xfId="49" builtinId="36"/>
    <cellStyle name="40% - 强调文字颜色 2" xfId="50" builtinId="35"/>
    <cellStyle name="强调文字颜色 3" xfId="51" builtinId="3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178"/>
  <sheetViews>
    <sheetView zoomScale="85" zoomScaleNormal="85" workbookViewId="0">
      <selection activeCell="A1" sqref="A1:H1"/>
    </sheetView>
  </sheetViews>
  <sheetFormatPr defaultColWidth="8.10833333333333" defaultRowHeight="13.5"/>
  <cols>
    <col min="1" max="1" width="13.8833333333333" customWidth="1"/>
    <col min="2" max="2" width="11" customWidth="1"/>
    <col min="3" max="3" width="16.1083333333333" customWidth="1"/>
    <col min="4" max="4" width="13.6666666666667" customWidth="1"/>
    <col min="5" max="5" width="19" customWidth="1"/>
    <col min="6" max="6" width="23.3333333333333" customWidth="1"/>
    <col min="7" max="7" width="11" customWidth="1"/>
    <col min="8" max="8" width="26.3333333333333" customWidth="1"/>
    <col min="9" max="9" width="12.775" customWidth="1"/>
    <col min="11" max="11" width="30.4416666666667" customWidth="1"/>
  </cols>
  <sheetData>
    <row r="1" ht="22.5" customHeight="1" spans="1:19">
      <c r="A1" s="2" t="s">
        <v>0</v>
      </c>
      <c r="B1" s="2"/>
      <c r="C1" s="2"/>
      <c r="D1" s="2"/>
      <c r="E1" s="2"/>
      <c r="F1" s="2"/>
      <c r="G1" s="2"/>
      <c r="H1" s="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</row>
    <row r="2" s="1" customFormat="1" ht="12.75" spans="1:10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s="1" customFormat="1" ht="15" customHeight="1" spans="1:50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s="1" customFormat="1" ht="15" customHeight="1" spans="1:8">
      <c r="A4" s="5" t="s">
        <v>3</v>
      </c>
      <c r="B4" s="23" t="s">
        <v>4</v>
      </c>
      <c r="C4" s="23" t="s">
        <v>5</v>
      </c>
      <c r="D4" s="23" t="s">
        <v>6</v>
      </c>
      <c r="E4" s="23" t="s">
        <v>7</v>
      </c>
      <c r="F4" s="23" t="s">
        <v>8</v>
      </c>
      <c r="G4" s="23" t="s">
        <v>9</v>
      </c>
      <c r="H4" s="27" t="s">
        <v>10</v>
      </c>
    </row>
    <row r="5" s="1" customFormat="1" ht="45.45" customHeight="1" spans="1:8">
      <c r="A5" s="7"/>
      <c r="B5" s="8" t="s">
        <v>11</v>
      </c>
      <c r="C5" s="8" t="s">
        <v>12</v>
      </c>
      <c r="D5" s="8" t="s">
        <v>13</v>
      </c>
      <c r="E5" s="8" t="s">
        <v>14</v>
      </c>
      <c r="F5" s="8" t="s">
        <v>15</v>
      </c>
      <c r="G5" s="8" t="s">
        <v>16</v>
      </c>
      <c r="H5" s="17" t="s">
        <v>17</v>
      </c>
    </row>
    <row r="6" s="1" customFormat="1" ht="15" customHeight="1" spans="1:8">
      <c r="A6" s="9" t="s">
        <v>18</v>
      </c>
      <c r="B6" s="10">
        <f>B7+B13+B19+B25+B32</f>
        <v>0</v>
      </c>
      <c r="C6" s="10">
        <f t="shared" ref="C6:H6" si="0">C7+C13+C19+C25+C32</f>
        <v>0</v>
      </c>
      <c r="D6" s="10">
        <f t="shared" si="0"/>
        <v>0</v>
      </c>
      <c r="E6" s="10">
        <f t="shared" si="0"/>
        <v>0</v>
      </c>
      <c r="F6" s="10">
        <f t="shared" si="0"/>
        <v>0</v>
      </c>
      <c r="G6" s="10">
        <f t="shared" si="0"/>
        <v>0</v>
      </c>
      <c r="H6" s="10">
        <f t="shared" si="0"/>
        <v>0</v>
      </c>
    </row>
    <row r="7" s="1" customFormat="1" ht="15" customHeight="1" spans="1:8">
      <c r="A7" s="7" t="s">
        <v>19</v>
      </c>
      <c r="B7" s="10">
        <f>SUM(B8:B12)</f>
        <v>0</v>
      </c>
      <c r="C7" s="10">
        <f t="shared" ref="C7:H7" si="1">SUM(C8:C12)</f>
        <v>0</v>
      </c>
      <c r="D7" s="10">
        <f t="shared" si="1"/>
        <v>0</v>
      </c>
      <c r="E7" s="10">
        <f t="shared" si="1"/>
        <v>0</v>
      </c>
      <c r="F7" s="10">
        <f t="shared" si="1"/>
        <v>0</v>
      </c>
      <c r="G7" s="10">
        <f t="shared" si="1"/>
        <v>0</v>
      </c>
      <c r="H7" s="10">
        <f t="shared" si="1"/>
        <v>0</v>
      </c>
    </row>
    <row r="8" s="1" customFormat="1" ht="15" customHeight="1" spans="1:8">
      <c r="A8" s="7">
        <v>1</v>
      </c>
      <c r="B8" s="11"/>
      <c r="C8" s="11"/>
      <c r="D8" s="11"/>
      <c r="E8" s="11"/>
      <c r="F8" s="28">
        <f>MAX((C8-E8),0)</f>
        <v>0</v>
      </c>
      <c r="G8" s="11"/>
      <c r="H8" s="29">
        <f>F8*G8*12.5</f>
        <v>0</v>
      </c>
    </row>
    <row r="9" s="1" customFormat="1" ht="15" customHeight="1" spans="1:8">
      <c r="A9" s="7">
        <v>2</v>
      </c>
      <c r="B9" s="11"/>
      <c r="C9" s="11"/>
      <c r="D9" s="11"/>
      <c r="E9" s="11"/>
      <c r="F9" s="28">
        <f t="shared" ref="F9:F18" si="2">MAX((C9-E9),0)</f>
        <v>0</v>
      </c>
      <c r="G9" s="11"/>
      <c r="H9" s="29">
        <f t="shared" ref="H9:H18" si="3">F9*G9*12.5</f>
        <v>0</v>
      </c>
    </row>
    <row r="10" s="1" customFormat="1" ht="15" customHeight="1" spans="1:8">
      <c r="A10" s="7">
        <v>3</v>
      </c>
      <c r="B10" s="11"/>
      <c r="C10" s="11"/>
      <c r="D10" s="11"/>
      <c r="E10" s="11"/>
      <c r="F10" s="28">
        <f t="shared" si="2"/>
        <v>0</v>
      </c>
      <c r="G10" s="11"/>
      <c r="H10" s="29">
        <f t="shared" si="3"/>
        <v>0</v>
      </c>
    </row>
    <row r="11" s="1" customFormat="1" ht="15" customHeight="1" spans="1:8">
      <c r="A11" s="7" t="s">
        <v>20</v>
      </c>
      <c r="B11" s="11"/>
      <c r="C11" s="11"/>
      <c r="D11" s="11"/>
      <c r="E11" s="11"/>
      <c r="F11" s="28">
        <f t="shared" si="2"/>
        <v>0</v>
      </c>
      <c r="G11" s="11"/>
      <c r="H11" s="29">
        <f t="shared" si="3"/>
        <v>0</v>
      </c>
    </row>
    <row r="12" s="1" customFormat="1" ht="15" customHeight="1" spans="1:8">
      <c r="A12" s="7" t="s">
        <v>21</v>
      </c>
      <c r="B12" s="11"/>
      <c r="C12" s="11"/>
      <c r="D12" s="11"/>
      <c r="E12" s="11"/>
      <c r="F12" s="28">
        <f t="shared" si="2"/>
        <v>0</v>
      </c>
      <c r="G12" s="11"/>
      <c r="H12" s="29">
        <f t="shared" si="3"/>
        <v>0</v>
      </c>
    </row>
    <row r="13" s="1" customFormat="1" ht="15" customHeight="1" spans="1:8">
      <c r="A13" s="7" t="s">
        <v>22</v>
      </c>
      <c r="B13" s="10">
        <f t="shared" ref="B13:H13" si="4">SUM(B14:B18)</f>
        <v>0</v>
      </c>
      <c r="C13" s="10">
        <f t="shared" si="4"/>
        <v>0</v>
      </c>
      <c r="D13" s="10">
        <f t="shared" si="4"/>
        <v>0</v>
      </c>
      <c r="E13" s="10">
        <f t="shared" si="4"/>
        <v>0</v>
      </c>
      <c r="F13" s="10">
        <f t="shared" si="4"/>
        <v>0</v>
      </c>
      <c r="G13" s="10">
        <f t="shared" si="4"/>
        <v>0</v>
      </c>
      <c r="H13" s="10">
        <f t="shared" si="4"/>
        <v>0</v>
      </c>
    </row>
    <row r="14" s="1" customFormat="1" ht="15" customHeight="1" spans="1:8">
      <c r="A14" s="7">
        <v>1</v>
      </c>
      <c r="B14" s="11"/>
      <c r="C14" s="11"/>
      <c r="D14" s="11"/>
      <c r="E14" s="11"/>
      <c r="F14" s="28">
        <f t="shared" si="2"/>
        <v>0</v>
      </c>
      <c r="G14" s="11"/>
      <c r="H14" s="29">
        <f t="shared" si="3"/>
        <v>0</v>
      </c>
    </row>
    <row r="15" s="1" customFormat="1" ht="15" customHeight="1" spans="1:8">
      <c r="A15" s="7">
        <v>2</v>
      </c>
      <c r="B15" s="11"/>
      <c r="C15" s="11"/>
      <c r="D15" s="11"/>
      <c r="E15" s="11"/>
      <c r="F15" s="28">
        <f t="shared" si="2"/>
        <v>0</v>
      </c>
      <c r="G15" s="11"/>
      <c r="H15" s="29">
        <f t="shared" si="3"/>
        <v>0</v>
      </c>
    </row>
    <row r="16" s="1" customFormat="1" ht="15" customHeight="1" spans="1:8">
      <c r="A16" s="7">
        <v>3</v>
      </c>
      <c r="B16" s="11"/>
      <c r="C16" s="11"/>
      <c r="D16" s="11"/>
      <c r="E16" s="11"/>
      <c r="F16" s="28">
        <f t="shared" si="2"/>
        <v>0</v>
      </c>
      <c r="G16" s="11"/>
      <c r="H16" s="29">
        <f t="shared" si="3"/>
        <v>0</v>
      </c>
    </row>
    <row r="17" s="1" customFormat="1" ht="15" customHeight="1" spans="1:8">
      <c r="A17" s="7" t="s">
        <v>20</v>
      </c>
      <c r="B17" s="11"/>
      <c r="C17" s="11"/>
      <c r="D17" s="11"/>
      <c r="E17" s="11"/>
      <c r="F17" s="28">
        <f t="shared" si="2"/>
        <v>0</v>
      </c>
      <c r="G17" s="11"/>
      <c r="H17" s="29">
        <f t="shared" si="3"/>
        <v>0</v>
      </c>
    </row>
    <row r="18" s="1" customFormat="1" ht="15" customHeight="1" spans="1:8">
      <c r="A18" s="7" t="s">
        <v>21</v>
      </c>
      <c r="B18" s="11"/>
      <c r="C18" s="11"/>
      <c r="D18" s="11"/>
      <c r="E18" s="11"/>
      <c r="F18" s="28">
        <f t="shared" si="2"/>
        <v>0</v>
      </c>
      <c r="G18" s="11"/>
      <c r="H18" s="29">
        <f t="shared" si="3"/>
        <v>0</v>
      </c>
    </row>
    <row r="19" s="1" customFormat="1" ht="15" customHeight="1" spans="1:8">
      <c r="A19" s="7" t="s">
        <v>23</v>
      </c>
      <c r="B19" s="10">
        <f t="shared" ref="B19:H19" si="5">SUM(B20:B24)</f>
        <v>0</v>
      </c>
      <c r="C19" s="10">
        <f t="shared" si="5"/>
        <v>0</v>
      </c>
      <c r="D19" s="10">
        <f t="shared" si="5"/>
        <v>0</v>
      </c>
      <c r="E19" s="10">
        <f t="shared" si="5"/>
        <v>0</v>
      </c>
      <c r="F19" s="10">
        <f t="shared" si="5"/>
        <v>0</v>
      </c>
      <c r="G19" s="10">
        <f t="shared" si="5"/>
        <v>0</v>
      </c>
      <c r="H19" s="10">
        <f t="shared" si="5"/>
        <v>0</v>
      </c>
    </row>
    <row r="20" s="1" customFormat="1" ht="15" customHeight="1" spans="1:8">
      <c r="A20" s="7">
        <v>1</v>
      </c>
      <c r="B20" s="11"/>
      <c r="C20" s="11"/>
      <c r="D20" s="11"/>
      <c r="E20" s="11"/>
      <c r="F20" s="28">
        <f t="shared" ref="F20:F24" si="6">MAX((C20-E20),0)</f>
        <v>0</v>
      </c>
      <c r="G20" s="11"/>
      <c r="H20" s="29">
        <f t="shared" ref="H20:H24" si="7">F20*G20*12.5</f>
        <v>0</v>
      </c>
    </row>
    <row r="21" s="1" customFormat="1" ht="15" customHeight="1" spans="1:8">
      <c r="A21" s="7">
        <v>2</v>
      </c>
      <c r="B21" s="11"/>
      <c r="C21" s="11"/>
      <c r="D21" s="11"/>
      <c r="E21" s="11"/>
      <c r="F21" s="28">
        <f t="shared" si="6"/>
        <v>0</v>
      </c>
      <c r="G21" s="11"/>
      <c r="H21" s="29">
        <f t="shared" si="7"/>
        <v>0</v>
      </c>
    </row>
    <row r="22" s="1" customFormat="1" ht="15" customHeight="1" spans="1:8">
      <c r="A22" s="7">
        <v>3</v>
      </c>
      <c r="B22" s="11"/>
      <c r="C22" s="11"/>
      <c r="D22" s="11"/>
      <c r="E22" s="11"/>
      <c r="F22" s="28">
        <f t="shared" si="6"/>
        <v>0</v>
      </c>
      <c r="G22" s="11"/>
      <c r="H22" s="29">
        <f t="shared" si="7"/>
        <v>0</v>
      </c>
    </row>
    <row r="23" s="1" customFormat="1" ht="15" customHeight="1" spans="1:8">
      <c r="A23" s="7" t="s">
        <v>20</v>
      </c>
      <c r="B23" s="11"/>
      <c r="C23" s="11"/>
      <c r="D23" s="11"/>
      <c r="E23" s="11"/>
      <c r="F23" s="28">
        <f t="shared" si="6"/>
        <v>0</v>
      </c>
      <c r="G23" s="11"/>
      <c r="H23" s="29">
        <f t="shared" si="7"/>
        <v>0</v>
      </c>
    </row>
    <row r="24" s="1" customFormat="1" ht="15" customHeight="1" spans="1:8">
      <c r="A24" s="7" t="s">
        <v>21</v>
      </c>
      <c r="B24" s="11"/>
      <c r="C24" s="11"/>
      <c r="D24" s="11"/>
      <c r="E24" s="11"/>
      <c r="F24" s="28">
        <f t="shared" si="6"/>
        <v>0</v>
      </c>
      <c r="G24" s="11"/>
      <c r="H24" s="29">
        <f t="shared" si="7"/>
        <v>0</v>
      </c>
    </row>
    <row r="25" s="1" customFormat="1" ht="15" customHeight="1" spans="1:8">
      <c r="A25" s="9" t="s">
        <v>24</v>
      </c>
      <c r="B25" s="10">
        <f t="shared" ref="B25:H25" si="8">SUM(B26:B30)</f>
        <v>0</v>
      </c>
      <c r="C25" s="10">
        <f t="shared" si="8"/>
        <v>0</v>
      </c>
      <c r="D25" s="10">
        <f t="shared" si="8"/>
        <v>0</v>
      </c>
      <c r="E25" s="10">
        <f t="shared" si="8"/>
        <v>0</v>
      </c>
      <c r="F25" s="10">
        <f t="shared" si="8"/>
        <v>0</v>
      </c>
      <c r="G25" s="10">
        <f t="shared" si="8"/>
        <v>0</v>
      </c>
      <c r="H25" s="10">
        <f t="shared" si="8"/>
        <v>0</v>
      </c>
    </row>
    <row r="26" s="1" customFormat="1" ht="15" customHeight="1" spans="1:8">
      <c r="A26" s="7">
        <v>1</v>
      </c>
      <c r="B26" s="11"/>
      <c r="C26" s="11"/>
      <c r="D26" s="11"/>
      <c r="E26" s="11"/>
      <c r="F26" s="28">
        <f t="shared" ref="F26:F30" si="9">MAX((C26-E26),0)</f>
        <v>0</v>
      </c>
      <c r="G26" s="11"/>
      <c r="H26" s="29">
        <f t="shared" ref="H26:H30" si="10">F26*G26*12.5</f>
        <v>0</v>
      </c>
    </row>
    <row r="27" s="1" customFormat="1" ht="15" customHeight="1" spans="1:8">
      <c r="A27" s="7">
        <v>2</v>
      </c>
      <c r="B27" s="11"/>
      <c r="C27" s="11"/>
      <c r="D27" s="11"/>
      <c r="E27" s="11"/>
      <c r="F27" s="28">
        <f t="shared" si="9"/>
        <v>0</v>
      </c>
      <c r="G27" s="11"/>
      <c r="H27" s="29">
        <f t="shared" si="10"/>
        <v>0</v>
      </c>
    </row>
    <row r="28" s="1" customFormat="1" ht="15" customHeight="1" spans="1:8">
      <c r="A28" s="7">
        <v>3</v>
      </c>
      <c r="B28" s="11"/>
      <c r="C28" s="11"/>
      <c r="D28" s="11"/>
      <c r="E28" s="11"/>
      <c r="F28" s="28">
        <f t="shared" si="9"/>
        <v>0</v>
      </c>
      <c r="G28" s="11"/>
      <c r="H28" s="29">
        <f t="shared" si="10"/>
        <v>0</v>
      </c>
    </row>
    <row r="29" s="1" customFormat="1" ht="15" customHeight="1" spans="1:8">
      <c r="A29" s="7" t="s">
        <v>20</v>
      </c>
      <c r="B29" s="11"/>
      <c r="C29" s="11"/>
      <c r="D29" s="11"/>
      <c r="E29" s="11"/>
      <c r="F29" s="28">
        <f t="shared" si="9"/>
        <v>0</v>
      </c>
      <c r="G29" s="11"/>
      <c r="H29" s="29">
        <f t="shared" si="10"/>
        <v>0</v>
      </c>
    </row>
    <row r="30" s="1" customFormat="1" ht="15" customHeight="1" spans="1:8">
      <c r="A30" s="7" t="s">
        <v>21</v>
      </c>
      <c r="B30" s="11"/>
      <c r="C30" s="11"/>
      <c r="D30" s="11"/>
      <c r="E30" s="11"/>
      <c r="F30" s="28">
        <f t="shared" si="9"/>
        <v>0</v>
      </c>
      <c r="G30" s="11"/>
      <c r="H30" s="29">
        <f t="shared" si="10"/>
        <v>0</v>
      </c>
    </row>
    <row r="31" s="1" customFormat="1" ht="15" customHeight="1" spans="1:8">
      <c r="A31" s="9" t="s">
        <v>25</v>
      </c>
      <c r="B31" s="24"/>
      <c r="C31" s="24"/>
      <c r="D31" s="24"/>
      <c r="E31" s="24"/>
      <c r="F31" s="24"/>
      <c r="G31" s="24"/>
      <c r="H31" s="30"/>
    </row>
    <row r="32" s="1" customFormat="1" ht="15" customHeight="1" spans="1:8">
      <c r="A32" s="9" t="s">
        <v>26</v>
      </c>
      <c r="B32" s="10">
        <f t="shared" ref="B32:H32" si="11">SUM(B33:B37)</f>
        <v>0</v>
      </c>
      <c r="C32" s="10">
        <f t="shared" si="11"/>
        <v>0</v>
      </c>
      <c r="D32" s="10">
        <f t="shared" si="11"/>
        <v>0</v>
      </c>
      <c r="E32" s="10">
        <f t="shared" si="11"/>
        <v>0</v>
      </c>
      <c r="F32" s="10">
        <f t="shared" si="11"/>
        <v>0</v>
      </c>
      <c r="G32" s="10">
        <f t="shared" si="11"/>
        <v>0</v>
      </c>
      <c r="H32" s="10">
        <f t="shared" si="11"/>
        <v>0</v>
      </c>
    </row>
    <row r="33" s="1" customFormat="1" ht="15" customHeight="1" spans="1:8">
      <c r="A33" s="7">
        <v>1</v>
      </c>
      <c r="B33" s="11"/>
      <c r="C33" s="11"/>
      <c r="D33" s="11"/>
      <c r="E33" s="11"/>
      <c r="F33" s="28">
        <f t="shared" ref="F33:F37" si="12">MAX((C33-E33),0)</f>
        <v>0</v>
      </c>
      <c r="G33" s="11"/>
      <c r="H33" s="29">
        <f t="shared" ref="H33:H37" si="13">F33*G33*12.5</f>
        <v>0</v>
      </c>
    </row>
    <row r="34" s="1" customFormat="1" ht="15" customHeight="1" spans="1:8">
      <c r="A34" s="7">
        <v>2</v>
      </c>
      <c r="B34" s="11"/>
      <c r="C34" s="11"/>
      <c r="D34" s="11"/>
      <c r="E34" s="11"/>
      <c r="F34" s="28">
        <f t="shared" si="12"/>
        <v>0</v>
      </c>
      <c r="G34" s="11"/>
      <c r="H34" s="29">
        <f t="shared" si="13"/>
        <v>0</v>
      </c>
    </row>
    <row r="35" s="1" customFormat="1" ht="15" customHeight="1" spans="1:8">
      <c r="A35" s="7">
        <v>3</v>
      </c>
      <c r="B35" s="11"/>
      <c r="C35" s="11"/>
      <c r="D35" s="11"/>
      <c r="E35" s="11"/>
      <c r="F35" s="28">
        <f t="shared" si="12"/>
        <v>0</v>
      </c>
      <c r="G35" s="11"/>
      <c r="H35" s="29">
        <f t="shared" si="13"/>
        <v>0</v>
      </c>
    </row>
    <row r="36" s="1" customFormat="1" ht="15" customHeight="1" spans="1:8">
      <c r="A36" s="25" t="s">
        <v>20</v>
      </c>
      <c r="B36" s="11"/>
      <c r="C36" s="11"/>
      <c r="D36" s="11"/>
      <c r="E36" s="11"/>
      <c r="F36" s="28">
        <f t="shared" si="12"/>
        <v>0</v>
      </c>
      <c r="G36" s="11"/>
      <c r="H36" s="29">
        <f t="shared" si="13"/>
        <v>0</v>
      </c>
    </row>
    <row r="37" s="1" customFormat="1" ht="15" customHeight="1" spans="1:8">
      <c r="A37" s="26" t="s">
        <v>21</v>
      </c>
      <c r="B37" s="11"/>
      <c r="C37" s="11"/>
      <c r="D37" s="11"/>
      <c r="E37" s="11"/>
      <c r="F37" s="28">
        <f t="shared" si="12"/>
        <v>0</v>
      </c>
      <c r="G37" s="11"/>
      <c r="H37" s="10">
        <f t="shared" si="13"/>
        <v>0</v>
      </c>
    </row>
    <row r="38" s="1" customFormat="1" ht="15" customHeight="1" spans="1:10">
      <c r="A38" s="14" t="s">
        <v>27</v>
      </c>
      <c r="B38" s="15"/>
      <c r="C38" s="15"/>
      <c r="D38" s="15"/>
      <c r="E38" s="15"/>
      <c r="F38" s="15"/>
      <c r="G38" s="15"/>
      <c r="H38" s="31"/>
      <c r="I38" s="31"/>
      <c r="J38" s="31"/>
    </row>
    <row r="39" s="1" customFormat="1" ht="15" customHeight="1" spans="1:8">
      <c r="A39" s="5" t="s">
        <v>3</v>
      </c>
      <c r="B39" s="23" t="s">
        <v>4</v>
      </c>
      <c r="C39" s="23" t="s">
        <v>5</v>
      </c>
      <c r="D39" s="23" t="s">
        <v>6</v>
      </c>
      <c r="E39" s="23" t="s">
        <v>7</v>
      </c>
      <c r="F39" s="23" t="s">
        <v>8</v>
      </c>
      <c r="G39" s="23" t="s">
        <v>9</v>
      </c>
      <c r="H39" s="27" t="s">
        <v>10</v>
      </c>
    </row>
    <row r="40" s="1" customFormat="1" ht="52.95" customHeight="1" spans="1:8">
      <c r="A40" s="7"/>
      <c r="B40" s="8" t="s">
        <v>11</v>
      </c>
      <c r="C40" s="8" t="s">
        <v>12</v>
      </c>
      <c r="D40" s="8" t="s">
        <v>13</v>
      </c>
      <c r="E40" s="8" t="s">
        <v>14</v>
      </c>
      <c r="F40" s="8" t="s">
        <v>15</v>
      </c>
      <c r="G40" s="8" t="s">
        <v>16</v>
      </c>
      <c r="H40" s="17" t="s">
        <v>17</v>
      </c>
    </row>
    <row r="41" s="1" customFormat="1" ht="15" customHeight="1" spans="1:8">
      <c r="A41" s="9" t="s">
        <v>18</v>
      </c>
      <c r="B41" s="10">
        <f t="shared" ref="B41:H41" si="14">B42+B48+B54+B60+B67</f>
        <v>0</v>
      </c>
      <c r="C41" s="10">
        <f t="shared" si="14"/>
        <v>0</v>
      </c>
      <c r="D41" s="10">
        <f t="shared" si="14"/>
        <v>0</v>
      </c>
      <c r="E41" s="10">
        <f t="shared" si="14"/>
        <v>0</v>
      </c>
      <c r="F41" s="10">
        <f t="shared" si="14"/>
        <v>0</v>
      </c>
      <c r="G41" s="10">
        <f t="shared" si="14"/>
        <v>0</v>
      </c>
      <c r="H41" s="10">
        <f t="shared" si="14"/>
        <v>0</v>
      </c>
    </row>
    <row r="42" s="1" customFormat="1" ht="15" customHeight="1" spans="1:8">
      <c r="A42" s="7" t="s">
        <v>19</v>
      </c>
      <c r="B42" s="10">
        <f t="shared" ref="B42:H42" si="15">SUM(B43:B47)</f>
        <v>0</v>
      </c>
      <c r="C42" s="10">
        <f t="shared" si="15"/>
        <v>0</v>
      </c>
      <c r="D42" s="10">
        <f t="shared" si="15"/>
        <v>0</v>
      </c>
      <c r="E42" s="10">
        <f t="shared" si="15"/>
        <v>0</v>
      </c>
      <c r="F42" s="10">
        <f t="shared" si="15"/>
        <v>0</v>
      </c>
      <c r="G42" s="10">
        <f t="shared" si="15"/>
        <v>0</v>
      </c>
      <c r="H42" s="10">
        <f t="shared" si="15"/>
        <v>0</v>
      </c>
    </row>
    <row r="43" s="1" customFormat="1" ht="15" customHeight="1" spans="1:8">
      <c r="A43" s="7">
        <v>1</v>
      </c>
      <c r="B43" s="11"/>
      <c r="C43" s="11"/>
      <c r="D43" s="11"/>
      <c r="E43" s="11"/>
      <c r="F43" s="28">
        <f t="shared" ref="F43:F47" si="16">MAX((C43-E43),0)</f>
        <v>0</v>
      </c>
      <c r="G43" s="11"/>
      <c r="H43" s="29">
        <f t="shared" ref="H43:H47" si="17">F43*G43*12.5</f>
        <v>0</v>
      </c>
    </row>
    <row r="44" s="1" customFormat="1" ht="15" customHeight="1" spans="1:8">
      <c r="A44" s="7">
        <v>2</v>
      </c>
      <c r="B44" s="11"/>
      <c r="C44" s="11"/>
      <c r="D44" s="11"/>
      <c r="E44" s="11"/>
      <c r="F44" s="28">
        <f t="shared" si="16"/>
        <v>0</v>
      </c>
      <c r="G44" s="11"/>
      <c r="H44" s="29">
        <f t="shared" si="17"/>
        <v>0</v>
      </c>
    </row>
    <row r="45" s="1" customFormat="1" ht="15" customHeight="1" spans="1:8">
      <c r="A45" s="7">
        <v>3</v>
      </c>
      <c r="B45" s="11"/>
      <c r="C45" s="11"/>
      <c r="D45" s="11"/>
      <c r="E45" s="11"/>
      <c r="F45" s="28">
        <f t="shared" si="16"/>
        <v>0</v>
      </c>
      <c r="G45" s="11"/>
      <c r="H45" s="29">
        <f t="shared" si="17"/>
        <v>0</v>
      </c>
    </row>
    <row r="46" s="1" customFormat="1" ht="15" customHeight="1" spans="1:8">
      <c r="A46" s="7" t="s">
        <v>20</v>
      </c>
      <c r="B46" s="11"/>
      <c r="C46" s="11"/>
      <c r="D46" s="11"/>
      <c r="E46" s="11"/>
      <c r="F46" s="28">
        <f t="shared" si="16"/>
        <v>0</v>
      </c>
      <c r="G46" s="11"/>
      <c r="H46" s="29">
        <f t="shared" si="17"/>
        <v>0</v>
      </c>
    </row>
    <row r="47" s="1" customFormat="1" ht="15" customHeight="1" spans="1:8">
      <c r="A47" s="7" t="s">
        <v>21</v>
      </c>
      <c r="B47" s="11"/>
      <c r="C47" s="11"/>
      <c r="D47" s="11"/>
      <c r="E47" s="11"/>
      <c r="F47" s="28">
        <f t="shared" si="16"/>
        <v>0</v>
      </c>
      <c r="G47" s="11"/>
      <c r="H47" s="29">
        <f t="shared" si="17"/>
        <v>0</v>
      </c>
    </row>
    <row r="48" s="1" customFormat="1" ht="15" customHeight="1" spans="1:8">
      <c r="A48" s="7" t="s">
        <v>22</v>
      </c>
      <c r="B48" s="10">
        <f t="shared" ref="B48:H48" si="18">SUM(B49:B53)</f>
        <v>0</v>
      </c>
      <c r="C48" s="10">
        <f t="shared" si="18"/>
        <v>0</v>
      </c>
      <c r="D48" s="10">
        <f t="shared" si="18"/>
        <v>0</v>
      </c>
      <c r="E48" s="10">
        <f t="shared" si="18"/>
        <v>0</v>
      </c>
      <c r="F48" s="10">
        <f t="shared" si="18"/>
        <v>0</v>
      </c>
      <c r="G48" s="10">
        <f t="shared" si="18"/>
        <v>0</v>
      </c>
      <c r="H48" s="10">
        <f t="shared" si="18"/>
        <v>0</v>
      </c>
    </row>
    <row r="49" s="1" customFormat="1" ht="15" customHeight="1" spans="1:8">
      <c r="A49" s="7">
        <v>1</v>
      </c>
      <c r="B49" s="11"/>
      <c r="C49" s="11"/>
      <c r="D49" s="11"/>
      <c r="E49" s="11"/>
      <c r="F49" s="28">
        <f t="shared" ref="F49:F53" si="19">MAX((C49-E49),0)</f>
        <v>0</v>
      </c>
      <c r="G49" s="11"/>
      <c r="H49" s="29">
        <f t="shared" ref="H49:H53" si="20">F49*G49*12.5</f>
        <v>0</v>
      </c>
    </row>
    <row r="50" s="1" customFormat="1" ht="15" customHeight="1" spans="1:8">
      <c r="A50" s="7">
        <v>2</v>
      </c>
      <c r="B50" s="11"/>
      <c r="C50" s="11"/>
      <c r="D50" s="11"/>
      <c r="E50" s="11"/>
      <c r="F50" s="28">
        <f t="shared" si="19"/>
        <v>0</v>
      </c>
      <c r="G50" s="11"/>
      <c r="H50" s="29">
        <f t="shared" si="20"/>
        <v>0</v>
      </c>
    </row>
    <row r="51" s="1" customFormat="1" ht="15" customHeight="1" spans="1:8">
      <c r="A51" s="7">
        <v>3</v>
      </c>
      <c r="B51" s="11"/>
      <c r="C51" s="11"/>
      <c r="D51" s="11"/>
      <c r="E51" s="11"/>
      <c r="F51" s="28">
        <f t="shared" si="19"/>
        <v>0</v>
      </c>
      <c r="G51" s="11"/>
      <c r="H51" s="29">
        <f t="shared" si="20"/>
        <v>0</v>
      </c>
    </row>
    <row r="52" s="1" customFormat="1" ht="15" customHeight="1" spans="1:8">
      <c r="A52" s="7" t="s">
        <v>20</v>
      </c>
      <c r="B52" s="11"/>
      <c r="C52" s="11"/>
      <c r="D52" s="11"/>
      <c r="E52" s="11"/>
      <c r="F52" s="28">
        <f t="shared" si="19"/>
        <v>0</v>
      </c>
      <c r="G52" s="11"/>
      <c r="H52" s="29">
        <f t="shared" si="20"/>
        <v>0</v>
      </c>
    </row>
    <row r="53" s="1" customFormat="1" ht="15" customHeight="1" spans="1:8">
      <c r="A53" s="7" t="s">
        <v>21</v>
      </c>
      <c r="B53" s="11"/>
      <c r="C53" s="11"/>
      <c r="D53" s="11"/>
      <c r="E53" s="11"/>
      <c r="F53" s="28">
        <f t="shared" si="19"/>
        <v>0</v>
      </c>
      <c r="G53" s="11"/>
      <c r="H53" s="29">
        <f t="shared" si="20"/>
        <v>0</v>
      </c>
    </row>
    <row r="54" s="1" customFormat="1" ht="15" customHeight="1" spans="1:8">
      <c r="A54" s="7" t="s">
        <v>23</v>
      </c>
      <c r="B54" s="10">
        <f t="shared" ref="B54:H54" si="21">SUM(B55:B59)</f>
        <v>0</v>
      </c>
      <c r="C54" s="10">
        <f t="shared" si="21"/>
        <v>0</v>
      </c>
      <c r="D54" s="10">
        <f t="shared" si="21"/>
        <v>0</v>
      </c>
      <c r="E54" s="10">
        <f t="shared" si="21"/>
        <v>0</v>
      </c>
      <c r="F54" s="10">
        <f t="shared" si="21"/>
        <v>0</v>
      </c>
      <c r="G54" s="10">
        <f t="shared" si="21"/>
        <v>0</v>
      </c>
      <c r="H54" s="10">
        <f t="shared" si="21"/>
        <v>0</v>
      </c>
    </row>
    <row r="55" s="1" customFormat="1" ht="15" customHeight="1" spans="1:8">
      <c r="A55" s="7">
        <v>1</v>
      </c>
      <c r="B55" s="11"/>
      <c r="C55" s="11"/>
      <c r="D55" s="11"/>
      <c r="E55" s="11"/>
      <c r="F55" s="28">
        <f t="shared" ref="F55:F59" si="22">MAX((C55-E55),0)</f>
        <v>0</v>
      </c>
      <c r="G55" s="11"/>
      <c r="H55" s="29">
        <f t="shared" ref="H55:H59" si="23">F55*G55*12.5</f>
        <v>0</v>
      </c>
    </row>
    <row r="56" s="1" customFormat="1" ht="15" customHeight="1" spans="1:8">
      <c r="A56" s="7">
        <v>2</v>
      </c>
      <c r="B56" s="11"/>
      <c r="C56" s="11"/>
      <c r="D56" s="11"/>
      <c r="E56" s="11"/>
      <c r="F56" s="28">
        <f t="shared" si="22"/>
        <v>0</v>
      </c>
      <c r="G56" s="11"/>
      <c r="H56" s="29">
        <f t="shared" si="23"/>
        <v>0</v>
      </c>
    </row>
    <row r="57" s="1" customFormat="1" ht="15" customHeight="1" spans="1:8">
      <c r="A57" s="7">
        <v>3</v>
      </c>
      <c r="B57" s="11"/>
      <c r="C57" s="11"/>
      <c r="D57" s="11"/>
      <c r="E57" s="11"/>
      <c r="F57" s="28">
        <f t="shared" si="22"/>
        <v>0</v>
      </c>
      <c r="G57" s="11"/>
      <c r="H57" s="29">
        <f t="shared" si="23"/>
        <v>0</v>
      </c>
    </row>
    <row r="58" s="1" customFormat="1" ht="15" customHeight="1" spans="1:8">
      <c r="A58" s="7" t="s">
        <v>20</v>
      </c>
      <c r="B58" s="11"/>
      <c r="C58" s="11"/>
      <c r="D58" s="11"/>
      <c r="E58" s="11"/>
      <c r="F58" s="28">
        <f t="shared" si="22"/>
        <v>0</v>
      </c>
      <c r="G58" s="11"/>
      <c r="H58" s="29">
        <f t="shared" si="23"/>
        <v>0</v>
      </c>
    </row>
    <row r="59" s="1" customFormat="1" ht="15" customHeight="1" spans="1:8">
      <c r="A59" s="7" t="s">
        <v>21</v>
      </c>
      <c r="B59" s="11"/>
      <c r="C59" s="11"/>
      <c r="D59" s="11"/>
      <c r="E59" s="11"/>
      <c r="F59" s="28">
        <f t="shared" si="22"/>
        <v>0</v>
      </c>
      <c r="G59" s="11"/>
      <c r="H59" s="29">
        <f t="shared" si="23"/>
        <v>0</v>
      </c>
    </row>
    <row r="60" s="1" customFormat="1" ht="15" customHeight="1" spans="1:8">
      <c r="A60" s="9" t="s">
        <v>24</v>
      </c>
      <c r="B60" s="10">
        <f t="shared" ref="B60:H60" si="24">SUM(B61:B65)</f>
        <v>0</v>
      </c>
      <c r="C60" s="10">
        <f t="shared" si="24"/>
        <v>0</v>
      </c>
      <c r="D60" s="10">
        <f t="shared" si="24"/>
        <v>0</v>
      </c>
      <c r="E60" s="10">
        <f t="shared" si="24"/>
        <v>0</v>
      </c>
      <c r="F60" s="10">
        <f t="shared" si="24"/>
        <v>0</v>
      </c>
      <c r="G60" s="10">
        <f t="shared" si="24"/>
        <v>0</v>
      </c>
      <c r="H60" s="10">
        <f t="shared" si="24"/>
        <v>0</v>
      </c>
    </row>
    <row r="61" s="1" customFormat="1" ht="15" customHeight="1" spans="1:8">
      <c r="A61" s="7">
        <v>1</v>
      </c>
      <c r="B61" s="11"/>
      <c r="C61" s="11"/>
      <c r="D61" s="11"/>
      <c r="E61" s="11"/>
      <c r="F61" s="28">
        <f t="shared" ref="F61:F65" si="25">MAX((C61-E61),0)</f>
        <v>0</v>
      </c>
      <c r="G61" s="11"/>
      <c r="H61" s="29">
        <f t="shared" ref="H61:H65" si="26">F61*G61*12.5</f>
        <v>0</v>
      </c>
    </row>
    <row r="62" s="1" customFormat="1" ht="15" customHeight="1" spans="1:8">
      <c r="A62" s="7">
        <v>2</v>
      </c>
      <c r="B62" s="11"/>
      <c r="C62" s="11"/>
      <c r="D62" s="11"/>
      <c r="E62" s="11"/>
      <c r="F62" s="28">
        <f t="shared" si="25"/>
        <v>0</v>
      </c>
      <c r="G62" s="11"/>
      <c r="H62" s="29">
        <f t="shared" si="26"/>
        <v>0</v>
      </c>
    </row>
    <row r="63" s="1" customFormat="1" ht="15" customHeight="1" spans="1:8">
      <c r="A63" s="7">
        <v>3</v>
      </c>
      <c r="B63" s="11"/>
      <c r="C63" s="11"/>
      <c r="D63" s="11"/>
      <c r="E63" s="11"/>
      <c r="F63" s="28">
        <f t="shared" si="25"/>
        <v>0</v>
      </c>
      <c r="G63" s="11"/>
      <c r="H63" s="29">
        <f t="shared" si="26"/>
        <v>0</v>
      </c>
    </row>
    <row r="64" s="1" customFormat="1" ht="15" customHeight="1" spans="1:8">
      <c r="A64" s="7" t="s">
        <v>20</v>
      </c>
      <c r="B64" s="11"/>
      <c r="C64" s="11"/>
      <c r="D64" s="11"/>
      <c r="E64" s="11"/>
      <c r="F64" s="28">
        <f t="shared" si="25"/>
        <v>0</v>
      </c>
      <c r="G64" s="11"/>
      <c r="H64" s="29">
        <f t="shared" si="26"/>
        <v>0</v>
      </c>
    </row>
    <row r="65" s="1" customFormat="1" ht="15" customHeight="1" spans="1:8">
      <c r="A65" s="7" t="s">
        <v>21</v>
      </c>
      <c r="B65" s="11"/>
      <c r="C65" s="11"/>
      <c r="D65" s="11"/>
      <c r="E65" s="11"/>
      <c r="F65" s="28">
        <f t="shared" si="25"/>
        <v>0</v>
      </c>
      <c r="G65" s="11"/>
      <c r="H65" s="29">
        <f t="shared" si="26"/>
        <v>0</v>
      </c>
    </row>
    <row r="66" s="1" customFormat="1" ht="15" customHeight="1" spans="1:8">
      <c r="A66" s="9" t="s">
        <v>25</v>
      </c>
      <c r="B66" s="24"/>
      <c r="C66" s="24"/>
      <c r="D66" s="24"/>
      <c r="E66" s="24"/>
      <c r="F66" s="24"/>
      <c r="G66" s="24"/>
      <c r="H66" s="30"/>
    </row>
    <row r="67" s="1" customFormat="1" ht="15" customHeight="1" spans="1:8">
      <c r="A67" s="9" t="s">
        <v>26</v>
      </c>
      <c r="B67" s="10">
        <f t="shared" ref="B67:H67" si="27">SUM(B68:B72)</f>
        <v>0</v>
      </c>
      <c r="C67" s="10">
        <f t="shared" si="27"/>
        <v>0</v>
      </c>
      <c r="D67" s="10">
        <f t="shared" si="27"/>
        <v>0</v>
      </c>
      <c r="E67" s="10">
        <f t="shared" si="27"/>
        <v>0</v>
      </c>
      <c r="F67" s="10">
        <f t="shared" si="27"/>
        <v>0</v>
      </c>
      <c r="G67" s="10">
        <f t="shared" si="27"/>
        <v>0</v>
      </c>
      <c r="H67" s="10">
        <f t="shared" si="27"/>
        <v>0</v>
      </c>
    </row>
    <row r="68" s="1" customFormat="1" ht="15" customHeight="1" spans="1:8">
      <c r="A68" s="7">
        <v>1</v>
      </c>
      <c r="B68" s="11"/>
      <c r="C68" s="11"/>
      <c r="D68" s="11"/>
      <c r="E68" s="11"/>
      <c r="F68" s="28">
        <f t="shared" ref="F68:F72" si="28">MAX((C68-E68),0)</f>
        <v>0</v>
      </c>
      <c r="G68" s="11"/>
      <c r="H68" s="29">
        <f t="shared" ref="H68:H72" si="29">F68*G68*12.5</f>
        <v>0</v>
      </c>
    </row>
    <row r="69" s="1" customFormat="1" ht="15" customHeight="1" spans="1:8">
      <c r="A69" s="7">
        <v>2</v>
      </c>
      <c r="B69" s="11"/>
      <c r="C69" s="11"/>
      <c r="D69" s="11"/>
      <c r="E69" s="11"/>
      <c r="F69" s="28">
        <f t="shared" si="28"/>
        <v>0</v>
      </c>
      <c r="G69" s="11"/>
      <c r="H69" s="29">
        <f t="shared" si="29"/>
        <v>0</v>
      </c>
    </row>
    <row r="70" s="1" customFormat="1" ht="15" customHeight="1" spans="1:8">
      <c r="A70" s="7">
        <v>3</v>
      </c>
      <c r="B70" s="11"/>
      <c r="C70" s="11"/>
      <c r="D70" s="11"/>
      <c r="E70" s="11"/>
      <c r="F70" s="28">
        <f t="shared" si="28"/>
        <v>0</v>
      </c>
      <c r="G70" s="11"/>
      <c r="H70" s="29">
        <f t="shared" si="29"/>
        <v>0</v>
      </c>
    </row>
    <row r="71" s="1" customFormat="1" ht="15" customHeight="1" spans="1:8">
      <c r="A71" s="25" t="s">
        <v>20</v>
      </c>
      <c r="B71" s="11"/>
      <c r="C71" s="11"/>
      <c r="D71" s="11"/>
      <c r="E71" s="11"/>
      <c r="F71" s="28">
        <f t="shared" si="28"/>
        <v>0</v>
      </c>
      <c r="G71" s="11"/>
      <c r="H71" s="29">
        <f t="shared" si="29"/>
        <v>0</v>
      </c>
    </row>
    <row r="72" s="1" customFormat="1" ht="15" customHeight="1" spans="1:8">
      <c r="A72" s="26" t="s">
        <v>21</v>
      </c>
      <c r="B72" s="11"/>
      <c r="C72" s="11"/>
      <c r="D72" s="11"/>
      <c r="E72" s="11"/>
      <c r="F72" s="28">
        <f t="shared" si="28"/>
        <v>0</v>
      </c>
      <c r="G72" s="11"/>
      <c r="H72" s="10">
        <f t="shared" si="29"/>
        <v>0</v>
      </c>
    </row>
    <row r="73" s="1" customFormat="1" ht="12.75" spans="1:50">
      <c r="A73" s="20" t="s">
        <v>28</v>
      </c>
      <c r="B73" s="20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</row>
    <row r="74" s="1" customFormat="1" spans="1:50">
      <c r="A74" s="4" t="s">
        <v>29</v>
      </c>
      <c r="B74" s="20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</row>
    <row r="75" s="1" customFormat="1" ht="15" customHeight="1" spans="1:10">
      <c r="A75" s="5" t="s">
        <v>3</v>
      </c>
      <c r="B75" s="23" t="s">
        <v>4</v>
      </c>
      <c r="C75" s="23" t="s">
        <v>5</v>
      </c>
      <c r="D75" s="23" t="s">
        <v>6</v>
      </c>
      <c r="E75" s="23" t="s">
        <v>7</v>
      </c>
      <c r="F75" s="23" t="s">
        <v>8</v>
      </c>
      <c r="G75" s="23" t="s">
        <v>9</v>
      </c>
      <c r="H75" s="23" t="s">
        <v>10</v>
      </c>
      <c r="I75" s="23" t="s">
        <v>30</v>
      </c>
      <c r="J75" s="27" t="s">
        <v>31</v>
      </c>
    </row>
    <row r="76" s="1" customFormat="1" ht="45.45" customHeight="1" spans="1:10">
      <c r="A76" s="7"/>
      <c r="B76" s="8" t="s">
        <v>32</v>
      </c>
      <c r="C76" s="8" t="s">
        <v>11</v>
      </c>
      <c r="D76" s="8" t="s">
        <v>33</v>
      </c>
      <c r="E76" s="8" t="s">
        <v>34</v>
      </c>
      <c r="F76" s="8" t="s">
        <v>35</v>
      </c>
      <c r="G76" s="8" t="s">
        <v>36</v>
      </c>
      <c r="H76" s="8" t="s">
        <v>37</v>
      </c>
      <c r="I76" s="8" t="s">
        <v>38</v>
      </c>
      <c r="J76" s="17" t="s">
        <v>39</v>
      </c>
    </row>
    <row r="77" s="1" customFormat="1" ht="15" customHeight="1" spans="1:10">
      <c r="A77" s="9" t="s">
        <v>18</v>
      </c>
      <c r="B77" s="10">
        <f>B78+B84+B90+B96+B103</f>
        <v>0</v>
      </c>
      <c r="C77" s="10">
        <f t="shared" ref="C77:J77" si="30">C78+C84+C90+C96+C103</f>
        <v>0</v>
      </c>
      <c r="D77" s="10">
        <f t="shared" si="30"/>
        <v>0</v>
      </c>
      <c r="E77" s="10">
        <f t="shared" si="30"/>
        <v>0</v>
      </c>
      <c r="F77" s="10">
        <f t="shared" si="30"/>
        <v>0</v>
      </c>
      <c r="G77" s="10">
        <f t="shared" si="30"/>
        <v>0</v>
      </c>
      <c r="H77" s="10">
        <f t="shared" si="30"/>
        <v>0</v>
      </c>
      <c r="I77" s="10" t="e">
        <f t="shared" si="30"/>
        <v>#DIV/0!</v>
      </c>
      <c r="J77" s="10">
        <f t="shared" si="30"/>
        <v>0</v>
      </c>
    </row>
    <row r="78" s="1" customFormat="1" ht="15" customHeight="1" spans="1:10">
      <c r="A78" s="7" t="s">
        <v>19</v>
      </c>
      <c r="B78" s="10">
        <f>SUM(B79:B83)</f>
        <v>0</v>
      </c>
      <c r="C78" s="10">
        <f t="shared" ref="C78:J78" si="31">SUM(C79:C83)</f>
        <v>0</v>
      </c>
      <c r="D78" s="10">
        <f t="shared" si="31"/>
        <v>0</v>
      </c>
      <c r="E78" s="10">
        <f t="shared" si="31"/>
        <v>0</v>
      </c>
      <c r="F78" s="10">
        <f t="shared" si="31"/>
        <v>0</v>
      </c>
      <c r="G78" s="10">
        <f t="shared" si="31"/>
        <v>0</v>
      </c>
      <c r="H78" s="10">
        <f t="shared" si="31"/>
        <v>0</v>
      </c>
      <c r="I78" s="10" t="e">
        <f t="shared" si="31"/>
        <v>#DIV/0!</v>
      </c>
      <c r="J78" s="10">
        <f t="shared" si="31"/>
        <v>0</v>
      </c>
    </row>
    <row r="79" s="1" customFormat="1" ht="15" customHeight="1" spans="1:10">
      <c r="A79" s="7">
        <v>1</v>
      </c>
      <c r="B79" s="11"/>
      <c r="C79" s="11"/>
      <c r="D79" s="11"/>
      <c r="E79" s="11"/>
      <c r="F79" s="11"/>
      <c r="G79" s="11"/>
      <c r="H79" s="11"/>
      <c r="I79" s="10" t="e">
        <f>MAX(0,(C79-D79+0.4*F79+0.6*E79/SQRT(G79)+H79))</f>
        <v>#DIV/0!</v>
      </c>
      <c r="J79" s="18"/>
    </row>
    <row r="80" s="1" customFormat="1" ht="15" customHeight="1" spans="1:10">
      <c r="A80" s="7">
        <v>2</v>
      </c>
      <c r="B80" s="11"/>
      <c r="C80" s="11"/>
      <c r="D80" s="11"/>
      <c r="E80" s="11"/>
      <c r="F80" s="11"/>
      <c r="G80" s="11"/>
      <c r="H80" s="11"/>
      <c r="I80" s="10" t="e">
        <f t="shared" ref="I80:I89" si="32">MAX(0,(C80-D80+0.4*F80+0.6*E80/SQRT(G80)+H80))</f>
        <v>#DIV/0!</v>
      </c>
      <c r="J80" s="18"/>
    </row>
    <row r="81" s="1" customFormat="1" ht="15" customHeight="1" spans="1:10">
      <c r="A81" s="7">
        <v>3</v>
      </c>
      <c r="B81" s="11"/>
      <c r="C81" s="11"/>
      <c r="D81" s="11"/>
      <c r="E81" s="11"/>
      <c r="F81" s="11"/>
      <c r="G81" s="11"/>
      <c r="H81" s="11"/>
      <c r="I81" s="10" t="e">
        <f t="shared" si="32"/>
        <v>#DIV/0!</v>
      </c>
      <c r="J81" s="18"/>
    </row>
    <row r="82" s="1" customFormat="1" ht="15" customHeight="1" spans="1:10">
      <c r="A82" s="7" t="s">
        <v>20</v>
      </c>
      <c r="B82" s="11"/>
      <c r="C82" s="11"/>
      <c r="D82" s="11"/>
      <c r="E82" s="11"/>
      <c r="F82" s="11"/>
      <c r="G82" s="11"/>
      <c r="H82" s="11"/>
      <c r="I82" s="10" t="e">
        <f t="shared" si="32"/>
        <v>#DIV/0!</v>
      </c>
      <c r="J82" s="18"/>
    </row>
    <row r="83" s="1" customFormat="1" ht="15" customHeight="1" spans="1:10">
      <c r="A83" s="7" t="s">
        <v>21</v>
      </c>
      <c r="B83" s="11"/>
      <c r="C83" s="11"/>
      <c r="D83" s="11"/>
      <c r="E83" s="11"/>
      <c r="F83" s="11"/>
      <c r="G83" s="11"/>
      <c r="H83" s="11"/>
      <c r="I83" s="10" t="e">
        <f t="shared" si="32"/>
        <v>#DIV/0!</v>
      </c>
      <c r="J83" s="18"/>
    </row>
    <row r="84" s="1" customFormat="1" ht="15" customHeight="1" spans="1:10">
      <c r="A84" s="7" t="s">
        <v>22</v>
      </c>
      <c r="B84" s="10">
        <f t="shared" ref="B84:J84" si="33">SUM(B85:B89)</f>
        <v>0</v>
      </c>
      <c r="C84" s="10">
        <f t="shared" si="33"/>
        <v>0</v>
      </c>
      <c r="D84" s="10">
        <f t="shared" si="33"/>
        <v>0</v>
      </c>
      <c r="E84" s="10">
        <f t="shared" si="33"/>
        <v>0</v>
      </c>
      <c r="F84" s="10">
        <f t="shared" si="33"/>
        <v>0</v>
      </c>
      <c r="G84" s="10">
        <f t="shared" si="33"/>
        <v>0</v>
      </c>
      <c r="H84" s="10">
        <f t="shared" si="33"/>
        <v>0</v>
      </c>
      <c r="I84" s="10" t="e">
        <f t="shared" si="33"/>
        <v>#DIV/0!</v>
      </c>
      <c r="J84" s="10">
        <f t="shared" si="33"/>
        <v>0</v>
      </c>
    </row>
    <row r="85" s="1" customFormat="1" ht="15" customHeight="1" spans="1:10">
      <c r="A85" s="7">
        <v>1</v>
      </c>
      <c r="B85" s="11"/>
      <c r="C85" s="11"/>
      <c r="D85" s="11"/>
      <c r="E85" s="11"/>
      <c r="F85" s="11"/>
      <c r="G85" s="11"/>
      <c r="H85" s="11"/>
      <c r="I85" s="10" t="e">
        <f t="shared" si="32"/>
        <v>#DIV/0!</v>
      </c>
      <c r="J85" s="18"/>
    </row>
    <row r="86" s="1" customFormat="1" ht="15" customHeight="1" spans="1:10">
      <c r="A86" s="7">
        <v>2</v>
      </c>
      <c r="B86" s="11"/>
      <c r="C86" s="11"/>
      <c r="D86" s="11"/>
      <c r="E86" s="11"/>
      <c r="F86" s="11"/>
      <c r="G86" s="11"/>
      <c r="H86" s="11"/>
      <c r="I86" s="10" t="e">
        <f t="shared" si="32"/>
        <v>#DIV/0!</v>
      </c>
      <c r="J86" s="18"/>
    </row>
    <row r="87" s="1" customFormat="1" ht="15" customHeight="1" spans="1:10">
      <c r="A87" s="7">
        <v>3</v>
      </c>
      <c r="B87" s="11"/>
      <c r="C87" s="11"/>
      <c r="D87" s="11"/>
      <c r="E87" s="11"/>
      <c r="F87" s="11"/>
      <c r="G87" s="11"/>
      <c r="H87" s="11"/>
      <c r="I87" s="10" t="e">
        <f t="shared" si="32"/>
        <v>#DIV/0!</v>
      </c>
      <c r="J87" s="18"/>
    </row>
    <row r="88" s="1" customFormat="1" ht="15" customHeight="1" spans="1:10">
      <c r="A88" s="7" t="s">
        <v>20</v>
      </c>
      <c r="B88" s="11"/>
      <c r="C88" s="11"/>
      <c r="D88" s="11"/>
      <c r="E88" s="11"/>
      <c r="F88" s="11"/>
      <c r="G88" s="11"/>
      <c r="H88" s="11"/>
      <c r="I88" s="10" t="e">
        <f t="shared" si="32"/>
        <v>#DIV/0!</v>
      </c>
      <c r="J88" s="18"/>
    </row>
    <row r="89" s="1" customFormat="1" ht="15" customHeight="1" spans="1:10">
      <c r="A89" s="7" t="s">
        <v>21</v>
      </c>
      <c r="B89" s="11"/>
      <c r="C89" s="11"/>
      <c r="D89" s="11"/>
      <c r="E89" s="11"/>
      <c r="F89" s="11"/>
      <c r="G89" s="11"/>
      <c r="H89" s="11"/>
      <c r="I89" s="10" t="e">
        <f t="shared" si="32"/>
        <v>#DIV/0!</v>
      </c>
      <c r="J89" s="18"/>
    </row>
    <row r="90" s="1" customFormat="1" ht="15" customHeight="1" spans="1:10">
      <c r="A90" s="7" t="s">
        <v>23</v>
      </c>
      <c r="B90" s="10">
        <f t="shared" ref="B90:J90" si="34">SUM(B91:B95)</f>
        <v>0</v>
      </c>
      <c r="C90" s="10">
        <f t="shared" si="34"/>
        <v>0</v>
      </c>
      <c r="D90" s="10">
        <f t="shared" si="34"/>
        <v>0</v>
      </c>
      <c r="E90" s="10">
        <f t="shared" si="34"/>
        <v>0</v>
      </c>
      <c r="F90" s="10">
        <f t="shared" si="34"/>
        <v>0</v>
      </c>
      <c r="G90" s="10">
        <f t="shared" si="34"/>
        <v>0</v>
      </c>
      <c r="H90" s="10">
        <f t="shared" si="34"/>
        <v>0</v>
      </c>
      <c r="I90" s="10" t="e">
        <f t="shared" si="34"/>
        <v>#DIV/0!</v>
      </c>
      <c r="J90" s="10">
        <f t="shared" si="34"/>
        <v>0</v>
      </c>
    </row>
    <row r="91" s="1" customFormat="1" ht="15" customHeight="1" spans="1:10">
      <c r="A91" s="7">
        <v>1</v>
      </c>
      <c r="B91" s="11"/>
      <c r="C91" s="11"/>
      <c r="D91" s="11"/>
      <c r="E91" s="11"/>
      <c r="F91" s="11"/>
      <c r="G91" s="11"/>
      <c r="H91" s="11"/>
      <c r="I91" s="10" t="e">
        <f t="shared" ref="I91:I95" si="35">MAX(0,(C91-D91+0.4*F91+0.6*E91/SQRT(G91)+H91))</f>
        <v>#DIV/0!</v>
      </c>
      <c r="J91" s="18"/>
    </row>
    <row r="92" s="1" customFormat="1" ht="15" customHeight="1" spans="1:10">
      <c r="A92" s="7">
        <v>2</v>
      </c>
      <c r="B92" s="11"/>
      <c r="C92" s="11"/>
      <c r="D92" s="11"/>
      <c r="E92" s="11"/>
      <c r="F92" s="11"/>
      <c r="G92" s="11"/>
      <c r="H92" s="11"/>
      <c r="I92" s="10" t="e">
        <f t="shared" si="35"/>
        <v>#DIV/0!</v>
      </c>
      <c r="J92" s="18"/>
    </row>
    <row r="93" s="1" customFormat="1" ht="15" customHeight="1" spans="1:10">
      <c r="A93" s="7">
        <v>3</v>
      </c>
      <c r="B93" s="11"/>
      <c r="C93" s="11"/>
      <c r="D93" s="11"/>
      <c r="E93" s="11"/>
      <c r="F93" s="11"/>
      <c r="G93" s="11"/>
      <c r="H93" s="11"/>
      <c r="I93" s="10" t="e">
        <f t="shared" si="35"/>
        <v>#DIV/0!</v>
      </c>
      <c r="J93" s="18"/>
    </row>
    <row r="94" s="1" customFormat="1" ht="15" customHeight="1" spans="1:10">
      <c r="A94" s="7" t="s">
        <v>20</v>
      </c>
      <c r="B94" s="11"/>
      <c r="C94" s="11"/>
      <c r="D94" s="11"/>
      <c r="E94" s="11"/>
      <c r="F94" s="11"/>
      <c r="G94" s="11"/>
      <c r="H94" s="11"/>
      <c r="I94" s="10" t="e">
        <f t="shared" si="35"/>
        <v>#DIV/0!</v>
      </c>
      <c r="J94" s="18"/>
    </row>
    <row r="95" s="1" customFormat="1" ht="15" customHeight="1" spans="1:10">
      <c r="A95" s="7" t="s">
        <v>21</v>
      </c>
      <c r="B95" s="11"/>
      <c r="C95" s="11"/>
      <c r="D95" s="11"/>
      <c r="E95" s="11"/>
      <c r="F95" s="11"/>
      <c r="G95" s="11"/>
      <c r="H95" s="11"/>
      <c r="I95" s="10" t="e">
        <f t="shared" si="35"/>
        <v>#DIV/0!</v>
      </c>
      <c r="J95" s="18"/>
    </row>
    <row r="96" s="1" customFormat="1" ht="15" customHeight="1" spans="1:10">
      <c r="A96" s="9" t="s">
        <v>24</v>
      </c>
      <c r="B96" s="10">
        <f t="shared" ref="B96:J96" si="36">SUM(B97:B101)</f>
        <v>0</v>
      </c>
      <c r="C96" s="10">
        <f t="shared" si="36"/>
        <v>0</v>
      </c>
      <c r="D96" s="10">
        <f t="shared" si="36"/>
        <v>0</v>
      </c>
      <c r="E96" s="10">
        <f t="shared" si="36"/>
        <v>0</v>
      </c>
      <c r="F96" s="10">
        <f t="shared" si="36"/>
        <v>0</v>
      </c>
      <c r="G96" s="10">
        <f t="shared" si="36"/>
        <v>0</v>
      </c>
      <c r="H96" s="10">
        <f t="shared" si="36"/>
        <v>0</v>
      </c>
      <c r="I96" s="10" t="e">
        <f t="shared" si="36"/>
        <v>#DIV/0!</v>
      </c>
      <c r="J96" s="10">
        <f t="shared" si="36"/>
        <v>0</v>
      </c>
    </row>
    <row r="97" s="1" customFormat="1" ht="15" customHeight="1" spans="1:10">
      <c r="A97" s="7">
        <v>1</v>
      </c>
      <c r="B97" s="11"/>
      <c r="C97" s="11"/>
      <c r="D97" s="11"/>
      <c r="E97" s="11"/>
      <c r="F97" s="11"/>
      <c r="G97" s="11"/>
      <c r="H97" s="11"/>
      <c r="I97" s="10" t="e">
        <f t="shared" ref="I97:I101" si="37">MAX(0,(C97-D97+0.4*F97+0.6*E97/SQRT(G97)+H97))</f>
        <v>#DIV/0!</v>
      </c>
      <c r="J97" s="18"/>
    </row>
    <row r="98" s="1" customFormat="1" ht="15" customHeight="1" spans="1:10">
      <c r="A98" s="7">
        <v>2</v>
      </c>
      <c r="B98" s="11"/>
      <c r="C98" s="11"/>
      <c r="D98" s="11"/>
      <c r="E98" s="11"/>
      <c r="F98" s="11"/>
      <c r="G98" s="11"/>
      <c r="H98" s="11"/>
      <c r="I98" s="10" t="e">
        <f t="shared" si="37"/>
        <v>#DIV/0!</v>
      </c>
      <c r="J98" s="18"/>
    </row>
    <row r="99" s="1" customFormat="1" ht="15" customHeight="1" spans="1:10">
      <c r="A99" s="7">
        <v>3</v>
      </c>
      <c r="B99" s="11"/>
      <c r="C99" s="11"/>
      <c r="D99" s="11"/>
      <c r="E99" s="11"/>
      <c r="F99" s="11"/>
      <c r="G99" s="11"/>
      <c r="H99" s="11"/>
      <c r="I99" s="10" t="e">
        <f t="shared" si="37"/>
        <v>#DIV/0!</v>
      </c>
      <c r="J99" s="18"/>
    </row>
    <row r="100" s="1" customFormat="1" ht="15" customHeight="1" spans="1:10">
      <c r="A100" s="7" t="s">
        <v>20</v>
      </c>
      <c r="B100" s="11"/>
      <c r="C100" s="11"/>
      <c r="D100" s="11"/>
      <c r="E100" s="11"/>
      <c r="F100" s="11"/>
      <c r="G100" s="11"/>
      <c r="H100" s="11"/>
      <c r="I100" s="10" t="e">
        <f t="shared" si="37"/>
        <v>#DIV/0!</v>
      </c>
      <c r="J100" s="18"/>
    </row>
    <row r="101" s="1" customFormat="1" ht="15" customHeight="1" spans="1:10">
      <c r="A101" s="7" t="s">
        <v>21</v>
      </c>
      <c r="B101" s="11"/>
      <c r="C101" s="11"/>
      <c r="D101" s="11"/>
      <c r="E101" s="11"/>
      <c r="F101" s="11"/>
      <c r="G101" s="11"/>
      <c r="H101" s="11"/>
      <c r="I101" s="10" t="e">
        <f t="shared" si="37"/>
        <v>#DIV/0!</v>
      </c>
      <c r="J101" s="18"/>
    </row>
    <row r="102" s="1" customFormat="1" ht="15" customHeight="1" spans="1:10">
      <c r="A102" s="7" t="s">
        <v>40</v>
      </c>
      <c r="B102" s="12"/>
      <c r="C102" s="12"/>
      <c r="D102" s="12"/>
      <c r="E102" s="12"/>
      <c r="F102" s="12"/>
      <c r="G102" s="12"/>
      <c r="H102" s="12"/>
      <c r="I102" s="12"/>
      <c r="J102" s="19"/>
    </row>
    <row r="103" s="1" customFormat="1" ht="15" customHeight="1" spans="1:10">
      <c r="A103" s="9" t="s">
        <v>26</v>
      </c>
      <c r="B103" s="10">
        <f t="shared" ref="B103:J103" si="38">SUM(B104:B108)</f>
        <v>0</v>
      </c>
      <c r="C103" s="10">
        <f t="shared" si="38"/>
        <v>0</v>
      </c>
      <c r="D103" s="10">
        <f t="shared" si="38"/>
        <v>0</v>
      </c>
      <c r="E103" s="10">
        <f t="shared" si="38"/>
        <v>0</v>
      </c>
      <c r="F103" s="10">
        <f t="shared" si="38"/>
        <v>0</v>
      </c>
      <c r="G103" s="10">
        <f t="shared" si="38"/>
        <v>0</v>
      </c>
      <c r="H103" s="10">
        <f t="shared" si="38"/>
        <v>0</v>
      </c>
      <c r="I103" s="10" t="e">
        <f t="shared" si="38"/>
        <v>#DIV/0!</v>
      </c>
      <c r="J103" s="10">
        <f t="shared" si="38"/>
        <v>0</v>
      </c>
    </row>
    <row r="104" s="1" customFormat="1" ht="15" customHeight="1" spans="1:10">
      <c r="A104" s="7">
        <v>1</v>
      </c>
      <c r="B104" s="11"/>
      <c r="C104" s="11"/>
      <c r="D104" s="11"/>
      <c r="E104" s="11"/>
      <c r="F104" s="11"/>
      <c r="G104" s="11"/>
      <c r="H104" s="11"/>
      <c r="I104" s="10" t="e">
        <f t="shared" ref="I104:I108" si="39">MAX(0,(C104-D104+0.4*F104+0.6*E104/SQRT(G104)+H104))</f>
        <v>#DIV/0!</v>
      </c>
      <c r="J104" s="18"/>
    </row>
    <row r="105" s="1" customFormat="1" ht="15" customHeight="1" spans="1:10">
      <c r="A105" s="7">
        <v>2</v>
      </c>
      <c r="B105" s="11"/>
      <c r="C105" s="11"/>
      <c r="D105" s="11"/>
      <c r="E105" s="11"/>
      <c r="F105" s="11"/>
      <c r="G105" s="11"/>
      <c r="H105" s="11"/>
      <c r="I105" s="10" t="e">
        <f t="shared" si="39"/>
        <v>#DIV/0!</v>
      </c>
      <c r="J105" s="18"/>
    </row>
    <row r="106" s="1" customFormat="1" ht="15" customHeight="1" spans="1:10">
      <c r="A106" s="7">
        <v>3</v>
      </c>
      <c r="B106" s="11"/>
      <c r="C106" s="11"/>
      <c r="D106" s="11"/>
      <c r="E106" s="11"/>
      <c r="F106" s="11"/>
      <c r="G106" s="11"/>
      <c r="H106" s="11"/>
      <c r="I106" s="10" t="e">
        <f t="shared" si="39"/>
        <v>#DIV/0!</v>
      </c>
      <c r="J106" s="18"/>
    </row>
    <row r="107" s="1" customFormat="1" ht="15" customHeight="1" spans="1:10">
      <c r="A107" s="7" t="s">
        <v>20</v>
      </c>
      <c r="B107" s="11"/>
      <c r="C107" s="11"/>
      <c r="D107" s="11"/>
      <c r="E107" s="11"/>
      <c r="F107" s="11"/>
      <c r="G107" s="11"/>
      <c r="H107" s="11"/>
      <c r="I107" s="10" t="e">
        <f t="shared" si="39"/>
        <v>#DIV/0!</v>
      </c>
      <c r="J107" s="18"/>
    </row>
    <row r="108" s="1" customFormat="1" ht="15" customHeight="1" spans="1:10">
      <c r="A108" s="26" t="s">
        <v>21</v>
      </c>
      <c r="B108" s="11"/>
      <c r="C108" s="11"/>
      <c r="D108" s="11"/>
      <c r="E108" s="11"/>
      <c r="F108" s="11"/>
      <c r="G108" s="11"/>
      <c r="H108" s="11"/>
      <c r="I108" s="10" t="e">
        <f t="shared" si="39"/>
        <v>#DIV/0!</v>
      </c>
      <c r="J108" s="18"/>
    </row>
    <row r="109" s="1" customFormat="1" spans="1:50">
      <c r="A109" s="4" t="s">
        <v>41</v>
      </c>
      <c r="B109" s="20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</row>
    <row r="110" s="1" customFormat="1" ht="15" customHeight="1" spans="1:10">
      <c r="A110" s="5" t="s">
        <v>3</v>
      </c>
      <c r="B110" s="23" t="s">
        <v>4</v>
      </c>
      <c r="C110" s="23" t="s">
        <v>5</v>
      </c>
      <c r="D110" s="23" t="s">
        <v>6</v>
      </c>
      <c r="E110" s="23" t="s">
        <v>7</v>
      </c>
      <c r="F110" s="23" t="s">
        <v>8</v>
      </c>
      <c r="G110" s="23" t="s">
        <v>9</v>
      </c>
      <c r="H110" s="23" t="s">
        <v>10</v>
      </c>
      <c r="I110" s="23" t="s">
        <v>30</v>
      </c>
      <c r="J110" s="27" t="s">
        <v>31</v>
      </c>
    </row>
    <row r="111" s="1" customFormat="1" ht="45.45" customHeight="1" spans="1:10">
      <c r="A111" s="7"/>
      <c r="B111" s="8" t="s">
        <v>32</v>
      </c>
      <c r="C111" s="8" t="s">
        <v>11</v>
      </c>
      <c r="D111" s="8" t="s">
        <v>33</v>
      </c>
      <c r="E111" s="8" t="s">
        <v>34</v>
      </c>
      <c r="F111" s="8" t="s">
        <v>35</v>
      </c>
      <c r="G111" s="8" t="s">
        <v>36</v>
      </c>
      <c r="H111" s="8" t="s">
        <v>37</v>
      </c>
      <c r="I111" s="8" t="s">
        <v>38</v>
      </c>
      <c r="J111" s="17" t="s">
        <v>39</v>
      </c>
    </row>
    <row r="112" s="1" customFormat="1" ht="15" customHeight="1" spans="1:10">
      <c r="A112" s="9" t="s">
        <v>18</v>
      </c>
      <c r="B112" s="10">
        <f t="shared" ref="B112:J112" si="40">B113+B119+B125+B131+B138</f>
        <v>0</v>
      </c>
      <c r="C112" s="10">
        <f t="shared" si="40"/>
        <v>0</v>
      </c>
      <c r="D112" s="10">
        <f t="shared" si="40"/>
        <v>0</v>
      </c>
      <c r="E112" s="10">
        <f t="shared" si="40"/>
        <v>0</v>
      </c>
      <c r="F112" s="10">
        <f t="shared" si="40"/>
        <v>0</v>
      </c>
      <c r="G112" s="10">
        <f t="shared" si="40"/>
        <v>0</v>
      </c>
      <c r="H112" s="10">
        <f t="shared" si="40"/>
        <v>0</v>
      </c>
      <c r="I112" s="10" t="e">
        <f t="shared" si="40"/>
        <v>#DIV/0!</v>
      </c>
      <c r="J112" s="10">
        <f t="shared" si="40"/>
        <v>0</v>
      </c>
    </row>
    <row r="113" s="1" customFormat="1" ht="15" customHeight="1" spans="1:10">
      <c r="A113" s="7" t="s">
        <v>19</v>
      </c>
      <c r="B113" s="10">
        <f t="shared" ref="B113:J113" si="41">SUM(B114:B118)</f>
        <v>0</v>
      </c>
      <c r="C113" s="10">
        <f t="shared" si="41"/>
        <v>0</v>
      </c>
      <c r="D113" s="10">
        <f t="shared" si="41"/>
        <v>0</v>
      </c>
      <c r="E113" s="10">
        <f t="shared" si="41"/>
        <v>0</v>
      </c>
      <c r="F113" s="10">
        <f t="shared" si="41"/>
        <v>0</v>
      </c>
      <c r="G113" s="10">
        <f t="shared" si="41"/>
        <v>0</v>
      </c>
      <c r="H113" s="10">
        <f t="shared" si="41"/>
        <v>0</v>
      </c>
      <c r="I113" s="10" t="e">
        <f t="shared" si="41"/>
        <v>#DIV/0!</v>
      </c>
      <c r="J113" s="10">
        <f t="shared" si="41"/>
        <v>0</v>
      </c>
    </row>
    <row r="114" s="1" customFormat="1" ht="15" customHeight="1" spans="1:10">
      <c r="A114" s="7">
        <v>1</v>
      </c>
      <c r="B114" s="11"/>
      <c r="C114" s="11"/>
      <c r="D114" s="11"/>
      <c r="E114" s="11"/>
      <c r="F114" s="11"/>
      <c r="G114" s="11"/>
      <c r="H114" s="11"/>
      <c r="I114" s="10" t="e">
        <f t="shared" ref="I114:I118" si="42">MAX(0,(C114-D114+0.4*F114+0.6*E114/SQRT(G114)+H114))</f>
        <v>#DIV/0!</v>
      </c>
      <c r="J114" s="18"/>
    </row>
    <row r="115" s="1" customFormat="1" ht="15" customHeight="1" spans="1:10">
      <c r="A115" s="7">
        <v>2</v>
      </c>
      <c r="B115" s="11"/>
      <c r="C115" s="11"/>
      <c r="D115" s="11"/>
      <c r="E115" s="11"/>
      <c r="F115" s="11"/>
      <c r="G115" s="11"/>
      <c r="H115" s="11"/>
      <c r="I115" s="10" t="e">
        <f t="shared" si="42"/>
        <v>#DIV/0!</v>
      </c>
      <c r="J115" s="18"/>
    </row>
    <row r="116" s="1" customFormat="1" ht="15" customHeight="1" spans="1:10">
      <c r="A116" s="7">
        <v>3</v>
      </c>
      <c r="B116" s="11"/>
      <c r="C116" s="11"/>
      <c r="D116" s="11"/>
      <c r="E116" s="11"/>
      <c r="F116" s="11"/>
      <c r="G116" s="11"/>
      <c r="H116" s="11"/>
      <c r="I116" s="10" t="e">
        <f t="shared" si="42"/>
        <v>#DIV/0!</v>
      </c>
      <c r="J116" s="18"/>
    </row>
    <row r="117" s="1" customFormat="1" ht="15" customHeight="1" spans="1:10">
      <c r="A117" s="7" t="s">
        <v>20</v>
      </c>
      <c r="B117" s="11"/>
      <c r="C117" s="11"/>
      <c r="D117" s="11"/>
      <c r="E117" s="11"/>
      <c r="F117" s="11"/>
      <c r="G117" s="11"/>
      <c r="H117" s="11"/>
      <c r="I117" s="10" t="e">
        <f t="shared" si="42"/>
        <v>#DIV/0!</v>
      </c>
      <c r="J117" s="18"/>
    </row>
    <row r="118" s="1" customFormat="1" ht="15" customHeight="1" spans="1:10">
      <c r="A118" s="7" t="s">
        <v>21</v>
      </c>
      <c r="B118" s="11"/>
      <c r="C118" s="11"/>
      <c r="D118" s="11"/>
      <c r="E118" s="11"/>
      <c r="F118" s="11"/>
      <c r="G118" s="11"/>
      <c r="H118" s="11"/>
      <c r="I118" s="10" t="e">
        <f t="shared" si="42"/>
        <v>#DIV/0!</v>
      </c>
      <c r="J118" s="18"/>
    </row>
    <row r="119" s="1" customFormat="1" ht="15" customHeight="1" spans="1:10">
      <c r="A119" s="7" t="s">
        <v>22</v>
      </c>
      <c r="B119" s="10">
        <f t="shared" ref="B119:J119" si="43">SUM(B120:B124)</f>
        <v>0</v>
      </c>
      <c r="C119" s="10">
        <f t="shared" si="43"/>
        <v>0</v>
      </c>
      <c r="D119" s="10">
        <f t="shared" si="43"/>
        <v>0</v>
      </c>
      <c r="E119" s="10">
        <f t="shared" si="43"/>
        <v>0</v>
      </c>
      <c r="F119" s="10">
        <f t="shared" si="43"/>
        <v>0</v>
      </c>
      <c r="G119" s="10">
        <f t="shared" si="43"/>
        <v>0</v>
      </c>
      <c r="H119" s="10">
        <f t="shared" si="43"/>
        <v>0</v>
      </c>
      <c r="I119" s="10" t="e">
        <f t="shared" si="43"/>
        <v>#DIV/0!</v>
      </c>
      <c r="J119" s="10">
        <f t="shared" si="43"/>
        <v>0</v>
      </c>
    </row>
    <row r="120" s="1" customFormat="1" ht="15" customHeight="1" spans="1:10">
      <c r="A120" s="7">
        <v>1</v>
      </c>
      <c r="B120" s="11"/>
      <c r="C120" s="11"/>
      <c r="D120" s="11"/>
      <c r="E120" s="11"/>
      <c r="F120" s="11"/>
      <c r="G120" s="11"/>
      <c r="H120" s="11"/>
      <c r="I120" s="10" t="e">
        <f t="shared" ref="I120:I124" si="44">MAX(0,(C120-D120+0.4*F120+0.6*E120/SQRT(G120)+H120))</f>
        <v>#DIV/0!</v>
      </c>
      <c r="J120" s="18"/>
    </row>
    <row r="121" s="1" customFormat="1" ht="15" customHeight="1" spans="1:10">
      <c r="A121" s="7">
        <v>2</v>
      </c>
      <c r="B121" s="11"/>
      <c r="C121" s="11"/>
      <c r="D121" s="11"/>
      <c r="E121" s="11"/>
      <c r="F121" s="11"/>
      <c r="G121" s="11"/>
      <c r="H121" s="11"/>
      <c r="I121" s="10" t="e">
        <f t="shared" si="44"/>
        <v>#DIV/0!</v>
      </c>
      <c r="J121" s="18"/>
    </row>
    <row r="122" s="1" customFormat="1" ht="15" customHeight="1" spans="1:10">
      <c r="A122" s="7">
        <v>3</v>
      </c>
      <c r="B122" s="11"/>
      <c r="C122" s="11"/>
      <c r="D122" s="11"/>
      <c r="E122" s="11"/>
      <c r="F122" s="11"/>
      <c r="G122" s="11"/>
      <c r="H122" s="11"/>
      <c r="I122" s="10" t="e">
        <f t="shared" si="44"/>
        <v>#DIV/0!</v>
      </c>
      <c r="J122" s="18"/>
    </row>
    <row r="123" s="1" customFormat="1" ht="15" customHeight="1" spans="1:10">
      <c r="A123" s="7" t="s">
        <v>20</v>
      </c>
      <c r="B123" s="11"/>
      <c r="C123" s="11"/>
      <c r="D123" s="11"/>
      <c r="E123" s="11"/>
      <c r="F123" s="11"/>
      <c r="G123" s="11"/>
      <c r="H123" s="11"/>
      <c r="I123" s="10" t="e">
        <f t="shared" si="44"/>
        <v>#DIV/0!</v>
      </c>
      <c r="J123" s="18"/>
    </row>
    <row r="124" s="1" customFormat="1" ht="15" customHeight="1" spans="1:10">
      <c r="A124" s="7" t="s">
        <v>21</v>
      </c>
      <c r="B124" s="11"/>
      <c r="C124" s="11"/>
      <c r="D124" s="11"/>
      <c r="E124" s="11"/>
      <c r="F124" s="11"/>
      <c r="G124" s="11"/>
      <c r="H124" s="11"/>
      <c r="I124" s="10" t="e">
        <f t="shared" si="44"/>
        <v>#DIV/0!</v>
      </c>
      <c r="J124" s="18"/>
    </row>
    <row r="125" s="1" customFormat="1" ht="15" customHeight="1" spans="1:10">
      <c r="A125" s="7" t="s">
        <v>23</v>
      </c>
      <c r="B125" s="10">
        <f t="shared" ref="B125:J125" si="45">SUM(B126:B130)</f>
        <v>0</v>
      </c>
      <c r="C125" s="10">
        <f t="shared" si="45"/>
        <v>0</v>
      </c>
      <c r="D125" s="10">
        <f t="shared" si="45"/>
        <v>0</v>
      </c>
      <c r="E125" s="10">
        <f t="shared" si="45"/>
        <v>0</v>
      </c>
      <c r="F125" s="10">
        <f t="shared" si="45"/>
        <v>0</v>
      </c>
      <c r="G125" s="10">
        <f t="shared" si="45"/>
        <v>0</v>
      </c>
      <c r="H125" s="10">
        <f t="shared" si="45"/>
        <v>0</v>
      </c>
      <c r="I125" s="10" t="e">
        <f t="shared" si="45"/>
        <v>#DIV/0!</v>
      </c>
      <c r="J125" s="10">
        <f t="shared" si="45"/>
        <v>0</v>
      </c>
    </row>
    <row r="126" s="1" customFormat="1" ht="15" customHeight="1" spans="1:10">
      <c r="A126" s="7">
        <v>1</v>
      </c>
      <c r="B126" s="11"/>
      <c r="C126" s="11"/>
      <c r="D126" s="11"/>
      <c r="E126" s="11"/>
      <c r="F126" s="11"/>
      <c r="G126" s="11"/>
      <c r="H126" s="11"/>
      <c r="I126" s="10" t="e">
        <f t="shared" ref="I126:I130" si="46">MAX(0,(C126-D126+0.4*F126+0.6*E126/SQRT(G126)+H126))</f>
        <v>#DIV/0!</v>
      </c>
      <c r="J126" s="18"/>
    </row>
    <row r="127" s="1" customFormat="1" ht="15" customHeight="1" spans="1:10">
      <c r="A127" s="7">
        <v>2</v>
      </c>
      <c r="B127" s="11"/>
      <c r="C127" s="11"/>
      <c r="D127" s="11"/>
      <c r="E127" s="11"/>
      <c r="F127" s="11"/>
      <c r="G127" s="11"/>
      <c r="H127" s="11"/>
      <c r="I127" s="10" t="e">
        <f t="shared" si="46"/>
        <v>#DIV/0!</v>
      </c>
      <c r="J127" s="18"/>
    </row>
    <row r="128" s="1" customFormat="1" ht="15" customHeight="1" spans="1:10">
      <c r="A128" s="7">
        <v>3</v>
      </c>
      <c r="B128" s="11"/>
      <c r="C128" s="11"/>
      <c r="D128" s="11"/>
      <c r="E128" s="11"/>
      <c r="F128" s="11"/>
      <c r="G128" s="11"/>
      <c r="H128" s="11"/>
      <c r="I128" s="10" t="e">
        <f t="shared" si="46"/>
        <v>#DIV/0!</v>
      </c>
      <c r="J128" s="18"/>
    </row>
    <row r="129" s="1" customFormat="1" ht="15" customHeight="1" spans="1:10">
      <c r="A129" s="7" t="s">
        <v>20</v>
      </c>
      <c r="B129" s="11"/>
      <c r="C129" s="11"/>
      <c r="D129" s="11"/>
      <c r="E129" s="11"/>
      <c r="F129" s="11"/>
      <c r="G129" s="11"/>
      <c r="H129" s="11"/>
      <c r="I129" s="10" t="e">
        <f t="shared" si="46"/>
        <v>#DIV/0!</v>
      </c>
      <c r="J129" s="18"/>
    </row>
    <row r="130" s="1" customFormat="1" ht="15" customHeight="1" spans="1:10">
      <c r="A130" s="7" t="s">
        <v>21</v>
      </c>
      <c r="B130" s="11"/>
      <c r="C130" s="11"/>
      <c r="D130" s="11"/>
      <c r="E130" s="11"/>
      <c r="F130" s="11"/>
      <c r="G130" s="11"/>
      <c r="H130" s="11"/>
      <c r="I130" s="10" t="e">
        <f t="shared" si="46"/>
        <v>#DIV/0!</v>
      </c>
      <c r="J130" s="18"/>
    </row>
    <row r="131" s="1" customFormat="1" ht="15" customHeight="1" spans="1:10">
      <c r="A131" s="9" t="s">
        <v>24</v>
      </c>
      <c r="B131" s="10">
        <f t="shared" ref="B131:J131" si="47">SUM(B132:B136)</f>
        <v>0</v>
      </c>
      <c r="C131" s="10">
        <f t="shared" si="47"/>
        <v>0</v>
      </c>
      <c r="D131" s="10">
        <f t="shared" si="47"/>
        <v>0</v>
      </c>
      <c r="E131" s="10">
        <f t="shared" si="47"/>
        <v>0</v>
      </c>
      <c r="F131" s="10">
        <f t="shared" si="47"/>
        <v>0</v>
      </c>
      <c r="G131" s="10">
        <f t="shared" si="47"/>
        <v>0</v>
      </c>
      <c r="H131" s="10">
        <f t="shared" si="47"/>
        <v>0</v>
      </c>
      <c r="I131" s="10" t="e">
        <f t="shared" si="47"/>
        <v>#DIV/0!</v>
      </c>
      <c r="J131" s="10">
        <f t="shared" si="47"/>
        <v>0</v>
      </c>
    </row>
    <row r="132" s="1" customFormat="1" ht="15" customHeight="1" spans="1:10">
      <c r="A132" s="7">
        <v>1</v>
      </c>
      <c r="B132" s="11"/>
      <c r="C132" s="11"/>
      <c r="D132" s="11"/>
      <c r="E132" s="11"/>
      <c r="F132" s="11"/>
      <c r="G132" s="11"/>
      <c r="H132" s="11"/>
      <c r="I132" s="10" t="e">
        <f t="shared" ref="I132:I136" si="48">MAX(0,(C132-D132+0.4*F132+0.6*E132/SQRT(G132)+H132))</f>
        <v>#DIV/0!</v>
      </c>
      <c r="J132" s="18"/>
    </row>
    <row r="133" s="1" customFormat="1" ht="15" customHeight="1" spans="1:10">
      <c r="A133" s="7">
        <v>2</v>
      </c>
      <c r="B133" s="11"/>
      <c r="C133" s="11"/>
      <c r="D133" s="11"/>
      <c r="E133" s="11"/>
      <c r="F133" s="11"/>
      <c r="G133" s="11"/>
      <c r="H133" s="11"/>
      <c r="I133" s="10" t="e">
        <f t="shared" si="48"/>
        <v>#DIV/0!</v>
      </c>
      <c r="J133" s="18"/>
    </row>
    <row r="134" s="1" customFormat="1" ht="15" customHeight="1" spans="1:10">
      <c r="A134" s="7">
        <v>3</v>
      </c>
      <c r="B134" s="11"/>
      <c r="C134" s="11"/>
      <c r="D134" s="11"/>
      <c r="E134" s="11"/>
      <c r="F134" s="11"/>
      <c r="G134" s="11"/>
      <c r="H134" s="11"/>
      <c r="I134" s="10" t="e">
        <f t="shared" si="48"/>
        <v>#DIV/0!</v>
      </c>
      <c r="J134" s="18"/>
    </row>
    <row r="135" s="1" customFormat="1" ht="15" customHeight="1" spans="1:10">
      <c r="A135" s="7" t="s">
        <v>20</v>
      </c>
      <c r="B135" s="11"/>
      <c r="C135" s="11"/>
      <c r="D135" s="11"/>
      <c r="E135" s="11"/>
      <c r="F135" s="11"/>
      <c r="G135" s="11"/>
      <c r="H135" s="11"/>
      <c r="I135" s="10" t="e">
        <f t="shared" si="48"/>
        <v>#DIV/0!</v>
      </c>
      <c r="J135" s="18"/>
    </row>
    <row r="136" s="1" customFormat="1" ht="15" customHeight="1" spans="1:10">
      <c r="A136" s="7" t="s">
        <v>21</v>
      </c>
      <c r="B136" s="11"/>
      <c r="C136" s="11"/>
      <c r="D136" s="11"/>
      <c r="E136" s="11"/>
      <c r="F136" s="11"/>
      <c r="G136" s="11"/>
      <c r="H136" s="11"/>
      <c r="I136" s="10" t="e">
        <f t="shared" si="48"/>
        <v>#DIV/0!</v>
      </c>
      <c r="J136" s="18"/>
    </row>
    <row r="137" s="1" customFormat="1" ht="15" customHeight="1" spans="1:10">
      <c r="A137" s="7" t="s">
        <v>40</v>
      </c>
      <c r="B137" s="12"/>
      <c r="C137" s="12"/>
      <c r="D137" s="12"/>
      <c r="E137" s="12"/>
      <c r="F137" s="12"/>
      <c r="G137" s="12"/>
      <c r="H137" s="12"/>
      <c r="I137" s="12"/>
      <c r="J137" s="19"/>
    </row>
    <row r="138" s="1" customFormat="1" ht="15" customHeight="1" spans="1:10">
      <c r="A138" s="9" t="s">
        <v>26</v>
      </c>
      <c r="B138" s="10">
        <f t="shared" ref="B138:J138" si="49">SUM(B139:B143)</f>
        <v>0</v>
      </c>
      <c r="C138" s="10">
        <f t="shared" si="49"/>
        <v>0</v>
      </c>
      <c r="D138" s="10">
        <f t="shared" si="49"/>
        <v>0</v>
      </c>
      <c r="E138" s="10">
        <f t="shared" si="49"/>
        <v>0</v>
      </c>
      <c r="F138" s="10">
        <f t="shared" si="49"/>
        <v>0</v>
      </c>
      <c r="G138" s="10">
        <f t="shared" si="49"/>
        <v>0</v>
      </c>
      <c r="H138" s="10">
        <f t="shared" si="49"/>
        <v>0</v>
      </c>
      <c r="I138" s="10" t="e">
        <f t="shared" si="49"/>
        <v>#DIV/0!</v>
      </c>
      <c r="J138" s="10">
        <f t="shared" si="49"/>
        <v>0</v>
      </c>
    </row>
    <row r="139" s="1" customFormat="1" ht="15" customHeight="1" spans="1:10">
      <c r="A139" s="7">
        <v>1</v>
      </c>
      <c r="B139" s="11"/>
      <c r="C139" s="11"/>
      <c r="D139" s="11"/>
      <c r="E139" s="11"/>
      <c r="F139" s="11"/>
      <c r="G139" s="11"/>
      <c r="H139" s="11"/>
      <c r="I139" s="10" t="e">
        <f t="shared" ref="I139:I143" si="50">MAX(0,(C139-D139+0.4*F139+0.6*E139/SQRT(G139)+H139))</f>
        <v>#DIV/0!</v>
      </c>
      <c r="J139" s="18"/>
    </row>
    <row r="140" s="1" customFormat="1" ht="15" customHeight="1" spans="1:10">
      <c r="A140" s="7">
        <v>2</v>
      </c>
      <c r="B140" s="11"/>
      <c r="C140" s="11"/>
      <c r="D140" s="11"/>
      <c r="E140" s="11"/>
      <c r="F140" s="11"/>
      <c r="G140" s="11"/>
      <c r="H140" s="11"/>
      <c r="I140" s="10" t="e">
        <f t="shared" si="50"/>
        <v>#DIV/0!</v>
      </c>
      <c r="J140" s="18"/>
    </row>
    <row r="141" s="1" customFormat="1" ht="15" customHeight="1" spans="1:10">
      <c r="A141" s="7">
        <v>3</v>
      </c>
      <c r="B141" s="11"/>
      <c r="C141" s="11"/>
      <c r="D141" s="11"/>
      <c r="E141" s="11"/>
      <c r="F141" s="11"/>
      <c r="G141" s="11"/>
      <c r="H141" s="11"/>
      <c r="I141" s="10" t="e">
        <f t="shared" si="50"/>
        <v>#DIV/0!</v>
      </c>
      <c r="J141" s="18"/>
    </row>
    <row r="142" s="1" customFormat="1" ht="15" customHeight="1" spans="1:10">
      <c r="A142" s="7" t="s">
        <v>20</v>
      </c>
      <c r="B142" s="11"/>
      <c r="C142" s="11"/>
      <c r="D142" s="11"/>
      <c r="E142" s="11"/>
      <c r="F142" s="11"/>
      <c r="G142" s="11"/>
      <c r="H142" s="11"/>
      <c r="I142" s="10" t="e">
        <f t="shared" si="50"/>
        <v>#DIV/0!</v>
      </c>
      <c r="J142" s="18"/>
    </row>
    <row r="143" s="1" customFormat="1" ht="15" customHeight="1" spans="1:10">
      <c r="A143" s="26" t="s">
        <v>21</v>
      </c>
      <c r="B143" s="11"/>
      <c r="C143" s="11"/>
      <c r="D143" s="11"/>
      <c r="E143" s="11"/>
      <c r="F143" s="11"/>
      <c r="G143" s="11"/>
      <c r="H143" s="11"/>
      <c r="I143" s="10" t="e">
        <f t="shared" si="50"/>
        <v>#DIV/0!</v>
      </c>
      <c r="J143" s="18"/>
    </row>
    <row r="144" s="1" customFormat="1" spans="1:50">
      <c r="A144" s="22" t="s">
        <v>42</v>
      </c>
      <c r="B144" s="22"/>
      <c r="C144" s="22"/>
      <c r="D144" s="22"/>
      <c r="E144" s="22"/>
      <c r="F144" s="22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</row>
    <row r="145" s="1" customFormat="1" ht="15" customHeight="1" spans="1:10">
      <c r="A145" s="5" t="s">
        <v>3</v>
      </c>
      <c r="B145" s="23" t="s">
        <v>4</v>
      </c>
      <c r="C145" s="23" t="s">
        <v>5</v>
      </c>
      <c r="D145" s="23" t="s">
        <v>6</v>
      </c>
      <c r="E145" s="23" t="s">
        <v>7</v>
      </c>
      <c r="F145" s="23" t="s">
        <v>8</v>
      </c>
      <c r="G145" s="23" t="s">
        <v>9</v>
      </c>
      <c r="H145" s="23" t="s">
        <v>10</v>
      </c>
      <c r="I145" s="23" t="s">
        <v>30</v>
      </c>
      <c r="J145" s="27" t="s">
        <v>31</v>
      </c>
    </row>
    <row r="146" s="1" customFormat="1" ht="45.45" customHeight="1" spans="1:10">
      <c r="A146" s="7"/>
      <c r="B146" s="8" t="s">
        <v>32</v>
      </c>
      <c r="C146" s="8" t="s">
        <v>11</v>
      </c>
      <c r="D146" s="8" t="s">
        <v>33</v>
      </c>
      <c r="E146" s="8" t="s">
        <v>34</v>
      </c>
      <c r="F146" s="8" t="s">
        <v>35</v>
      </c>
      <c r="G146" s="8" t="s">
        <v>36</v>
      </c>
      <c r="H146" s="8" t="s">
        <v>37</v>
      </c>
      <c r="I146" s="8" t="s">
        <v>38</v>
      </c>
      <c r="J146" s="17" t="s">
        <v>39</v>
      </c>
    </row>
    <row r="147" s="1" customFormat="1" ht="15" customHeight="1" spans="1:10">
      <c r="A147" s="9" t="s">
        <v>18</v>
      </c>
      <c r="B147" s="10">
        <f t="shared" ref="B147:J147" si="51">B148+B154+B160+B166+B173</f>
        <v>0</v>
      </c>
      <c r="C147" s="10">
        <f t="shared" si="51"/>
        <v>0</v>
      </c>
      <c r="D147" s="10">
        <f t="shared" si="51"/>
        <v>0</v>
      </c>
      <c r="E147" s="10">
        <f t="shared" si="51"/>
        <v>0</v>
      </c>
      <c r="F147" s="10">
        <f t="shared" si="51"/>
        <v>0</v>
      </c>
      <c r="G147" s="10">
        <f t="shared" si="51"/>
        <v>0</v>
      </c>
      <c r="H147" s="10">
        <f t="shared" si="51"/>
        <v>0</v>
      </c>
      <c r="I147" s="10" t="e">
        <f t="shared" si="51"/>
        <v>#DIV/0!</v>
      </c>
      <c r="J147" s="10">
        <f t="shared" si="51"/>
        <v>0</v>
      </c>
    </row>
    <row r="148" s="1" customFormat="1" ht="15" customHeight="1" spans="1:10">
      <c r="A148" s="7" t="s">
        <v>19</v>
      </c>
      <c r="B148" s="10">
        <f t="shared" ref="B148:J148" si="52">SUM(B149:B153)</f>
        <v>0</v>
      </c>
      <c r="C148" s="10">
        <f t="shared" si="52"/>
        <v>0</v>
      </c>
      <c r="D148" s="10">
        <f t="shared" si="52"/>
        <v>0</v>
      </c>
      <c r="E148" s="10">
        <f t="shared" si="52"/>
        <v>0</v>
      </c>
      <c r="F148" s="10">
        <f t="shared" si="52"/>
        <v>0</v>
      </c>
      <c r="G148" s="10">
        <f t="shared" si="52"/>
        <v>0</v>
      </c>
      <c r="H148" s="10">
        <f t="shared" si="52"/>
        <v>0</v>
      </c>
      <c r="I148" s="10" t="e">
        <f t="shared" si="52"/>
        <v>#DIV/0!</v>
      </c>
      <c r="J148" s="10">
        <f t="shared" si="52"/>
        <v>0</v>
      </c>
    </row>
    <row r="149" s="1" customFormat="1" ht="15" customHeight="1" spans="1:10">
      <c r="A149" s="7">
        <v>1</v>
      </c>
      <c r="B149" s="11"/>
      <c r="C149" s="11"/>
      <c r="D149" s="11"/>
      <c r="E149" s="11"/>
      <c r="F149" s="11"/>
      <c r="G149" s="11"/>
      <c r="H149" s="11"/>
      <c r="I149" s="10" t="e">
        <f t="shared" ref="I149:I153" si="53">MAX(0,(C149-D149+0.4*F149+0.6*E149/SQRT(G149)+H149))</f>
        <v>#DIV/0!</v>
      </c>
      <c r="J149" s="18"/>
    </row>
    <row r="150" s="1" customFormat="1" ht="15" customHeight="1" spans="1:10">
      <c r="A150" s="7">
        <v>2</v>
      </c>
      <c r="B150" s="11"/>
      <c r="C150" s="11"/>
      <c r="D150" s="11"/>
      <c r="E150" s="11"/>
      <c r="F150" s="11"/>
      <c r="G150" s="11"/>
      <c r="H150" s="11"/>
      <c r="I150" s="10" t="e">
        <f t="shared" si="53"/>
        <v>#DIV/0!</v>
      </c>
      <c r="J150" s="18"/>
    </row>
    <row r="151" s="1" customFormat="1" ht="15" customHeight="1" spans="1:10">
      <c r="A151" s="7">
        <v>3</v>
      </c>
      <c r="B151" s="11"/>
      <c r="C151" s="11"/>
      <c r="D151" s="11"/>
      <c r="E151" s="11"/>
      <c r="F151" s="11"/>
      <c r="G151" s="11"/>
      <c r="H151" s="11"/>
      <c r="I151" s="10" t="e">
        <f t="shared" si="53"/>
        <v>#DIV/0!</v>
      </c>
      <c r="J151" s="18"/>
    </row>
    <row r="152" s="1" customFormat="1" ht="15" customHeight="1" spans="1:10">
      <c r="A152" s="7" t="s">
        <v>20</v>
      </c>
      <c r="B152" s="11"/>
      <c r="C152" s="11"/>
      <c r="D152" s="11"/>
      <c r="E152" s="11"/>
      <c r="F152" s="11"/>
      <c r="G152" s="11"/>
      <c r="H152" s="11"/>
      <c r="I152" s="10" t="e">
        <f t="shared" si="53"/>
        <v>#DIV/0!</v>
      </c>
      <c r="J152" s="18"/>
    </row>
    <row r="153" s="1" customFormat="1" ht="15" customHeight="1" spans="1:10">
      <c r="A153" s="7" t="s">
        <v>21</v>
      </c>
      <c r="B153" s="11"/>
      <c r="C153" s="11"/>
      <c r="D153" s="11"/>
      <c r="E153" s="11"/>
      <c r="F153" s="11"/>
      <c r="G153" s="11"/>
      <c r="H153" s="11"/>
      <c r="I153" s="10" t="e">
        <f t="shared" si="53"/>
        <v>#DIV/0!</v>
      </c>
      <c r="J153" s="18"/>
    </row>
    <row r="154" s="1" customFormat="1" ht="15" customHeight="1" spans="1:10">
      <c r="A154" s="7" t="s">
        <v>22</v>
      </c>
      <c r="B154" s="10">
        <f t="shared" ref="B154:J154" si="54">SUM(B155:B159)</f>
        <v>0</v>
      </c>
      <c r="C154" s="10">
        <f t="shared" si="54"/>
        <v>0</v>
      </c>
      <c r="D154" s="10">
        <f t="shared" si="54"/>
        <v>0</v>
      </c>
      <c r="E154" s="10">
        <f t="shared" si="54"/>
        <v>0</v>
      </c>
      <c r="F154" s="10">
        <f t="shared" si="54"/>
        <v>0</v>
      </c>
      <c r="G154" s="10">
        <f t="shared" si="54"/>
        <v>0</v>
      </c>
      <c r="H154" s="10">
        <f t="shared" si="54"/>
        <v>0</v>
      </c>
      <c r="I154" s="10" t="e">
        <f t="shared" si="54"/>
        <v>#DIV/0!</v>
      </c>
      <c r="J154" s="10">
        <f t="shared" si="54"/>
        <v>0</v>
      </c>
    </row>
    <row r="155" s="1" customFormat="1" ht="15" customHeight="1" spans="1:10">
      <c r="A155" s="7">
        <v>1</v>
      </c>
      <c r="B155" s="11"/>
      <c r="C155" s="11"/>
      <c r="D155" s="11"/>
      <c r="E155" s="11"/>
      <c r="F155" s="11"/>
      <c r="G155" s="11"/>
      <c r="H155" s="11"/>
      <c r="I155" s="10" t="e">
        <f t="shared" ref="I155:I159" si="55">MAX(0,(C155-D155+0.4*F155+0.6*E155/SQRT(G155)+H155))</f>
        <v>#DIV/0!</v>
      </c>
      <c r="J155" s="18"/>
    </row>
    <row r="156" s="1" customFormat="1" ht="15" customHeight="1" spans="1:10">
      <c r="A156" s="7">
        <v>2</v>
      </c>
      <c r="B156" s="11"/>
      <c r="C156" s="11"/>
      <c r="D156" s="11"/>
      <c r="E156" s="11"/>
      <c r="F156" s="11"/>
      <c r="G156" s="11"/>
      <c r="H156" s="11"/>
      <c r="I156" s="10" t="e">
        <f t="shared" si="55"/>
        <v>#DIV/0!</v>
      </c>
      <c r="J156" s="18"/>
    </row>
    <row r="157" s="1" customFormat="1" ht="15" customHeight="1" spans="1:10">
      <c r="A157" s="7">
        <v>3</v>
      </c>
      <c r="B157" s="11"/>
      <c r="C157" s="11"/>
      <c r="D157" s="11"/>
      <c r="E157" s="11"/>
      <c r="F157" s="11"/>
      <c r="G157" s="11"/>
      <c r="H157" s="11"/>
      <c r="I157" s="10" t="e">
        <f t="shared" si="55"/>
        <v>#DIV/0!</v>
      </c>
      <c r="J157" s="18"/>
    </row>
    <row r="158" s="1" customFormat="1" ht="15" customHeight="1" spans="1:10">
      <c r="A158" s="7" t="s">
        <v>20</v>
      </c>
      <c r="B158" s="11"/>
      <c r="C158" s="11"/>
      <c r="D158" s="11"/>
      <c r="E158" s="11"/>
      <c r="F158" s="11"/>
      <c r="G158" s="11"/>
      <c r="H158" s="11"/>
      <c r="I158" s="10" t="e">
        <f t="shared" si="55"/>
        <v>#DIV/0!</v>
      </c>
      <c r="J158" s="18"/>
    </row>
    <row r="159" s="1" customFormat="1" ht="15" customHeight="1" spans="1:10">
      <c r="A159" s="7" t="s">
        <v>21</v>
      </c>
      <c r="B159" s="11"/>
      <c r="C159" s="11"/>
      <c r="D159" s="11"/>
      <c r="E159" s="11"/>
      <c r="F159" s="11"/>
      <c r="G159" s="11"/>
      <c r="H159" s="11"/>
      <c r="I159" s="10" t="e">
        <f t="shared" si="55"/>
        <v>#DIV/0!</v>
      </c>
      <c r="J159" s="18"/>
    </row>
    <row r="160" s="1" customFormat="1" ht="15" customHeight="1" spans="1:10">
      <c r="A160" s="7" t="s">
        <v>23</v>
      </c>
      <c r="B160" s="10">
        <f t="shared" ref="B160:J160" si="56">SUM(B161:B165)</f>
        <v>0</v>
      </c>
      <c r="C160" s="10">
        <f t="shared" si="56"/>
        <v>0</v>
      </c>
      <c r="D160" s="10">
        <f t="shared" si="56"/>
        <v>0</v>
      </c>
      <c r="E160" s="10">
        <f t="shared" si="56"/>
        <v>0</v>
      </c>
      <c r="F160" s="10">
        <f t="shared" si="56"/>
        <v>0</v>
      </c>
      <c r="G160" s="10">
        <f t="shared" si="56"/>
        <v>0</v>
      </c>
      <c r="H160" s="10">
        <f t="shared" si="56"/>
        <v>0</v>
      </c>
      <c r="I160" s="10" t="e">
        <f t="shared" si="56"/>
        <v>#DIV/0!</v>
      </c>
      <c r="J160" s="10">
        <f t="shared" si="56"/>
        <v>0</v>
      </c>
    </row>
    <row r="161" s="1" customFormat="1" ht="15" customHeight="1" spans="1:10">
      <c r="A161" s="7">
        <v>1</v>
      </c>
      <c r="B161" s="11"/>
      <c r="C161" s="11"/>
      <c r="D161" s="11"/>
      <c r="E161" s="11"/>
      <c r="F161" s="11"/>
      <c r="G161" s="11"/>
      <c r="H161" s="11"/>
      <c r="I161" s="10" t="e">
        <f t="shared" ref="I161:I165" si="57">MAX(0,(C161-D161+0.4*F161+0.6*E161/SQRT(G161)+H161))</f>
        <v>#DIV/0!</v>
      </c>
      <c r="J161" s="18"/>
    </row>
    <row r="162" s="1" customFormat="1" ht="15" customHeight="1" spans="1:10">
      <c r="A162" s="7">
        <v>2</v>
      </c>
      <c r="B162" s="11"/>
      <c r="C162" s="11"/>
      <c r="D162" s="11"/>
      <c r="E162" s="11"/>
      <c r="F162" s="11"/>
      <c r="G162" s="11"/>
      <c r="H162" s="11"/>
      <c r="I162" s="10" t="e">
        <f t="shared" si="57"/>
        <v>#DIV/0!</v>
      </c>
      <c r="J162" s="18"/>
    </row>
    <row r="163" s="1" customFormat="1" ht="15" customHeight="1" spans="1:10">
      <c r="A163" s="7">
        <v>3</v>
      </c>
      <c r="B163" s="11"/>
      <c r="C163" s="11"/>
      <c r="D163" s="11"/>
      <c r="E163" s="11"/>
      <c r="F163" s="11"/>
      <c r="G163" s="11"/>
      <c r="H163" s="11"/>
      <c r="I163" s="10" t="e">
        <f t="shared" si="57"/>
        <v>#DIV/0!</v>
      </c>
      <c r="J163" s="18"/>
    </row>
    <row r="164" s="1" customFormat="1" ht="15" customHeight="1" spans="1:10">
      <c r="A164" s="7" t="s">
        <v>20</v>
      </c>
      <c r="B164" s="11"/>
      <c r="C164" s="11"/>
      <c r="D164" s="11"/>
      <c r="E164" s="11"/>
      <c r="F164" s="11"/>
      <c r="G164" s="11"/>
      <c r="H164" s="11"/>
      <c r="I164" s="10" t="e">
        <f t="shared" si="57"/>
        <v>#DIV/0!</v>
      </c>
      <c r="J164" s="18"/>
    </row>
    <row r="165" s="1" customFormat="1" ht="15" customHeight="1" spans="1:10">
      <c r="A165" s="7" t="s">
        <v>21</v>
      </c>
      <c r="B165" s="11"/>
      <c r="C165" s="11"/>
      <c r="D165" s="11"/>
      <c r="E165" s="11"/>
      <c r="F165" s="11"/>
      <c r="G165" s="11"/>
      <c r="H165" s="11"/>
      <c r="I165" s="10" t="e">
        <f t="shared" si="57"/>
        <v>#DIV/0!</v>
      </c>
      <c r="J165" s="18"/>
    </row>
    <row r="166" s="1" customFormat="1" ht="15" customHeight="1" spans="1:10">
      <c r="A166" s="9" t="s">
        <v>24</v>
      </c>
      <c r="B166" s="10">
        <f t="shared" ref="B166:J166" si="58">SUM(B167:B171)</f>
        <v>0</v>
      </c>
      <c r="C166" s="10">
        <f t="shared" si="58"/>
        <v>0</v>
      </c>
      <c r="D166" s="10">
        <f t="shared" si="58"/>
        <v>0</v>
      </c>
      <c r="E166" s="10">
        <f t="shared" si="58"/>
        <v>0</v>
      </c>
      <c r="F166" s="10">
        <f t="shared" si="58"/>
        <v>0</v>
      </c>
      <c r="G166" s="10">
        <f t="shared" si="58"/>
        <v>0</v>
      </c>
      <c r="H166" s="10">
        <f t="shared" si="58"/>
        <v>0</v>
      </c>
      <c r="I166" s="10" t="e">
        <f t="shared" si="58"/>
        <v>#DIV/0!</v>
      </c>
      <c r="J166" s="10">
        <f t="shared" si="58"/>
        <v>0</v>
      </c>
    </row>
    <row r="167" s="1" customFormat="1" ht="15" customHeight="1" spans="1:10">
      <c r="A167" s="7">
        <v>1</v>
      </c>
      <c r="B167" s="11"/>
      <c r="C167" s="11"/>
      <c r="D167" s="11"/>
      <c r="E167" s="11"/>
      <c r="F167" s="11"/>
      <c r="G167" s="11"/>
      <c r="H167" s="11"/>
      <c r="I167" s="10" t="e">
        <f t="shared" ref="I167:I171" si="59">MAX(0,(C167-D167+0.4*F167+0.6*E167/SQRT(G167)+H167))</f>
        <v>#DIV/0!</v>
      </c>
      <c r="J167" s="18"/>
    </row>
    <row r="168" s="1" customFormat="1" ht="15" customHeight="1" spans="1:10">
      <c r="A168" s="7">
        <v>2</v>
      </c>
      <c r="B168" s="11"/>
      <c r="C168" s="11"/>
      <c r="D168" s="11"/>
      <c r="E168" s="11"/>
      <c r="F168" s="11"/>
      <c r="G168" s="11"/>
      <c r="H168" s="11"/>
      <c r="I168" s="10" t="e">
        <f t="shared" si="59"/>
        <v>#DIV/0!</v>
      </c>
      <c r="J168" s="18"/>
    </row>
    <row r="169" s="1" customFormat="1" ht="15" customHeight="1" spans="1:10">
      <c r="A169" s="7">
        <v>3</v>
      </c>
      <c r="B169" s="11"/>
      <c r="C169" s="11"/>
      <c r="D169" s="11"/>
      <c r="E169" s="11"/>
      <c r="F169" s="11"/>
      <c r="G169" s="11"/>
      <c r="H169" s="11"/>
      <c r="I169" s="10" t="e">
        <f t="shared" si="59"/>
        <v>#DIV/0!</v>
      </c>
      <c r="J169" s="18"/>
    </row>
    <row r="170" s="1" customFormat="1" ht="15" customHeight="1" spans="1:10">
      <c r="A170" s="7" t="s">
        <v>20</v>
      </c>
      <c r="B170" s="11"/>
      <c r="C170" s="11"/>
      <c r="D170" s="11"/>
      <c r="E170" s="11"/>
      <c r="F170" s="11"/>
      <c r="G170" s="11"/>
      <c r="H170" s="11"/>
      <c r="I170" s="10" t="e">
        <f t="shared" si="59"/>
        <v>#DIV/0!</v>
      </c>
      <c r="J170" s="18"/>
    </row>
    <row r="171" s="1" customFormat="1" ht="15" customHeight="1" spans="1:10">
      <c r="A171" s="7" t="s">
        <v>21</v>
      </c>
      <c r="B171" s="11"/>
      <c r="C171" s="11"/>
      <c r="D171" s="11"/>
      <c r="E171" s="11"/>
      <c r="F171" s="11"/>
      <c r="G171" s="11"/>
      <c r="H171" s="11"/>
      <c r="I171" s="10" t="e">
        <f t="shared" si="59"/>
        <v>#DIV/0!</v>
      </c>
      <c r="J171" s="18"/>
    </row>
    <row r="172" s="1" customFormat="1" ht="15" customHeight="1" spans="1:10">
      <c r="A172" s="7" t="s">
        <v>40</v>
      </c>
      <c r="B172" s="12"/>
      <c r="C172" s="12"/>
      <c r="D172" s="12"/>
      <c r="E172" s="12"/>
      <c r="F172" s="12"/>
      <c r="G172" s="12"/>
      <c r="H172" s="12"/>
      <c r="I172" s="12"/>
      <c r="J172" s="19"/>
    </row>
    <row r="173" s="1" customFormat="1" ht="15" customHeight="1" spans="1:10">
      <c r="A173" s="9" t="s">
        <v>26</v>
      </c>
      <c r="B173" s="10">
        <f t="shared" ref="B173:J173" si="60">SUM(B174:B178)</f>
        <v>0</v>
      </c>
      <c r="C173" s="10">
        <f t="shared" si="60"/>
        <v>0</v>
      </c>
      <c r="D173" s="10">
        <f t="shared" si="60"/>
        <v>0</v>
      </c>
      <c r="E173" s="10">
        <f t="shared" si="60"/>
        <v>0</v>
      </c>
      <c r="F173" s="10">
        <f t="shared" si="60"/>
        <v>0</v>
      </c>
      <c r="G173" s="10">
        <f t="shared" si="60"/>
        <v>0</v>
      </c>
      <c r="H173" s="10">
        <f t="shared" si="60"/>
        <v>0</v>
      </c>
      <c r="I173" s="10" t="e">
        <f t="shared" si="60"/>
        <v>#DIV/0!</v>
      </c>
      <c r="J173" s="10">
        <f t="shared" si="60"/>
        <v>0</v>
      </c>
    </row>
    <row r="174" spans="1:10">
      <c r="A174" s="7">
        <v>1</v>
      </c>
      <c r="B174" s="11"/>
      <c r="C174" s="11"/>
      <c r="D174" s="11"/>
      <c r="E174" s="11"/>
      <c r="F174" s="11"/>
      <c r="G174" s="11"/>
      <c r="H174" s="11"/>
      <c r="I174" s="10" t="e">
        <f t="shared" ref="I174:I178" si="61">MAX(0,(C174-D174+0.4*F174+0.6*E174/SQRT(G174)+H174))</f>
        <v>#DIV/0!</v>
      </c>
      <c r="J174" s="18"/>
    </row>
    <row r="175" spans="1:10">
      <c r="A175" s="7">
        <v>2</v>
      </c>
      <c r="B175" s="11"/>
      <c r="C175" s="11"/>
      <c r="D175" s="11"/>
      <c r="E175" s="11"/>
      <c r="F175" s="11"/>
      <c r="G175" s="11"/>
      <c r="H175" s="11"/>
      <c r="I175" s="10" t="e">
        <f t="shared" si="61"/>
        <v>#DIV/0!</v>
      </c>
      <c r="J175" s="18"/>
    </row>
    <row r="176" spans="1:10">
      <c r="A176" s="7">
        <v>3</v>
      </c>
      <c r="B176" s="11"/>
      <c r="C176" s="11"/>
      <c r="D176" s="11"/>
      <c r="E176" s="11"/>
      <c r="F176" s="11"/>
      <c r="G176" s="11"/>
      <c r="H176" s="11"/>
      <c r="I176" s="10" t="e">
        <f t="shared" si="61"/>
        <v>#DIV/0!</v>
      </c>
      <c r="J176" s="18"/>
    </row>
    <row r="177" spans="1:10">
      <c r="A177" s="7" t="s">
        <v>20</v>
      </c>
      <c r="B177" s="11"/>
      <c r="C177" s="11"/>
      <c r="D177" s="11"/>
      <c r="E177" s="11"/>
      <c r="F177" s="11"/>
      <c r="G177" s="11"/>
      <c r="H177" s="11"/>
      <c r="I177" s="10" t="e">
        <f t="shared" si="61"/>
        <v>#DIV/0!</v>
      </c>
      <c r="J177" s="18"/>
    </row>
    <row r="178" spans="1:10">
      <c r="A178" s="26" t="s">
        <v>21</v>
      </c>
      <c r="B178" s="11"/>
      <c r="C178" s="11"/>
      <c r="D178" s="11"/>
      <c r="E178" s="11"/>
      <c r="F178" s="11"/>
      <c r="G178" s="11"/>
      <c r="H178" s="11"/>
      <c r="I178" s="10" t="e">
        <f t="shared" si="61"/>
        <v>#DIV/0!</v>
      </c>
      <c r="J178" s="18"/>
    </row>
  </sheetData>
  <mergeCells count="11">
    <mergeCell ref="A1:H1"/>
    <mergeCell ref="A2:J2"/>
    <mergeCell ref="A3:AX3"/>
    <mergeCell ref="A38:G38"/>
    <mergeCell ref="A73:AX73"/>
    <mergeCell ref="A144:F144"/>
    <mergeCell ref="A4:A5"/>
    <mergeCell ref="A39:A40"/>
    <mergeCell ref="A75:A76"/>
    <mergeCell ref="A110:A111"/>
    <mergeCell ref="A145:A14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78"/>
  <sheetViews>
    <sheetView tabSelected="1" workbookViewId="0">
      <selection activeCell="H5" sqref="H5"/>
    </sheetView>
  </sheetViews>
  <sheetFormatPr defaultColWidth="8.10833333333333" defaultRowHeight="13.5"/>
  <cols>
    <col min="1" max="1" width="13.8833333333333" customWidth="1"/>
    <col min="2" max="2" width="11" customWidth="1"/>
    <col min="3" max="3" width="16.1083333333333" customWidth="1"/>
    <col min="4" max="4" width="13.6666666666667" customWidth="1"/>
    <col min="5" max="5" width="19" customWidth="1"/>
    <col min="6" max="6" width="23.3333333333333" customWidth="1"/>
    <col min="7" max="7" width="25.5583333333333" customWidth="1"/>
  </cols>
  <sheetData>
    <row r="1" ht="22.5" customHeight="1" spans="1:7">
      <c r="A1" s="2" t="s">
        <v>43</v>
      </c>
      <c r="B1" s="2"/>
      <c r="C1" s="2"/>
      <c r="D1" s="2"/>
      <c r="E1" s="2"/>
      <c r="F1" s="2"/>
      <c r="G1" s="2"/>
    </row>
    <row r="2" s="1" customFormat="1" ht="12.75" spans="1:7">
      <c r="A2" s="3" t="s">
        <v>1</v>
      </c>
      <c r="B2" s="3"/>
      <c r="C2" s="3"/>
      <c r="D2" s="3"/>
      <c r="E2" s="3"/>
      <c r="F2" s="3"/>
      <c r="G2" s="3"/>
    </row>
    <row r="3" s="1" customFormat="1" ht="15" customHeight="1" spans="1: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="1" customFormat="1" ht="15" customHeight="1" spans="1:7">
      <c r="A4" s="5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16" t="s">
        <v>9</v>
      </c>
    </row>
    <row r="5" s="1" customFormat="1" ht="45.45" customHeight="1" spans="1:7">
      <c r="A5" s="7"/>
      <c r="B5" s="8" t="s">
        <v>32</v>
      </c>
      <c r="C5" s="8" t="s">
        <v>11</v>
      </c>
      <c r="D5" s="8" t="s">
        <v>33</v>
      </c>
      <c r="E5" s="8" t="s">
        <v>44</v>
      </c>
      <c r="F5" s="8" t="s">
        <v>38</v>
      </c>
      <c r="G5" s="17" t="s">
        <v>45</v>
      </c>
    </row>
    <row r="6" s="1" customFormat="1" ht="15" customHeight="1" spans="1:7">
      <c r="A6" s="9" t="s">
        <v>18</v>
      </c>
      <c r="B6" s="10">
        <f t="shared" ref="B6:G6" si="0">B7+B13+B19+B25+B32</f>
        <v>0</v>
      </c>
      <c r="C6" s="10">
        <f t="shared" si="0"/>
        <v>0</v>
      </c>
      <c r="D6" s="10">
        <f t="shared" si="0"/>
        <v>0</v>
      </c>
      <c r="E6" s="10">
        <f t="shared" si="0"/>
        <v>0</v>
      </c>
      <c r="F6" s="10">
        <f t="shared" si="0"/>
        <v>0</v>
      </c>
      <c r="G6" s="10">
        <f t="shared" si="0"/>
        <v>0</v>
      </c>
    </row>
    <row r="7" s="1" customFormat="1" ht="15" customHeight="1" spans="1:7">
      <c r="A7" s="7" t="s">
        <v>19</v>
      </c>
      <c r="B7" s="10">
        <f t="shared" ref="B7:G7" si="1">SUM(B8:B12)</f>
        <v>0</v>
      </c>
      <c r="C7" s="10">
        <f t="shared" si="1"/>
        <v>0</v>
      </c>
      <c r="D7" s="10">
        <f t="shared" si="1"/>
        <v>0</v>
      </c>
      <c r="E7" s="10">
        <f t="shared" si="1"/>
        <v>0</v>
      </c>
      <c r="F7" s="10">
        <f t="shared" si="1"/>
        <v>0</v>
      </c>
      <c r="G7" s="10">
        <f t="shared" si="1"/>
        <v>0</v>
      </c>
    </row>
    <row r="8" s="1" customFormat="1" ht="15" customHeight="1" spans="1:7">
      <c r="A8" s="7">
        <v>1</v>
      </c>
      <c r="B8" s="11"/>
      <c r="C8" s="11"/>
      <c r="D8" s="11"/>
      <c r="E8" s="11"/>
      <c r="F8" s="10">
        <f>MAX(0,((C8-D8)+E8))</f>
        <v>0</v>
      </c>
      <c r="G8" s="18"/>
    </row>
    <row r="9" s="1" customFormat="1" ht="15" customHeight="1" spans="1:7">
      <c r="A9" s="7">
        <v>2</v>
      </c>
      <c r="B9" s="11"/>
      <c r="C9" s="11"/>
      <c r="D9" s="11"/>
      <c r="E9" s="11"/>
      <c r="F9" s="10">
        <f t="shared" ref="F9:F18" si="2">MAX(0,((C9-D9)+E9))</f>
        <v>0</v>
      </c>
      <c r="G9" s="18"/>
    </row>
    <row r="10" s="1" customFormat="1" ht="15" customHeight="1" spans="1:7">
      <c r="A10" s="7">
        <v>3</v>
      </c>
      <c r="B10" s="11"/>
      <c r="C10" s="11"/>
      <c r="D10" s="11"/>
      <c r="E10" s="11"/>
      <c r="F10" s="10">
        <f t="shared" si="2"/>
        <v>0</v>
      </c>
      <c r="G10" s="18"/>
    </row>
    <row r="11" s="1" customFormat="1" ht="15" customHeight="1" spans="1:7">
      <c r="A11" s="7" t="s">
        <v>20</v>
      </c>
      <c r="B11" s="11"/>
      <c r="C11" s="11"/>
      <c r="D11" s="11"/>
      <c r="E11" s="11"/>
      <c r="F11" s="10">
        <f t="shared" si="2"/>
        <v>0</v>
      </c>
      <c r="G11" s="18"/>
    </row>
    <row r="12" s="1" customFormat="1" ht="15" customHeight="1" spans="1:7">
      <c r="A12" s="7" t="s">
        <v>21</v>
      </c>
      <c r="B12" s="11"/>
      <c r="C12" s="11"/>
      <c r="D12" s="11"/>
      <c r="E12" s="11"/>
      <c r="F12" s="10">
        <f t="shared" si="2"/>
        <v>0</v>
      </c>
      <c r="G12" s="18"/>
    </row>
    <row r="13" s="1" customFormat="1" ht="15" customHeight="1" spans="1:7">
      <c r="A13" s="7" t="s">
        <v>22</v>
      </c>
      <c r="B13" s="10">
        <f t="shared" ref="B13:G13" si="3">SUM(B14:B18)</f>
        <v>0</v>
      </c>
      <c r="C13" s="10">
        <f t="shared" si="3"/>
        <v>0</v>
      </c>
      <c r="D13" s="10">
        <f t="shared" si="3"/>
        <v>0</v>
      </c>
      <c r="E13" s="10">
        <f t="shared" si="3"/>
        <v>0</v>
      </c>
      <c r="F13" s="10">
        <f t="shared" si="3"/>
        <v>0</v>
      </c>
      <c r="G13" s="10">
        <f t="shared" si="3"/>
        <v>0</v>
      </c>
    </row>
    <row r="14" s="1" customFormat="1" ht="15" customHeight="1" spans="1:7">
      <c r="A14" s="7">
        <v>1</v>
      </c>
      <c r="B14" s="11"/>
      <c r="C14" s="11"/>
      <c r="D14" s="11"/>
      <c r="E14" s="11"/>
      <c r="F14" s="10">
        <f t="shared" si="2"/>
        <v>0</v>
      </c>
      <c r="G14" s="18"/>
    </row>
    <row r="15" s="1" customFormat="1" ht="15" customHeight="1" spans="1:7">
      <c r="A15" s="7">
        <v>2</v>
      </c>
      <c r="B15" s="11"/>
      <c r="C15" s="11"/>
      <c r="D15" s="11"/>
      <c r="E15" s="11"/>
      <c r="F15" s="10">
        <f t="shared" si="2"/>
        <v>0</v>
      </c>
      <c r="G15" s="18"/>
    </row>
    <row r="16" s="1" customFormat="1" ht="15" customHeight="1" spans="1:7">
      <c r="A16" s="7">
        <v>3</v>
      </c>
      <c r="B16" s="11"/>
      <c r="C16" s="11"/>
      <c r="D16" s="11"/>
      <c r="E16" s="11"/>
      <c r="F16" s="10">
        <f t="shared" si="2"/>
        <v>0</v>
      </c>
      <c r="G16" s="18"/>
    </row>
    <row r="17" s="1" customFormat="1" ht="15" customHeight="1" spans="1:7">
      <c r="A17" s="7" t="s">
        <v>20</v>
      </c>
      <c r="B17" s="11"/>
      <c r="C17" s="11"/>
      <c r="D17" s="11"/>
      <c r="E17" s="11"/>
      <c r="F17" s="10">
        <f t="shared" si="2"/>
        <v>0</v>
      </c>
      <c r="G17" s="18"/>
    </row>
    <row r="18" s="1" customFormat="1" ht="15" customHeight="1" spans="1:7">
      <c r="A18" s="7" t="s">
        <v>21</v>
      </c>
      <c r="B18" s="11"/>
      <c r="C18" s="11"/>
      <c r="D18" s="11"/>
      <c r="E18" s="11"/>
      <c r="F18" s="10">
        <f t="shared" si="2"/>
        <v>0</v>
      </c>
      <c r="G18" s="18"/>
    </row>
    <row r="19" s="1" customFormat="1" ht="15" customHeight="1" spans="1:7">
      <c r="A19" s="7" t="s">
        <v>23</v>
      </c>
      <c r="B19" s="10">
        <f t="shared" ref="B19:G19" si="4">SUM(B20:B24)</f>
        <v>0</v>
      </c>
      <c r="C19" s="10">
        <f t="shared" si="4"/>
        <v>0</v>
      </c>
      <c r="D19" s="10">
        <f t="shared" si="4"/>
        <v>0</v>
      </c>
      <c r="E19" s="10">
        <f t="shared" si="4"/>
        <v>0</v>
      </c>
      <c r="F19" s="10">
        <f t="shared" si="4"/>
        <v>0</v>
      </c>
      <c r="G19" s="10">
        <f t="shared" si="4"/>
        <v>0</v>
      </c>
    </row>
    <row r="20" s="1" customFormat="1" ht="15" customHeight="1" spans="1:7">
      <c r="A20" s="7">
        <v>1</v>
      </c>
      <c r="B20" s="11"/>
      <c r="C20" s="11"/>
      <c r="D20" s="11"/>
      <c r="E20" s="11"/>
      <c r="F20" s="10">
        <f t="shared" ref="F20:F24" si="5">MAX(0,((C20-D20)+E20))</f>
        <v>0</v>
      </c>
      <c r="G20" s="18"/>
    </row>
    <row r="21" s="1" customFormat="1" ht="15" customHeight="1" spans="1:7">
      <c r="A21" s="7">
        <v>2</v>
      </c>
      <c r="B21" s="11"/>
      <c r="C21" s="11"/>
      <c r="D21" s="11"/>
      <c r="E21" s="11"/>
      <c r="F21" s="10">
        <f t="shared" si="5"/>
        <v>0</v>
      </c>
      <c r="G21" s="18"/>
    </row>
    <row r="22" s="1" customFormat="1" ht="15" customHeight="1" spans="1:7">
      <c r="A22" s="7">
        <v>3</v>
      </c>
      <c r="B22" s="11"/>
      <c r="C22" s="11"/>
      <c r="D22" s="11"/>
      <c r="E22" s="11"/>
      <c r="F22" s="10">
        <f t="shared" si="5"/>
        <v>0</v>
      </c>
      <c r="G22" s="18"/>
    </row>
    <row r="23" s="1" customFormat="1" ht="15" customHeight="1" spans="1:7">
      <c r="A23" s="7" t="s">
        <v>20</v>
      </c>
      <c r="B23" s="11"/>
      <c r="C23" s="11"/>
      <c r="D23" s="11"/>
      <c r="E23" s="11"/>
      <c r="F23" s="10">
        <f t="shared" si="5"/>
        <v>0</v>
      </c>
      <c r="G23" s="18"/>
    </row>
    <row r="24" s="1" customFormat="1" ht="15" customHeight="1" spans="1:7">
      <c r="A24" s="7" t="s">
        <v>21</v>
      </c>
      <c r="B24" s="11"/>
      <c r="C24" s="11"/>
      <c r="D24" s="11"/>
      <c r="E24" s="11"/>
      <c r="F24" s="10">
        <f t="shared" si="5"/>
        <v>0</v>
      </c>
      <c r="G24" s="18"/>
    </row>
    <row r="25" s="1" customFormat="1" ht="15" customHeight="1" spans="1:7">
      <c r="A25" s="9" t="s">
        <v>24</v>
      </c>
      <c r="B25" s="10">
        <f t="shared" ref="B25:G25" si="6">SUM(B26:B30)</f>
        <v>0</v>
      </c>
      <c r="C25" s="10">
        <f t="shared" si="6"/>
        <v>0</v>
      </c>
      <c r="D25" s="10">
        <f t="shared" si="6"/>
        <v>0</v>
      </c>
      <c r="E25" s="10">
        <f t="shared" si="6"/>
        <v>0</v>
      </c>
      <c r="F25" s="10">
        <f t="shared" si="6"/>
        <v>0</v>
      </c>
      <c r="G25" s="10">
        <f t="shared" si="6"/>
        <v>0</v>
      </c>
    </row>
    <row r="26" s="1" customFormat="1" ht="15" customHeight="1" spans="1:7">
      <c r="A26" s="7">
        <v>1</v>
      </c>
      <c r="B26" s="11"/>
      <c r="C26" s="11"/>
      <c r="D26" s="11"/>
      <c r="E26" s="11"/>
      <c r="F26" s="10">
        <f t="shared" ref="F26:F30" si="7">MAX(0,((C26-D26)+E26))</f>
        <v>0</v>
      </c>
      <c r="G26" s="18"/>
    </row>
    <row r="27" s="1" customFormat="1" ht="15" customHeight="1" spans="1:7">
      <c r="A27" s="7">
        <v>2</v>
      </c>
      <c r="B27" s="11"/>
      <c r="C27" s="11"/>
      <c r="D27" s="11"/>
      <c r="E27" s="11"/>
      <c r="F27" s="10">
        <f t="shared" si="7"/>
        <v>0</v>
      </c>
      <c r="G27" s="18"/>
    </row>
    <row r="28" s="1" customFormat="1" ht="15" customHeight="1" spans="1:7">
      <c r="A28" s="7">
        <v>3</v>
      </c>
      <c r="B28" s="11"/>
      <c r="C28" s="11"/>
      <c r="D28" s="11"/>
      <c r="E28" s="11"/>
      <c r="F28" s="10">
        <f t="shared" si="7"/>
        <v>0</v>
      </c>
      <c r="G28" s="18"/>
    </row>
    <row r="29" s="1" customFormat="1" ht="15" customHeight="1" spans="1:7">
      <c r="A29" s="7" t="s">
        <v>20</v>
      </c>
      <c r="B29" s="11"/>
      <c r="C29" s="11"/>
      <c r="D29" s="11"/>
      <c r="E29" s="11"/>
      <c r="F29" s="10">
        <f t="shared" si="7"/>
        <v>0</v>
      </c>
      <c r="G29" s="18"/>
    </row>
    <row r="30" s="1" customFormat="1" ht="15" customHeight="1" spans="1:7">
      <c r="A30" s="7" t="s">
        <v>21</v>
      </c>
      <c r="B30" s="11"/>
      <c r="C30" s="11"/>
      <c r="D30" s="11"/>
      <c r="E30" s="11"/>
      <c r="F30" s="10">
        <f t="shared" si="7"/>
        <v>0</v>
      </c>
      <c r="G30" s="18"/>
    </row>
    <row r="31" s="1" customFormat="1" ht="15" customHeight="1" spans="1:7">
      <c r="A31" s="9" t="s">
        <v>25</v>
      </c>
      <c r="B31" s="12"/>
      <c r="C31" s="12"/>
      <c r="D31" s="12"/>
      <c r="E31" s="12"/>
      <c r="F31" s="12"/>
      <c r="G31" s="19"/>
    </row>
    <row r="32" s="1" customFormat="1" ht="15" customHeight="1" spans="1:7">
      <c r="A32" s="9" t="s">
        <v>26</v>
      </c>
      <c r="B32" s="10">
        <f t="shared" ref="B32:G32" si="8">SUM(B33:B37)</f>
        <v>0</v>
      </c>
      <c r="C32" s="10">
        <f t="shared" si="8"/>
        <v>0</v>
      </c>
      <c r="D32" s="10">
        <f t="shared" si="8"/>
        <v>0</v>
      </c>
      <c r="E32" s="10">
        <f t="shared" si="8"/>
        <v>0</v>
      </c>
      <c r="F32" s="10">
        <f t="shared" si="8"/>
        <v>0</v>
      </c>
      <c r="G32" s="10">
        <f t="shared" si="8"/>
        <v>0</v>
      </c>
    </row>
    <row r="33" s="1" customFormat="1" ht="15" customHeight="1" spans="1:7">
      <c r="A33" s="7">
        <v>1</v>
      </c>
      <c r="B33" s="11"/>
      <c r="C33" s="11"/>
      <c r="D33" s="11"/>
      <c r="E33" s="11"/>
      <c r="F33" s="10">
        <f t="shared" ref="F33:F37" si="9">MAX(0,((C33-D33)+E33))</f>
        <v>0</v>
      </c>
      <c r="G33" s="18"/>
    </row>
    <row r="34" s="1" customFormat="1" ht="15" customHeight="1" spans="1:7">
      <c r="A34" s="7">
        <v>2</v>
      </c>
      <c r="B34" s="11"/>
      <c r="C34" s="11"/>
      <c r="D34" s="11"/>
      <c r="E34" s="11"/>
      <c r="F34" s="10">
        <f t="shared" si="9"/>
        <v>0</v>
      </c>
      <c r="G34" s="18"/>
    </row>
    <row r="35" s="1" customFormat="1" ht="15" customHeight="1" spans="1:7">
      <c r="A35" s="7">
        <v>3</v>
      </c>
      <c r="B35" s="11"/>
      <c r="C35" s="11"/>
      <c r="D35" s="11"/>
      <c r="E35" s="11"/>
      <c r="F35" s="10">
        <f t="shared" si="9"/>
        <v>0</v>
      </c>
      <c r="G35" s="18"/>
    </row>
    <row r="36" s="1" customFormat="1" ht="15" customHeight="1" spans="1:7">
      <c r="A36" s="7" t="s">
        <v>20</v>
      </c>
      <c r="B36" s="11"/>
      <c r="C36" s="11"/>
      <c r="D36" s="11"/>
      <c r="E36" s="11"/>
      <c r="F36" s="10">
        <f t="shared" si="9"/>
        <v>0</v>
      </c>
      <c r="G36" s="18"/>
    </row>
    <row r="37" s="1" customFormat="1" ht="15" customHeight="1" spans="1:7">
      <c r="A37" s="13" t="s">
        <v>21</v>
      </c>
      <c r="B37" s="11"/>
      <c r="C37" s="11"/>
      <c r="D37" s="11"/>
      <c r="E37" s="11"/>
      <c r="F37" s="10">
        <f t="shared" si="9"/>
        <v>0</v>
      </c>
      <c r="G37" s="18"/>
    </row>
    <row r="38" s="1" customFormat="1" ht="15" customHeight="1" spans="1:7">
      <c r="A38" s="14" t="s">
        <v>27</v>
      </c>
      <c r="B38" s="15"/>
      <c r="C38" s="15"/>
      <c r="D38" s="15"/>
      <c r="E38" s="15"/>
      <c r="F38" s="15"/>
      <c r="G38" s="15"/>
    </row>
    <row r="39" s="1" customFormat="1" ht="15" customHeight="1" spans="1:7">
      <c r="A39" s="5" t="s">
        <v>3</v>
      </c>
      <c r="B39" s="6" t="s">
        <v>4</v>
      </c>
      <c r="C39" s="6" t="s">
        <v>5</v>
      </c>
      <c r="D39" s="6" t="s">
        <v>6</v>
      </c>
      <c r="E39" s="6" t="s">
        <v>7</v>
      </c>
      <c r="F39" s="6" t="s">
        <v>8</v>
      </c>
      <c r="G39" s="16" t="s">
        <v>9</v>
      </c>
    </row>
    <row r="40" s="1" customFormat="1" ht="52.95" customHeight="1" spans="1:7">
      <c r="A40" s="7"/>
      <c r="B40" s="8" t="s">
        <v>32</v>
      </c>
      <c r="C40" s="8" t="s">
        <v>11</v>
      </c>
      <c r="D40" s="8" t="s">
        <v>33</v>
      </c>
      <c r="E40" s="8" t="s">
        <v>44</v>
      </c>
      <c r="F40" s="8" t="s">
        <v>38</v>
      </c>
      <c r="G40" s="17" t="s">
        <v>45</v>
      </c>
    </row>
    <row r="41" s="1" customFormat="1" ht="15" customHeight="1" spans="1:7">
      <c r="A41" s="9" t="s">
        <v>18</v>
      </c>
      <c r="B41" s="10">
        <f t="shared" ref="B41:G41" si="10">B42+B48+B54+B60+B67</f>
        <v>0</v>
      </c>
      <c r="C41" s="10">
        <f t="shared" si="10"/>
        <v>0</v>
      </c>
      <c r="D41" s="10">
        <f t="shared" si="10"/>
        <v>0</v>
      </c>
      <c r="E41" s="10">
        <f t="shared" si="10"/>
        <v>0</v>
      </c>
      <c r="F41" s="10">
        <f t="shared" si="10"/>
        <v>0</v>
      </c>
      <c r="G41" s="10">
        <f t="shared" si="10"/>
        <v>0</v>
      </c>
    </row>
    <row r="42" s="1" customFormat="1" ht="15" customHeight="1" spans="1:7">
      <c r="A42" s="7" t="s">
        <v>19</v>
      </c>
      <c r="B42" s="10">
        <f t="shared" ref="B42:G42" si="11">SUM(B43:B47)</f>
        <v>0</v>
      </c>
      <c r="C42" s="10">
        <f t="shared" si="11"/>
        <v>0</v>
      </c>
      <c r="D42" s="10">
        <f t="shared" si="11"/>
        <v>0</v>
      </c>
      <c r="E42" s="10">
        <f t="shared" si="11"/>
        <v>0</v>
      </c>
      <c r="F42" s="10">
        <f t="shared" si="11"/>
        <v>0</v>
      </c>
      <c r="G42" s="10">
        <f t="shared" si="11"/>
        <v>0</v>
      </c>
    </row>
    <row r="43" s="1" customFormat="1" ht="15" customHeight="1" spans="1:7">
      <c r="A43" s="7">
        <v>1</v>
      </c>
      <c r="B43" s="11"/>
      <c r="C43" s="11"/>
      <c r="D43" s="11"/>
      <c r="E43" s="11"/>
      <c r="F43" s="10">
        <f t="shared" ref="F43:F47" si="12">MAX(0,((C43-D43)+E43))</f>
        <v>0</v>
      </c>
      <c r="G43" s="18"/>
    </row>
    <row r="44" s="1" customFormat="1" ht="15" customHeight="1" spans="1:7">
      <c r="A44" s="7">
        <v>2</v>
      </c>
      <c r="B44" s="11"/>
      <c r="C44" s="11"/>
      <c r="D44" s="11"/>
      <c r="E44" s="11"/>
      <c r="F44" s="10">
        <f t="shared" si="12"/>
        <v>0</v>
      </c>
      <c r="G44" s="18"/>
    </row>
    <row r="45" s="1" customFormat="1" ht="15" customHeight="1" spans="1:7">
      <c r="A45" s="7">
        <v>3</v>
      </c>
      <c r="B45" s="11"/>
      <c r="C45" s="11"/>
      <c r="D45" s="11"/>
      <c r="E45" s="11"/>
      <c r="F45" s="10">
        <f t="shared" si="12"/>
        <v>0</v>
      </c>
      <c r="G45" s="18"/>
    </row>
    <row r="46" s="1" customFormat="1" ht="15" customHeight="1" spans="1:7">
      <c r="A46" s="7" t="s">
        <v>20</v>
      </c>
      <c r="B46" s="11"/>
      <c r="C46" s="11"/>
      <c r="D46" s="11"/>
      <c r="E46" s="11"/>
      <c r="F46" s="10">
        <f t="shared" si="12"/>
        <v>0</v>
      </c>
      <c r="G46" s="18"/>
    </row>
    <row r="47" s="1" customFormat="1" ht="15" customHeight="1" spans="1:7">
      <c r="A47" s="7" t="s">
        <v>21</v>
      </c>
      <c r="B47" s="11"/>
      <c r="C47" s="11"/>
      <c r="D47" s="11"/>
      <c r="E47" s="11"/>
      <c r="F47" s="10">
        <f t="shared" si="12"/>
        <v>0</v>
      </c>
      <c r="G47" s="18"/>
    </row>
    <row r="48" s="1" customFormat="1" ht="15" customHeight="1" spans="1:7">
      <c r="A48" s="7" t="s">
        <v>22</v>
      </c>
      <c r="B48" s="10">
        <f t="shared" ref="B48:G48" si="13">SUM(B49:B53)</f>
        <v>0</v>
      </c>
      <c r="C48" s="10">
        <f t="shared" si="13"/>
        <v>0</v>
      </c>
      <c r="D48" s="10">
        <f t="shared" si="13"/>
        <v>0</v>
      </c>
      <c r="E48" s="10">
        <f t="shared" si="13"/>
        <v>0</v>
      </c>
      <c r="F48" s="10">
        <f t="shared" si="13"/>
        <v>0</v>
      </c>
      <c r="G48" s="10">
        <f t="shared" si="13"/>
        <v>0</v>
      </c>
    </row>
    <row r="49" s="1" customFormat="1" ht="15" customHeight="1" spans="1:7">
      <c r="A49" s="7">
        <v>1</v>
      </c>
      <c r="B49" s="11"/>
      <c r="C49" s="11"/>
      <c r="D49" s="11"/>
      <c r="E49" s="11"/>
      <c r="F49" s="10">
        <f t="shared" ref="F49:F53" si="14">MAX(0,((C49-D49)+E49))</f>
        <v>0</v>
      </c>
      <c r="G49" s="18"/>
    </row>
    <row r="50" s="1" customFormat="1" ht="15" customHeight="1" spans="1:7">
      <c r="A50" s="7">
        <v>2</v>
      </c>
      <c r="B50" s="11"/>
      <c r="C50" s="11"/>
      <c r="D50" s="11"/>
      <c r="E50" s="11"/>
      <c r="F50" s="10">
        <f t="shared" si="14"/>
        <v>0</v>
      </c>
      <c r="G50" s="18"/>
    </row>
    <row r="51" s="1" customFormat="1" ht="15" customHeight="1" spans="1:7">
      <c r="A51" s="7">
        <v>3</v>
      </c>
      <c r="B51" s="11"/>
      <c r="C51" s="11"/>
      <c r="D51" s="11"/>
      <c r="E51" s="11"/>
      <c r="F51" s="10">
        <f t="shared" si="14"/>
        <v>0</v>
      </c>
      <c r="G51" s="18"/>
    </row>
    <row r="52" s="1" customFormat="1" ht="15" customHeight="1" spans="1:7">
      <c r="A52" s="7" t="s">
        <v>20</v>
      </c>
      <c r="B52" s="11"/>
      <c r="C52" s="11"/>
      <c r="D52" s="11"/>
      <c r="E52" s="11"/>
      <c r="F52" s="10">
        <f t="shared" si="14"/>
        <v>0</v>
      </c>
      <c r="G52" s="18"/>
    </row>
    <row r="53" s="1" customFormat="1" ht="15" customHeight="1" spans="1:7">
      <c r="A53" s="7" t="s">
        <v>21</v>
      </c>
      <c r="B53" s="11"/>
      <c r="C53" s="11"/>
      <c r="D53" s="11"/>
      <c r="E53" s="11"/>
      <c r="F53" s="10">
        <f t="shared" si="14"/>
        <v>0</v>
      </c>
      <c r="G53" s="18"/>
    </row>
    <row r="54" s="1" customFormat="1" ht="15" customHeight="1" spans="1:7">
      <c r="A54" s="7" t="s">
        <v>23</v>
      </c>
      <c r="B54" s="10">
        <f t="shared" ref="B54:G54" si="15">SUM(B55:B59)</f>
        <v>0</v>
      </c>
      <c r="C54" s="10">
        <f t="shared" si="15"/>
        <v>0</v>
      </c>
      <c r="D54" s="10">
        <f t="shared" si="15"/>
        <v>0</v>
      </c>
      <c r="E54" s="10">
        <f t="shared" si="15"/>
        <v>0</v>
      </c>
      <c r="F54" s="10">
        <f t="shared" si="15"/>
        <v>0</v>
      </c>
      <c r="G54" s="10">
        <f t="shared" si="15"/>
        <v>0</v>
      </c>
    </row>
    <row r="55" s="1" customFormat="1" ht="15" customHeight="1" spans="1:7">
      <c r="A55" s="7">
        <v>1</v>
      </c>
      <c r="B55" s="11"/>
      <c r="C55" s="11"/>
      <c r="D55" s="11"/>
      <c r="E55" s="11"/>
      <c r="F55" s="10">
        <f t="shared" ref="F55:F59" si="16">MAX(0,((C55-D55)+E55))</f>
        <v>0</v>
      </c>
      <c r="G55" s="18"/>
    </row>
    <row r="56" s="1" customFormat="1" ht="15" customHeight="1" spans="1:7">
      <c r="A56" s="7">
        <v>2</v>
      </c>
      <c r="B56" s="11"/>
      <c r="C56" s="11"/>
      <c r="D56" s="11"/>
      <c r="E56" s="11"/>
      <c r="F56" s="10">
        <f t="shared" si="16"/>
        <v>0</v>
      </c>
      <c r="G56" s="18"/>
    </row>
    <row r="57" s="1" customFormat="1" ht="15" customHeight="1" spans="1:7">
      <c r="A57" s="7">
        <v>3</v>
      </c>
      <c r="B57" s="11"/>
      <c r="C57" s="11"/>
      <c r="D57" s="11"/>
      <c r="E57" s="11"/>
      <c r="F57" s="10">
        <f t="shared" si="16"/>
        <v>0</v>
      </c>
      <c r="G57" s="18"/>
    </row>
    <row r="58" s="1" customFormat="1" ht="15" customHeight="1" spans="1:7">
      <c r="A58" s="7" t="s">
        <v>20</v>
      </c>
      <c r="B58" s="11"/>
      <c r="C58" s="11"/>
      <c r="D58" s="11"/>
      <c r="E58" s="11"/>
      <c r="F58" s="10">
        <f t="shared" si="16"/>
        <v>0</v>
      </c>
      <c r="G58" s="18"/>
    </row>
    <row r="59" s="1" customFormat="1" ht="15" customHeight="1" spans="1:7">
      <c r="A59" s="7" t="s">
        <v>21</v>
      </c>
      <c r="B59" s="11"/>
      <c r="C59" s="11"/>
      <c r="D59" s="11"/>
      <c r="E59" s="11"/>
      <c r="F59" s="10">
        <f t="shared" si="16"/>
        <v>0</v>
      </c>
      <c r="G59" s="18"/>
    </row>
    <row r="60" s="1" customFormat="1" ht="15" customHeight="1" spans="1:7">
      <c r="A60" s="9" t="s">
        <v>24</v>
      </c>
      <c r="B60" s="10">
        <f t="shared" ref="B60:G60" si="17">SUM(B61:B65)</f>
        <v>0</v>
      </c>
      <c r="C60" s="10">
        <f t="shared" si="17"/>
        <v>0</v>
      </c>
      <c r="D60" s="10">
        <f t="shared" si="17"/>
        <v>0</v>
      </c>
      <c r="E60" s="10">
        <f t="shared" si="17"/>
        <v>0</v>
      </c>
      <c r="F60" s="10">
        <f t="shared" si="17"/>
        <v>0</v>
      </c>
      <c r="G60" s="10">
        <f t="shared" si="17"/>
        <v>0</v>
      </c>
    </row>
    <row r="61" s="1" customFormat="1" ht="15" customHeight="1" spans="1:7">
      <c r="A61" s="7">
        <v>1</v>
      </c>
      <c r="B61" s="11"/>
      <c r="C61" s="11"/>
      <c r="D61" s="11"/>
      <c r="E61" s="11"/>
      <c r="F61" s="10">
        <f t="shared" ref="F61:F65" si="18">MAX(0,((C61-D61)+E61))</f>
        <v>0</v>
      </c>
      <c r="G61" s="18"/>
    </row>
    <row r="62" s="1" customFormat="1" ht="15" customHeight="1" spans="1:7">
      <c r="A62" s="7">
        <v>2</v>
      </c>
      <c r="B62" s="11"/>
      <c r="C62" s="11"/>
      <c r="D62" s="11"/>
      <c r="E62" s="11"/>
      <c r="F62" s="10">
        <f t="shared" si="18"/>
        <v>0</v>
      </c>
      <c r="G62" s="18"/>
    </row>
    <row r="63" s="1" customFormat="1" ht="15" customHeight="1" spans="1:7">
      <c r="A63" s="7">
        <v>3</v>
      </c>
      <c r="B63" s="11"/>
      <c r="C63" s="11"/>
      <c r="D63" s="11"/>
      <c r="E63" s="11"/>
      <c r="F63" s="10">
        <f t="shared" si="18"/>
        <v>0</v>
      </c>
      <c r="G63" s="18"/>
    </row>
    <row r="64" s="1" customFormat="1" ht="15" customHeight="1" spans="1:7">
      <c r="A64" s="7" t="s">
        <v>20</v>
      </c>
      <c r="B64" s="11"/>
      <c r="C64" s="11"/>
      <c r="D64" s="11"/>
      <c r="E64" s="11"/>
      <c r="F64" s="10">
        <f t="shared" si="18"/>
        <v>0</v>
      </c>
      <c r="G64" s="18"/>
    </row>
    <row r="65" s="1" customFormat="1" ht="15" customHeight="1" spans="1:7">
      <c r="A65" s="7" t="s">
        <v>21</v>
      </c>
      <c r="B65" s="11"/>
      <c r="C65" s="11"/>
      <c r="D65" s="11"/>
      <c r="E65" s="11"/>
      <c r="F65" s="10">
        <f t="shared" si="18"/>
        <v>0</v>
      </c>
      <c r="G65" s="18"/>
    </row>
    <row r="66" s="1" customFormat="1" ht="15" customHeight="1" spans="1:7">
      <c r="A66" s="9" t="s">
        <v>25</v>
      </c>
      <c r="B66" s="12"/>
      <c r="C66" s="12"/>
      <c r="D66" s="12"/>
      <c r="E66" s="12"/>
      <c r="F66" s="12"/>
      <c r="G66" s="19"/>
    </row>
    <row r="67" s="1" customFormat="1" ht="15" customHeight="1" spans="1:7">
      <c r="A67" s="9" t="s">
        <v>26</v>
      </c>
      <c r="B67" s="10">
        <f t="shared" ref="B67:G67" si="19">SUM(B68:B72)</f>
        <v>0</v>
      </c>
      <c r="C67" s="10">
        <f t="shared" si="19"/>
        <v>0</v>
      </c>
      <c r="D67" s="10">
        <f t="shared" si="19"/>
        <v>0</v>
      </c>
      <c r="E67" s="10">
        <f t="shared" si="19"/>
        <v>0</v>
      </c>
      <c r="F67" s="10">
        <f t="shared" si="19"/>
        <v>0</v>
      </c>
      <c r="G67" s="10">
        <f t="shared" si="19"/>
        <v>0</v>
      </c>
    </row>
    <row r="68" s="1" customFormat="1" ht="15" customHeight="1" spans="1:7">
      <c r="A68" s="7">
        <v>1</v>
      </c>
      <c r="B68" s="11"/>
      <c r="C68" s="11"/>
      <c r="D68" s="11"/>
      <c r="E68" s="11"/>
      <c r="F68" s="10">
        <f t="shared" ref="F68:F72" si="20">MAX(0,((C68-D68)+E68))</f>
        <v>0</v>
      </c>
      <c r="G68" s="18"/>
    </row>
    <row r="69" s="1" customFormat="1" ht="15" customHeight="1" spans="1:7">
      <c r="A69" s="7">
        <v>2</v>
      </c>
      <c r="B69" s="11"/>
      <c r="C69" s="11"/>
      <c r="D69" s="11"/>
      <c r="E69" s="11"/>
      <c r="F69" s="10">
        <f t="shared" si="20"/>
        <v>0</v>
      </c>
      <c r="G69" s="18"/>
    </row>
    <row r="70" s="1" customFormat="1" ht="15" customHeight="1" spans="1:7">
      <c r="A70" s="7">
        <v>3</v>
      </c>
      <c r="B70" s="11"/>
      <c r="C70" s="11"/>
      <c r="D70" s="11"/>
      <c r="E70" s="11"/>
      <c r="F70" s="10">
        <f t="shared" si="20"/>
        <v>0</v>
      </c>
      <c r="G70" s="18"/>
    </row>
    <row r="71" s="1" customFormat="1" ht="15" customHeight="1" spans="1:7">
      <c r="A71" s="7" t="s">
        <v>20</v>
      </c>
      <c r="B71" s="11"/>
      <c r="C71" s="11"/>
      <c r="D71" s="11"/>
      <c r="E71" s="11"/>
      <c r="F71" s="10">
        <f t="shared" si="20"/>
        <v>0</v>
      </c>
      <c r="G71" s="18"/>
    </row>
    <row r="72" s="1" customFormat="1" ht="15" customHeight="1" spans="1:7">
      <c r="A72" s="13" t="s">
        <v>21</v>
      </c>
      <c r="B72" s="11"/>
      <c r="C72" s="11"/>
      <c r="D72" s="11"/>
      <c r="E72" s="11"/>
      <c r="F72" s="10">
        <f t="shared" si="20"/>
        <v>0</v>
      </c>
      <c r="G72" s="18"/>
    </row>
    <row r="73" s="1" customFormat="1" ht="12.75" spans="1:25">
      <c r="A73" s="20" t="s">
        <v>28</v>
      </c>
      <c r="B73" s="20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</row>
    <row r="74" s="1" customFormat="1" spans="1:25">
      <c r="A74" s="4" t="s">
        <v>29</v>
      </c>
      <c r="B74" s="20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</row>
    <row r="75" s="1" customFormat="1" ht="15" customHeight="1" spans="1:7">
      <c r="A75" s="5" t="s">
        <v>3</v>
      </c>
      <c r="B75" s="6" t="s">
        <v>4</v>
      </c>
      <c r="C75" s="6" t="s">
        <v>5</v>
      </c>
      <c r="D75" s="6" t="s">
        <v>6</v>
      </c>
      <c r="E75" s="6" t="s">
        <v>7</v>
      </c>
      <c r="F75" s="6" t="s">
        <v>8</v>
      </c>
      <c r="G75" s="16" t="s">
        <v>9</v>
      </c>
    </row>
    <row r="76" s="1" customFormat="1" ht="45.45" customHeight="1" spans="1:7">
      <c r="A76" s="7"/>
      <c r="B76" s="8" t="s">
        <v>32</v>
      </c>
      <c r="C76" s="8" t="s">
        <v>11</v>
      </c>
      <c r="D76" s="8" t="s">
        <v>33</v>
      </c>
      <c r="E76" s="8" t="s">
        <v>44</v>
      </c>
      <c r="F76" s="8" t="s">
        <v>38</v>
      </c>
      <c r="G76" s="17" t="s">
        <v>45</v>
      </c>
    </row>
    <row r="77" s="1" customFormat="1" ht="15" customHeight="1" spans="1:7">
      <c r="A77" s="9" t="s">
        <v>18</v>
      </c>
      <c r="B77" s="10">
        <f t="shared" ref="B77:G77" si="21">B78+B84+B90+B96+B103</f>
        <v>0</v>
      </c>
      <c r="C77" s="10">
        <f t="shared" si="21"/>
        <v>0</v>
      </c>
      <c r="D77" s="10">
        <f t="shared" si="21"/>
        <v>0</v>
      </c>
      <c r="E77" s="10">
        <f t="shared" si="21"/>
        <v>0</v>
      </c>
      <c r="F77" s="10">
        <f t="shared" si="21"/>
        <v>0</v>
      </c>
      <c r="G77" s="10">
        <f t="shared" si="21"/>
        <v>0</v>
      </c>
    </row>
    <row r="78" s="1" customFormat="1" ht="15" customHeight="1" spans="1:7">
      <c r="A78" s="7" t="s">
        <v>19</v>
      </c>
      <c r="B78" s="10">
        <f t="shared" ref="B78:G78" si="22">SUM(B79:B83)</f>
        <v>0</v>
      </c>
      <c r="C78" s="10">
        <f t="shared" si="22"/>
        <v>0</v>
      </c>
      <c r="D78" s="10">
        <f t="shared" si="22"/>
        <v>0</v>
      </c>
      <c r="E78" s="10">
        <f t="shared" si="22"/>
        <v>0</v>
      </c>
      <c r="F78" s="10">
        <f t="shared" si="22"/>
        <v>0</v>
      </c>
      <c r="G78" s="10">
        <f t="shared" si="22"/>
        <v>0</v>
      </c>
    </row>
    <row r="79" s="1" customFormat="1" ht="15" customHeight="1" spans="1:7">
      <c r="A79" s="7">
        <v>1</v>
      </c>
      <c r="B79" s="11"/>
      <c r="C79" s="11"/>
      <c r="D79" s="11"/>
      <c r="E79" s="11"/>
      <c r="F79" s="10">
        <f t="shared" ref="F79:F83" si="23">MAX(0,((C79-D79)+E79))</f>
        <v>0</v>
      </c>
      <c r="G79" s="18"/>
    </row>
    <row r="80" s="1" customFormat="1" ht="15" customHeight="1" spans="1:7">
      <c r="A80" s="7">
        <v>2</v>
      </c>
      <c r="B80" s="11"/>
      <c r="C80" s="11"/>
      <c r="D80" s="11"/>
      <c r="E80" s="11"/>
      <c r="F80" s="10">
        <f t="shared" si="23"/>
        <v>0</v>
      </c>
      <c r="G80" s="18"/>
    </row>
    <row r="81" s="1" customFormat="1" ht="15" customHeight="1" spans="1:7">
      <c r="A81" s="7">
        <v>3</v>
      </c>
      <c r="B81" s="11"/>
      <c r="C81" s="11"/>
      <c r="D81" s="11"/>
      <c r="E81" s="11"/>
      <c r="F81" s="10">
        <f t="shared" si="23"/>
        <v>0</v>
      </c>
      <c r="G81" s="18"/>
    </row>
    <row r="82" s="1" customFormat="1" ht="15" customHeight="1" spans="1:7">
      <c r="A82" s="7" t="s">
        <v>20</v>
      </c>
      <c r="B82" s="11"/>
      <c r="C82" s="11"/>
      <c r="D82" s="11"/>
      <c r="E82" s="11"/>
      <c r="F82" s="10">
        <f t="shared" si="23"/>
        <v>0</v>
      </c>
      <c r="G82" s="18"/>
    </row>
    <row r="83" s="1" customFormat="1" ht="15" customHeight="1" spans="1:7">
      <c r="A83" s="7" t="s">
        <v>21</v>
      </c>
      <c r="B83" s="11"/>
      <c r="C83" s="11"/>
      <c r="D83" s="11"/>
      <c r="E83" s="11"/>
      <c r="F83" s="10">
        <f t="shared" si="23"/>
        <v>0</v>
      </c>
      <c r="G83" s="18"/>
    </row>
    <row r="84" s="1" customFormat="1" ht="15" customHeight="1" spans="1:7">
      <c r="A84" s="7" t="s">
        <v>22</v>
      </c>
      <c r="B84" s="10">
        <f t="shared" ref="B84:G84" si="24">SUM(B85:B89)</f>
        <v>0</v>
      </c>
      <c r="C84" s="10">
        <f t="shared" si="24"/>
        <v>0</v>
      </c>
      <c r="D84" s="10">
        <f t="shared" si="24"/>
        <v>0</v>
      </c>
      <c r="E84" s="10">
        <f t="shared" si="24"/>
        <v>0</v>
      </c>
      <c r="F84" s="10">
        <f t="shared" si="24"/>
        <v>0</v>
      </c>
      <c r="G84" s="10">
        <f t="shared" si="24"/>
        <v>0</v>
      </c>
    </row>
    <row r="85" s="1" customFormat="1" ht="15" customHeight="1" spans="1:7">
      <c r="A85" s="7">
        <v>1</v>
      </c>
      <c r="B85" s="11"/>
      <c r="C85" s="11"/>
      <c r="D85" s="11"/>
      <c r="E85" s="11"/>
      <c r="F85" s="10">
        <f t="shared" ref="F85:F89" si="25">MAX(0,((C85-D85)+E85))</f>
        <v>0</v>
      </c>
      <c r="G85" s="18"/>
    </row>
    <row r="86" s="1" customFormat="1" ht="15" customHeight="1" spans="1:7">
      <c r="A86" s="7">
        <v>2</v>
      </c>
      <c r="B86" s="11"/>
      <c r="C86" s="11"/>
      <c r="D86" s="11"/>
      <c r="E86" s="11"/>
      <c r="F86" s="10">
        <f t="shared" si="25"/>
        <v>0</v>
      </c>
      <c r="G86" s="18"/>
    </row>
    <row r="87" s="1" customFormat="1" ht="15" customHeight="1" spans="1:7">
      <c r="A87" s="7">
        <v>3</v>
      </c>
      <c r="B87" s="11"/>
      <c r="C87" s="11"/>
      <c r="D87" s="11"/>
      <c r="E87" s="11"/>
      <c r="F87" s="10">
        <f t="shared" si="25"/>
        <v>0</v>
      </c>
      <c r="G87" s="18"/>
    </row>
    <row r="88" s="1" customFormat="1" ht="15" customHeight="1" spans="1:7">
      <c r="A88" s="7" t="s">
        <v>20</v>
      </c>
      <c r="B88" s="11"/>
      <c r="C88" s="11"/>
      <c r="D88" s="11"/>
      <c r="E88" s="11"/>
      <c r="F88" s="10">
        <f t="shared" si="25"/>
        <v>0</v>
      </c>
      <c r="G88" s="18"/>
    </row>
    <row r="89" s="1" customFormat="1" ht="15" customHeight="1" spans="1:7">
      <c r="A89" s="7" t="s">
        <v>21</v>
      </c>
      <c r="B89" s="11"/>
      <c r="C89" s="11"/>
      <c r="D89" s="11"/>
      <c r="E89" s="11"/>
      <c r="F89" s="10">
        <f t="shared" si="25"/>
        <v>0</v>
      </c>
      <c r="G89" s="18"/>
    </row>
    <row r="90" s="1" customFormat="1" ht="15" customHeight="1" spans="1:7">
      <c r="A90" s="7" t="s">
        <v>23</v>
      </c>
      <c r="B90" s="10">
        <f t="shared" ref="B90:G90" si="26">SUM(B91:B95)</f>
        <v>0</v>
      </c>
      <c r="C90" s="10">
        <f t="shared" si="26"/>
        <v>0</v>
      </c>
      <c r="D90" s="10">
        <f t="shared" si="26"/>
        <v>0</v>
      </c>
      <c r="E90" s="10">
        <f t="shared" si="26"/>
        <v>0</v>
      </c>
      <c r="F90" s="10">
        <f t="shared" si="26"/>
        <v>0</v>
      </c>
      <c r="G90" s="10">
        <f t="shared" si="26"/>
        <v>0</v>
      </c>
    </row>
    <row r="91" s="1" customFormat="1" ht="15" customHeight="1" spans="1:7">
      <c r="A91" s="7">
        <v>1</v>
      </c>
      <c r="B91" s="11"/>
      <c r="C91" s="11"/>
      <c r="D91" s="11"/>
      <c r="E91" s="11"/>
      <c r="F91" s="10">
        <f t="shared" ref="F91:F95" si="27">MAX(0,((C91-D91)+E91))</f>
        <v>0</v>
      </c>
      <c r="G91" s="18"/>
    </row>
    <row r="92" s="1" customFormat="1" ht="15" customHeight="1" spans="1:7">
      <c r="A92" s="7">
        <v>2</v>
      </c>
      <c r="B92" s="11"/>
      <c r="C92" s="11"/>
      <c r="D92" s="11"/>
      <c r="E92" s="11"/>
      <c r="F92" s="10">
        <f t="shared" si="27"/>
        <v>0</v>
      </c>
      <c r="G92" s="18"/>
    </row>
    <row r="93" s="1" customFormat="1" ht="15" customHeight="1" spans="1:7">
      <c r="A93" s="7">
        <v>3</v>
      </c>
      <c r="B93" s="11"/>
      <c r="C93" s="11"/>
      <c r="D93" s="11"/>
      <c r="E93" s="11"/>
      <c r="F93" s="10">
        <f t="shared" si="27"/>
        <v>0</v>
      </c>
      <c r="G93" s="18"/>
    </row>
    <row r="94" s="1" customFormat="1" ht="15" customHeight="1" spans="1:7">
      <c r="A94" s="7" t="s">
        <v>20</v>
      </c>
      <c r="B94" s="11"/>
      <c r="C94" s="11"/>
      <c r="D94" s="11"/>
      <c r="E94" s="11"/>
      <c r="F94" s="10">
        <f t="shared" si="27"/>
        <v>0</v>
      </c>
      <c r="G94" s="18"/>
    </row>
    <row r="95" s="1" customFormat="1" ht="15" customHeight="1" spans="1:7">
      <c r="A95" s="7" t="s">
        <v>21</v>
      </c>
      <c r="B95" s="11"/>
      <c r="C95" s="11"/>
      <c r="D95" s="11"/>
      <c r="E95" s="11"/>
      <c r="F95" s="10">
        <f t="shared" si="27"/>
        <v>0</v>
      </c>
      <c r="G95" s="18"/>
    </row>
    <row r="96" s="1" customFormat="1" ht="15" customHeight="1" spans="1:7">
      <c r="A96" s="9" t="s">
        <v>24</v>
      </c>
      <c r="B96" s="10">
        <f t="shared" ref="B96:G96" si="28">SUM(B97:B101)</f>
        <v>0</v>
      </c>
      <c r="C96" s="10">
        <f t="shared" si="28"/>
        <v>0</v>
      </c>
      <c r="D96" s="10">
        <f t="shared" si="28"/>
        <v>0</v>
      </c>
      <c r="E96" s="10">
        <f t="shared" si="28"/>
        <v>0</v>
      </c>
      <c r="F96" s="10">
        <f t="shared" si="28"/>
        <v>0</v>
      </c>
      <c r="G96" s="10">
        <f t="shared" si="28"/>
        <v>0</v>
      </c>
    </row>
    <row r="97" s="1" customFormat="1" ht="15" customHeight="1" spans="1:7">
      <c r="A97" s="7">
        <v>1</v>
      </c>
      <c r="B97" s="11"/>
      <c r="C97" s="11"/>
      <c r="D97" s="11"/>
      <c r="E97" s="11"/>
      <c r="F97" s="10">
        <f t="shared" ref="F97:F101" si="29">MAX(0,((C97-D97)+E97))</f>
        <v>0</v>
      </c>
      <c r="G97" s="18"/>
    </row>
    <row r="98" s="1" customFormat="1" ht="15" customHeight="1" spans="1:7">
      <c r="A98" s="7">
        <v>2</v>
      </c>
      <c r="B98" s="11"/>
      <c r="C98" s="11"/>
      <c r="D98" s="11"/>
      <c r="E98" s="11"/>
      <c r="F98" s="10">
        <f t="shared" si="29"/>
        <v>0</v>
      </c>
      <c r="G98" s="18"/>
    </row>
    <row r="99" s="1" customFormat="1" ht="15" customHeight="1" spans="1:7">
      <c r="A99" s="7">
        <v>3</v>
      </c>
      <c r="B99" s="11"/>
      <c r="C99" s="11"/>
      <c r="D99" s="11"/>
      <c r="E99" s="11"/>
      <c r="F99" s="10">
        <f t="shared" si="29"/>
        <v>0</v>
      </c>
      <c r="G99" s="18"/>
    </row>
    <row r="100" s="1" customFormat="1" ht="15" customHeight="1" spans="1:7">
      <c r="A100" s="7" t="s">
        <v>20</v>
      </c>
      <c r="B100" s="11"/>
      <c r="C100" s="11"/>
      <c r="D100" s="11"/>
      <c r="E100" s="11"/>
      <c r="F100" s="10">
        <f t="shared" si="29"/>
        <v>0</v>
      </c>
      <c r="G100" s="18"/>
    </row>
    <row r="101" s="1" customFormat="1" ht="15" customHeight="1" spans="1:7">
      <c r="A101" s="7" t="s">
        <v>21</v>
      </c>
      <c r="B101" s="11"/>
      <c r="C101" s="11"/>
      <c r="D101" s="11"/>
      <c r="E101" s="11"/>
      <c r="F101" s="10">
        <f t="shared" si="29"/>
        <v>0</v>
      </c>
      <c r="G101" s="18"/>
    </row>
    <row r="102" s="1" customFormat="1" ht="15" customHeight="1" spans="1:7">
      <c r="A102" s="9" t="s">
        <v>25</v>
      </c>
      <c r="B102" s="12"/>
      <c r="C102" s="12"/>
      <c r="D102" s="12"/>
      <c r="E102" s="12"/>
      <c r="F102" s="12"/>
      <c r="G102" s="19"/>
    </row>
    <row r="103" s="1" customFormat="1" ht="15" customHeight="1" spans="1:7">
      <c r="A103" s="9" t="s">
        <v>26</v>
      </c>
      <c r="B103" s="10">
        <f t="shared" ref="B103:G103" si="30">SUM(B104:B108)</f>
        <v>0</v>
      </c>
      <c r="C103" s="10">
        <f t="shared" si="30"/>
        <v>0</v>
      </c>
      <c r="D103" s="10">
        <f t="shared" si="30"/>
        <v>0</v>
      </c>
      <c r="E103" s="10">
        <f t="shared" si="30"/>
        <v>0</v>
      </c>
      <c r="F103" s="10">
        <f t="shared" si="30"/>
        <v>0</v>
      </c>
      <c r="G103" s="10">
        <f t="shared" si="30"/>
        <v>0</v>
      </c>
    </row>
    <row r="104" s="1" customFormat="1" ht="15" customHeight="1" spans="1:7">
      <c r="A104" s="7">
        <v>1</v>
      </c>
      <c r="B104" s="11"/>
      <c r="C104" s="11"/>
      <c r="D104" s="11"/>
      <c r="E104" s="11"/>
      <c r="F104" s="10">
        <f t="shared" ref="F104:F108" si="31">MAX(0,((C104-D104)+E104))</f>
        <v>0</v>
      </c>
      <c r="G104" s="18"/>
    </row>
    <row r="105" s="1" customFormat="1" ht="15" customHeight="1" spans="1:7">
      <c r="A105" s="7">
        <v>2</v>
      </c>
      <c r="B105" s="11"/>
      <c r="C105" s="11"/>
      <c r="D105" s="11"/>
      <c r="E105" s="11"/>
      <c r="F105" s="10">
        <f t="shared" si="31"/>
        <v>0</v>
      </c>
      <c r="G105" s="18"/>
    </row>
    <row r="106" s="1" customFormat="1" ht="15" customHeight="1" spans="1:7">
      <c r="A106" s="7">
        <v>3</v>
      </c>
      <c r="B106" s="11"/>
      <c r="C106" s="11"/>
      <c r="D106" s="11"/>
      <c r="E106" s="11"/>
      <c r="F106" s="10">
        <f t="shared" si="31"/>
        <v>0</v>
      </c>
      <c r="G106" s="18"/>
    </row>
    <row r="107" s="1" customFormat="1" ht="15" customHeight="1" spans="1:7">
      <c r="A107" s="7" t="s">
        <v>20</v>
      </c>
      <c r="B107" s="11"/>
      <c r="C107" s="11"/>
      <c r="D107" s="11"/>
      <c r="E107" s="11"/>
      <c r="F107" s="10">
        <f t="shared" si="31"/>
        <v>0</v>
      </c>
      <c r="G107" s="18"/>
    </row>
    <row r="108" s="1" customFormat="1" ht="15" customHeight="1" spans="1:7">
      <c r="A108" s="13" t="s">
        <v>21</v>
      </c>
      <c r="B108" s="11"/>
      <c r="C108" s="11"/>
      <c r="D108" s="11"/>
      <c r="E108" s="11"/>
      <c r="F108" s="10">
        <f t="shared" si="31"/>
        <v>0</v>
      </c>
      <c r="G108" s="18"/>
    </row>
    <row r="109" s="1" customFormat="1" spans="1:25">
      <c r="A109" s="4" t="s">
        <v>41</v>
      </c>
      <c r="B109" s="20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</row>
    <row r="110" s="1" customFormat="1" ht="15" customHeight="1" spans="1:7">
      <c r="A110" s="5" t="s">
        <v>3</v>
      </c>
      <c r="B110" s="6" t="s">
        <v>4</v>
      </c>
      <c r="C110" s="6" t="s">
        <v>5</v>
      </c>
      <c r="D110" s="6" t="s">
        <v>6</v>
      </c>
      <c r="E110" s="6" t="s">
        <v>7</v>
      </c>
      <c r="F110" s="6" t="s">
        <v>8</v>
      </c>
      <c r="G110" s="16" t="s">
        <v>9</v>
      </c>
    </row>
    <row r="111" s="1" customFormat="1" ht="45.45" customHeight="1" spans="1:7">
      <c r="A111" s="7"/>
      <c r="B111" s="8" t="s">
        <v>32</v>
      </c>
      <c r="C111" s="8" t="s">
        <v>11</v>
      </c>
      <c r="D111" s="8" t="s">
        <v>33</v>
      </c>
      <c r="E111" s="8" t="s">
        <v>44</v>
      </c>
      <c r="F111" s="8" t="s">
        <v>38</v>
      </c>
      <c r="G111" s="17" t="s">
        <v>45</v>
      </c>
    </row>
    <row r="112" s="1" customFormat="1" ht="15" customHeight="1" spans="1:7">
      <c r="A112" s="9" t="s">
        <v>18</v>
      </c>
      <c r="B112" s="10">
        <f t="shared" ref="B112:G112" si="32">B113+B119+B125+B131+B138</f>
        <v>0</v>
      </c>
      <c r="C112" s="10">
        <f t="shared" si="32"/>
        <v>0</v>
      </c>
      <c r="D112" s="10">
        <f t="shared" si="32"/>
        <v>0</v>
      </c>
      <c r="E112" s="10">
        <f t="shared" si="32"/>
        <v>0</v>
      </c>
      <c r="F112" s="10">
        <f t="shared" si="32"/>
        <v>0</v>
      </c>
      <c r="G112" s="10">
        <f t="shared" si="32"/>
        <v>0</v>
      </c>
    </row>
    <row r="113" s="1" customFormat="1" ht="15" customHeight="1" spans="1:7">
      <c r="A113" s="7" t="s">
        <v>19</v>
      </c>
      <c r="B113" s="10">
        <f t="shared" ref="B113:G113" si="33">SUM(B114:B118)</f>
        <v>0</v>
      </c>
      <c r="C113" s="10">
        <f t="shared" si="33"/>
        <v>0</v>
      </c>
      <c r="D113" s="10">
        <f t="shared" si="33"/>
        <v>0</v>
      </c>
      <c r="E113" s="10">
        <f t="shared" si="33"/>
        <v>0</v>
      </c>
      <c r="F113" s="10">
        <f t="shared" si="33"/>
        <v>0</v>
      </c>
      <c r="G113" s="10">
        <f t="shared" si="33"/>
        <v>0</v>
      </c>
    </row>
    <row r="114" s="1" customFormat="1" ht="15" customHeight="1" spans="1:7">
      <c r="A114" s="7">
        <v>1</v>
      </c>
      <c r="B114" s="11"/>
      <c r="C114" s="11"/>
      <c r="D114" s="11"/>
      <c r="E114" s="11"/>
      <c r="F114" s="10">
        <f t="shared" ref="F114:F118" si="34">MAX(0,((C114-D114)+E114))</f>
        <v>0</v>
      </c>
      <c r="G114" s="18"/>
    </row>
    <row r="115" s="1" customFormat="1" ht="15" customHeight="1" spans="1:7">
      <c r="A115" s="7">
        <v>2</v>
      </c>
      <c r="B115" s="11"/>
      <c r="C115" s="11"/>
      <c r="D115" s="11"/>
      <c r="E115" s="11"/>
      <c r="F115" s="10">
        <f t="shared" si="34"/>
        <v>0</v>
      </c>
      <c r="G115" s="18"/>
    </row>
    <row r="116" s="1" customFormat="1" ht="15" customHeight="1" spans="1:7">
      <c r="A116" s="7">
        <v>3</v>
      </c>
      <c r="B116" s="11"/>
      <c r="C116" s="11"/>
      <c r="D116" s="11"/>
      <c r="E116" s="11"/>
      <c r="F116" s="10">
        <f t="shared" si="34"/>
        <v>0</v>
      </c>
      <c r="G116" s="18"/>
    </row>
    <row r="117" s="1" customFormat="1" ht="15" customHeight="1" spans="1:7">
      <c r="A117" s="7" t="s">
        <v>20</v>
      </c>
      <c r="B117" s="11"/>
      <c r="C117" s="11"/>
      <c r="D117" s="11"/>
      <c r="E117" s="11"/>
      <c r="F117" s="10">
        <f t="shared" si="34"/>
        <v>0</v>
      </c>
      <c r="G117" s="18"/>
    </row>
    <row r="118" s="1" customFormat="1" ht="15" customHeight="1" spans="1:7">
      <c r="A118" s="7" t="s">
        <v>21</v>
      </c>
      <c r="B118" s="11"/>
      <c r="C118" s="11"/>
      <c r="D118" s="11"/>
      <c r="E118" s="11"/>
      <c r="F118" s="10">
        <f t="shared" si="34"/>
        <v>0</v>
      </c>
      <c r="G118" s="18"/>
    </row>
    <row r="119" s="1" customFormat="1" ht="15" customHeight="1" spans="1:7">
      <c r="A119" s="7" t="s">
        <v>22</v>
      </c>
      <c r="B119" s="10">
        <f t="shared" ref="B119:G119" si="35">SUM(B120:B124)</f>
        <v>0</v>
      </c>
      <c r="C119" s="10">
        <f t="shared" si="35"/>
        <v>0</v>
      </c>
      <c r="D119" s="10">
        <f t="shared" si="35"/>
        <v>0</v>
      </c>
      <c r="E119" s="10">
        <f t="shared" si="35"/>
        <v>0</v>
      </c>
      <c r="F119" s="10">
        <f t="shared" si="35"/>
        <v>0</v>
      </c>
      <c r="G119" s="10">
        <f t="shared" si="35"/>
        <v>0</v>
      </c>
    </row>
    <row r="120" s="1" customFormat="1" ht="15" customHeight="1" spans="1:7">
      <c r="A120" s="7">
        <v>1</v>
      </c>
      <c r="B120" s="11"/>
      <c r="C120" s="11"/>
      <c r="D120" s="11"/>
      <c r="E120" s="11"/>
      <c r="F120" s="10">
        <f t="shared" ref="F120:F124" si="36">MAX(0,((C120-D120)+E120))</f>
        <v>0</v>
      </c>
      <c r="G120" s="18"/>
    </row>
    <row r="121" s="1" customFormat="1" ht="15" customHeight="1" spans="1:7">
      <c r="A121" s="7">
        <v>2</v>
      </c>
      <c r="B121" s="11"/>
      <c r="C121" s="11"/>
      <c r="D121" s="11"/>
      <c r="E121" s="11"/>
      <c r="F121" s="10">
        <f t="shared" si="36"/>
        <v>0</v>
      </c>
      <c r="G121" s="18"/>
    </row>
    <row r="122" s="1" customFormat="1" ht="15" customHeight="1" spans="1:7">
      <c r="A122" s="7">
        <v>3</v>
      </c>
      <c r="B122" s="11"/>
      <c r="C122" s="11"/>
      <c r="D122" s="11"/>
      <c r="E122" s="11"/>
      <c r="F122" s="10">
        <f t="shared" si="36"/>
        <v>0</v>
      </c>
      <c r="G122" s="18"/>
    </row>
    <row r="123" s="1" customFormat="1" ht="15" customHeight="1" spans="1:7">
      <c r="A123" s="7" t="s">
        <v>20</v>
      </c>
      <c r="B123" s="11"/>
      <c r="C123" s="11"/>
      <c r="D123" s="11"/>
      <c r="E123" s="11"/>
      <c r="F123" s="10">
        <f t="shared" si="36"/>
        <v>0</v>
      </c>
      <c r="G123" s="18"/>
    </row>
    <row r="124" s="1" customFormat="1" ht="15" customHeight="1" spans="1:7">
      <c r="A124" s="7" t="s">
        <v>21</v>
      </c>
      <c r="B124" s="11"/>
      <c r="C124" s="11"/>
      <c r="D124" s="11"/>
      <c r="E124" s="11"/>
      <c r="F124" s="10">
        <f t="shared" si="36"/>
        <v>0</v>
      </c>
      <c r="G124" s="18"/>
    </row>
    <row r="125" s="1" customFormat="1" ht="15" customHeight="1" spans="1:7">
      <c r="A125" s="7" t="s">
        <v>23</v>
      </c>
      <c r="B125" s="10">
        <f t="shared" ref="B125:G125" si="37">SUM(B126:B130)</f>
        <v>0</v>
      </c>
      <c r="C125" s="10">
        <f t="shared" si="37"/>
        <v>0</v>
      </c>
      <c r="D125" s="10">
        <f t="shared" si="37"/>
        <v>0</v>
      </c>
      <c r="E125" s="10">
        <f t="shared" si="37"/>
        <v>0</v>
      </c>
      <c r="F125" s="10">
        <f t="shared" si="37"/>
        <v>0</v>
      </c>
      <c r="G125" s="10">
        <f t="shared" si="37"/>
        <v>0</v>
      </c>
    </row>
    <row r="126" s="1" customFormat="1" ht="15" customHeight="1" spans="1:7">
      <c r="A126" s="7">
        <v>1</v>
      </c>
      <c r="B126" s="11"/>
      <c r="C126" s="11"/>
      <c r="D126" s="11"/>
      <c r="E126" s="11"/>
      <c r="F126" s="10">
        <f t="shared" ref="F126:F130" si="38">MAX(0,((C126-D126)+E126))</f>
        <v>0</v>
      </c>
      <c r="G126" s="18"/>
    </row>
    <row r="127" s="1" customFormat="1" ht="15" customHeight="1" spans="1:7">
      <c r="A127" s="7">
        <v>2</v>
      </c>
      <c r="B127" s="11"/>
      <c r="C127" s="11"/>
      <c r="D127" s="11"/>
      <c r="E127" s="11"/>
      <c r="F127" s="10">
        <f t="shared" si="38"/>
        <v>0</v>
      </c>
      <c r="G127" s="18"/>
    </row>
    <row r="128" s="1" customFormat="1" ht="15" customHeight="1" spans="1:7">
      <c r="A128" s="7">
        <v>3</v>
      </c>
      <c r="B128" s="11"/>
      <c r="C128" s="11"/>
      <c r="D128" s="11"/>
      <c r="E128" s="11"/>
      <c r="F128" s="10">
        <f t="shared" si="38"/>
        <v>0</v>
      </c>
      <c r="G128" s="18"/>
    </row>
    <row r="129" s="1" customFormat="1" ht="15" customHeight="1" spans="1:7">
      <c r="A129" s="7" t="s">
        <v>20</v>
      </c>
      <c r="B129" s="11"/>
      <c r="C129" s="11"/>
      <c r="D129" s="11"/>
      <c r="E129" s="11"/>
      <c r="F129" s="10">
        <f t="shared" si="38"/>
        <v>0</v>
      </c>
      <c r="G129" s="18"/>
    </row>
    <row r="130" s="1" customFormat="1" ht="15" customHeight="1" spans="1:7">
      <c r="A130" s="7" t="s">
        <v>21</v>
      </c>
      <c r="B130" s="11"/>
      <c r="C130" s="11"/>
      <c r="D130" s="11"/>
      <c r="E130" s="11"/>
      <c r="F130" s="10">
        <f t="shared" si="38"/>
        <v>0</v>
      </c>
      <c r="G130" s="18"/>
    </row>
    <row r="131" s="1" customFormat="1" ht="15" customHeight="1" spans="1:7">
      <c r="A131" s="9" t="s">
        <v>24</v>
      </c>
      <c r="B131" s="10">
        <f t="shared" ref="B131:G131" si="39">SUM(B132:B136)</f>
        <v>0</v>
      </c>
      <c r="C131" s="10">
        <f t="shared" si="39"/>
        <v>0</v>
      </c>
      <c r="D131" s="10">
        <f t="shared" si="39"/>
        <v>0</v>
      </c>
      <c r="E131" s="10">
        <f t="shared" si="39"/>
        <v>0</v>
      </c>
      <c r="F131" s="10">
        <f t="shared" si="39"/>
        <v>0</v>
      </c>
      <c r="G131" s="10">
        <f t="shared" si="39"/>
        <v>0</v>
      </c>
    </row>
    <row r="132" s="1" customFormat="1" ht="15" customHeight="1" spans="1:7">
      <c r="A132" s="7">
        <v>1</v>
      </c>
      <c r="B132" s="11"/>
      <c r="C132" s="11"/>
      <c r="D132" s="11"/>
      <c r="E132" s="11"/>
      <c r="F132" s="10">
        <f t="shared" ref="F132:F136" si="40">MAX(0,((C132-D132)+E132))</f>
        <v>0</v>
      </c>
      <c r="G132" s="18"/>
    </row>
    <row r="133" s="1" customFormat="1" ht="15" customHeight="1" spans="1:7">
      <c r="A133" s="7">
        <v>2</v>
      </c>
      <c r="B133" s="11"/>
      <c r="C133" s="11"/>
      <c r="D133" s="11"/>
      <c r="E133" s="11"/>
      <c r="F133" s="10">
        <f t="shared" si="40"/>
        <v>0</v>
      </c>
      <c r="G133" s="18"/>
    </row>
    <row r="134" s="1" customFormat="1" ht="15" customHeight="1" spans="1:7">
      <c r="A134" s="7">
        <v>3</v>
      </c>
      <c r="B134" s="11"/>
      <c r="C134" s="11"/>
      <c r="D134" s="11"/>
      <c r="E134" s="11"/>
      <c r="F134" s="10">
        <f t="shared" si="40"/>
        <v>0</v>
      </c>
      <c r="G134" s="18"/>
    </row>
    <row r="135" s="1" customFormat="1" ht="15" customHeight="1" spans="1:7">
      <c r="A135" s="7" t="s">
        <v>20</v>
      </c>
      <c r="B135" s="11"/>
      <c r="C135" s="11"/>
      <c r="D135" s="11"/>
      <c r="E135" s="11"/>
      <c r="F135" s="10">
        <f t="shared" si="40"/>
        <v>0</v>
      </c>
      <c r="G135" s="18"/>
    </row>
    <row r="136" s="1" customFormat="1" ht="15" customHeight="1" spans="1:7">
      <c r="A136" s="7" t="s">
        <v>21</v>
      </c>
      <c r="B136" s="11"/>
      <c r="C136" s="11"/>
      <c r="D136" s="11"/>
      <c r="E136" s="11"/>
      <c r="F136" s="10">
        <f t="shared" si="40"/>
        <v>0</v>
      </c>
      <c r="G136" s="18"/>
    </row>
    <row r="137" s="1" customFormat="1" ht="15" customHeight="1" spans="1:7">
      <c r="A137" s="9" t="s">
        <v>25</v>
      </c>
      <c r="B137" s="12"/>
      <c r="C137" s="12"/>
      <c r="D137" s="12"/>
      <c r="E137" s="12"/>
      <c r="F137" s="12"/>
      <c r="G137" s="19"/>
    </row>
    <row r="138" s="1" customFormat="1" ht="15" customHeight="1" spans="1:7">
      <c r="A138" s="9" t="s">
        <v>26</v>
      </c>
      <c r="B138" s="10">
        <f t="shared" ref="B138:G138" si="41">SUM(B139:B143)</f>
        <v>0</v>
      </c>
      <c r="C138" s="10">
        <f t="shared" si="41"/>
        <v>0</v>
      </c>
      <c r="D138" s="10">
        <f t="shared" si="41"/>
        <v>0</v>
      </c>
      <c r="E138" s="10">
        <f t="shared" si="41"/>
        <v>0</v>
      </c>
      <c r="F138" s="10">
        <f t="shared" si="41"/>
        <v>0</v>
      </c>
      <c r="G138" s="10">
        <f t="shared" si="41"/>
        <v>0</v>
      </c>
    </row>
    <row r="139" s="1" customFormat="1" ht="15" customHeight="1" spans="1:7">
      <c r="A139" s="7">
        <v>1</v>
      </c>
      <c r="B139" s="11"/>
      <c r="C139" s="11"/>
      <c r="D139" s="11"/>
      <c r="E139" s="11"/>
      <c r="F139" s="10">
        <f t="shared" ref="F139:F143" si="42">MAX(0,((C139-D139)+E139))</f>
        <v>0</v>
      </c>
      <c r="G139" s="18"/>
    </row>
    <row r="140" s="1" customFormat="1" ht="15" customHeight="1" spans="1:7">
      <c r="A140" s="7">
        <v>2</v>
      </c>
      <c r="B140" s="11"/>
      <c r="C140" s="11"/>
      <c r="D140" s="11"/>
      <c r="E140" s="11"/>
      <c r="F140" s="10">
        <f t="shared" si="42"/>
        <v>0</v>
      </c>
      <c r="G140" s="18"/>
    </row>
    <row r="141" s="1" customFormat="1" ht="15" customHeight="1" spans="1:7">
      <c r="A141" s="7">
        <v>3</v>
      </c>
      <c r="B141" s="11"/>
      <c r="C141" s="11"/>
      <c r="D141" s="11"/>
      <c r="E141" s="11"/>
      <c r="F141" s="10">
        <f t="shared" si="42"/>
        <v>0</v>
      </c>
      <c r="G141" s="18"/>
    </row>
    <row r="142" s="1" customFormat="1" ht="15" customHeight="1" spans="1:7">
      <c r="A142" s="7" t="s">
        <v>20</v>
      </c>
      <c r="B142" s="11"/>
      <c r="C142" s="11"/>
      <c r="D142" s="11"/>
      <c r="E142" s="11"/>
      <c r="F142" s="10">
        <f t="shared" si="42"/>
        <v>0</v>
      </c>
      <c r="G142" s="18"/>
    </row>
    <row r="143" s="1" customFormat="1" ht="15" customHeight="1" spans="1:7">
      <c r="A143" s="13" t="s">
        <v>21</v>
      </c>
      <c r="B143" s="11"/>
      <c r="C143" s="11"/>
      <c r="D143" s="11"/>
      <c r="E143" s="11"/>
      <c r="F143" s="10">
        <f t="shared" si="42"/>
        <v>0</v>
      </c>
      <c r="G143" s="18"/>
    </row>
    <row r="144" s="1" customFormat="1" spans="1:25">
      <c r="A144" s="22" t="s">
        <v>42</v>
      </c>
      <c r="B144" s="22"/>
      <c r="C144" s="22"/>
      <c r="D144" s="22"/>
      <c r="E144" s="22"/>
      <c r="F144" s="22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 s="1" customFormat="1" ht="15" customHeight="1" spans="1:7">
      <c r="A145" s="5" t="s">
        <v>3</v>
      </c>
      <c r="B145" s="6" t="s">
        <v>4</v>
      </c>
      <c r="C145" s="6" t="s">
        <v>5</v>
      </c>
      <c r="D145" s="6" t="s">
        <v>6</v>
      </c>
      <c r="E145" s="6" t="s">
        <v>7</v>
      </c>
      <c r="F145" s="6" t="s">
        <v>8</v>
      </c>
      <c r="G145" s="16" t="s">
        <v>9</v>
      </c>
    </row>
    <row r="146" s="1" customFormat="1" ht="45.45" customHeight="1" spans="1:7">
      <c r="A146" s="7"/>
      <c r="B146" s="8" t="s">
        <v>32</v>
      </c>
      <c r="C146" s="8" t="s">
        <v>11</v>
      </c>
      <c r="D146" s="8" t="s">
        <v>33</v>
      </c>
      <c r="E146" s="8" t="s">
        <v>44</v>
      </c>
      <c r="F146" s="8" t="s">
        <v>38</v>
      </c>
      <c r="G146" s="17" t="s">
        <v>45</v>
      </c>
    </row>
    <row r="147" s="1" customFormat="1" ht="15" customHeight="1" spans="1:7">
      <c r="A147" s="9" t="s">
        <v>18</v>
      </c>
      <c r="B147" s="10">
        <f t="shared" ref="B147:G147" si="43">B148+B154+B160+B166+B173</f>
        <v>0</v>
      </c>
      <c r="C147" s="10">
        <f t="shared" si="43"/>
        <v>0</v>
      </c>
      <c r="D147" s="10">
        <f t="shared" si="43"/>
        <v>0</v>
      </c>
      <c r="E147" s="10">
        <f t="shared" si="43"/>
        <v>0</v>
      </c>
      <c r="F147" s="10">
        <f t="shared" si="43"/>
        <v>0</v>
      </c>
      <c r="G147" s="10">
        <f t="shared" si="43"/>
        <v>0</v>
      </c>
    </row>
    <row r="148" s="1" customFormat="1" ht="15" customHeight="1" spans="1:7">
      <c r="A148" s="7" t="s">
        <v>19</v>
      </c>
      <c r="B148" s="10">
        <f t="shared" ref="B148:G148" si="44">SUM(B149:B153)</f>
        <v>0</v>
      </c>
      <c r="C148" s="10">
        <f t="shared" si="44"/>
        <v>0</v>
      </c>
      <c r="D148" s="10">
        <f t="shared" si="44"/>
        <v>0</v>
      </c>
      <c r="E148" s="10">
        <f t="shared" si="44"/>
        <v>0</v>
      </c>
      <c r="F148" s="10">
        <f t="shared" si="44"/>
        <v>0</v>
      </c>
      <c r="G148" s="10">
        <f t="shared" si="44"/>
        <v>0</v>
      </c>
    </row>
    <row r="149" s="1" customFormat="1" ht="15" customHeight="1" spans="1:7">
      <c r="A149" s="7">
        <v>1</v>
      </c>
      <c r="B149" s="11"/>
      <c r="C149" s="11"/>
      <c r="D149" s="11"/>
      <c r="E149" s="11"/>
      <c r="F149" s="10">
        <f t="shared" ref="F149:F153" si="45">MAX(0,((C149-D149)+E149))</f>
        <v>0</v>
      </c>
      <c r="G149" s="18"/>
    </row>
    <row r="150" s="1" customFormat="1" ht="15" customHeight="1" spans="1:7">
      <c r="A150" s="7">
        <v>2</v>
      </c>
      <c r="B150" s="11"/>
      <c r="C150" s="11"/>
      <c r="D150" s="11"/>
      <c r="E150" s="11"/>
      <c r="F150" s="10">
        <f t="shared" si="45"/>
        <v>0</v>
      </c>
      <c r="G150" s="18"/>
    </row>
    <row r="151" s="1" customFormat="1" ht="15" customHeight="1" spans="1:7">
      <c r="A151" s="7">
        <v>3</v>
      </c>
      <c r="B151" s="11"/>
      <c r="C151" s="11"/>
      <c r="D151" s="11"/>
      <c r="E151" s="11"/>
      <c r="F151" s="10">
        <f t="shared" si="45"/>
        <v>0</v>
      </c>
      <c r="G151" s="18"/>
    </row>
    <row r="152" s="1" customFormat="1" ht="15" customHeight="1" spans="1:7">
      <c r="A152" s="7" t="s">
        <v>20</v>
      </c>
      <c r="B152" s="11"/>
      <c r="C152" s="11"/>
      <c r="D152" s="11"/>
      <c r="E152" s="11"/>
      <c r="F152" s="10">
        <f t="shared" si="45"/>
        <v>0</v>
      </c>
      <c r="G152" s="18"/>
    </row>
    <row r="153" s="1" customFormat="1" ht="15" customHeight="1" spans="1:7">
      <c r="A153" s="7" t="s">
        <v>21</v>
      </c>
      <c r="B153" s="11"/>
      <c r="C153" s="11"/>
      <c r="D153" s="11"/>
      <c r="E153" s="11"/>
      <c r="F153" s="10">
        <f t="shared" si="45"/>
        <v>0</v>
      </c>
      <c r="G153" s="18"/>
    </row>
    <row r="154" s="1" customFormat="1" ht="15" customHeight="1" spans="1:7">
      <c r="A154" s="7" t="s">
        <v>22</v>
      </c>
      <c r="B154" s="10">
        <f t="shared" ref="B154:G154" si="46">SUM(B155:B159)</f>
        <v>0</v>
      </c>
      <c r="C154" s="10">
        <f t="shared" si="46"/>
        <v>0</v>
      </c>
      <c r="D154" s="10">
        <f t="shared" si="46"/>
        <v>0</v>
      </c>
      <c r="E154" s="10">
        <f t="shared" si="46"/>
        <v>0</v>
      </c>
      <c r="F154" s="10">
        <f t="shared" si="46"/>
        <v>0</v>
      </c>
      <c r="G154" s="10">
        <f t="shared" si="46"/>
        <v>0</v>
      </c>
    </row>
    <row r="155" s="1" customFormat="1" ht="15" customHeight="1" spans="1:7">
      <c r="A155" s="7">
        <v>1</v>
      </c>
      <c r="B155" s="11"/>
      <c r="C155" s="11"/>
      <c r="D155" s="11"/>
      <c r="E155" s="11"/>
      <c r="F155" s="10">
        <f t="shared" ref="F155:F159" si="47">MAX(0,((C155-D155)+E155))</f>
        <v>0</v>
      </c>
      <c r="G155" s="18"/>
    </row>
    <row r="156" s="1" customFormat="1" ht="15" customHeight="1" spans="1:7">
      <c r="A156" s="7">
        <v>2</v>
      </c>
      <c r="B156" s="11"/>
      <c r="C156" s="11"/>
      <c r="D156" s="11"/>
      <c r="E156" s="11"/>
      <c r="F156" s="10">
        <f t="shared" si="47"/>
        <v>0</v>
      </c>
      <c r="G156" s="18"/>
    </row>
    <row r="157" s="1" customFormat="1" ht="15" customHeight="1" spans="1:7">
      <c r="A157" s="7">
        <v>3</v>
      </c>
      <c r="B157" s="11"/>
      <c r="C157" s="11"/>
      <c r="D157" s="11"/>
      <c r="E157" s="11"/>
      <c r="F157" s="10">
        <f t="shared" si="47"/>
        <v>0</v>
      </c>
      <c r="G157" s="18"/>
    </row>
    <row r="158" s="1" customFormat="1" ht="15" customHeight="1" spans="1:7">
      <c r="A158" s="7" t="s">
        <v>20</v>
      </c>
      <c r="B158" s="11"/>
      <c r="C158" s="11"/>
      <c r="D158" s="11"/>
      <c r="E158" s="11"/>
      <c r="F158" s="10">
        <f t="shared" si="47"/>
        <v>0</v>
      </c>
      <c r="G158" s="18"/>
    </row>
    <row r="159" s="1" customFormat="1" ht="15" customHeight="1" spans="1:7">
      <c r="A159" s="7" t="s">
        <v>21</v>
      </c>
      <c r="B159" s="11"/>
      <c r="C159" s="11"/>
      <c r="D159" s="11"/>
      <c r="E159" s="11"/>
      <c r="F159" s="10">
        <f t="shared" si="47"/>
        <v>0</v>
      </c>
      <c r="G159" s="18"/>
    </row>
    <row r="160" s="1" customFormat="1" ht="15" customHeight="1" spans="1:7">
      <c r="A160" s="7" t="s">
        <v>23</v>
      </c>
      <c r="B160" s="10">
        <f t="shared" ref="B160:G160" si="48">SUM(B161:B165)</f>
        <v>0</v>
      </c>
      <c r="C160" s="10">
        <f t="shared" si="48"/>
        <v>0</v>
      </c>
      <c r="D160" s="10">
        <f t="shared" si="48"/>
        <v>0</v>
      </c>
      <c r="E160" s="10">
        <f t="shared" si="48"/>
        <v>0</v>
      </c>
      <c r="F160" s="10">
        <f t="shared" si="48"/>
        <v>0</v>
      </c>
      <c r="G160" s="10">
        <f t="shared" si="48"/>
        <v>0</v>
      </c>
    </row>
    <row r="161" s="1" customFormat="1" ht="15" customHeight="1" spans="1:7">
      <c r="A161" s="7">
        <v>1</v>
      </c>
      <c r="B161" s="11"/>
      <c r="C161" s="11"/>
      <c r="D161" s="11"/>
      <c r="E161" s="11"/>
      <c r="F161" s="10">
        <f t="shared" ref="F161:F165" si="49">MAX(0,((C161-D161)+E161))</f>
        <v>0</v>
      </c>
      <c r="G161" s="18"/>
    </row>
    <row r="162" s="1" customFormat="1" ht="15" customHeight="1" spans="1:7">
      <c r="A162" s="7">
        <v>2</v>
      </c>
      <c r="B162" s="11"/>
      <c r="C162" s="11"/>
      <c r="D162" s="11"/>
      <c r="E162" s="11"/>
      <c r="F162" s="10">
        <f t="shared" si="49"/>
        <v>0</v>
      </c>
      <c r="G162" s="18"/>
    </row>
    <row r="163" s="1" customFormat="1" ht="15" customHeight="1" spans="1:7">
      <c r="A163" s="7">
        <v>3</v>
      </c>
      <c r="B163" s="11"/>
      <c r="C163" s="11"/>
      <c r="D163" s="11"/>
      <c r="E163" s="11"/>
      <c r="F163" s="10">
        <f t="shared" si="49"/>
        <v>0</v>
      </c>
      <c r="G163" s="18"/>
    </row>
    <row r="164" s="1" customFormat="1" ht="15" customHeight="1" spans="1:7">
      <c r="A164" s="7" t="s">
        <v>20</v>
      </c>
      <c r="B164" s="11"/>
      <c r="C164" s="11"/>
      <c r="D164" s="11"/>
      <c r="E164" s="11"/>
      <c r="F164" s="10">
        <f t="shared" si="49"/>
        <v>0</v>
      </c>
      <c r="G164" s="18"/>
    </row>
    <row r="165" s="1" customFormat="1" ht="15" customHeight="1" spans="1:7">
      <c r="A165" s="7" t="s">
        <v>21</v>
      </c>
      <c r="B165" s="11"/>
      <c r="C165" s="11"/>
      <c r="D165" s="11"/>
      <c r="E165" s="11"/>
      <c r="F165" s="10">
        <f t="shared" si="49"/>
        <v>0</v>
      </c>
      <c r="G165" s="18"/>
    </row>
    <row r="166" s="1" customFormat="1" ht="15" customHeight="1" spans="1:7">
      <c r="A166" s="9" t="s">
        <v>24</v>
      </c>
      <c r="B166" s="10">
        <f t="shared" ref="B166:G166" si="50">SUM(B167:B171)</f>
        <v>0</v>
      </c>
      <c r="C166" s="10">
        <f t="shared" si="50"/>
        <v>0</v>
      </c>
      <c r="D166" s="10">
        <f t="shared" si="50"/>
        <v>0</v>
      </c>
      <c r="E166" s="10">
        <f t="shared" si="50"/>
        <v>0</v>
      </c>
      <c r="F166" s="10">
        <f t="shared" si="50"/>
        <v>0</v>
      </c>
      <c r="G166" s="10">
        <f t="shared" si="50"/>
        <v>0</v>
      </c>
    </row>
    <row r="167" s="1" customFormat="1" ht="15" customHeight="1" spans="1:7">
      <c r="A167" s="7">
        <v>1</v>
      </c>
      <c r="B167" s="11"/>
      <c r="C167" s="11"/>
      <c r="D167" s="11"/>
      <c r="E167" s="11"/>
      <c r="F167" s="10">
        <f t="shared" ref="F167:F171" si="51">MAX(0,((C167-D167)+E167))</f>
        <v>0</v>
      </c>
      <c r="G167" s="18"/>
    </row>
    <row r="168" s="1" customFormat="1" ht="15" customHeight="1" spans="1:7">
      <c r="A168" s="7">
        <v>2</v>
      </c>
      <c r="B168" s="11"/>
      <c r="C168" s="11"/>
      <c r="D168" s="11"/>
      <c r="E168" s="11"/>
      <c r="F168" s="10">
        <f t="shared" si="51"/>
        <v>0</v>
      </c>
      <c r="G168" s="18"/>
    </row>
    <row r="169" s="1" customFormat="1" ht="15" customHeight="1" spans="1:7">
      <c r="A169" s="7">
        <v>3</v>
      </c>
      <c r="B169" s="11"/>
      <c r="C169" s="11"/>
      <c r="D169" s="11"/>
      <c r="E169" s="11"/>
      <c r="F169" s="10">
        <f t="shared" si="51"/>
        <v>0</v>
      </c>
      <c r="G169" s="18"/>
    </row>
    <row r="170" s="1" customFormat="1" ht="15" customHeight="1" spans="1:7">
      <c r="A170" s="7" t="s">
        <v>20</v>
      </c>
      <c r="B170" s="11"/>
      <c r="C170" s="11"/>
      <c r="D170" s="11"/>
      <c r="E170" s="11"/>
      <c r="F170" s="10">
        <f t="shared" si="51"/>
        <v>0</v>
      </c>
      <c r="G170" s="18"/>
    </row>
    <row r="171" s="1" customFormat="1" ht="15" customHeight="1" spans="1:7">
      <c r="A171" s="7" t="s">
        <v>21</v>
      </c>
      <c r="B171" s="11"/>
      <c r="C171" s="11"/>
      <c r="D171" s="11"/>
      <c r="E171" s="11"/>
      <c r="F171" s="10">
        <f t="shared" si="51"/>
        <v>0</v>
      </c>
      <c r="G171" s="18"/>
    </row>
    <row r="172" s="1" customFormat="1" ht="15" customHeight="1" spans="1:7">
      <c r="A172" s="9" t="s">
        <v>25</v>
      </c>
      <c r="B172" s="12"/>
      <c r="C172" s="12"/>
      <c r="D172" s="12"/>
      <c r="E172" s="12"/>
      <c r="F172" s="12"/>
      <c r="G172" s="19"/>
    </row>
    <row r="173" s="1" customFormat="1" ht="15" customHeight="1" spans="1:7">
      <c r="A173" s="9" t="s">
        <v>26</v>
      </c>
      <c r="B173" s="10">
        <f t="shared" ref="B173:G173" si="52">SUM(B174:B178)</f>
        <v>0</v>
      </c>
      <c r="C173" s="10">
        <f t="shared" si="52"/>
        <v>0</v>
      </c>
      <c r="D173" s="10">
        <f t="shared" si="52"/>
        <v>0</v>
      </c>
      <c r="E173" s="10">
        <f t="shared" si="52"/>
        <v>0</v>
      </c>
      <c r="F173" s="10">
        <f t="shared" si="52"/>
        <v>0</v>
      </c>
      <c r="G173" s="10">
        <f t="shared" si="52"/>
        <v>0</v>
      </c>
    </row>
    <row r="174" spans="1:7">
      <c r="A174" s="7">
        <v>1</v>
      </c>
      <c r="B174" s="11"/>
      <c r="C174" s="11"/>
      <c r="D174" s="11"/>
      <c r="E174" s="11"/>
      <c r="F174" s="10">
        <f t="shared" ref="F174:F178" si="53">MAX(0,((C174-D174)+E174))</f>
        <v>0</v>
      </c>
      <c r="G174" s="18"/>
    </row>
    <row r="175" spans="1:7">
      <c r="A175" s="7">
        <v>2</v>
      </c>
      <c r="B175" s="11"/>
      <c r="C175" s="11"/>
      <c r="D175" s="11"/>
      <c r="E175" s="11"/>
      <c r="F175" s="10">
        <f t="shared" si="53"/>
        <v>0</v>
      </c>
      <c r="G175" s="18"/>
    </row>
    <row r="176" spans="1:7">
      <c r="A176" s="7">
        <v>3</v>
      </c>
      <c r="B176" s="11"/>
      <c r="C176" s="11"/>
      <c r="D176" s="11"/>
      <c r="E176" s="11"/>
      <c r="F176" s="10">
        <f t="shared" si="53"/>
        <v>0</v>
      </c>
      <c r="G176" s="18"/>
    </row>
    <row r="177" spans="1:7">
      <c r="A177" s="7" t="s">
        <v>20</v>
      </c>
      <c r="B177" s="11"/>
      <c r="C177" s="11"/>
      <c r="D177" s="11"/>
      <c r="E177" s="11"/>
      <c r="F177" s="10">
        <f t="shared" si="53"/>
        <v>0</v>
      </c>
      <c r="G177" s="18"/>
    </row>
    <row r="178" ht="14.25" spans="1:7">
      <c r="A178" s="13" t="s">
        <v>21</v>
      </c>
      <c r="B178" s="11"/>
      <c r="C178" s="11"/>
      <c r="D178" s="11"/>
      <c r="E178" s="11"/>
      <c r="F178" s="10">
        <f t="shared" si="53"/>
        <v>0</v>
      </c>
      <c r="G178" s="18"/>
    </row>
  </sheetData>
  <mergeCells count="11">
    <mergeCell ref="A1:G1"/>
    <mergeCell ref="A2:G2"/>
    <mergeCell ref="A3:Y3"/>
    <mergeCell ref="A38:G38"/>
    <mergeCell ref="A73:Y73"/>
    <mergeCell ref="A144:F144"/>
    <mergeCell ref="A4:A5"/>
    <mergeCell ref="A39:A40"/>
    <mergeCell ref="A75:A76"/>
    <mergeCell ref="A110:A111"/>
    <mergeCell ref="A145:A14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G4E-6(b)-普通方法版</vt:lpstr>
      <vt:lpstr>G4E-6(b)-VaR方法版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林加敏</dc:creator>
  <cp:lastModifiedBy>陈静</cp:lastModifiedBy>
  <dcterms:created xsi:type="dcterms:W3CDTF">2023-05-18T16:44:00Z</dcterms:created>
  <dcterms:modified xsi:type="dcterms:W3CDTF">2024-12-12T17:54:52Z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D33987CE6C1E429AB066A8512142A3B9_13</vt:lpwstr>
  </property>
  <property fmtid="{D5CDD505-2E9C-101B-9397-08002B2CF9AE}" pid="3" name="KSOProductBuildVer">
    <vt:lpwstr>2052-11.8.2.11764</vt:lpwstr>
  </property>
</Properties>
</file>