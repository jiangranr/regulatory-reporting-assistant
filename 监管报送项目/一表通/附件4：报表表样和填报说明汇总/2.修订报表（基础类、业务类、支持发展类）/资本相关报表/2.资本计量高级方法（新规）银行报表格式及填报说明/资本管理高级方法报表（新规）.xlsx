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25" tabRatio="886" activeTab="16"/>
  </bookViews>
  <sheets>
    <sheet name="G4E" sheetId="21" r:id="rId1"/>
    <sheet name="G4E-1" sheetId="2" r:id="rId2"/>
    <sheet name="G4E-2" sheetId="3" r:id="rId3"/>
    <sheet name="G4E-3" sheetId="4" r:id="rId4"/>
    <sheet name="G4E-4" sheetId="5" r:id="rId5"/>
    <sheet name="G4E-5" sheetId="6" r:id="rId6"/>
    <sheet name="G4E-6" sheetId="25" r:id="rId7"/>
    <sheet name="G4E-7" sheetId="7" r:id="rId8"/>
    <sheet name="G4E-8" sheetId="24" r:id="rId9"/>
    <sheet name="G4H" sheetId="9" r:id="rId10"/>
    <sheet name="G4H-1" sheetId="10" r:id="rId11"/>
    <sheet name="G4H-2" sheetId="11" r:id="rId12"/>
    <sheet name="G4H-3" sheetId="12" r:id="rId13"/>
    <sheet name="G4H-4" sheetId="13" r:id="rId14"/>
    <sheet name="G4F" sheetId="19" r:id="rId15"/>
    <sheet name="G4A-1(b)" sheetId="18" r:id="rId16"/>
    <sheet name="S11" sheetId="16" r:id="rId17"/>
  </sheets>
  <externalReferences>
    <externalReference r:id="rId19"/>
    <externalReference r:id="rId20"/>
  </externalReferences>
  <definedNames>
    <definedName name="Basel" localSheetId="0">[1]Parameters!$C$32:$C$33</definedName>
    <definedName name="Basel">[2]Parameters!$C$32:$C$33</definedName>
    <definedName name="_xlnm.Print_Area" localSheetId="7">'G4E-7'!$A$1:$I$19</definedName>
    <definedName name="_xlnm.Print_Area" localSheetId="9">G4H!$A$1:$O$31</definedName>
    <definedName name="_xlnm.Print_Area" localSheetId="16">'S11'!$A$1:$T$60</definedName>
    <definedName name="_xlnm._FilterDatabase" localSheetId="8" hidden="1">'G4E-8'!$A$8:$Q$32</definedName>
    <definedName name="Basel" localSheetId="8">[1]Parameters!$C$32:$C$33</definedName>
    <definedName name="_xlnm.Print_Titles" localSheetId="8">'G4E-8'!$3:$4</definedName>
    <definedName name="Z_EEB39285_1378_4F4C_B72A_68261139B9F0_.wvu.FilterData" localSheetId="8" hidden="1">'G4E-8'!$A$8:$Q$32</definedName>
  </definedNames>
  <calcPr calcId="144525"/>
</workbook>
</file>

<file path=xl/sharedStrings.xml><?xml version="1.0" encoding="utf-8"?>
<sst xmlns="http://schemas.openxmlformats.org/spreadsheetml/2006/main" count="1665" uniqueCount="510">
  <si>
    <r>
      <rPr>
        <b/>
        <sz val="16"/>
        <rFont val="Times New Roman"/>
        <charset val="134"/>
      </rPr>
      <t xml:space="preserve">G4E </t>
    </r>
    <r>
      <rPr>
        <b/>
        <sz val="16"/>
        <rFont val="宋体"/>
        <charset val="134"/>
      </rPr>
      <t>信用风险内部评级法汇总表（新规）</t>
    </r>
  </si>
  <si>
    <t>填报机构：</t>
  </si>
  <si>
    <t>报表日期：  年   月   日</t>
  </si>
  <si>
    <t>单位：万元，%</t>
  </si>
  <si>
    <t>序号</t>
  </si>
  <si>
    <t>项目</t>
  </si>
  <si>
    <t>A</t>
  </si>
  <si>
    <t>B</t>
  </si>
  <si>
    <t>C</t>
  </si>
  <si>
    <t>D</t>
  </si>
  <si>
    <t>E</t>
  </si>
  <si>
    <t>F</t>
  </si>
  <si>
    <t>G</t>
  </si>
  <si>
    <t>H</t>
  </si>
  <si>
    <t>内部评级法覆盖部分</t>
  </si>
  <si>
    <t>内部评级法未覆盖部分</t>
  </si>
  <si>
    <t>资产余额/名义本金</t>
  </si>
  <si>
    <t>风险暴露</t>
  </si>
  <si>
    <t>风险加权资产</t>
  </si>
  <si>
    <t>预期损失</t>
  </si>
  <si>
    <t>高级方法</t>
  </si>
  <si>
    <t>权重法</t>
  </si>
  <si>
    <t>第I部分：表内资产</t>
  </si>
  <si>
    <t>1.公司</t>
  </si>
  <si>
    <t>其中：1.1一般公司</t>
  </si>
  <si>
    <t xml:space="preserve">      1.2中小企业</t>
  </si>
  <si>
    <t xml:space="preserve">      1.3专业贷款</t>
  </si>
  <si>
    <t>2.主权</t>
  </si>
  <si>
    <t>其中：2.1主权</t>
  </si>
  <si>
    <t xml:space="preserve">      2.2境外公共部门实体、我国开发性金融机构和政策性银行、视同我国主权的公共部门实体</t>
  </si>
  <si>
    <t xml:space="preserve">      2.3合格多边开发银行及国际金融组织</t>
  </si>
  <si>
    <t>3.金融机构</t>
  </si>
  <si>
    <t>其中：3.1银行</t>
  </si>
  <si>
    <t xml:space="preserve">      3.2非银行</t>
  </si>
  <si>
    <t xml:space="preserve">      3.3其他多边开发银行</t>
  </si>
  <si>
    <t>4.零售</t>
  </si>
  <si>
    <t>其中：4.1个人住房抵押贷款</t>
  </si>
  <si>
    <t xml:space="preserve">      4.2合格循环零售</t>
  </si>
  <si>
    <t xml:space="preserve">        4.2.1合格交易者循环零售</t>
  </si>
  <si>
    <t xml:space="preserve">        4.2.2一般循环零售</t>
  </si>
  <si>
    <t xml:space="preserve">      4.3其他零售</t>
  </si>
  <si>
    <t xml:space="preserve">        4.3.1符合条件的小微企业</t>
  </si>
  <si>
    <t>5.股权</t>
  </si>
  <si>
    <t>6.资产证券化</t>
  </si>
  <si>
    <t>7.资产管理产品</t>
  </si>
  <si>
    <t>8.其他</t>
  </si>
  <si>
    <t>9.小计</t>
  </si>
  <si>
    <t>第II部分：表外资产</t>
  </si>
  <si>
    <t>第III部分：交易对手信用风险</t>
  </si>
  <si>
    <t>7.其他</t>
  </si>
  <si>
    <t xml:space="preserve">      7.1信用估值调整</t>
  </si>
  <si>
    <t xml:space="preserve">      7.2中央交易对手</t>
  </si>
  <si>
    <t xml:space="preserve">      7.3与非中央交易对手交易的证券融资交易</t>
  </si>
  <si>
    <t>8.小计</t>
  </si>
  <si>
    <t>第IV部分：校准及内评覆盖率除外项目</t>
  </si>
  <si>
    <t>自行校准增加的信用风险加权资产</t>
  </si>
  <si>
    <t>监管校准增加的信用风险加权资产</t>
  </si>
  <si>
    <t>校准导致的预期损失增加</t>
  </si>
  <si>
    <t>内评覆盖率除外项目风险加权资产</t>
  </si>
  <si>
    <t>表内</t>
  </si>
  <si>
    <t>表外</t>
  </si>
  <si>
    <t>交易对手信用风险</t>
  </si>
  <si>
    <t xml:space="preserve">      2.3其他多边开发银行</t>
  </si>
  <si>
    <t>第V部分：超额损失准备</t>
  </si>
  <si>
    <t>内评法未覆盖</t>
  </si>
  <si>
    <t>1.可计入二级资本的超额损失准备</t>
  </si>
  <si>
    <t>第VI部分：汇总</t>
  </si>
  <si>
    <t>内评法覆盖部分对应的风险加权资产</t>
  </si>
  <si>
    <t>内评法覆盖部分对应的风险暴露</t>
  </si>
  <si>
    <t>信用风险加权资产</t>
  </si>
  <si>
    <t>权重法下风险加权资产</t>
  </si>
  <si>
    <t>信用风险暴露</t>
  </si>
  <si>
    <t>平均权重</t>
  </si>
  <si>
    <t>內评覆盖率</t>
  </si>
  <si>
    <t>9.合计</t>
  </si>
  <si>
    <t>附注项目：</t>
  </si>
  <si>
    <t>1.已计算市场风险资本的表内交易账簿资产</t>
  </si>
  <si>
    <t>2.资本扣减项</t>
  </si>
  <si>
    <t>3.衍生金融资产（银行账簿）</t>
  </si>
  <si>
    <t>4.已计算交易对手信用风险的证券融资交易业务（银行账簿）</t>
  </si>
  <si>
    <t>5.未纳入监管并表的附属公司的资产</t>
  </si>
  <si>
    <t>6.监管校准底线系数</t>
  </si>
  <si>
    <t>7.按内部评级法计量的风险加权资产
（管理口径）</t>
  </si>
  <si>
    <t>8.按权重法计量的内部评级法未覆盖部分的信用风险加权资产（管理口径）</t>
  </si>
  <si>
    <t>9.当期整体到期贷款余额(仅5家国有大型银行填报)</t>
  </si>
  <si>
    <t>10.当期整体到期贷款中的实际偿还金额(仅5家国有大型银行填报)</t>
  </si>
  <si>
    <t>填报人：</t>
  </si>
  <si>
    <t>复核人：</t>
  </si>
  <si>
    <t>负责人：</t>
  </si>
  <si>
    <t>无数据部分</t>
  </si>
  <si>
    <t>自动计算部分</t>
  </si>
  <si>
    <t>版本号：</t>
  </si>
  <si>
    <r>
      <rPr>
        <b/>
        <sz val="16"/>
        <rFont val="Times New Roman"/>
        <charset val="134"/>
      </rPr>
      <t xml:space="preserve">G4E-1 </t>
    </r>
    <r>
      <rPr>
        <b/>
        <sz val="16"/>
        <rFont val="SimSun"/>
        <charset val="134"/>
      </rPr>
      <t>非零售信用风险暴露按主标尺情况表</t>
    </r>
    <r>
      <rPr>
        <b/>
        <sz val="16"/>
        <rFont val="Times New Roman"/>
        <charset val="134"/>
      </rPr>
      <t>(IRB</t>
    </r>
    <r>
      <rPr>
        <b/>
        <sz val="16"/>
        <rFont val="SimSun"/>
        <charset val="134"/>
      </rPr>
      <t>法</t>
    </r>
    <r>
      <rPr>
        <b/>
        <sz val="16"/>
        <rFont val="Times New Roman"/>
        <charset val="134"/>
      </rPr>
      <t>)</t>
    </r>
    <r>
      <rPr>
        <b/>
        <sz val="16"/>
        <rFont val="宋体"/>
        <charset val="134"/>
      </rPr>
      <t>（新规）</t>
    </r>
  </si>
  <si>
    <t>报表日期：     年   月   日</t>
  </si>
  <si>
    <t>单位：万元,%</t>
  </si>
  <si>
    <t>信用等级序号</t>
  </si>
  <si>
    <t>I</t>
  </si>
  <si>
    <t>J</t>
  </si>
  <si>
    <t>K</t>
  </si>
  <si>
    <t>L</t>
  </si>
  <si>
    <t>M</t>
  </si>
  <si>
    <t>N</t>
  </si>
  <si>
    <t>O</t>
  </si>
  <si>
    <t>P</t>
  </si>
  <si>
    <t>Q</t>
  </si>
  <si>
    <t>R</t>
  </si>
  <si>
    <t>S</t>
  </si>
  <si>
    <t>T</t>
  </si>
  <si>
    <t>U</t>
  </si>
  <si>
    <t>表内项目</t>
  </si>
  <si>
    <t>表外项目</t>
  </si>
  <si>
    <t>合计</t>
  </si>
  <si>
    <t>新增违约客户风险暴露</t>
  </si>
  <si>
    <t>资产余额</t>
  </si>
  <si>
    <t>转换前资产</t>
  </si>
  <si>
    <t>名义本金</t>
  </si>
  <si>
    <t>风险权重</t>
  </si>
  <si>
    <t>违约前</t>
  </si>
  <si>
    <t>违约前一个季度</t>
  </si>
  <si>
    <t>违约前半年</t>
  </si>
  <si>
    <t>违约前一年</t>
  </si>
  <si>
    <t>违约后实际</t>
  </si>
  <si>
    <r>
      <rPr>
        <b/>
        <sz val="10"/>
        <rFont val="Times New Roman"/>
        <charset val="134"/>
      </rPr>
      <t>第</t>
    </r>
    <r>
      <rPr>
        <b/>
        <sz val="10"/>
        <rFont val="Times New Roman"/>
        <charset val="134"/>
      </rPr>
      <t>I</t>
    </r>
    <r>
      <rPr>
        <b/>
        <sz val="10"/>
        <rFont val="宋体"/>
        <charset val="134"/>
      </rPr>
      <t>部分：公司风险暴露</t>
    </r>
  </si>
  <si>
    <t>等级1</t>
  </si>
  <si>
    <t>等级2</t>
  </si>
  <si>
    <t>等级3</t>
  </si>
  <si>
    <t>等级4</t>
  </si>
  <si>
    <t>等级5</t>
  </si>
  <si>
    <t>等级6</t>
  </si>
  <si>
    <t>等级7</t>
  </si>
  <si>
    <t>等级8</t>
  </si>
  <si>
    <t>等级9</t>
  </si>
  <si>
    <t>等级10</t>
  </si>
  <si>
    <t>等级11</t>
  </si>
  <si>
    <t>等级12</t>
  </si>
  <si>
    <t>等级13</t>
  </si>
  <si>
    <t>等级14</t>
  </si>
  <si>
    <t>等级15</t>
  </si>
  <si>
    <t>等级16</t>
  </si>
  <si>
    <t>等级17</t>
  </si>
  <si>
    <t>等级18</t>
  </si>
  <si>
    <t>等级19</t>
  </si>
  <si>
    <t>等级20</t>
  </si>
  <si>
    <t>等级21</t>
  </si>
  <si>
    <t>等级22</t>
  </si>
  <si>
    <t>等级23</t>
  </si>
  <si>
    <t>等级24</t>
  </si>
  <si>
    <t>等级25</t>
  </si>
  <si>
    <t>等级26</t>
  </si>
  <si>
    <t>等级27</t>
  </si>
  <si>
    <t>等级28</t>
  </si>
  <si>
    <t>等级29</t>
  </si>
  <si>
    <t>等级30</t>
  </si>
  <si>
    <r>
      <rPr>
        <b/>
        <sz val="10"/>
        <rFont val="Times New Roman"/>
        <charset val="134"/>
      </rPr>
      <t>第</t>
    </r>
    <r>
      <rPr>
        <b/>
        <sz val="10"/>
        <rFont val="Times New Roman"/>
        <charset val="134"/>
      </rPr>
      <t>II</t>
    </r>
    <r>
      <rPr>
        <b/>
        <sz val="10"/>
        <rFont val="宋体"/>
        <charset val="134"/>
      </rPr>
      <t>部分：主权风险暴露</t>
    </r>
  </si>
  <si>
    <r>
      <rPr>
        <b/>
        <sz val="10"/>
        <rFont val="Times New Roman"/>
        <charset val="134"/>
      </rPr>
      <t>第</t>
    </r>
    <r>
      <rPr>
        <b/>
        <sz val="10"/>
        <rFont val="Times New Roman"/>
        <charset val="134"/>
      </rPr>
      <t>III</t>
    </r>
    <r>
      <rPr>
        <b/>
        <sz val="10"/>
        <rFont val="宋体"/>
        <charset val="134"/>
      </rPr>
      <t>部分：金融机构风险暴露</t>
    </r>
  </si>
  <si>
    <t>填表人：</t>
  </si>
  <si>
    <r>
      <rPr>
        <b/>
        <sz val="16"/>
        <rFont val="Times New Roman"/>
        <charset val="134"/>
      </rPr>
      <t xml:space="preserve">G4E-2 </t>
    </r>
    <r>
      <rPr>
        <b/>
        <sz val="16"/>
        <rFont val="SimSun"/>
        <charset val="134"/>
      </rPr>
      <t>公司风险暴露多维度情况表</t>
    </r>
    <r>
      <rPr>
        <b/>
        <sz val="16"/>
        <rFont val="Times New Roman"/>
        <charset val="134"/>
      </rPr>
      <t>(IRB</t>
    </r>
    <r>
      <rPr>
        <b/>
        <sz val="16"/>
        <rFont val="SimSun"/>
        <charset val="134"/>
      </rPr>
      <t>法</t>
    </r>
    <r>
      <rPr>
        <b/>
        <sz val="16"/>
        <rFont val="Times New Roman"/>
        <charset val="134"/>
      </rPr>
      <t>)</t>
    </r>
    <r>
      <rPr>
        <b/>
        <sz val="16"/>
        <rFont val="宋体"/>
        <charset val="134"/>
      </rPr>
      <t>（新规）</t>
    </r>
  </si>
  <si>
    <r>
      <rPr>
        <sz val="10"/>
        <rFont val="宋体"/>
        <charset val="134"/>
      </rPr>
      <t>单位：万元</t>
    </r>
    <r>
      <rPr>
        <sz val="10"/>
        <rFont val="Arial"/>
        <charset val="134"/>
      </rPr>
      <t>,%</t>
    </r>
  </si>
  <si>
    <r>
      <rPr>
        <b/>
        <sz val="10"/>
        <color indexed="8"/>
        <rFont val="宋体"/>
        <charset val="134"/>
      </rPr>
      <t>第</t>
    </r>
    <r>
      <rPr>
        <b/>
        <sz val="10"/>
        <color indexed="8"/>
        <rFont val="Times New Roman"/>
        <charset val="134"/>
      </rPr>
      <t>I</t>
    </r>
    <r>
      <rPr>
        <b/>
        <sz val="10"/>
        <color indexed="8"/>
        <rFont val="宋体"/>
        <charset val="134"/>
      </rPr>
      <t>部分：行业</t>
    </r>
  </si>
  <si>
    <t>农、林、牧、渔业</t>
  </si>
  <si>
    <t>采矿业</t>
  </si>
  <si>
    <t>制造业</t>
  </si>
  <si>
    <t>电力、热力、燃气及水的生产和供应业</t>
  </si>
  <si>
    <t>建筑业</t>
  </si>
  <si>
    <t>批发和零售业</t>
  </si>
  <si>
    <t>交通运输、仓储和邮政业</t>
  </si>
  <si>
    <t>住宿和餐饮业</t>
  </si>
  <si>
    <t>信息传输、软件和信息技术服务业</t>
  </si>
  <si>
    <t>金融业</t>
  </si>
  <si>
    <t>房地产业</t>
  </si>
  <si>
    <t>租赁和商务服务业</t>
  </si>
  <si>
    <t>科学研究和技术服务业</t>
  </si>
  <si>
    <t>水利、环境和公共设施管理业</t>
  </si>
  <si>
    <t>居民服务、修理和其他服务业</t>
  </si>
  <si>
    <t>教育</t>
  </si>
  <si>
    <t>卫生和社会工作</t>
  </si>
  <si>
    <t>文化、体育和娱乐业</t>
  </si>
  <si>
    <t>公共管理、社会保障和社会组织</t>
  </si>
  <si>
    <t>国际组织</t>
  </si>
  <si>
    <r>
      <rPr>
        <b/>
        <sz val="10"/>
        <rFont val="宋体"/>
        <charset val="134"/>
      </rPr>
      <t>第</t>
    </r>
    <r>
      <rPr>
        <b/>
        <sz val="10"/>
        <rFont val="Times New Roman"/>
        <charset val="134"/>
      </rPr>
      <t>II</t>
    </r>
    <r>
      <rPr>
        <b/>
        <sz val="10"/>
        <rFont val="宋体"/>
        <charset val="134"/>
      </rPr>
      <t>部分：地区</t>
    </r>
  </si>
  <si>
    <t>总行</t>
  </si>
  <si>
    <t>北  京</t>
  </si>
  <si>
    <t>天  津</t>
  </si>
  <si>
    <t>河  北</t>
  </si>
  <si>
    <t>山  西</t>
  </si>
  <si>
    <t>内蒙古</t>
  </si>
  <si>
    <t>辽  宁</t>
  </si>
  <si>
    <t>吉  林</t>
  </si>
  <si>
    <t>黑龙江</t>
  </si>
  <si>
    <t>上  海</t>
  </si>
  <si>
    <t>江  苏</t>
  </si>
  <si>
    <t>浙  江</t>
  </si>
  <si>
    <t>安  徽</t>
  </si>
  <si>
    <t>福  建</t>
  </si>
  <si>
    <t>江  西</t>
  </si>
  <si>
    <t>山  东</t>
  </si>
  <si>
    <t>河  南</t>
  </si>
  <si>
    <t>湖  北</t>
  </si>
  <si>
    <t>湖  南</t>
  </si>
  <si>
    <t>广  东</t>
  </si>
  <si>
    <t>广  西</t>
  </si>
  <si>
    <t>海  南</t>
  </si>
  <si>
    <t>重  庆</t>
  </si>
  <si>
    <t>四  川</t>
  </si>
  <si>
    <t>贵  州</t>
  </si>
  <si>
    <t>云  南</t>
  </si>
  <si>
    <t>西  藏</t>
  </si>
  <si>
    <t>陕  西</t>
  </si>
  <si>
    <t>甘  肃</t>
  </si>
  <si>
    <t>青  海</t>
  </si>
  <si>
    <t>宁  夏</t>
  </si>
  <si>
    <t>新  疆</t>
  </si>
  <si>
    <t>港澳地区</t>
  </si>
  <si>
    <t>其他境外</t>
  </si>
  <si>
    <r>
      <rPr>
        <b/>
        <sz val="10"/>
        <rFont val="宋体"/>
        <charset val="134"/>
      </rPr>
      <t>第</t>
    </r>
    <r>
      <rPr>
        <b/>
        <sz val="10"/>
        <rFont val="Times New Roman"/>
        <charset val="134"/>
      </rPr>
      <t>III</t>
    </r>
    <r>
      <rPr>
        <b/>
        <sz val="10"/>
        <rFont val="宋体"/>
        <charset val="134"/>
      </rPr>
      <t>部分：规模</t>
    </r>
  </si>
  <si>
    <t>大型</t>
  </si>
  <si>
    <t>中型</t>
  </si>
  <si>
    <t>小微</t>
  </si>
  <si>
    <t>其中：小型</t>
  </si>
  <si>
    <t xml:space="preserve">      微型</t>
  </si>
  <si>
    <r>
      <rPr>
        <b/>
        <sz val="10"/>
        <rFont val="宋体"/>
        <charset val="134"/>
      </rPr>
      <t>第</t>
    </r>
    <r>
      <rPr>
        <b/>
        <sz val="10"/>
        <rFont val="Times New Roman"/>
        <charset val="134"/>
      </rPr>
      <t>IV</t>
    </r>
    <r>
      <rPr>
        <b/>
        <sz val="10"/>
        <rFont val="宋体"/>
        <charset val="134"/>
      </rPr>
      <t>部分：剩余期限</t>
    </r>
  </si>
  <si>
    <t>M≤1年</t>
  </si>
  <si>
    <t>1年&lt;M≤3年</t>
  </si>
  <si>
    <t>3年&lt;M≤5年</t>
  </si>
  <si>
    <r>
      <rPr>
        <sz val="10"/>
        <rFont val="宋体"/>
        <charset val="134"/>
      </rPr>
      <t>5年</t>
    </r>
    <r>
      <rPr>
        <sz val="10"/>
        <rFont val="宋体"/>
        <charset val="134"/>
      </rPr>
      <t>&lt;</t>
    </r>
    <r>
      <rPr>
        <sz val="10"/>
        <rFont val="宋体"/>
        <charset val="134"/>
      </rPr>
      <t>M≤10年</t>
    </r>
  </si>
  <si>
    <r>
      <rPr>
        <sz val="10"/>
        <rFont val="宋体"/>
        <charset val="134"/>
      </rPr>
      <t>M</t>
    </r>
    <r>
      <rPr>
        <sz val="10"/>
        <rFont val="宋体"/>
        <charset val="134"/>
      </rPr>
      <t>&gt;</t>
    </r>
    <r>
      <rPr>
        <sz val="10"/>
        <rFont val="宋体"/>
        <charset val="134"/>
      </rPr>
      <t>10年</t>
    </r>
  </si>
  <si>
    <r>
      <rPr>
        <b/>
        <sz val="16"/>
        <rFont val="Times New Roman"/>
        <charset val="134"/>
      </rPr>
      <t xml:space="preserve">G4E-3 </t>
    </r>
    <r>
      <rPr>
        <b/>
        <sz val="16"/>
        <rFont val="宋体"/>
        <charset val="134"/>
      </rPr>
      <t>专业贷款信用风险情况表</t>
    </r>
    <r>
      <rPr>
        <b/>
        <sz val="16"/>
        <rFont val="Times New Roman"/>
        <charset val="134"/>
      </rPr>
      <t>(</t>
    </r>
    <r>
      <rPr>
        <b/>
        <sz val="16"/>
        <rFont val="宋体"/>
        <charset val="134"/>
      </rPr>
      <t>监管映射法</t>
    </r>
    <r>
      <rPr>
        <b/>
        <sz val="16"/>
        <rFont val="Times New Roman"/>
        <charset val="134"/>
      </rPr>
      <t>)</t>
    </r>
    <r>
      <rPr>
        <b/>
        <sz val="16"/>
        <rFont val="宋体"/>
        <charset val="134"/>
      </rPr>
      <t>（新规）</t>
    </r>
  </si>
  <si>
    <r>
      <rPr>
        <sz val="10"/>
        <rFont val="宋体"/>
        <charset val="134"/>
      </rPr>
      <t>单位：万元，</t>
    </r>
    <r>
      <rPr>
        <sz val="10"/>
        <rFont val="Arial"/>
        <charset val="134"/>
      </rPr>
      <t>%</t>
    </r>
    <r>
      <rPr>
        <sz val="10"/>
        <rFont val="宋体"/>
        <charset val="134"/>
      </rPr>
      <t>，户</t>
    </r>
  </si>
  <si>
    <t>监管评级等级</t>
  </si>
  <si>
    <t>监管评级</t>
  </si>
  <si>
    <t>风险权重(%)</t>
  </si>
  <si>
    <t>预期损失比例（%）</t>
  </si>
  <si>
    <t>客户数</t>
  </si>
  <si>
    <t>优(a)</t>
  </si>
  <si>
    <t>优</t>
  </si>
  <si>
    <t>优(b)</t>
  </si>
  <si>
    <t>良(a)</t>
  </si>
  <si>
    <t>良</t>
  </si>
  <si>
    <t>良(b)</t>
  </si>
  <si>
    <t>中</t>
  </si>
  <si>
    <t>中(b)</t>
  </si>
  <si>
    <t>差</t>
  </si>
  <si>
    <t>违约</t>
  </si>
  <si>
    <r>
      <rPr>
        <b/>
        <sz val="18"/>
        <rFont val="Times New Roman"/>
        <charset val="134"/>
      </rPr>
      <t xml:space="preserve">G4E-4 </t>
    </r>
    <r>
      <rPr>
        <b/>
        <sz val="18"/>
        <rFont val="SimSun"/>
        <charset val="134"/>
      </rPr>
      <t>零售信用风险暴露按主标尺情况表（</t>
    </r>
    <r>
      <rPr>
        <b/>
        <sz val="18"/>
        <rFont val="Times New Roman"/>
        <charset val="134"/>
      </rPr>
      <t>IRB</t>
    </r>
    <r>
      <rPr>
        <b/>
        <sz val="18"/>
        <rFont val="SimSun"/>
        <charset val="134"/>
      </rPr>
      <t>法）（新规）</t>
    </r>
  </si>
  <si>
    <t>报表日期：   年   月   日</t>
  </si>
  <si>
    <t>V</t>
  </si>
  <si>
    <t>W</t>
  </si>
  <si>
    <t>X</t>
  </si>
  <si>
    <t>Y</t>
  </si>
  <si>
    <t>Z</t>
  </si>
  <si>
    <t>AA</t>
  </si>
  <si>
    <t>AB</t>
  </si>
  <si>
    <t>AC</t>
  </si>
  <si>
    <t>AD</t>
  </si>
  <si>
    <t>AE</t>
  </si>
  <si>
    <t>AF</t>
  </si>
  <si>
    <t>违约概率上限</t>
  </si>
  <si>
    <t>违约概率下限</t>
  </si>
  <si>
    <t>LGD区间对应的风险暴露</t>
  </si>
  <si>
    <t>LTV区间对应的风险暴露</t>
  </si>
  <si>
    <t>贷款价值比（LTV）</t>
  </si>
  <si>
    <t>LGD(&lt;=15%)</t>
  </si>
  <si>
    <t>LGD(15%,25%]</t>
  </si>
  <si>
    <t>LGD(25%,35%]</t>
  </si>
  <si>
    <t>LGD(35%,45%]</t>
  </si>
  <si>
    <t>LGD(45%,60%]</t>
  </si>
  <si>
    <t>LGD(60%,70%]</t>
  </si>
  <si>
    <t>LGD(&gt;70%)</t>
  </si>
  <si>
    <t>LTV&lt;=50%</t>
  </si>
  <si>
    <t>50%&lt;LTV&lt;=60%</t>
  </si>
  <si>
    <t>60%&lt;LTV&lt;=70%</t>
  </si>
  <si>
    <t>70%&lt;LTV&lt;=80%</t>
  </si>
  <si>
    <t>80%&lt;LTV&lt;=90%</t>
  </si>
  <si>
    <t>LTV&gt;90%</t>
  </si>
  <si>
    <t>第I部分：零售汇总</t>
  </si>
  <si>
    <t>第II部分：个人住房抵押贷款</t>
  </si>
  <si>
    <t>第III部分：合格循环零售</t>
  </si>
  <si>
    <t>第IV部分：其他零售</t>
  </si>
  <si>
    <r>
      <rPr>
        <b/>
        <sz val="16"/>
        <rFont val="Times New Roman"/>
        <charset val="134"/>
      </rPr>
      <t xml:space="preserve">G4E-5 </t>
    </r>
    <r>
      <rPr>
        <b/>
        <sz val="16"/>
        <rFont val="宋体"/>
        <charset val="134"/>
      </rPr>
      <t>零售信用风险暴露按地区情况表</t>
    </r>
    <r>
      <rPr>
        <b/>
        <sz val="16"/>
        <rFont val="Times New Roman"/>
        <charset val="134"/>
      </rPr>
      <t>(IRB</t>
    </r>
    <r>
      <rPr>
        <b/>
        <sz val="16"/>
        <rFont val="宋体"/>
        <charset val="134"/>
      </rPr>
      <t>法</t>
    </r>
    <r>
      <rPr>
        <b/>
        <sz val="16"/>
        <rFont val="Times New Roman"/>
        <charset val="134"/>
      </rPr>
      <t>)</t>
    </r>
    <r>
      <rPr>
        <b/>
        <sz val="16"/>
        <rFont val="宋体"/>
        <charset val="134"/>
      </rPr>
      <t>（新规）</t>
    </r>
  </si>
  <si>
    <t>报表日期：    年    月    日</t>
  </si>
  <si>
    <t>单位：万元,月,%</t>
  </si>
  <si>
    <t>预期损失率</t>
  </si>
  <si>
    <t>风险暴露加权平均账龄（月）</t>
  </si>
  <si>
    <t>违约账户风险暴露</t>
  </si>
  <si>
    <t>比率</t>
  </si>
  <si>
    <t>新增违约户违约时点</t>
  </si>
  <si>
    <r>
      <rPr>
        <b/>
        <sz val="10"/>
        <rFont val="Times New Roman"/>
        <charset val="134"/>
      </rPr>
      <t>第</t>
    </r>
    <r>
      <rPr>
        <b/>
        <sz val="10"/>
        <rFont val="Times New Roman"/>
        <charset val="134"/>
      </rPr>
      <t>I</t>
    </r>
    <r>
      <rPr>
        <b/>
        <sz val="10"/>
        <rFont val="宋体"/>
        <charset val="134"/>
      </rPr>
      <t>部分：零售汇总</t>
    </r>
  </si>
  <si>
    <r>
      <rPr>
        <b/>
        <sz val="10"/>
        <rFont val="Times New Roman"/>
        <charset val="134"/>
      </rPr>
      <t>第</t>
    </r>
    <r>
      <rPr>
        <b/>
        <sz val="10"/>
        <rFont val="Times New Roman"/>
        <charset val="134"/>
      </rPr>
      <t>II</t>
    </r>
    <r>
      <rPr>
        <b/>
        <sz val="10"/>
        <rFont val="宋体"/>
        <charset val="134"/>
      </rPr>
      <t>部分：个人住房抵押贷款</t>
    </r>
  </si>
  <si>
    <r>
      <rPr>
        <b/>
        <sz val="10"/>
        <rFont val="Times New Roman"/>
        <charset val="134"/>
      </rPr>
      <t>第</t>
    </r>
    <r>
      <rPr>
        <b/>
        <sz val="10"/>
        <rFont val="Times New Roman"/>
        <charset val="134"/>
      </rPr>
      <t>III</t>
    </r>
    <r>
      <rPr>
        <b/>
        <sz val="10"/>
        <rFont val="宋体"/>
        <charset val="134"/>
      </rPr>
      <t>部分：合格循环零售</t>
    </r>
  </si>
  <si>
    <r>
      <rPr>
        <b/>
        <sz val="10"/>
        <rFont val="Times New Roman"/>
        <charset val="134"/>
      </rPr>
      <t>第</t>
    </r>
    <r>
      <rPr>
        <b/>
        <sz val="10"/>
        <rFont val="Times New Roman"/>
        <charset val="134"/>
      </rPr>
      <t>IV</t>
    </r>
    <r>
      <rPr>
        <b/>
        <sz val="10"/>
        <rFont val="宋体"/>
        <charset val="134"/>
      </rPr>
      <t>部分：其他零售</t>
    </r>
  </si>
  <si>
    <r>
      <rPr>
        <b/>
        <sz val="14"/>
        <rFont val="Times New Roman"/>
        <charset val="134"/>
      </rPr>
      <t>G4E-6</t>
    </r>
    <r>
      <rPr>
        <b/>
        <sz val="14"/>
        <rFont val="宋体"/>
        <charset val="134"/>
      </rPr>
      <t>与非中央交易对手的交易对手信用风险情况表</t>
    </r>
    <r>
      <rPr>
        <b/>
        <sz val="14"/>
        <rFont val="Times New Roman"/>
        <charset val="134"/>
      </rPr>
      <t>(IRB</t>
    </r>
    <r>
      <rPr>
        <b/>
        <sz val="14"/>
        <rFont val="宋体"/>
        <charset val="134"/>
      </rPr>
      <t>法</t>
    </r>
    <r>
      <rPr>
        <b/>
        <sz val="14"/>
        <rFont val="Times New Roman"/>
        <charset val="134"/>
      </rPr>
      <t>)</t>
    </r>
    <r>
      <rPr>
        <b/>
        <sz val="14"/>
        <rFont val="宋体"/>
        <charset val="134"/>
      </rPr>
      <t>（新规）</t>
    </r>
  </si>
  <si>
    <r>
      <rPr>
        <sz val="10"/>
        <rFont val="宋体"/>
        <charset val="134"/>
      </rPr>
      <t>报表日期：</t>
    </r>
    <r>
      <rPr>
        <sz val="10"/>
        <rFont val="Arial"/>
        <charset val="134"/>
      </rPr>
      <t xml:space="preserve">     </t>
    </r>
    <r>
      <rPr>
        <sz val="10"/>
        <rFont val="宋体"/>
        <charset val="134"/>
      </rPr>
      <t>年</t>
    </r>
    <r>
      <rPr>
        <sz val="10"/>
        <rFont val="Arial"/>
        <charset val="134"/>
      </rPr>
      <t xml:space="preserve">     </t>
    </r>
    <r>
      <rPr>
        <sz val="10"/>
        <rFont val="宋体"/>
        <charset val="134"/>
      </rPr>
      <t>月</t>
    </r>
    <r>
      <rPr>
        <sz val="10"/>
        <rFont val="Arial"/>
        <charset val="134"/>
      </rPr>
      <t xml:space="preserve">      </t>
    </r>
    <r>
      <rPr>
        <sz val="10"/>
        <rFont val="宋体"/>
        <charset val="134"/>
      </rPr>
      <t>日</t>
    </r>
  </si>
  <si>
    <t>单位：万元</t>
  </si>
  <si>
    <t>类别</t>
  </si>
  <si>
    <t>名义本金/缓释前风险暴露</t>
  </si>
  <si>
    <t>风险敞口</t>
  </si>
  <si>
    <t>第I部分：与非中央交易对手的衍生工具的交易对手违约风险（内评法）</t>
  </si>
  <si>
    <r>
      <t>1.</t>
    </r>
    <r>
      <rPr>
        <sz val="10"/>
        <rFont val="宋体"/>
        <charset val="134"/>
      </rPr>
      <t>公司小计</t>
    </r>
  </si>
  <si>
    <r>
      <t>2.</t>
    </r>
    <r>
      <rPr>
        <sz val="10"/>
        <rFont val="宋体"/>
        <charset val="134"/>
      </rPr>
      <t>主权小计</t>
    </r>
  </si>
  <si>
    <r>
      <t>3.</t>
    </r>
    <r>
      <rPr>
        <sz val="10"/>
        <rFont val="宋体"/>
        <charset val="134"/>
      </rPr>
      <t>金融机构小计</t>
    </r>
  </si>
  <si>
    <r>
      <t>4.</t>
    </r>
    <r>
      <rPr>
        <sz val="10"/>
        <rFont val="宋体"/>
        <charset val="134"/>
      </rPr>
      <t>零售小计</t>
    </r>
  </si>
  <si>
    <r>
      <t>5.</t>
    </r>
    <r>
      <rPr>
        <sz val="10"/>
        <rFont val="宋体"/>
        <charset val="134"/>
      </rPr>
      <t>股权小计</t>
    </r>
  </si>
  <si>
    <r>
      <t>6.</t>
    </r>
    <r>
      <rPr>
        <sz val="10"/>
        <rFont val="宋体"/>
        <charset val="134"/>
      </rPr>
      <t>其他小计</t>
    </r>
  </si>
  <si>
    <t>第II部分：与非中央交易对手的证券融资交易的交易对手违约风险（内评法）</t>
  </si>
  <si>
    <t>第III部分：交易对手信用风险合计（内评法）</t>
  </si>
  <si>
    <r>
      <rPr>
        <b/>
        <sz val="16"/>
        <rFont val="Times New Roman"/>
        <charset val="134"/>
      </rPr>
      <t xml:space="preserve">G4E-7 </t>
    </r>
    <r>
      <rPr>
        <b/>
        <sz val="16"/>
        <rFont val="宋体"/>
        <charset val="134"/>
      </rPr>
      <t>信用风险缓释情况表</t>
    </r>
    <r>
      <rPr>
        <b/>
        <sz val="16"/>
        <rFont val="Times New Roman"/>
        <charset val="134"/>
      </rPr>
      <t>(IRB</t>
    </r>
    <r>
      <rPr>
        <b/>
        <sz val="16"/>
        <rFont val="宋体"/>
        <charset val="134"/>
      </rPr>
      <t>法</t>
    </r>
    <r>
      <rPr>
        <b/>
        <sz val="16"/>
        <rFont val="Times New Roman"/>
        <charset val="134"/>
      </rPr>
      <t>)</t>
    </r>
    <r>
      <rPr>
        <b/>
        <sz val="16"/>
        <rFont val="宋体"/>
        <charset val="134"/>
      </rPr>
      <t>（新规）</t>
    </r>
  </si>
  <si>
    <t>报表日期：   年    月    日</t>
  </si>
  <si>
    <t>合格抵质押品</t>
  </si>
  <si>
    <t>净额结算</t>
  </si>
  <si>
    <t>合格保证</t>
  </si>
  <si>
    <t>信用衍生工具</t>
  </si>
  <si>
    <t>商用房地产和居住用房地产</t>
  </si>
  <si>
    <t>金融质押品</t>
  </si>
  <si>
    <t>应收账款</t>
  </si>
  <si>
    <t>其他</t>
  </si>
  <si>
    <t>G4E-8资产管理产品风险加权资产汇总表（银行账簿、内评法）（新规）</t>
  </si>
  <si>
    <t>项目/方法</t>
  </si>
  <si>
    <t>投资金额</t>
  </si>
  <si>
    <t>适用穿透法部分</t>
  </si>
  <si>
    <t>适用授权基础法部分</t>
  </si>
  <si>
    <r>
      <rPr>
        <b/>
        <sz val="10"/>
        <color theme="1"/>
        <rFont val="宋体"/>
        <charset val="134"/>
      </rPr>
      <t>适用</t>
    </r>
    <r>
      <rPr>
        <b/>
        <sz val="10"/>
        <color theme="1"/>
        <rFont val="Arial"/>
        <charset val="134"/>
      </rPr>
      <t>1250%</t>
    </r>
    <r>
      <rPr>
        <b/>
        <sz val="10"/>
        <color theme="1"/>
        <rFont val="宋体"/>
        <charset val="134"/>
      </rPr>
      <t>风险权重部分</t>
    </r>
  </si>
  <si>
    <t>其他风险</t>
  </si>
  <si>
    <t>持有部分风险加权资产</t>
  </si>
  <si>
    <t>内评法覆盖部分</t>
  </si>
  <si>
    <t>内评法未覆盖部分</t>
  </si>
  <si>
    <t>交易对手信用风险加权资产</t>
  </si>
  <si>
    <t>信用估值调整风险加权资产</t>
  </si>
  <si>
    <t>调整前风险加权资产</t>
  </si>
  <si>
    <t>调整后风险加权资产</t>
  </si>
  <si>
    <t>自行穿透部分</t>
  </si>
  <si>
    <t>通过第三方计算部分</t>
  </si>
  <si>
    <t>1.表内资产</t>
  </si>
  <si>
    <r>
      <rPr>
        <sz val="10"/>
        <color theme="1"/>
        <rFont val="宋体"/>
        <charset val="134"/>
        <scheme val="minor"/>
      </rPr>
      <t xml:space="preserve">  1.1</t>
    </r>
    <r>
      <rPr>
        <sz val="10"/>
        <color indexed="8"/>
        <rFont val="宋体"/>
        <charset val="134"/>
        <scheme val="minor"/>
      </rPr>
      <t>公募基金</t>
    </r>
  </si>
  <si>
    <r>
      <rPr>
        <sz val="10"/>
        <color theme="1"/>
        <rFont val="宋体"/>
        <charset val="134"/>
        <scheme val="minor"/>
      </rPr>
      <t xml:space="preserve">     1.1.1</t>
    </r>
    <r>
      <rPr>
        <sz val="10"/>
        <color rgb="FF000000"/>
        <rFont val="宋体"/>
        <charset val="134"/>
        <scheme val="minor"/>
      </rPr>
      <t>货币市场基金</t>
    </r>
  </si>
  <si>
    <r>
      <rPr>
        <sz val="10"/>
        <color theme="1"/>
        <rFont val="宋体"/>
        <charset val="134"/>
        <scheme val="minor"/>
      </rPr>
      <t xml:space="preserve">     1.1.2</t>
    </r>
    <r>
      <rPr>
        <sz val="10"/>
        <color rgb="FF000000"/>
        <rFont val="宋体"/>
        <charset val="134"/>
        <scheme val="minor"/>
      </rPr>
      <t>债券基金</t>
    </r>
  </si>
  <si>
    <r>
      <rPr>
        <sz val="10"/>
        <color theme="1"/>
        <rFont val="宋体"/>
        <charset val="134"/>
        <scheme val="minor"/>
      </rPr>
      <t xml:space="preserve">     1.1.3</t>
    </r>
    <r>
      <rPr>
        <sz val="10"/>
        <color rgb="FF000000"/>
        <rFont val="宋体"/>
        <charset val="134"/>
        <scheme val="minor"/>
      </rPr>
      <t>其他公募基金</t>
    </r>
  </si>
  <si>
    <r>
      <rPr>
        <sz val="10"/>
        <color theme="1"/>
        <rFont val="宋体"/>
        <charset val="134"/>
        <scheme val="minor"/>
      </rPr>
      <t xml:space="preserve">  1.2 非保本</t>
    </r>
    <r>
      <rPr>
        <sz val="10"/>
        <color rgb="FF000000"/>
        <rFont val="宋体"/>
        <charset val="134"/>
        <scheme val="minor"/>
      </rPr>
      <t>理财产品</t>
    </r>
  </si>
  <si>
    <r>
      <rPr>
        <sz val="10"/>
        <color theme="1"/>
        <rFont val="宋体"/>
        <charset val="134"/>
        <scheme val="minor"/>
      </rPr>
      <t xml:space="preserve">  1.3</t>
    </r>
    <r>
      <rPr>
        <sz val="10"/>
        <color rgb="FF000000"/>
        <rFont val="宋体"/>
        <charset val="134"/>
        <scheme val="minor"/>
      </rPr>
      <t>证券业资管产品（除公募基金）</t>
    </r>
  </si>
  <si>
    <t xml:space="preserve">  1.4信托产品</t>
  </si>
  <si>
    <r>
      <rPr>
        <sz val="10"/>
        <color theme="1"/>
        <rFont val="宋体"/>
        <charset val="134"/>
        <scheme val="minor"/>
      </rPr>
      <t xml:space="preserve">  1.5</t>
    </r>
    <r>
      <rPr>
        <sz val="10"/>
        <color indexed="8"/>
        <rFont val="宋体"/>
        <charset val="134"/>
        <scheme val="minor"/>
      </rPr>
      <t>保险业资管产品</t>
    </r>
  </si>
  <si>
    <t xml:space="preserve">  1.6私募投资基金</t>
  </si>
  <si>
    <t xml:space="preserve">  1.7其他资管产品</t>
  </si>
  <si>
    <t>2.表外资产</t>
  </si>
  <si>
    <t xml:space="preserve">  2.1公募基金</t>
  </si>
  <si>
    <t xml:space="preserve">     2.1.1货币市场基金</t>
  </si>
  <si>
    <t xml:space="preserve">     2.1.2债券基金</t>
  </si>
  <si>
    <t xml:space="preserve">     2.1.3其他公募基金</t>
  </si>
  <si>
    <t xml:space="preserve">  2.2 非保本理财产品</t>
  </si>
  <si>
    <t xml:space="preserve">  2.3证券业资管产品（除公募基金）</t>
  </si>
  <si>
    <t xml:space="preserve">  2.4信托产品</t>
  </si>
  <si>
    <t xml:space="preserve">  2.5保险业资管产品</t>
  </si>
  <si>
    <t xml:space="preserve">  2.6私募投资基金</t>
  </si>
  <si>
    <t xml:space="preserve">  2.7其他资管产品</t>
  </si>
  <si>
    <t>3.合计</t>
  </si>
  <si>
    <t>G4H 信用风险内部评级参数汇总表（新规）</t>
  </si>
  <si>
    <t>单位：年,%</t>
  </si>
  <si>
    <t>违约概率（非违约）</t>
  </si>
  <si>
    <t>违约概率（含违约）</t>
  </si>
  <si>
    <t>实际违约率</t>
  </si>
  <si>
    <t>平均违约损失率</t>
  </si>
  <si>
    <t>平均剩余期限</t>
  </si>
  <si>
    <t>客户数/债项数加权</t>
  </si>
  <si>
    <t>风险暴露加权</t>
  </si>
  <si>
    <t>1年前期初客户数/债项数加权</t>
  </si>
  <si>
    <r>
      <rPr>
        <b/>
        <sz val="16"/>
        <rFont val="Times New Roman"/>
        <charset val="134"/>
      </rPr>
      <t xml:space="preserve">G4H-1 </t>
    </r>
    <r>
      <rPr>
        <b/>
        <sz val="16"/>
        <rFont val="宋体"/>
        <charset val="134"/>
      </rPr>
      <t>非零售信用风险暴露按主标尺风险参数表</t>
    </r>
    <r>
      <rPr>
        <b/>
        <sz val="16"/>
        <rFont val="Times New Roman"/>
        <charset val="134"/>
      </rPr>
      <t>(IRB</t>
    </r>
    <r>
      <rPr>
        <b/>
        <sz val="16"/>
        <rFont val="宋体"/>
        <charset val="134"/>
      </rPr>
      <t>法</t>
    </r>
    <r>
      <rPr>
        <b/>
        <sz val="16"/>
        <rFont val="Times New Roman"/>
        <charset val="134"/>
      </rPr>
      <t>)</t>
    </r>
    <r>
      <rPr>
        <b/>
        <sz val="16"/>
        <rFont val="宋体"/>
        <charset val="134"/>
      </rPr>
      <t>（新规）</t>
    </r>
  </si>
  <si>
    <t xml:space="preserve">     月</t>
  </si>
  <si>
    <t xml:space="preserve">     日</t>
  </si>
  <si>
    <r>
      <rPr>
        <sz val="10"/>
        <rFont val="宋体"/>
        <charset val="134"/>
      </rPr>
      <t>单位：户，年，天，</t>
    </r>
    <r>
      <rPr>
        <sz val="10"/>
        <rFont val="Arial"/>
        <charset val="134"/>
      </rPr>
      <t>%</t>
    </r>
  </si>
  <si>
    <t>平均剩余期限（年）</t>
  </si>
  <si>
    <t>新增违约客户数</t>
  </si>
  <si>
    <t>新增违约客户违约时加权平均逾期天数（天）</t>
  </si>
  <si>
    <t>新增违约客户违约前加权平均违约概率</t>
  </si>
  <si>
    <t>客户数加权</t>
  </si>
  <si>
    <t>1年前期初客户数加权</t>
  </si>
  <si>
    <t>1年前期初（非违约）</t>
  </si>
  <si>
    <t>新增违约</t>
  </si>
  <si>
    <t>本期</t>
  </si>
  <si>
    <r>
      <rPr>
        <b/>
        <sz val="10"/>
        <rFont val="宋体"/>
        <charset val="134"/>
      </rPr>
      <t>第</t>
    </r>
    <r>
      <rPr>
        <b/>
        <sz val="10"/>
        <rFont val="Times New Roman"/>
        <charset val="134"/>
      </rPr>
      <t>I</t>
    </r>
    <r>
      <rPr>
        <b/>
        <sz val="10"/>
        <rFont val="宋体"/>
        <charset val="134"/>
      </rPr>
      <t>部分：公司风险暴露</t>
    </r>
  </si>
  <si>
    <r>
      <rPr>
        <b/>
        <sz val="10"/>
        <rFont val="宋体"/>
        <charset val="134"/>
      </rPr>
      <t>第</t>
    </r>
    <r>
      <rPr>
        <b/>
        <sz val="10"/>
        <rFont val="Times New Roman"/>
        <charset val="134"/>
      </rPr>
      <t>II</t>
    </r>
    <r>
      <rPr>
        <b/>
        <sz val="10"/>
        <rFont val="宋体"/>
        <charset val="134"/>
      </rPr>
      <t>部分：主权风险暴露</t>
    </r>
  </si>
  <si>
    <t>1年前期初已违约客户数</t>
  </si>
  <si>
    <t>公司</t>
  </si>
  <si>
    <t>主权</t>
  </si>
  <si>
    <t>金融机构</t>
  </si>
  <si>
    <r>
      <rPr>
        <b/>
        <sz val="16"/>
        <rFont val="Times New Roman"/>
        <charset val="134"/>
      </rPr>
      <t xml:space="preserve">G4H-2 </t>
    </r>
    <r>
      <rPr>
        <b/>
        <sz val="16"/>
        <rFont val="宋体"/>
        <charset val="134"/>
      </rPr>
      <t>公司风险暴露多维度违约情况表</t>
    </r>
    <r>
      <rPr>
        <b/>
        <sz val="16"/>
        <rFont val="Times New Roman"/>
        <charset val="134"/>
      </rPr>
      <t>(IRB</t>
    </r>
    <r>
      <rPr>
        <b/>
        <sz val="16"/>
        <rFont val="宋体"/>
        <charset val="134"/>
      </rPr>
      <t>法</t>
    </r>
    <r>
      <rPr>
        <b/>
        <sz val="16"/>
        <rFont val="Times New Roman"/>
        <charset val="134"/>
      </rPr>
      <t>)</t>
    </r>
    <r>
      <rPr>
        <b/>
        <sz val="16"/>
        <rFont val="宋体"/>
        <charset val="134"/>
      </rPr>
      <t>（新规）</t>
    </r>
  </si>
  <si>
    <r>
      <rPr>
        <sz val="10"/>
        <rFont val="宋体"/>
        <charset val="134"/>
      </rPr>
      <t>单位：户，天，</t>
    </r>
    <r>
      <rPr>
        <sz val="10"/>
        <rFont val="Arial"/>
        <charset val="134"/>
      </rPr>
      <t>%</t>
    </r>
  </si>
  <si>
    <t>第I部分：按行业</t>
  </si>
  <si>
    <r>
      <rPr>
        <b/>
        <sz val="10"/>
        <color indexed="8"/>
        <rFont val="Times New Roman"/>
        <charset val="134"/>
      </rPr>
      <t>第</t>
    </r>
    <r>
      <rPr>
        <b/>
        <sz val="10"/>
        <color indexed="8"/>
        <rFont val="Times New Roman"/>
        <charset val="134"/>
      </rPr>
      <t>I</t>
    </r>
    <r>
      <rPr>
        <b/>
        <sz val="10"/>
        <color indexed="8"/>
        <rFont val="宋体"/>
        <charset val="134"/>
      </rPr>
      <t>部分：行业</t>
    </r>
  </si>
  <si>
    <r>
      <rPr>
        <b/>
        <sz val="10"/>
        <color indexed="8"/>
        <rFont val="Times New Roman"/>
        <charset val="134"/>
      </rPr>
      <t>第</t>
    </r>
    <r>
      <rPr>
        <b/>
        <sz val="10"/>
        <color indexed="8"/>
        <rFont val="Times New Roman"/>
        <charset val="134"/>
      </rPr>
      <t>II</t>
    </r>
    <r>
      <rPr>
        <b/>
        <sz val="10"/>
        <color indexed="8"/>
        <rFont val="宋体"/>
        <charset val="134"/>
      </rPr>
      <t>部分：地区</t>
    </r>
  </si>
  <si>
    <r>
      <rPr>
        <b/>
        <sz val="10"/>
        <rFont val="Times New Roman"/>
        <charset val="134"/>
      </rPr>
      <t>第</t>
    </r>
    <r>
      <rPr>
        <b/>
        <sz val="10"/>
        <rFont val="Times New Roman"/>
        <charset val="134"/>
      </rPr>
      <t>III</t>
    </r>
    <r>
      <rPr>
        <b/>
        <sz val="10"/>
        <rFont val="宋体"/>
        <charset val="134"/>
      </rPr>
      <t>部分：规模</t>
    </r>
  </si>
  <si>
    <r>
      <rPr>
        <b/>
        <sz val="18"/>
        <rFont val="Times New Roman"/>
        <charset val="134"/>
      </rPr>
      <t xml:space="preserve">G4H-3 </t>
    </r>
    <r>
      <rPr>
        <b/>
        <sz val="18"/>
        <rFont val="SimSun"/>
        <charset val="134"/>
      </rPr>
      <t>零售信用风险暴露按主标尺风险参数表（</t>
    </r>
    <r>
      <rPr>
        <b/>
        <sz val="18"/>
        <rFont val="Times New Roman"/>
        <charset val="134"/>
      </rPr>
      <t>IRB</t>
    </r>
    <r>
      <rPr>
        <b/>
        <sz val="18"/>
        <rFont val="SimSun"/>
        <charset val="134"/>
      </rPr>
      <t>法）（新规）</t>
    </r>
  </si>
  <si>
    <r>
      <rPr>
        <sz val="10"/>
        <rFont val="宋体"/>
        <charset val="134"/>
      </rPr>
      <t>单位：个，</t>
    </r>
    <r>
      <rPr>
        <sz val="10"/>
        <rFont val="Arial"/>
        <charset val="134"/>
      </rPr>
      <t>%</t>
    </r>
  </si>
  <si>
    <t>债项数</t>
  </si>
  <si>
    <t>债项数加权</t>
  </si>
  <si>
    <t>1年前期初债项数加权</t>
  </si>
  <si>
    <t>合格循环零售本期可用额度加权平均CCF</t>
  </si>
  <si>
    <t>合格循环零售1年前期初可用额度加权平均CCF</t>
  </si>
  <si>
    <t>合格循环零售新增违约账户1年前期初可用额度加权平均CCF</t>
  </si>
  <si>
    <t>合格循环零售实际违约提款率</t>
  </si>
  <si>
    <t>个人住房抵押贷款1年前期初已违约债项数</t>
  </si>
  <si>
    <t>合格循环零售1年前期初已违约债项数</t>
  </si>
  <si>
    <t>其他零售1年前期初已违约债项数</t>
  </si>
  <si>
    <r>
      <rPr>
        <b/>
        <sz val="16"/>
        <rFont val="Times New Roman"/>
        <charset val="134"/>
      </rPr>
      <t xml:space="preserve">G4H-4 </t>
    </r>
    <r>
      <rPr>
        <b/>
        <sz val="16"/>
        <rFont val="宋体"/>
        <charset val="134"/>
      </rPr>
      <t>零售信用风险暴露按地区风险参数表</t>
    </r>
    <r>
      <rPr>
        <b/>
        <sz val="16"/>
        <rFont val="Times New Roman"/>
        <charset val="134"/>
      </rPr>
      <t>(IRB</t>
    </r>
    <r>
      <rPr>
        <b/>
        <sz val="16"/>
        <rFont val="宋体"/>
        <charset val="134"/>
      </rPr>
      <t>法</t>
    </r>
    <r>
      <rPr>
        <b/>
        <sz val="16"/>
        <rFont val="Times New Roman"/>
        <charset val="134"/>
      </rPr>
      <t>)</t>
    </r>
    <r>
      <rPr>
        <b/>
        <sz val="16"/>
        <rFont val="宋体"/>
        <charset val="134"/>
      </rPr>
      <t>（新规）</t>
    </r>
  </si>
  <si>
    <t>单位：个,%</t>
  </si>
  <si>
    <t>地区名称</t>
  </si>
  <si>
    <t>1年前期初</t>
  </si>
  <si>
    <t>新增违约账户1年前期初</t>
  </si>
  <si>
    <t>G4F 资本底线计算表（新规）</t>
  </si>
  <si>
    <t>报表日期：  年   月    日</t>
  </si>
  <si>
    <t>单位：万元，百分比</t>
  </si>
  <si>
    <t>余额</t>
  </si>
  <si>
    <t>1.按照其他方法计算的受底线约束的风险加权资产</t>
  </si>
  <si>
    <t xml:space="preserve">  1.1风险加权资产总额</t>
  </si>
  <si>
    <t xml:space="preserve">  1.1.1信用风险加权资产</t>
  </si>
  <si>
    <t xml:space="preserve">  1.1.2市场风险加权资产</t>
  </si>
  <si>
    <t xml:space="preserve">  1.1.3操作风险加权资产</t>
  </si>
  <si>
    <t xml:space="preserve">  1.2资本底线调整因子</t>
  </si>
  <si>
    <t>2.按照资本计量高级方法计算的风险加权资产</t>
  </si>
  <si>
    <t>3.因应用资本底线而导致的额外风险加权资产</t>
  </si>
  <si>
    <t>1.按照其他方法计算的资本净额</t>
  </si>
  <si>
    <t>G4A-1(b) 损失准备情况表（内部评级法）（新规）</t>
  </si>
  <si>
    <t>填报机构：                             报表日期： 年  月  日                                 单位：万元</t>
  </si>
  <si>
    <t>金额</t>
  </si>
  <si>
    <t>1.内部评级法未覆盖部分（权重法计量）</t>
  </si>
  <si>
    <t>1.1对应的损失准备金额</t>
  </si>
  <si>
    <t>1.2对应的不良资产金额</t>
  </si>
  <si>
    <t>1.3对应的信用风险加权资产</t>
  </si>
  <si>
    <t>2.内部评级法已覆盖部分（内部评级法计量）</t>
  </si>
  <si>
    <t>2.1对应的损失准备金额</t>
  </si>
  <si>
    <t>2.2对应的校准后预期损失</t>
  </si>
  <si>
    <t>2.3对应的校准后信用风险加权资产</t>
  </si>
  <si>
    <t>2.4是否适用并行期调整？如是，填“1”；如否，填“0”。</t>
  </si>
  <si>
    <t>2.5对应的不良资产余额</t>
  </si>
  <si>
    <t>3.损失准备缺口合计</t>
  </si>
  <si>
    <t>3.1权重法部分对应的损失准备缺口</t>
  </si>
  <si>
    <t>3.2内评法部分对应的损失准备缺口</t>
  </si>
  <si>
    <t>4.可计入二级资本的超额损失准备合计</t>
  </si>
  <si>
    <t>4.1权重法部分对应的的超额损失准备</t>
  </si>
  <si>
    <t>4.2抵扣内评法部分减值准备缺口后的权重法下超额损失准备</t>
  </si>
  <si>
    <t>4.3可计入二级资本的权重法部分对应的超额损失准备</t>
  </si>
  <si>
    <t>4.4内评法下对应的超额损失准备</t>
  </si>
  <si>
    <t>4.5抵扣权重法部分减值准备缺口后的内评法下超额损失准备</t>
  </si>
  <si>
    <t>4.6不考虑并行期调整因素内评法部分可计入二级资本的超额损失准备</t>
  </si>
  <si>
    <t>4.7内评法部分不良资产余额1.5倍对应的损失准备</t>
  </si>
  <si>
    <t>4.8考虑并行期调整因素后内评法部分可计入二级资本的超额损失准备</t>
  </si>
  <si>
    <t>填表人：                          复核人：                            负责人：</t>
  </si>
  <si>
    <r>
      <rPr>
        <b/>
        <sz val="16"/>
        <rFont val="Times New Roman"/>
        <charset val="134"/>
      </rPr>
      <t xml:space="preserve">S11 </t>
    </r>
    <r>
      <rPr>
        <b/>
        <sz val="16"/>
        <rFont val="宋体"/>
        <charset val="134"/>
      </rPr>
      <t>非零售信用风险暴露按模型情况表</t>
    </r>
    <r>
      <rPr>
        <b/>
        <sz val="16"/>
        <rFont val="Times New Roman"/>
        <charset val="134"/>
      </rPr>
      <t>(IRB</t>
    </r>
    <r>
      <rPr>
        <b/>
        <sz val="16"/>
        <rFont val="宋体"/>
        <charset val="134"/>
      </rPr>
      <t>法</t>
    </r>
    <r>
      <rPr>
        <b/>
        <sz val="16"/>
        <rFont val="Times New Roman"/>
        <charset val="134"/>
      </rPr>
      <t>)</t>
    </r>
    <r>
      <rPr>
        <b/>
        <sz val="16"/>
        <rFont val="宋体"/>
        <charset val="134"/>
      </rPr>
      <t>（新规）</t>
    </r>
  </si>
  <si>
    <t>单位：万元,户,%</t>
  </si>
  <si>
    <t>模型序号</t>
  </si>
  <si>
    <t>模型名称</t>
  </si>
  <si>
    <t>区分能力（AR1值）</t>
  </si>
  <si>
    <t>区分能力（AR2值）</t>
  </si>
  <si>
    <t>风险参数</t>
  </si>
  <si>
    <t>非违约客户数加权违约概率</t>
  </si>
  <si>
    <t>非违约风险暴露加权违约概率</t>
  </si>
  <si>
    <t>向上推翻1个客户等级</t>
  </si>
  <si>
    <t>向上推翻2个或以上客户等级</t>
  </si>
  <si>
    <t>向下推翻1个客户等级</t>
  </si>
  <si>
    <t>向下推翻2个或以上客户等级</t>
  </si>
  <si>
    <t>内评法</t>
  </si>
  <si>
    <t>模型1</t>
  </si>
  <si>
    <t>模型2</t>
  </si>
  <si>
    <t>模型3</t>
  </si>
  <si>
    <t>模型4</t>
  </si>
  <si>
    <t>模型5</t>
  </si>
  <si>
    <t>模型6</t>
  </si>
  <si>
    <t>模型7</t>
  </si>
  <si>
    <t>模型8</t>
  </si>
  <si>
    <t>模型9</t>
  </si>
  <si>
    <t>模型10</t>
  </si>
  <si>
    <t>模型11</t>
  </si>
  <si>
    <t>模型12</t>
  </si>
  <si>
    <t>模型13</t>
  </si>
  <si>
    <t>模型14</t>
  </si>
  <si>
    <t>模型15</t>
  </si>
  <si>
    <t>模型16</t>
  </si>
  <si>
    <t>模型17</t>
  </si>
  <si>
    <t>模型18</t>
  </si>
  <si>
    <t>模型19</t>
  </si>
  <si>
    <t>模型20</t>
  </si>
  <si>
    <t>模型21</t>
  </si>
  <si>
    <t>模型22</t>
  </si>
  <si>
    <t>模型23</t>
  </si>
  <si>
    <t>模型24</t>
  </si>
  <si>
    <t>模型25</t>
  </si>
  <si>
    <t>模型26</t>
  </si>
  <si>
    <t>模型27</t>
  </si>
  <si>
    <t>模型28</t>
  </si>
  <si>
    <t>模型29</t>
  </si>
  <si>
    <t>模型30</t>
  </si>
  <si>
    <t>模型31</t>
  </si>
  <si>
    <t>模型32</t>
  </si>
  <si>
    <t>模型33</t>
  </si>
  <si>
    <t>模型34</t>
  </si>
  <si>
    <t>模型35</t>
  </si>
  <si>
    <t>模型36</t>
  </si>
  <si>
    <t>模型37</t>
  </si>
  <si>
    <t>模型38</t>
  </si>
  <si>
    <t>模型39</t>
  </si>
  <si>
    <t>模型40</t>
  </si>
  <si>
    <t>模型41</t>
  </si>
  <si>
    <t>模型42</t>
  </si>
  <si>
    <t>模型43</t>
  </si>
  <si>
    <t>模型44</t>
  </si>
  <si>
    <t>模型45</t>
  </si>
  <si>
    <t>模型46</t>
  </si>
  <si>
    <t>模型47</t>
  </si>
  <si>
    <t>模型48</t>
  </si>
  <si>
    <t>模型49</t>
  </si>
  <si>
    <t>模型50</t>
  </si>
  <si>
    <t>注：包括所有实施内部评级法的模型，不包括境外机构模型。</t>
  </si>
</sst>
</file>

<file path=xl/styles.xml><?xml version="1.0" encoding="utf-8"?>
<styleSheet xmlns="http://schemas.openxmlformats.org/spreadsheetml/2006/main">
  <numFmts count="12">
    <numFmt numFmtId="43" formatCode="_ * #,##0.00_ ;_ * \-#,##0.00_ ;_ * &quot;-&quot;??_ ;_ @_ "/>
    <numFmt numFmtId="44" formatCode="_ &quot;￥&quot;* #,##0.00_ ;_ &quot;￥&quot;* \-#,##0.00_ ;_ &quot;￥&quot;* &quot;-&quot;??_ ;_ @_ "/>
    <numFmt numFmtId="176" formatCode="0_ ;[Red]\-0\ "/>
    <numFmt numFmtId="41" formatCode="_ * #,##0_ ;_ * \-#,##0_ ;_ * &quot;-&quot;_ ;_ @_ "/>
    <numFmt numFmtId="42" formatCode="_ &quot;￥&quot;* #,##0_ ;_ &quot;￥&quot;* \-#,##0_ ;_ &quot;￥&quot;* &quot;-&quot;_ ;_ @_ "/>
    <numFmt numFmtId="177" formatCode="#,##0_ "/>
    <numFmt numFmtId="178" formatCode="0_);[Red]\(0\)"/>
    <numFmt numFmtId="179" formatCode="_-* #,##0.00_-;\-* #,##0.00_-;_-* &quot;-&quot;??_-;_-@_-"/>
    <numFmt numFmtId="180" formatCode="0.00_ "/>
    <numFmt numFmtId="181" formatCode="#,##0.00_ "/>
    <numFmt numFmtId="182" formatCode="0.0%"/>
    <numFmt numFmtId="183" formatCode="0_ "/>
  </numFmts>
  <fonts count="74">
    <font>
      <sz val="11"/>
      <color indexed="8"/>
      <name val="宋体"/>
      <charset val="134"/>
    </font>
    <font>
      <sz val="12"/>
      <name val="Arial"/>
      <charset val="134"/>
    </font>
    <font>
      <b/>
      <sz val="10"/>
      <name val="Arial"/>
      <charset val="134"/>
    </font>
    <font>
      <sz val="10"/>
      <name val="Arial"/>
      <charset val="134"/>
    </font>
    <font>
      <sz val="10"/>
      <name val="Times New Roman"/>
      <charset val="134"/>
    </font>
    <font>
      <b/>
      <sz val="16"/>
      <name val="Times New Roman"/>
      <charset val="134"/>
    </font>
    <font>
      <b/>
      <sz val="16"/>
      <name val="宋体"/>
      <charset val="134"/>
    </font>
    <font>
      <sz val="10"/>
      <name val="宋体"/>
      <charset val="134"/>
    </font>
    <font>
      <sz val="9"/>
      <name val="宋体"/>
      <charset val="134"/>
    </font>
    <font>
      <sz val="11"/>
      <color indexed="8"/>
      <name val="Times New Roman"/>
      <charset val="134"/>
    </font>
    <font>
      <sz val="10"/>
      <color indexed="8"/>
      <name val="宋体"/>
      <charset val="134"/>
    </font>
    <font>
      <sz val="10"/>
      <color theme="1"/>
      <name val="仿宋_GB2312"/>
      <charset val="134"/>
    </font>
    <font>
      <sz val="12"/>
      <name val="宋体"/>
      <charset val="134"/>
    </font>
    <font>
      <b/>
      <sz val="16"/>
      <color indexed="8"/>
      <name val="宋体"/>
      <charset val="134"/>
    </font>
    <font>
      <b/>
      <sz val="12"/>
      <color indexed="10"/>
      <name val="宋体"/>
      <charset val="134"/>
    </font>
    <font>
      <b/>
      <sz val="10"/>
      <color theme="1"/>
      <name val="宋体"/>
      <charset val="134"/>
    </font>
    <font>
      <sz val="10"/>
      <color indexed="8"/>
      <name val="Times New Roman"/>
      <charset val="134"/>
    </font>
    <font>
      <sz val="10"/>
      <color rgb="FF000000"/>
      <name val="宋体"/>
      <charset val="134"/>
    </font>
    <font>
      <b/>
      <sz val="10"/>
      <color rgb="FF000000"/>
      <name val="宋体"/>
      <charset val="134"/>
    </font>
    <font>
      <b/>
      <sz val="10"/>
      <color indexed="8"/>
      <name val="宋体"/>
      <charset val="134"/>
    </font>
    <font>
      <b/>
      <sz val="10"/>
      <name val="Times New Roman"/>
      <charset val="134"/>
    </font>
    <font>
      <sz val="10"/>
      <name val="宋体"/>
      <charset val="134"/>
      <scheme val="minor"/>
    </font>
    <font>
      <sz val="12"/>
      <color theme="1"/>
      <name val="宋体"/>
      <charset val="134"/>
    </font>
    <font>
      <b/>
      <sz val="18"/>
      <name val="Times New Roman"/>
      <charset val="134"/>
    </font>
    <font>
      <b/>
      <sz val="18"/>
      <color theme="1"/>
      <name val="Times New Roman"/>
      <charset val="134"/>
    </font>
    <font>
      <sz val="10"/>
      <color theme="1"/>
      <name val="宋体"/>
      <charset val="134"/>
    </font>
    <font>
      <sz val="9"/>
      <color theme="1"/>
      <name val="宋体"/>
      <charset val="134"/>
    </font>
    <font>
      <b/>
      <sz val="10"/>
      <name val="宋体"/>
      <charset val="134"/>
    </font>
    <font>
      <sz val="10"/>
      <color theme="1"/>
      <name val="Times New Roman"/>
      <charset val="134"/>
    </font>
    <font>
      <b/>
      <sz val="10"/>
      <color indexed="8"/>
      <name val="Times New Roman"/>
      <charset val="134"/>
    </font>
    <font>
      <sz val="14"/>
      <name val="宋体"/>
      <charset val="134"/>
    </font>
    <font>
      <sz val="14"/>
      <color indexed="8"/>
      <name val="宋体"/>
      <charset val="134"/>
    </font>
    <font>
      <sz val="14"/>
      <color theme="1"/>
      <name val="宋体"/>
      <charset val="134"/>
    </font>
    <font>
      <b/>
      <sz val="16"/>
      <color theme="1"/>
      <name val="宋体"/>
      <charset val="134"/>
    </font>
    <font>
      <b/>
      <sz val="14"/>
      <name val="宋体"/>
      <charset val="134"/>
    </font>
    <font>
      <b/>
      <sz val="16"/>
      <name val="黑体"/>
      <charset val="134"/>
    </font>
    <font>
      <sz val="10"/>
      <color theme="1"/>
      <name val="宋体"/>
      <charset val="134"/>
      <scheme val="minor"/>
    </font>
    <font>
      <b/>
      <sz val="10"/>
      <color rgb="FF000000"/>
      <name val="Arial"/>
      <charset val="134"/>
    </font>
    <font>
      <sz val="10"/>
      <color rgb="FFFF0000"/>
      <name val="宋体"/>
      <charset val="134"/>
    </font>
    <font>
      <b/>
      <sz val="10"/>
      <color rgb="FFFF0000"/>
      <name val="宋体"/>
      <charset val="134"/>
    </font>
    <font>
      <b/>
      <sz val="10"/>
      <color theme="1"/>
      <name val="Arial"/>
      <charset val="134"/>
    </font>
    <font>
      <sz val="10"/>
      <name val="仿宋_GB2312"/>
      <charset val="134"/>
    </font>
    <font>
      <b/>
      <sz val="14"/>
      <name val="Times New Roman"/>
      <charset val="134"/>
    </font>
    <font>
      <sz val="10"/>
      <color rgb="FFFF0000"/>
      <name val="Times New Roman"/>
      <charset val="134"/>
    </font>
    <font>
      <b/>
      <sz val="16"/>
      <name val="Arial"/>
      <charset val="134"/>
    </font>
    <font>
      <b/>
      <sz val="16"/>
      <color theme="1"/>
      <name val="Times New Roman"/>
      <charset val="134"/>
    </font>
    <font>
      <sz val="10"/>
      <color indexed="10"/>
      <name val="宋体"/>
      <charset val="134"/>
    </font>
    <font>
      <sz val="11"/>
      <color theme="1"/>
      <name val="宋体"/>
      <charset val="0"/>
      <scheme val="minor"/>
    </font>
    <font>
      <sz val="11"/>
      <color rgb="FF9C6500"/>
      <name val="宋体"/>
      <charset val="0"/>
      <scheme val="minor"/>
    </font>
    <font>
      <sz val="11"/>
      <color theme="0"/>
      <name val="宋体"/>
      <charset val="0"/>
      <scheme val="minor"/>
    </font>
    <font>
      <sz val="11"/>
      <color rgb="FFFA7D00"/>
      <name val="宋体"/>
      <charset val="0"/>
      <scheme val="minor"/>
    </font>
    <font>
      <b/>
      <sz val="11"/>
      <color rgb="FF3F3F3F"/>
      <name val="宋体"/>
      <charset val="0"/>
      <scheme val="minor"/>
    </font>
    <font>
      <sz val="11"/>
      <color rgb="FF3F3F76"/>
      <name val="宋体"/>
      <charset val="0"/>
      <scheme val="minor"/>
    </font>
    <font>
      <sz val="11"/>
      <color theme="1"/>
      <name val="宋体"/>
      <charset val="134"/>
      <scheme val="minor"/>
    </font>
    <font>
      <sz val="11"/>
      <color theme="0"/>
      <name val="宋体"/>
      <charset val="134"/>
      <scheme val="minor"/>
    </font>
    <font>
      <sz val="11"/>
      <color rgb="FF006100"/>
      <name val="宋体"/>
      <charset val="0"/>
      <scheme val="minor"/>
    </font>
    <font>
      <b/>
      <sz val="11"/>
      <color theme="3"/>
      <name val="宋体"/>
      <charset val="134"/>
      <scheme val="minor"/>
    </font>
    <font>
      <u/>
      <sz val="11"/>
      <color rgb="FF800080"/>
      <name val="宋体"/>
      <charset val="0"/>
      <scheme val="minor"/>
    </font>
    <font>
      <sz val="12"/>
      <name val="Times New Roman"/>
      <charset val="134"/>
    </font>
    <font>
      <u/>
      <sz val="11"/>
      <color rgb="FF0000FF"/>
      <name val="宋体"/>
      <charset val="0"/>
      <scheme val="minor"/>
    </font>
    <font>
      <sz val="11"/>
      <color rgb="FF9C0006"/>
      <name val="宋体"/>
      <charset val="0"/>
      <scheme val="minor"/>
    </font>
    <font>
      <b/>
      <sz val="11"/>
      <color rgb="FFFA7D00"/>
      <name val="宋体"/>
      <charset val="0"/>
      <scheme val="minor"/>
    </font>
    <font>
      <b/>
      <sz val="18"/>
      <color theme="3"/>
      <name val="宋体"/>
      <charset val="134"/>
      <scheme val="minor"/>
    </font>
    <font>
      <sz val="10"/>
      <name val="Arial"/>
      <charset val="0"/>
    </font>
    <font>
      <b/>
      <sz val="11"/>
      <color theme="1"/>
      <name val="宋体"/>
      <charset val="0"/>
      <scheme val="minor"/>
    </font>
    <font>
      <b/>
      <sz val="15"/>
      <color theme="3"/>
      <name val="宋体"/>
      <charset val="134"/>
      <scheme val="minor"/>
    </font>
    <font>
      <i/>
      <sz val="11"/>
      <color rgb="FF7F7F7F"/>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b/>
      <sz val="18"/>
      <name val="SimSun"/>
      <charset val="134"/>
    </font>
    <font>
      <sz val="10"/>
      <color indexed="8"/>
      <name val="宋体"/>
      <charset val="134"/>
      <scheme val="minor"/>
    </font>
    <font>
      <sz val="10"/>
      <color rgb="FF000000"/>
      <name val="宋体"/>
      <charset val="134"/>
      <scheme val="minor"/>
    </font>
    <font>
      <b/>
      <sz val="16"/>
      <name val="SimSun"/>
      <charset val="134"/>
    </font>
  </fonts>
  <fills count="42">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6"/>
        <bgColor indexed="64"/>
      </patternFill>
    </fill>
    <fill>
      <patternFill patternType="solid">
        <fgColor theme="0" tint="-0.249977111117893"/>
        <bgColor indexed="64"/>
      </patternFill>
    </fill>
    <fill>
      <patternFill patternType="solid">
        <fgColor indexed="9"/>
        <bgColor indexed="64"/>
      </patternFill>
    </fill>
    <fill>
      <patternFill patternType="solid">
        <fgColor rgb="FFCC99FF"/>
        <bgColor indexed="64"/>
      </patternFill>
    </fill>
    <fill>
      <patternFill patternType="solid">
        <fgColor rgb="FFFFFF00"/>
        <bgColor indexed="64"/>
      </patternFill>
    </fill>
    <fill>
      <patternFill patternType="solid">
        <fgColor theme="4" tint="0.599993896298105"/>
        <bgColor indexed="64"/>
      </patternFill>
    </fill>
    <fill>
      <patternFill patternType="solid">
        <fgColor rgb="FFFFEB9C"/>
        <bgColor indexed="64"/>
      </patternFill>
    </fill>
    <fill>
      <patternFill patternType="solid">
        <fgColor theme="4"/>
        <bgColor indexed="64"/>
      </patternFill>
    </fill>
    <fill>
      <patternFill patternType="solid">
        <fgColor theme="6" tint="0.399975585192419"/>
        <bgColor indexed="64"/>
      </patternFill>
    </fill>
    <fill>
      <patternFill patternType="solid">
        <fgColor theme="6"/>
        <bgColor indexed="64"/>
      </patternFill>
    </fill>
    <fill>
      <patternFill patternType="solid">
        <fgColor theme="4" tint="0.399975585192419"/>
        <bgColor indexed="64"/>
      </patternFill>
    </fill>
    <fill>
      <patternFill patternType="solid">
        <fgColor rgb="FFF2F2F2"/>
        <bgColor indexed="64"/>
      </patternFill>
    </fill>
    <fill>
      <patternFill patternType="solid">
        <fgColor rgb="FFFFCC99"/>
        <bgColor indexed="64"/>
      </patternFill>
    </fill>
    <fill>
      <patternFill patternType="solid">
        <fgColor rgb="FFFFFFCC"/>
        <bgColor indexed="64"/>
      </patternFill>
    </fill>
    <fill>
      <patternFill patternType="solid">
        <fgColor theme="4" tint="0.799981688894314"/>
        <bgColor indexed="64"/>
      </patternFill>
    </fill>
    <fill>
      <patternFill patternType="solid">
        <fgColor theme="8"/>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C6EFCE"/>
        <bgColor indexed="64"/>
      </patternFill>
    </fill>
    <fill>
      <patternFill patternType="solid">
        <fgColor theme="5"/>
        <bgColor indexed="64"/>
      </patternFill>
    </fill>
    <fill>
      <patternFill patternType="solid">
        <fgColor theme="8" tint="0.599993896298105"/>
        <bgColor indexed="64"/>
      </patternFill>
    </fill>
    <fill>
      <patternFill patternType="solid">
        <fgColor theme="9"/>
        <bgColor indexed="64"/>
      </patternFill>
    </fill>
    <fill>
      <patternFill patternType="solid">
        <fgColor rgb="FFFFC7CE"/>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8" tint="0.799951170384838"/>
        <bgColor indexed="64"/>
      </patternFill>
    </fill>
    <fill>
      <patternFill patternType="solid">
        <fgColor theme="5" tint="0.399945066682943"/>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rgb="FFA5A5A5"/>
        <bgColor indexed="64"/>
      </patternFill>
    </fill>
    <fill>
      <patternFill patternType="solid">
        <fgColor theme="7"/>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5" tint="0.799981688894314"/>
        <bgColor indexed="64"/>
      </patternFill>
    </fill>
  </fills>
  <borders count="31">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style="thin">
        <color auto="1"/>
      </right>
      <top style="medium">
        <color auto="1"/>
      </top>
      <bottom/>
      <diagonal/>
    </border>
    <border>
      <left style="medium">
        <color auto="1"/>
      </left>
      <right/>
      <top/>
      <bottom/>
      <diagonal/>
    </border>
    <border>
      <left/>
      <right/>
      <top style="thin">
        <color auto="1"/>
      </top>
      <bottom style="thin">
        <color auto="1"/>
      </bottom>
      <diagonal/>
    </border>
    <border>
      <left/>
      <right style="thin">
        <color auto="1"/>
      </right>
      <top style="thin">
        <color auto="1"/>
      </top>
      <bottom/>
      <diagonal/>
    </border>
    <border>
      <left style="medium">
        <color auto="1"/>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style="thin">
        <color auto="1"/>
      </bottom>
      <diagonal/>
    </border>
    <border>
      <left style="thin">
        <color auto="1"/>
      </left>
      <right/>
      <top style="medium">
        <color auto="1"/>
      </top>
      <bottom style="thin">
        <color auto="1"/>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style="thin">
        <color theme="4"/>
      </top>
      <bottom style="double">
        <color theme="4"/>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s>
  <cellStyleXfs count="72">
    <xf numFmtId="0" fontId="0" fillId="0" borderId="0">
      <alignment vertical="center"/>
    </xf>
    <xf numFmtId="0" fontId="12" fillId="0" borderId="0">
      <alignment vertical="center"/>
    </xf>
    <xf numFmtId="0" fontId="63" fillId="0" borderId="0">
      <alignment vertical="center"/>
    </xf>
    <xf numFmtId="179" fontId="0" fillId="0" borderId="0" applyFont="0" applyFill="0" applyBorder="0" applyAlignment="0" applyProtection="0">
      <alignment vertical="center"/>
    </xf>
    <xf numFmtId="0" fontId="3" fillId="0" borderId="0">
      <alignment vertical="center"/>
    </xf>
    <xf numFmtId="0" fontId="12" fillId="0" borderId="0">
      <alignment vertical="center"/>
    </xf>
    <xf numFmtId="0" fontId="58" fillId="0" borderId="0"/>
    <xf numFmtId="0" fontId="53" fillId="24" borderId="0" applyNumberFormat="0" applyBorder="0" applyAlignment="0" applyProtection="0">
      <alignment vertical="center"/>
    </xf>
    <xf numFmtId="0" fontId="54" fillId="11" borderId="0" applyNumberFormat="0" applyBorder="0" applyAlignment="0" applyProtection="0">
      <alignment vertical="center"/>
    </xf>
    <xf numFmtId="0" fontId="53" fillId="31" borderId="0" applyNumberFormat="0" applyBorder="0" applyAlignment="0" applyProtection="0">
      <alignment vertical="center"/>
    </xf>
    <xf numFmtId="3" fontId="0" fillId="3" borderId="1" applyFont="0">
      <alignment horizontal="right" vertical="center"/>
      <protection locked="0"/>
    </xf>
    <xf numFmtId="0" fontId="12" fillId="0" borderId="0">
      <alignment vertical="center"/>
    </xf>
    <xf numFmtId="0" fontId="0" fillId="0" borderId="0">
      <alignment vertical="center"/>
    </xf>
    <xf numFmtId="0" fontId="12" fillId="0" borderId="0">
      <alignment vertical="center"/>
    </xf>
    <xf numFmtId="0" fontId="12" fillId="0" borderId="0">
      <alignment vertical="center"/>
    </xf>
    <xf numFmtId="0" fontId="54" fillId="32" borderId="0" applyNumberFormat="0" applyBorder="0" applyAlignment="0" applyProtection="0">
      <alignment vertical="center"/>
    </xf>
    <xf numFmtId="0" fontId="47" fillId="34" borderId="0" applyNumberFormat="0" applyBorder="0" applyAlignment="0" applyProtection="0">
      <alignment vertical="center"/>
    </xf>
    <xf numFmtId="0" fontId="47" fillId="36" borderId="0" applyNumberFormat="0" applyBorder="0" applyAlignment="0" applyProtection="0">
      <alignment vertical="center"/>
    </xf>
    <xf numFmtId="0" fontId="49" fillId="25" borderId="0" applyNumberFormat="0" applyBorder="0" applyAlignment="0" applyProtection="0">
      <alignment vertical="center"/>
    </xf>
    <xf numFmtId="0" fontId="47" fillId="24" borderId="0" applyNumberFormat="0" applyBorder="0" applyAlignment="0" applyProtection="0">
      <alignment vertical="center"/>
    </xf>
    <xf numFmtId="0" fontId="47" fillId="35" borderId="0" applyNumberFormat="0" applyBorder="0" applyAlignment="0" applyProtection="0">
      <alignment vertical="center"/>
    </xf>
    <xf numFmtId="0" fontId="49" fillId="19" borderId="0" applyNumberFormat="0" applyBorder="0" applyAlignment="0" applyProtection="0">
      <alignment vertical="center"/>
    </xf>
    <xf numFmtId="0" fontId="47" fillId="27" borderId="0" applyNumberFormat="0" applyBorder="0" applyAlignment="0" applyProtection="0">
      <alignment vertical="center"/>
    </xf>
    <xf numFmtId="0" fontId="56" fillId="0" borderId="27" applyNumberFormat="0" applyFill="0" applyAlignment="0" applyProtection="0">
      <alignment vertical="center"/>
    </xf>
    <xf numFmtId="0" fontId="66" fillId="0" borderId="0" applyNumberFormat="0" applyFill="0" applyBorder="0" applyAlignment="0" applyProtection="0">
      <alignment vertical="center"/>
    </xf>
    <xf numFmtId="0" fontId="64" fillId="0" borderId="28" applyNumberFormat="0" applyFill="0" applyAlignment="0" applyProtection="0">
      <alignment vertical="center"/>
    </xf>
    <xf numFmtId="0" fontId="53" fillId="27" borderId="0" applyNumberFormat="0" applyBorder="0" applyAlignment="0" applyProtection="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0" fontId="68" fillId="0" borderId="29" applyNumberFormat="0" applyFill="0" applyAlignment="0" applyProtection="0">
      <alignment vertical="center"/>
    </xf>
    <xf numFmtId="42" fontId="53" fillId="0" borderId="0" applyFont="0" applyFill="0" applyBorder="0" applyAlignment="0" applyProtection="0">
      <alignment vertical="center"/>
    </xf>
    <xf numFmtId="0" fontId="0" fillId="0" borderId="0">
      <protection locked="0"/>
    </xf>
    <xf numFmtId="0" fontId="49" fillId="39" borderId="0" applyNumberFormat="0" applyBorder="0" applyAlignment="0" applyProtection="0">
      <alignment vertical="center"/>
    </xf>
    <xf numFmtId="0" fontId="69" fillId="0" borderId="0" applyNumberFormat="0" applyFill="0" applyBorder="0" applyAlignment="0" applyProtection="0">
      <alignment vertical="center"/>
    </xf>
    <xf numFmtId="0" fontId="47" fillId="41" borderId="0" applyNumberFormat="0" applyBorder="0" applyAlignment="0" applyProtection="0">
      <alignment vertical="center"/>
    </xf>
    <xf numFmtId="0" fontId="49" fillId="33" borderId="0" applyNumberFormat="0" applyBorder="0" applyAlignment="0" applyProtection="0">
      <alignment vertical="center"/>
    </xf>
    <xf numFmtId="0" fontId="65" fillId="0" borderId="29" applyNumberFormat="0" applyFill="0" applyAlignment="0" applyProtection="0">
      <alignment vertical="center"/>
    </xf>
    <xf numFmtId="0" fontId="59" fillId="0" borderId="0" applyNumberFormat="0" applyFill="0" applyBorder="0" applyAlignment="0" applyProtection="0">
      <alignment vertical="center"/>
    </xf>
    <xf numFmtId="0" fontId="47" fillId="21" borderId="0" applyNumberFormat="0" applyBorder="0" applyAlignment="0" applyProtection="0">
      <alignment vertical="center"/>
    </xf>
    <xf numFmtId="44" fontId="53" fillId="0" borderId="0" applyFont="0" applyFill="0" applyBorder="0" applyAlignment="0" applyProtection="0">
      <alignment vertical="center"/>
    </xf>
    <xf numFmtId="0" fontId="47" fillId="20" borderId="0" applyNumberFormat="0" applyBorder="0" applyAlignment="0" applyProtection="0">
      <alignment vertical="center"/>
    </xf>
    <xf numFmtId="0" fontId="61" fillId="15" borderId="25" applyNumberFormat="0" applyAlignment="0" applyProtection="0">
      <alignment vertical="center"/>
    </xf>
    <xf numFmtId="0" fontId="54" fillId="19" borderId="0" applyNumberFormat="0" applyBorder="0" applyAlignment="0" applyProtection="0">
      <alignment vertical="center"/>
    </xf>
    <xf numFmtId="0" fontId="57" fillId="0" borderId="0" applyNumberFormat="0" applyFill="0" applyBorder="0" applyAlignment="0" applyProtection="0">
      <alignment vertical="center"/>
    </xf>
    <xf numFmtId="41" fontId="53" fillId="0" borderId="0" applyFont="0" applyFill="0" applyBorder="0" applyAlignment="0" applyProtection="0">
      <alignment vertical="center"/>
    </xf>
    <xf numFmtId="0" fontId="49" fillId="38" borderId="0" applyNumberFormat="0" applyBorder="0" applyAlignment="0" applyProtection="0">
      <alignment vertical="center"/>
    </xf>
    <xf numFmtId="0" fontId="47" fillId="30" borderId="0" applyNumberFormat="0" applyBorder="0" applyAlignment="0" applyProtection="0">
      <alignment vertical="center"/>
    </xf>
    <xf numFmtId="0" fontId="3" fillId="0" borderId="0">
      <alignment vertical="center"/>
    </xf>
    <xf numFmtId="0" fontId="49" fillId="40" borderId="0" applyNumberFormat="0" applyBorder="0" applyAlignment="0" applyProtection="0">
      <alignment vertical="center"/>
    </xf>
    <xf numFmtId="0" fontId="52" fillId="16" borderId="25" applyNumberFormat="0" applyAlignment="0" applyProtection="0">
      <alignment vertical="center"/>
    </xf>
    <xf numFmtId="43" fontId="0" fillId="0" borderId="0" applyFont="0" applyFill="0" applyBorder="0" applyAlignment="0" applyProtection="0">
      <alignment vertical="center"/>
    </xf>
    <xf numFmtId="0" fontId="51" fillId="15" borderId="24" applyNumberFormat="0" applyAlignment="0" applyProtection="0">
      <alignment vertical="center"/>
    </xf>
    <xf numFmtId="0" fontId="67" fillId="37" borderId="30" applyNumberFormat="0" applyAlignment="0" applyProtection="0">
      <alignment vertical="center"/>
    </xf>
    <xf numFmtId="0" fontId="50" fillId="0" borderId="23" applyNumberFormat="0" applyFill="0" applyAlignment="0" applyProtection="0">
      <alignment vertical="center"/>
    </xf>
    <xf numFmtId="9" fontId="0" fillId="0" borderId="0" applyFont="0" applyFill="0" applyBorder="0" applyAlignment="0" applyProtection="0">
      <alignment vertical="center"/>
    </xf>
    <xf numFmtId="0" fontId="49" fillId="14" borderId="0" applyNumberFormat="0" applyBorder="0" applyAlignment="0" applyProtection="0">
      <alignment vertical="center"/>
    </xf>
    <xf numFmtId="0" fontId="3" fillId="0" borderId="0">
      <alignment vertical="center"/>
    </xf>
    <xf numFmtId="0" fontId="49" fillId="12" borderId="0" applyNumberFormat="0" applyBorder="0" applyAlignment="0" applyProtection="0">
      <alignment vertical="center"/>
    </xf>
    <xf numFmtId="0" fontId="53" fillId="17" borderId="26" applyNumberFormat="0" applyFont="0" applyAlignment="0" applyProtection="0">
      <alignment vertical="center"/>
    </xf>
    <xf numFmtId="0" fontId="62" fillId="0" borderId="0" applyNumberFormat="0" applyFill="0" applyBorder="0" applyAlignment="0" applyProtection="0">
      <alignment vertical="center"/>
    </xf>
    <xf numFmtId="0" fontId="55" fillId="22" borderId="0" applyNumberFormat="0" applyBorder="0" applyAlignment="0" applyProtection="0">
      <alignment vertical="center"/>
    </xf>
    <xf numFmtId="0" fontId="56" fillId="0" borderId="0" applyNumberFormat="0" applyFill="0" applyBorder="0" applyAlignment="0" applyProtection="0">
      <alignment vertical="center"/>
    </xf>
    <xf numFmtId="0" fontId="49" fillId="11" borderId="0" applyNumberFormat="0" applyBorder="0" applyAlignment="0" applyProtection="0">
      <alignment vertical="center"/>
    </xf>
    <xf numFmtId="0" fontId="48" fillId="10" borderId="0" applyNumberFormat="0" applyBorder="0" applyAlignment="0" applyProtection="0">
      <alignment vertical="center"/>
    </xf>
    <xf numFmtId="0" fontId="47" fillId="18" borderId="0" applyNumberFormat="0" applyBorder="0" applyAlignment="0" applyProtection="0">
      <alignment vertical="center"/>
    </xf>
    <xf numFmtId="0" fontId="60" fillId="26" borderId="0" applyNumberFormat="0" applyBorder="0" applyAlignment="0" applyProtection="0">
      <alignment vertical="center"/>
    </xf>
    <xf numFmtId="0" fontId="49" fillId="23" borderId="0" applyNumberFormat="0" applyBorder="0" applyAlignment="0" applyProtection="0">
      <alignment vertical="center"/>
    </xf>
    <xf numFmtId="0" fontId="47" fillId="9" borderId="0" applyNumberFormat="0" applyBorder="0" applyAlignment="0" applyProtection="0">
      <alignment vertical="center"/>
    </xf>
    <xf numFmtId="0" fontId="0" fillId="0" borderId="0">
      <alignment vertical="center"/>
    </xf>
    <xf numFmtId="0" fontId="49" fillId="29" borderId="0" applyNumberFormat="0" applyBorder="0" applyAlignment="0" applyProtection="0">
      <alignment vertical="center"/>
    </xf>
    <xf numFmtId="0" fontId="47" fillId="28" borderId="0" applyNumberFormat="0" applyBorder="0" applyAlignment="0" applyProtection="0">
      <alignment vertical="center"/>
    </xf>
    <xf numFmtId="0" fontId="49" fillId="13" borderId="0" applyNumberFormat="0" applyBorder="0" applyAlignment="0" applyProtection="0">
      <alignment vertical="center"/>
    </xf>
  </cellStyleXfs>
  <cellXfs count="479">
    <xf numFmtId="0" fontId="0" fillId="0" borderId="0" xfId="0">
      <alignment vertical="center"/>
    </xf>
    <xf numFmtId="0" fontId="1" fillId="0" borderId="0" xfId="0" applyFont="1" applyAlignment="1" applyProtection="1">
      <alignment horizontal="center"/>
      <protection locked="0"/>
    </xf>
    <xf numFmtId="0" fontId="0" fillId="0" borderId="0" xfId="0" applyAlignment="1" applyProtection="1">
      <alignment vertical="center"/>
      <protection locked="0"/>
    </xf>
    <xf numFmtId="0" fontId="2" fillId="0" borderId="0" xfId="0" applyFont="1" applyAlignment="1" applyProtection="1">
      <alignment horizontal="center"/>
      <protection locked="0"/>
    </xf>
    <xf numFmtId="0" fontId="3" fillId="0" borderId="0" xfId="0" applyFont="1" applyAlignment="1" applyProtection="1">
      <alignment horizontal="center" vertical="center" wrapText="1"/>
      <protection locked="0"/>
    </xf>
    <xf numFmtId="0" fontId="3" fillId="0" borderId="0" xfId="0" applyFont="1" applyAlignment="1" applyProtection="1">
      <alignment horizontal="center" vertical="center"/>
      <protection locked="0"/>
    </xf>
    <xf numFmtId="0" fontId="4" fillId="0" borderId="0" xfId="0" applyFont="1" applyAlignment="1" applyProtection="1">
      <alignment vertical="center"/>
      <protection locked="0"/>
    </xf>
    <xf numFmtId="0" fontId="0" fillId="0" borderId="0" xfId="0" applyFill="1" applyProtection="1">
      <alignment vertical="center"/>
      <protection locked="0"/>
    </xf>
    <xf numFmtId="0" fontId="4" fillId="0" borderId="0" xfId="0" applyFont="1" applyAlignment="1" applyProtection="1">
      <alignment horizontal="center"/>
      <protection locked="0"/>
    </xf>
    <xf numFmtId="0" fontId="3" fillId="0" borderId="0" xfId="0" applyFont="1" applyAlignment="1" applyProtection="1">
      <alignment horizontal="center"/>
      <protection locked="0"/>
    </xf>
    <xf numFmtId="10" fontId="3" fillId="0" borderId="0" xfId="27" applyNumberFormat="1" applyFont="1" applyAlignment="1" applyProtection="1">
      <alignment horizontal="center"/>
      <protection locked="0"/>
    </xf>
    <xf numFmtId="178" fontId="3" fillId="0" borderId="0" xfId="0" applyNumberFormat="1" applyFont="1" applyAlignment="1" applyProtection="1">
      <alignment horizontal="center"/>
      <protection locked="0"/>
    </xf>
    <xf numFmtId="0" fontId="0" fillId="0" borderId="0" xfId="0" applyProtection="1">
      <alignment vertical="center"/>
      <protection locked="0"/>
    </xf>
    <xf numFmtId="0" fontId="5" fillId="0" borderId="0" xfId="0"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10" fontId="6" fillId="0" borderId="0" xfId="27" applyNumberFormat="1" applyFont="1" applyAlignment="1" applyProtection="1">
      <alignment horizontal="center" vertical="center" wrapText="1"/>
      <protection locked="0"/>
    </xf>
    <xf numFmtId="0" fontId="4" fillId="0" borderId="0" xfId="0" applyFont="1" applyAlignment="1" applyProtection="1">
      <alignment horizontal="left" vertical="center"/>
      <protection locked="0"/>
    </xf>
    <xf numFmtId="0" fontId="3" fillId="0" borderId="0" xfId="0" applyFont="1" applyAlignment="1" applyProtection="1">
      <alignment horizontal="left" vertical="center"/>
      <protection locked="0"/>
    </xf>
    <xf numFmtId="10" fontId="0" fillId="0" borderId="0" xfId="27" applyNumberFormat="1" applyFont="1" applyAlignment="1" applyProtection="1">
      <alignment vertical="center"/>
      <protection locked="0"/>
    </xf>
    <xf numFmtId="0" fontId="4" fillId="0" borderId="1"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10" fontId="8" fillId="0" borderId="1" xfId="27" applyNumberFormat="1" applyFont="1" applyBorder="1" applyAlignment="1" applyProtection="1">
      <alignment horizontal="center" vertical="center" wrapText="1"/>
      <protection locked="0"/>
    </xf>
    <xf numFmtId="0" fontId="9" fillId="0" borderId="1" xfId="0" applyFont="1" applyBorder="1" applyAlignment="1" applyProtection="1">
      <protection locked="0"/>
    </xf>
    <xf numFmtId="10" fontId="7" fillId="0" borderId="1" xfId="27" applyNumberFormat="1" applyFont="1" applyBorder="1" applyAlignment="1" applyProtection="1">
      <alignment horizontal="center" vertical="center" wrapText="1"/>
      <protection locked="0"/>
    </xf>
    <xf numFmtId="0" fontId="4" fillId="0" borderId="1" xfId="0" applyFont="1" applyBorder="1" applyAlignment="1" applyProtection="1">
      <alignment horizontal="center" vertical="center"/>
      <protection locked="0"/>
    </xf>
    <xf numFmtId="0" fontId="7" fillId="0" borderId="1" xfId="0" applyFont="1" applyBorder="1" applyAlignment="1" applyProtection="1">
      <alignment horizontal="center"/>
      <protection locked="0"/>
    </xf>
    <xf numFmtId="0" fontId="7" fillId="2" borderId="1" xfId="0" applyFont="1" applyFill="1" applyBorder="1" applyAlignment="1" applyProtection="1">
      <alignment horizontal="center"/>
      <protection locked="0"/>
    </xf>
    <xf numFmtId="10" fontId="10" fillId="3" borderId="1" xfId="27" applyNumberFormat="1" applyFont="1" applyFill="1" applyBorder="1" applyAlignment="1" applyProtection="1">
      <alignment horizontal="right" vertical="center"/>
      <protection locked="0"/>
    </xf>
    <xf numFmtId="0" fontId="4" fillId="0" borderId="1" xfId="0" applyFont="1" applyBorder="1" applyAlignment="1" applyProtection="1">
      <alignment horizontal="center"/>
      <protection locked="0"/>
    </xf>
    <xf numFmtId="10" fontId="3" fillId="3" borderId="1" xfId="10" applyNumberFormat="1" applyFont="1" applyAlignment="1" applyProtection="1">
      <alignment horizontal="center"/>
      <protection locked="0"/>
    </xf>
    <xf numFmtId="10" fontId="3" fillId="3" borderId="1" xfId="27" applyNumberFormat="1" applyFont="1" applyFill="1" applyBorder="1" applyAlignment="1" applyProtection="1">
      <alignment horizontal="right"/>
      <protection locked="0"/>
    </xf>
    <xf numFmtId="10" fontId="4" fillId="0" borderId="0" xfId="27" applyNumberFormat="1" applyFont="1" applyAlignment="1" applyProtection="1">
      <alignment vertical="center"/>
      <protection locked="0"/>
    </xf>
    <xf numFmtId="0" fontId="10" fillId="2" borderId="0" xfId="0" applyFont="1" applyFill="1" applyAlignment="1" applyProtection="1">
      <alignment horizontal="center" vertical="center"/>
      <protection locked="0"/>
    </xf>
    <xf numFmtId="0" fontId="7" fillId="0" borderId="0" xfId="0" applyFont="1" applyAlignment="1" applyProtection="1">
      <alignment horizontal="left"/>
      <protection locked="0"/>
    </xf>
    <xf numFmtId="180" fontId="10" fillId="4" borderId="0" xfId="0" applyNumberFormat="1" applyFont="1" applyFill="1" applyAlignment="1" applyProtection="1">
      <alignment horizontal="center" vertical="center"/>
      <protection locked="0"/>
    </xf>
    <xf numFmtId="0" fontId="7" fillId="0" borderId="0" xfId="14" applyFont="1" applyFill="1" applyAlignment="1" applyProtection="1">
      <alignment vertical="center"/>
    </xf>
    <xf numFmtId="0" fontId="7" fillId="0" borderId="0" xfId="0" applyFont="1" applyFill="1" applyAlignment="1" applyProtection="1">
      <protection locked="0"/>
    </xf>
    <xf numFmtId="0" fontId="3" fillId="0" borderId="0" xfId="0" applyFont="1" applyFill="1" applyAlignment="1" applyProtection="1">
      <protection locked="0"/>
    </xf>
    <xf numFmtId="10" fontId="3" fillId="0" borderId="0" xfId="27" applyNumberFormat="1" applyFont="1" applyFill="1" applyAlignment="1" applyProtection="1">
      <protection locked="0"/>
    </xf>
    <xf numFmtId="178" fontId="11" fillId="0" borderId="0" xfId="1" applyNumberFormat="1" applyFont="1" applyProtection="1">
      <alignment vertical="center"/>
      <protection locked="0"/>
    </xf>
    <xf numFmtId="178" fontId="11" fillId="0" borderId="0" xfId="1" applyNumberFormat="1" applyFont="1" applyAlignment="1" applyProtection="1">
      <alignment horizontal="left" vertical="center"/>
      <protection locked="0"/>
    </xf>
    <xf numFmtId="10" fontId="3" fillId="0" borderId="0" xfId="27" applyNumberFormat="1" applyFont="1" applyAlignment="1" applyProtection="1">
      <alignment horizontal="center" vertical="center"/>
      <protection locked="0"/>
    </xf>
    <xf numFmtId="10" fontId="3" fillId="3" borderId="1" xfId="27" applyNumberFormat="1" applyFont="1" applyFill="1" applyBorder="1" applyAlignment="1" applyProtection="1">
      <alignment horizontal="center"/>
      <protection locked="0"/>
    </xf>
    <xf numFmtId="178" fontId="6" fillId="0" borderId="0" xfId="0" applyNumberFormat="1" applyFont="1" applyAlignment="1" applyProtection="1">
      <alignment horizontal="center" vertical="center" wrapText="1"/>
      <protection locked="0"/>
    </xf>
    <xf numFmtId="178" fontId="0" fillId="0" borderId="0" xfId="0" applyNumberFormat="1" applyAlignment="1" applyProtection="1">
      <alignment vertical="center"/>
      <protection locked="0"/>
    </xf>
    <xf numFmtId="178" fontId="7" fillId="0" borderId="0" xfId="0" applyNumberFormat="1" applyFont="1" applyAlignment="1" applyProtection="1">
      <alignment horizontal="center" vertical="center"/>
      <protection locked="0"/>
    </xf>
    <xf numFmtId="178" fontId="8" fillId="0" borderId="1" xfId="0" applyNumberFormat="1" applyFont="1" applyBorder="1" applyAlignment="1" applyProtection="1">
      <alignment horizontal="center" vertical="center" wrapText="1"/>
      <protection locked="0"/>
    </xf>
    <xf numFmtId="178" fontId="7" fillId="0" borderId="1" xfId="0" applyNumberFormat="1" applyFont="1" applyBorder="1" applyAlignment="1" applyProtection="1">
      <alignment horizontal="center" vertical="center" wrapText="1"/>
      <protection locked="0"/>
    </xf>
    <xf numFmtId="178" fontId="10" fillId="4" borderId="1" xfId="11" applyNumberFormat="1" applyFont="1" applyFill="1" applyBorder="1" applyAlignment="1" applyProtection="1">
      <alignment horizontal="right" vertical="center"/>
    </xf>
    <xf numFmtId="178" fontId="3" fillId="3" borderId="1" xfId="10" applyNumberFormat="1" applyFont="1" applyAlignment="1" applyProtection="1">
      <alignment horizontal="right"/>
      <protection locked="0"/>
    </xf>
    <xf numFmtId="178" fontId="7" fillId="0" borderId="0" xfId="0" applyNumberFormat="1" applyFont="1" applyAlignment="1" applyProtection="1">
      <alignment vertical="center"/>
      <protection locked="0"/>
    </xf>
    <xf numFmtId="178" fontId="4" fillId="0" borderId="0" xfId="0" applyNumberFormat="1" applyFont="1" applyAlignment="1" applyProtection="1">
      <alignment vertical="center"/>
      <protection locked="0"/>
    </xf>
    <xf numFmtId="178" fontId="3" fillId="0" borderId="0" xfId="0" applyNumberFormat="1" applyFont="1" applyFill="1" applyAlignment="1" applyProtection="1">
      <protection locked="0"/>
    </xf>
    <xf numFmtId="178" fontId="3" fillId="0" borderId="0" xfId="0" applyNumberFormat="1" applyFont="1" applyAlignment="1" applyProtection="1">
      <alignment horizontal="center" vertical="center"/>
      <protection locked="0"/>
    </xf>
    <xf numFmtId="10" fontId="7" fillId="0" borderId="1" xfId="27" applyNumberFormat="1" applyFont="1" applyBorder="1" applyAlignment="1" applyProtection="1">
      <alignment vertical="center" wrapText="1"/>
      <protection locked="0"/>
    </xf>
    <xf numFmtId="10" fontId="10" fillId="4" borderId="1" xfId="27" applyNumberFormat="1" applyFont="1" applyFill="1" applyBorder="1" applyAlignment="1" applyProtection="1">
      <alignment horizontal="right" vertical="center"/>
    </xf>
    <xf numFmtId="10" fontId="7" fillId="0" borderId="0" xfId="27" applyNumberFormat="1" applyFont="1" applyAlignment="1" applyProtection="1">
      <alignment vertical="center"/>
      <protection locked="0"/>
    </xf>
    <xf numFmtId="10" fontId="7" fillId="0" borderId="0" xfId="27" applyNumberFormat="1" applyFont="1" applyAlignment="1" applyProtection="1">
      <alignment horizontal="center" vertical="center"/>
      <protection locked="0"/>
    </xf>
    <xf numFmtId="10" fontId="7" fillId="0" borderId="1" xfId="27" applyNumberFormat="1"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180" fontId="10" fillId="4" borderId="1" xfId="11" applyNumberFormat="1" applyFont="1" applyFill="1" applyBorder="1" applyAlignment="1" applyProtection="1">
      <alignment horizontal="right" vertical="center"/>
    </xf>
    <xf numFmtId="180" fontId="10" fillId="3" borderId="1" xfId="11" applyNumberFormat="1" applyFont="1" applyFill="1" applyBorder="1" applyAlignment="1" applyProtection="1">
      <alignment horizontal="right" vertical="center"/>
      <protection locked="0"/>
    </xf>
    <xf numFmtId="180" fontId="3" fillId="3" borderId="1" xfId="10" applyNumberFormat="1" applyFont="1" applyAlignment="1" applyProtection="1">
      <alignment horizontal="right"/>
      <protection locked="0"/>
    </xf>
    <xf numFmtId="0" fontId="0" fillId="0" borderId="0" xfId="0" applyAlignment="1">
      <alignment vertical="center"/>
    </xf>
    <xf numFmtId="0" fontId="12" fillId="0" borderId="0" xfId="11">
      <alignment vertical="center"/>
    </xf>
    <xf numFmtId="0" fontId="13" fillId="0" borderId="2" xfId="11" applyFont="1" applyBorder="1" applyAlignment="1">
      <alignment horizontal="center" vertical="center"/>
    </xf>
    <xf numFmtId="0" fontId="13" fillId="0" borderId="3" xfId="11" applyFont="1" applyBorder="1" applyAlignment="1">
      <alignment horizontal="center" vertical="center"/>
    </xf>
    <xf numFmtId="0" fontId="13" fillId="0" borderId="4" xfId="11" applyFont="1" applyBorder="1" applyAlignment="1">
      <alignment horizontal="center" vertical="center"/>
    </xf>
    <xf numFmtId="0" fontId="10" fillId="0" borderId="5" xfId="11" applyFont="1" applyBorder="1" applyAlignment="1">
      <alignment horizontal="left" vertical="center"/>
    </xf>
    <xf numFmtId="0" fontId="12" fillId="0" borderId="0" xfId="11" applyAlignment="1">
      <alignment vertical="center"/>
    </xf>
    <xf numFmtId="0" fontId="7" fillId="0" borderId="1" xfId="11" applyFont="1" applyBorder="1" applyAlignment="1">
      <alignment horizontal="center" vertical="center"/>
    </xf>
    <xf numFmtId="0" fontId="10" fillId="0" borderId="1" xfId="11" applyFont="1" applyBorder="1" applyAlignment="1">
      <alignment horizontal="center" vertical="center"/>
    </xf>
    <xf numFmtId="0" fontId="7" fillId="0" borderId="1" xfId="11" applyFont="1" applyBorder="1">
      <alignment vertical="center"/>
    </xf>
    <xf numFmtId="0" fontId="10" fillId="5" borderId="1" xfId="11" applyFont="1" applyFill="1" applyBorder="1" applyAlignment="1" applyProtection="1">
      <alignment horizontal="center" vertical="center"/>
      <protection locked="0"/>
    </xf>
    <xf numFmtId="0" fontId="7" fillId="0" borderId="1" xfId="11" applyFont="1" applyBorder="1" applyAlignment="1">
      <alignment horizontal="left" vertical="center" indent="1"/>
    </xf>
    <xf numFmtId="0" fontId="10" fillId="0" borderId="1" xfId="11" applyFont="1" applyBorder="1" applyAlignment="1">
      <alignment horizontal="left" vertical="center" indent="1"/>
    </xf>
    <xf numFmtId="0" fontId="14" fillId="0" borderId="0" xfId="11" applyFont="1">
      <alignment vertical="center"/>
    </xf>
    <xf numFmtId="0" fontId="7" fillId="0" borderId="2" xfId="11" applyFont="1" applyBorder="1">
      <alignment vertical="center"/>
    </xf>
    <xf numFmtId="0" fontId="7" fillId="0" borderId="3" xfId="11" applyFont="1" applyBorder="1">
      <alignment vertical="center"/>
    </xf>
    <xf numFmtId="0" fontId="7" fillId="0" borderId="4" xfId="11" applyFont="1" applyBorder="1">
      <alignment vertical="center"/>
    </xf>
    <xf numFmtId="180" fontId="12" fillId="0" borderId="0" xfId="11" applyNumberFormat="1">
      <alignment vertical="center"/>
    </xf>
    <xf numFmtId="0" fontId="6" fillId="0" borderId="0" xfId="0" applyFont="1" applyFill="1" applyAlignment="1">
      <alignment horizontal="center" vertical="center"/>
    </xf>
    <xf numFmtId="0" fontId="7" fillId="0" borderId="0" xfId="0" applyFont="1" applyFill="1">
      <alignment vertical="center"/>
    </xf>
    <xf numFmtId="0" fontId="10" fillId="0" borderId="0" xfId="0" applyFont="1" applyFill="1" applyAlignment="1" applyProtection="1">
      <alignment horizontal="center" vertical="center"/>
      <protection locked="0"/>
    </xf>
    <xf numFmtId="0" fontId="7" fillId="0" borderId="0" xfId="0" applyFont="1" applyFill="1" applyAlignment="1">
      <alignment horizontal="right"/>
    </xf>
    <xf numFmtId="0" fontId="10" fillId="6" borderId="1" xfId="0" applyFont="1" applyFill="1" applyBorder="1" applyAlignment="1" applyProtection="1">
      <alignment horizontal="center" vertical="center"/>
      <protection locked="0"/>
    </xf>
    <xf numFmtId="0" fontId="7" fillId="6" borderId="1" xfId="0" applyFont="1" applyFill="1" applyBorder="1" applyAlignment="1">
      <alignment horizontal="center" vertical="center" wrapText="1"/>
    </xf>
    <xf numFmtId="0" fontId="7" fillId="6" borderId="1" xfId="0" applyFont="1" applyFill="1" applyBorder="1" applyAlignment="1">
      <alignment horizontal="center"/>
    </xf>
    <xf numFmtId="0" fontId="7" fillId="0" borderId="6" xfId="0" applyFont="1" applyBorder="1" applyAlignment="1">
      <alignment horizontal="center" vertical="center"/>
    </xf>
    <xf numFmtId="0" fontId="15" fillId="6" borderId="1" xfId="0" applyFont="1" applyFill="1" applyBorder="1" applyAlignment="1" applyProtection="1">
      <alignment horizontal="left" vertical="center" wrapText="1"/>
      <protection locked="0"/>
    </xf>
    <xf numFmtId="181" fontId="16" fillId="7" borderId="1" xfId="3" applyNumberFormat="1" applyFont="1" applyFill="1" applyBorder="1" applyAlignment="1">
      <alignment horizontal="center" vertical="center"/>
    </xf>
    <xf numFmtId="0" fontId="17" fillId="6" borderId="1" xfId="0" applyFont="1" applyFill="1" applyBorder="1" applyAlignment="1" applyProtection="1">
      <alignment horizontal="left" vertical="center" wrapText="1"/>
      <protection locked="0"/>
    </xf>
    <xf numFmtId="181" fontId="16" fillId="4" borderId="1" xfId="3" applyNumberFormat="1" applyFont="1" applyFill="1" applyBorder="1" applyAlignment="1">
      <alignment horizontal="center" vertical="center"/>
    </xf>
    <xf numFmtId="0" fontId="7" fillId="6" borderId="1" xfId="0" applyFont="1" applyFill="1" applyBorder="1" applyAlignment="1" applyProtection="1">
      <alignment horizontal="left" vertical="center" wrapText="1" indent="1"/>
      <protection locked="0"/>
    </xf>
    <xf numFmtId="181" fontId="7" fillId="3" borderId="1" xfId="0" applyNumberFormat="1" applyFont="1" applyFill="1" applyBorder="1" applyAlignment="1">
      <alignment horizontal="center"/>
    </xf>
    <xf numFmtId="182" fontId="7" fillId="0" borderId="1" xfId="27" applyNumberFormat="1" applyFont="1" applyFill="1" applyBorder="1" applyAlignment="1">
      <alignment horizontal="center"/>
    </xf>
    <xf numFmtId="0" fontId="18" fillId="6" borderId="1" xfId="0" applyFont="1" applyFill="1" applyBorder="1" applyAlignment="1" applyProtection="1">
      <alignment horizontal="left" vertical="center" wrapText="1"/>
      <protection locked="0"/>
    </xf>
    <xf numFmtId="0" fontId="19" fillId="6" borderId="1" xfId="0" applyFont="1" applyFill="1" applyBorder="1" applyAlignment="1" applyProtection="1">
      <alignment vertical="center" wrapText="1"/>
      <protection locked="0"/>
    </xf>
    <xf numFmtId="0" fontId="7" fillId="0" borderId="0" xfId="0" applyFont="1">
      <alignment vertical="center"/>
    </xf>
    <xf numFmtId="0" fontId="12" fillId="0" borderId="0" xfId="0" applyFont="1">
      <alignment vertical="center"/>
    </xf>
    <xf numFmtId="0" fontId="7" fillId="6" borderId="1" xfId="0" applyFont="1" applyFill="1" applyBorder="1" applyAlignment="1" applyProtection="1">
      <alignment horizontal="center" vertical="center"/>
      <protection locked="0"/>
    </xf>
    <xf numFmtId="0" fontId="7" fillId="0" borderId="0" xfId="0" applyFont="1" applyAlignment="1">
      <alignment horizontal="center" vertical="center"/>
    </xf>
    <xf numFmtId="0" fontId="7" fillId="0" borderId="0" xfId="0" applyFont="1" applyAlignment="1" applyProtection="1">
      <protection locked="0"/>
    </xf>
    <xf numFmtId="0" fontId="4" fillId="0" borderId="0" xfId="0" applyFont="1" applyAlignment="1" applyProtection="1">
      <protection locked="0"/>
    </xf>
    <xf numFmtId="177" fontId="3" fillId="0" borderId="0" xfId="0" applyNumberFormat="1" applyFont="1" applyAlignment="1" applyProtection="1">
      <alignment horizontal="center"/>
      <protection locked="0"/>
    </xf>
    <xf numFmtId="0" fontId="16" fillId="0" borderId="1" xfId="0" applyFont="1" applyBorder="1" applyAlignment="1" applyProtection="1">
      <protection locked="0"/>
    </xf>
    <xf numFmtId="0" fontId="20" fillId="2" borderId="1" xfId="0" applyFont="1" applyFill="1" applyBorder="1" applyAlignment="1" applyProtection="1">
      <alignment horizontal="left"/>
      <protection locked="0"/>
    </xf>
    <xf numFmtId="0" fontId="7" fillId="2" borderId="1" xfId="0" applyFont="1" applyFill="1" applyBorder="1" applyAlignment="1" applyProtection="1">
      <alignment horizontal="center" vertical="center" wrapText="1"/>
      <protection locked="0"/>
    </xf>
    <xf numFmtId="0" fontId="7" fillId="6" borderId="1" xfId="0" applyFont="1" applyFill="1" applyBorder="1" applyAlignment="1" applyProtection="1">
      <alignment horizontal="center" vertical="center" wrapText="1"/>
      <protection locked="0"/>
    </xf>
    <xf numFmtId="0" fontId="3" fillId="2" borderId="1" xfId="0" applyFont="1" applyFill="1" applyBorder="1" applyAlignment="1" applyProtection="1">
      <alignment horizontal="center"/>
      <protection locked="0"/>
    </xf>
    <xf numFmtId="177" fontId="6" fillId="0" borderId="0" xfId="0" applyNumberFormat="1" applyFont="1" applyAlignment="1" applyProtection="1">
      <alignment horizontal="center" vertical="center" wrapText="1"/>
      <protection locked="0"/>
    </xf>
    <xf numFmtId="177" fontId="3" fillId="0" borderId="0" xfId="0" applyNumberFormat="1" applyFont="1" applyAlignment="1" applyProtection="1">
      <alignment horizontal="left" vertical="center"/>
      <protection locked="0"/>
    </xf>
    <xf numFmtId="177" fontId="21" fillId="0" borderId="0" xfId="0" applyNumberFormat="1" applyFont="1" applyAlignment="1" applyProtection="1">
      <alignment horizontal="left" vertical="center"/>
      <protection locked="0"/>
    </xf>
    <xf numFmtId="177" fontId="7" fillId="0" borderId="1" xfId="0" applyNumberFormat="1" applyFont="1" applyBorder="1" applyAlignment="1" applyProtection="1">
      <alignment horizontal="center" vertical="center" wrapText="1"/>
      <protection locked="0"/>
    </xf>
    <xf numFmtId="177" fontId="7" fillId="2" borderId="1" xfId="12" applyNumberFormat="1" applyFont="1" applyFill="1" applyBorder="1" applyAlignment="1" applyProtection="1">
      <alignment horizontal="center" vertical="center" wrapText="1"/>
      <protection locked="0"/>
    </xf>
    <xf numFmtId="177" fontId="10" fillId="4" borderId="1" xfId="11" applyNumberFormat="1" applyFont="1" applyFill="1" applyBorder="1" applyAlignment="1" applyProtection="1">
      <alignment horizontal="right" vertical="center"/>
    </xf>
    <xf numFmtId="177" fontId="3" fillId="3" borderId="1" xfId="10" applyNumberFormat="1" applyFont="1" applyAlignment="1" applyProtection="1">
      <alignment horizontal="right"/>
      <protection locked="0"/>
    </xf>
    <xf numFmtId="0" fontId="3" fillId="2" borderId="1" xfId="0" applyFont="1" applyFill="1" applyBorder="1" applyAlignment="1" applyProtection="1">
      <alignment wrapText="1"/>
      <protection locked="0"/>
    </xf>
    <xf numFmtId="177" fontId="3" fillId="2" borderId="1" xfId="0" applyNumberFormat="1" applyFont="1" applyFill="1" applyBorder="1" applyAlignment="1" applyProtection="1">
      <alignment wrapText="1"/>
      <protection locked="0"/>
    </xf>
    <xf numFmtId="0" fontId="7" fillId="0" borderId="0" xfId="0" applyFont="1" applyAlignment="1" applyProtection="1">
      <alignment horizontal="center" vertical="center"/>
      <protection locked="0"/>
    </xf>
    <xf numFmtId="0" fontId="7" fillId="0" borderId="1" xfId="12" applyFont="1" applyBorder="1" applyAlignment="1" applyProtection="1">
      <alignment horizontal="center" vertical="center" wrapText="1"/>
      <protection locked="0"/>
    </xf>
    <xf numFmtId="0" fontId="7" fillId="2" borderId="1" xfId="12" applyFont="1" applyFill="1" applyBorder="1" applyAlignment="1" applyProtection="1">
      <alignment horizontal="center" vertical="center" wrapText="1"/>
      <protection locked="0"/>
    </xf>
    <xf numFmtId="0" fontId="7" fillId="0" borderId="0" xfId="0" applyFont="1" applyAlignment="1" applyProtection="1">
      <alignment horizontal="center"/>
      <protection locked="0"/>
    </xf>
    <xf numFmtId="0" fontId="10" fillId="0" borderId="0" xfId="0" applyFont="1" applyProtection="1">
      <alignment vertical="center"/>
      <protection locked="0"/>
    </xf>
    <xf numFmtId="177" fontId="7" fillId="2" borderId="1" xfId="0" applyNumberFormat="1" applyFont="1" applyFill="1" applyBorder="1" applyAlignment="1" applyProtection="1">
      <alignment horizontal="center"/>
      <protection locked="0"/>
    </xf>
    <xf numFmtId="177" fontId="7" fillId="0" borderId="0" xfId="0" applyNumberFormat="1" applyFont="1" applyAlignment="1" applyProtection="1">
      <protection locked="0"/>
    </xf>
    <xf numFmtId="177" fontId="4" fillId="0" borderId="0" xfId="0" applyNumberFormat="1" applyFont="1" applyAlignment="1" applyProtection="1">
      <protection locked="0"/>
    </xf>
    <xf numFmtId="0" fontId="7" fillId="0" borderId="0" xfId="0" applyFont="1" applyAlignment="1" applyProtection="1">
      <alignment horizontal="center" vertical="center" wrapText="1"/>
      <protection locked="0"/>
    </xf>
    <xf numFmtId="0" fontId="12" fillId="0" borderId="0" xfId="0" applyFont="1" applyAlignment="1" applyProtection="1">
      <protection locked="0"/>
    </xf>
    <xf numFmtId="0" fontId="22" fillId="0" borderId="0" xfId="0" applyFont="1" applyAlignment="1" applyProtection="1">
      <protection locked="0"/>
    </xf>
    <xf numFmtId="183" fontId="12" fillId="0" borderId="0" xfId="0" applyNumberFormat="1" applyFont="1" applyAlignment="1" applyProtection="1">
      <protection locked="0"/>
    </xf>
    <xf numFmtId="0" fontId="23" fillId="0" borderId="0" xfId="0" applyFont="1" applyAlignment="1" applyProtection="1">
      <alignment horizontal="center"/>
      <protection locked="0"/>
    </xf>
    <xf numFmtId="0" fontId="24" fillId="0" borderId="0" xfId="0" applyFont="1" applyAlignment="1" applyProtection="1">
      <alignment horizontal="center"/>
      <protection locked="0"/>
    </xf>
    <xf numFmtId="0" fontId="25" fillId="0" borderId="0" xfId="0" applyFont="1" applyAlignment="1" applyProtection="1">
      <alignment horizontal="left"/>
      <protection locked="0"/>
    </xf>
    <xf numFmtId="0" fontId="26" fillId="0" borderId="1" xfId="0" applyFont="1" applyBorder="1" applyAlignment="1" applyProtection="1">
      <alignment horizontal="center" vertical="center" wrapText="1"/>
      <protection locked="0"/>
    </xf>
    <xf numFmtId="0" fontId="25" fillId="0" borderId="1" xfId="12" applyFont="1" applyBorder="1" applyAlignment="1" applyProtection="1">
      <alignment horizontal="center" vertical="center" wrapText="1"/>
      <protection locked="0"/>
    </xf>
    <xf numFmtId="0" fontId="25" fillId="0" borderId="7" xfId="12" applyFont="1" applyBorder="1" applyAlignment="1" applyProtection="1">
      <alignment vertical="center" wrapText="1"/>
      <protection locked="0"/>
    </xf>
    <xf numFmtId="0" fontId="7" fillId="0" borderId="7" xfId="12" applyFont="1" applyBorder="1" applyAlignment="1" applyProtection="1">
      <alignment vertical="center" wrapText="1"/>
      <protection locked="0"/>
    </xf>
    <xf numFmtId="0" fontId="27" fillId="2" borderId="1" xfId="0" applyFont="1" applyFill="1" applyBorder="1" applyAlignment="1" applyProtection="1">
      <alignment horizontal="left"/>
      <protection locked="0"/>
    </xf>
    <xf numFmtId="0" fontId="25" fillId="2" borderId="1" xfId="12" applyFont="1" applyFill="1" applyBorder="1" applyAlignment="1" applyProtection="1">
      <alignment horizontal="center" vertical="center" wrapText="1"/>
      <protection locked="0"/>
    </xf>
    <xf numFmtId="0" fontId="4" fillId="0" borderId="1" xfId="12" applyFont="1" applyBorder="1" applyAlignment="1" applyProtection="1">
      <alignment horizontal="center" vertical="center"/>
      <protection locked="0"/>
    </xf>
    <xf numFmtId="0" fontId="7" fillId="3" borderId="1" xfId="12" applyFont="1" applyFill="1" applyBorder="1" applyAlignment="1" applyProtection="1">
      <alignment horizontal="center" vertical="center" wrapText="1"/>
      <protection locked="0"/>
    </xf>
    <xf numFmtId="10" fontId="28" fillId="0" borderId="1" xfId="27" applyNumberFormat="1" applyFont="1" applyFill="1" applyBorder="1" applyAlignment="1" applyProtection="1">
      <alignment horizontal="center" vertical="center"/>
      <protection locked="0"/>
    </xf>
    <xf numFmtId="10" fontId="4" fillId="0" borderId="1" xfId="27" applyNumberFormat="1" applyFont="1" applyFill="1" applyBorder="1" applyAlignment="1" applyProtection="1">
      <alignment horizontal="center" vertical="center" wrapText="1"/>
      <protection locked="0"/>
    </xf>
    <xf numFmtId="4" fontId="3" fillId="3" borderId="1" xfId="10" applyNumberFormat="1" applyFont="1" applyAlignment="1" applyProtection="1">
      <alignment horizontal="center"/>
      <protection locked="0"/>
    </xf>
    <xf numFmtId="10" fontId="4" fillId="0" borderId="1" xfId="27" applyNumberFormat="1" applyFont="1" applyFill="1" applyBorder="1" applyAlignment="1" applyProtection="1">
      <alignment horizontal="center" vertical="center"/>
      <protection locked="0"/>
    </xf>
    <xf numFmtId="9" fontId="4" fillId="0" borderId="1" xfId="27" applyFont="1" applyFill="1" applyBorder="1" applyAlignment="1" applyProtection="1">
      <alignment horizontal="center" vertical="center"/>
      <protection locked="0"/>
    </xf>
    <xf numFmtId="9" fontId="28" fillId="0" borderId="1" xfId="27" applyFont="1" applyFill="1" applyBorder="1" applyAlignment="1" applyProtection="1">
      <alignment horizontal="center" vertical="center"/>
      <protection locked="0"/>
    </xf>
    <xf numFmtId="3" fontId="3" fillId="3" borderId="1" xfId="10" applyFont="1" applyAlignment="1" applyProtection="1">
      <alignment horizontal="center"/>
      <protection locked="0"/>
    </xf>
    <xf numFmtId="0" fontId="25" fillId="0" borderId="8" xfId="12" applyFont="1" applyBorder="1" applyAlignment="1" applyProtection="1">
      <alignment horizontal="center" vertical="center" wrapText="1"/>
      <protection locked="0"/>
    </xf>
    <xf numFmtId="0" fontId="7" fillId="0" borderId="6" xfId="12" applyFont="1" applyBorder="1" applyAlignment="1" applyProtection="1">
      <alignment horizontal="center" vertical="center" wrapText="1"/>
      <protection locked="0"/>
    </xf>
    <xf numFmtId="183" fontId="23" fillId="0" borderId="0" xfId="0" applyNumberFormat="1" applyFont="1" applyAlignment="1" applyProtection="1">
      <alignment horizontal="center"/>
      <protection locked="0"/>
    </xf>
    <xf numFmtId="183" fontId="7" fillId="0" borderId="0" xfId="0" applyNumberFormat="1" applyFont="1" applyAlignment="1" applyProtection="1">
      <alignment horizontal="center"/>
      <protection locked="0"/>
    </xf>
    <xf numFmtId="183" fontId="7" fillId="0" borderId="0" xfId="0" applyNumberFormat="1" applyFont="1" applyAlignment="1" applyProtection="1">
      <alignment horizontal="left"/>
      <protection locked="0"/>
    </xf>
    <xf numFmtId="183" fontId="8" fillId="0" borderId="1" xfId="0" applyNumberFormat="1" applyFont="1" applyBorder="1" applyAlignment="1" applyProtection="1">
      <alignment horizontal="center" vertical="center" wrapText="1"/>
      <protection locked="0"/>
    </xf>
    <xf numFmtId="183" fontId="7" fillId="0" borderId="1" xfId="0" applyNumberFormat="1" applyFont="1" applyBorder="1" applyAlignment="1" applyProtection="1">
      <alignment horizontal="center"/>
      <protection locked="0"/>
    </xf>
    <xf numFmtId="183" fontId="7" fillId="0" borderId="1" xfId="0" applyNumberFormat="1" applyFont="1" applyBorder="1" applyAlignment="1" applyProtection="1">
      <alignment horizontal="center" vertical="center" wrapText="1"/>
      <protection locked="0"/>
    </xf>
    <xf numFmtId="183" fontId="7" fillId="2" borderId="1" xfId="12" applyNumberFormat="1" applyFont="1" applyFill="1" applyBorder="1" applyAlignment="1" applyProtection="1">
      <alignment horizontal="center" vertical="center" wrapText="1"/>
      <protection locked="0"/>
    </xf>
    <xf numFmtId="183" fontId="10" fillId="4" borderId="1" xfId="11" applyNumberFormat="1" applyFont="1" applyFill="1" applyBorder="1" applyAlignment="1" applyProtection="1">
      <alignment horizontal="right" vertical="center"/>
    </xf>
    <xf numFmtId="183" fontId="3" fillId="3" borderId="1" xfId="10" applyNumberFormat="1" applyFont="1" applyAlignment="1" applyProtection="1">
      <alignment horizontal="center"/>
      <protection locked="0"/>
    </xf>
    <xf numFmtId="183" fontId="3" fillId="2" borderId="1" xfId="10" applyNumberFormat="1" applyFont="1" applyFill="1" applyAlignment="1" applyProtection="1">
      <alignment horizontal="center"/>
      <protection locked="0"/>
    </xf>
    <xf numFmtId="183" fontId="7" fillId="0" borderId="0" xfId="0" applyNumberFormat="1" applyFont="1" applyAlignment="1" applyProtection="1">
      <protection locked="0"/>
    </xf>
    <xf numFmtId="0" fontId="12" fillId="0" borderId="0" xfId="0" applyFont="1" applyAlignment="1" applyProtection="1">
      <alignment horizontal="center" vertical="center" wrapText="1"/>
      <protection locked="0"/>
    </xf>
    <xf numFmtId="180" fontId="10" fillId="2" borderId="1" xfId="11" applyNumberFormat="1" applyFont="1" applyFill="1" applyBorder="1" applyAlignment="1" applyProtection="1">
      <alignment horizontal="right" vertical="center"/>
      <protection locked="0"/>
    </xf>
    <xf numFmtId="0" fontId="25" fillId="0" borderId="0" xfId="0" applyFont="1" applyAlignment="1" applyProtection="1">
      <protection locked="0"/>
    </xf>
    <xf numFmtId="9" fontId="7" fillId="0" borderId="0" xfId="27" applyFont="1" applyFill="1" applyBorder="1" applyAlignment="1" applyProtection="1">
      <alignment horizontal="center" vertical="center"/>
      <protection locked="0"/>
    </xf>
    <xf numFmtId="0" fontId="25" fillId="0" borderId="1" xfId="12" applyFont="1" applyBorder="1" applyAlignment="1" applyProtection="1">
      <alignment horizontal="left" vertical="center" wrapText="1"/>
      <protection locked="0"/>
    </xf>
    <xf numFmtId="9" fontId="7" fillId="3" borderId="1" xfId="27" applyFont="1" applyFill="1" applyBorder="1" applyAlignment="1" applyProtection="1">
      <alignment horizontal="center" vertical="center"/>
      <protection locked="0"/>
    </xf>
    <xf numFmtId="0" fontId="25" fillId="0" borderId="9" xfId="12" applyFont="1" applyBorder="1" applyAlignment="1" applyProtection="1">
      <alignment horizontal="left" vertical="center" wrapText="1"/>
      <protection locked="0"/>
    </xf>
    <xf numFmtId="9" fontId="7" fillId="3" borderId="9" xfId="27" applyFont="1" applyFill="1" applyBorder="1" applyAlignment="1" applyProtection="1">
      <alignment horizontal="center" vertical="center"/>
      <protection locked="0"/>
    </xf>
    <xf numFmtId="0" fontId="25" fillId="0" borderId="1" xfId="0" applyFont="1" applyBorder="1" applyAlignment="1" applyProtection="1">
      <alignment horizontal="center" vertical="center" wrapText="1"/>
      <protection locked="0"/>
    </xf>
    <xf numFmtId="0" fontId="4" fillId="3" borderId="1" xfId="0" applyFont="1" applyFill="1" applyBorder="1" applyAlignment="1" applyProtection="1">
      <alignment horizontal="center" vertical="center" wrapText="1"/>
      <protection locked="0"/>
    </xf>
    <xf numFmtId="0" fontId="28" fillId="0" borderId="0" xfId="0" applyFont="1" applyAlignment="1" applyProtection="1">
      <protection locked="0"/>
    </xf>
    <xf numFmtId="0" fontId="25" fillId="0" borderId="0" xfId="14" applyFont="1" applyFill="1" applyAlignment="1" applyProtection="1">
      <alignment vertical="center"/>
    </xf>
    <xf numFmtId="183" fontId="7" fillId="0" borderId="0" xfId="27" applyNumberFormat="1" applyFont="1" applyFill="1" applyBorder="1" applyAlignment="1" applyProtection="1">
      <alignment horizontal="center" vertical="center"/>
      <protection locked="0"/>
    </xf>
    <xf numFmtId="183" fontId="4" fillId="0" borderId="0" xfId="0" applyNumberFormat="1" applyFont="1" applyAlignment="1" applyProtection="1">
      <protection locked="0"/>
    </xf>
    <xf numFmtId="0" fontId="7" fillId="0" borderId="0" xfId="0" applyFont="1" applyAlignment="1" applyProtection="1">
      <alignment vertical="center"/>
      <protection locked="0"/>
    </xf>
    <xf numFmtId="0" fontId="4" fillId="0" borderId="0" xfId="0" applyFont="1" applyAlignment="1" applyProtection="1">
      <alignment horizontal="center" vertical="center"/>
      <protection locked="0"/>
    </xf>
    <xf numFmtId="10" fontId="5" fillId="0" borderId="0" xfId="27" applyNumberFormat="1" applyFont="1" applyAlignment="1" applyProtection="1">
      <alignment horizontal="center" vertical="center" wrapText="1"/>
      <protection locked="0"/>
    </xf>
    <xf numFmtId="0" fontId="3" fillId="0" borderId="0" xfId="0" applyFont="1" applyAlignment="1" applyProtection="1">
      <alignment horizontal="left"/>
      <protection locked="0"/>
    </xf>
    <xf numFmtId="10" fontId="7" fillId="0" borderId="0" xfId="27" applyNumberFormat="1" applyFont="1" applyAlignment="1" applyProtection="1">
      <alignment horizontal="center"/>
      <protection locked="0"/>
    </xf>
    <xf numFmtId="0" fontId="27" fillId="0" borderId="1" xfId="0" applyFont="1" applyBorder="1" applyAlignment="1" applyProtection="1">
      <alignment horizontal="left" vertical="center" wrapText="1"/>
      <protection locked="0"/>
    </xf>
    <xf numFmtId="0" fontId="4" fillId="0" borderId="1" xfId="0" applyFont="1" applyBorder="1" applyProtection="1">
      <alignment vertical="center"/>
      <protection locked="0"/>
    </xf>
    <xf numFmtId="0" fontId="29" fillId="2" borderId="1" xfId="0" applyFont="1" applyFill="1" applyBorder="1" applyProtection="1">
      <alignment vertical="center"/>
      <protection locked="0"/>
    </xf>
    <xf numFmtId="0" fontId="27" fillId="2" borderId="1" xfId="0" applyFont="1" applyFill="1" applyBorder="1" applyAlignment="1" applyProtection="1">
      <alignment horizontal="left" vertical="center" wrapText="1"/>
      <protection locked="0"/>
    </xf>
    <xf numFmtId="10" fontId="7" fillId="2" borderId="1" xfId="27" applyNumberFormat="1" applyFont="1" applyFill="1" applyBorder="1" applyAlignment="1" applyProtection="1">
      <alignment horizontal="center" vertical="center" wrapText="1"/>
      <protection locked="0"/>
    </xf>
    <xf numFmtId="0" fontId="7" fillId="6" borderId="1" xfId="14" applyFont="1" applyFill="1" applyBorder="1" applyAlignment="1" applyProtection="1">
      <alignment horizontal="center" vertical="center" wrapText="1"/>
      <protection locked="0"/>
    </xf>
    <xf numFmtId="0" fontId="20" fillId="2" borderId="1" xfId="0" applyFont="1" applyFill="1" applyBorder="1" applyAlignment="1" applyProtection="1">
      <alignment horizontal="left" vertical="center"/>
      <protection locked="0"/>
    </xf>
    <xf numFmtId="0" fontId="2" fillId="2" borderId="1" xfId="0" applyFont="1" applyFill="1" applyBorder="1" applyAlignment="1" applyProtection="1">
      <alignment horizontal="center"/>
      <protection locked="0"/>
    </xf>
    <xf numFmtId="10" fontId="8" fillId="2" borderId="1" xfId="27" applyNumberFormat="1" applyFont="1" applyFill="1" applyBorder="1" applyAlignment="1" applyProtection="1">
      <alignment horizontal="center" vertical="center" wrapText="1"/>
      <protection locked="0"/>
    </xf>
    <xf numFmtId="178" fontId="5" fillId="0" borderId="0" xfId="0" applyNumberFormat="1" applyFont="1" applyAlignment="1" applyProtection="1">
      <alignment horizontal="center" vertical="center" wrapText="1"/>
      <protection locked="0"/>
    </xf>
    <xf numFmtId="178" fontId="7" fillId="0" borderId="0" xfId="0" applyNumberFormat="1" applyFont="1" applyAlignment="1" applyProtection="1">
      <alignment horizontal="center"/>
      <protection locked="0"/>
    </xf>
    <xf numFmtId="178" fontId="7" fillId="2" borderId="1" xfId="0" applyNumberFormat="1" applyFont="1" applyFill="1" applyBorder="1" applyAlignment="1" applyProtection="1">
      <alignment horizontal="center" vertical="center" wrapText="1"/>
      <protection locked="0"/>
    </xf>
    <xf numFmtId="178" fontId="8" fillId="2" borderId="1" xfId="0" applyNumberFormat="1" applyFont="1" applyFill="1" applyBorder="1" applyAlignment="1" applyProtection="1">
      <alignment horizontal="center" vertical="center" wrapText="1"/>
      <protection locked="0"/>
    </xf>
    <xf numFmtId="10" fontId="0" fillId="0" borderId="0" xfId="27" applyNumberFormat="1" applyFont="1" applyProtection="1">
      <alignment vertical="center"/>
      <protection locked="0"/>
    </xf>
    <xf numFmtId="0" fontId="3" fillId="0" borderId="1" xfId="0" applyFont="1" applyBorder="1" applyAlignment="1" applyProtection="1">
      <alignment horizontal="center" vertical="center" wrapText="1"/>
      <protection locked="0"/>
    </xf>
    <xf numFmtId="10" fontId="3" fillId="2" borderId="1" xfId="27" applyNumberFormat="1" applyFont="1" applyFill="1" applyBorder="1" applyAlignment="1" applyProtection="1">
      <alignment horizontal="center" vertical="center" wrapText="1"/>
      <protection locked="0"/>
    </xf>
    <xf numFmtId="10" fontId="3" fillId="3" borderId="1" xfId="27" applyNumberFormat="1" applyFont="1" applyFill="1" applyBorder="1" applyAlignment="1" applyProtection="1">
      <alignment horizontal="center" vertical="center"/>
      <protection locked="0"/>
    </xf>
    <xf numFmtId="0" fontId="3" fillId="3" borderId="1" xfId="0" applyFont="1" applyFill="1" applyBorder="1" applyAlignment="1" applyProtection="1">
      <alignment horizontal="center"/>
      <protection locked="0"/>
    </xf>
    <xf numFmtId="0" fontId="3" fillId="2" borderId="1" xfId="0" applyFont="1" applyFill="1" applyBorder="1" applyAlignment="1" applyProtection="1">
      <alignment horizontal="center" vertical="center" wrapText="1"/>
      <protection locked="0"/>
    </xf>
    <xf numFmtId="0" fontId="3" fillId="3" borderId="1" xfId="0" applyFont="1" applyFill="1" applyBorder="1" applyAlignment="1" applyProtection="1">
      <alignment horizontal="center" vertical="center"/>
      <protection locked="0"/>
    </xf>
    <xf numFmtId="0" fontId="4" fillId="3" borderId="1" xfId="0" applyFont="1" applyFill="1" applyBorder="1" applyAlignment="1" applyProtection="1">
      <protection locked="0"/>
    </xf>
    <xf numFmtId="10" fontId="4" fillId="3" borderId="1" xfId="27" applyNumberFormat="1" applyFont="1" applyFill="1" applyBorder="1" applyAlignment="1" applyProtection="1">
      <protection locked="0"/>
    </xf>
    <xf numFmtId="10" fontId="2" fillId="2" borderId="1" xfId="27" applyNumberFormat="1" applyFont="1" applyFill="1" applyBorder="1" applyAlignment="1" applyProtection="1">
      <alignment horizontal="center"/>
      <protection locked="0"/>
    </xf>
    <xf numFmtId="10" fontId="3" fillId="0" borderId="1" xfId="27" applyNumberFormat="1" applyFont="1" applyBorder="1" applyAlignment="1" applyProtection="1">
      <alignment horizontal="center" vertical="center" wrapText="1"/>
      <protection locked="0"/>
    </xf>
    <xf numFmtId="0" fontId="7" fillId="0" borderId="0" xfId="0" applyFont="1" applyFill="1" applyBorder="1" applyAlignment="1" applyProtection="1">
      <alignment vertical="center"/>
      <protection locked="0"/>
    </xf>
    <xf numFmtId="10" fontId="7" fillId="0" borderId="0" xfId="0" applyNumberFormat="1" applyFont="1" applyFill="1" applyBorder="1" applyAlignment="1" applyProtection="1">
      <alignment vertical="center"/>
      <protection locked="0"/>
    </xf>
    <xf numFmtId="10" fontId="4" fillId="0" borderId="0" xfId="0" applyNumberFormat="1" applyFont="1" applyAlignment="1" applyProtection="1">
      <protection locked="0"/>
    </xf>
    <xf numFmtId="10" fontId="7" fillId="0" borderId="0" xfId="27" applyNumberFormat="1" applyFont="1" applyFill="1" applyBorder="1" applyAlignment="1" applyProtection="1">
      <alignment vertical="center"/>
      <protection locked="0"/>
    </xf>
    <xf numFmtId="178" fontId="7" fillId="0" borderId="0" xfId="0" applyNumberFormat="1" applyFont="1" applyFill="1" applyBorder="1" applyAlignment="1" applyProtection="1">
      <alignment vertical="center"/>
      <protection locked="0"/>
    </xf>
    <xf numFmtId="178" fontId="4" fillId="0" borderId="0" xfId="0" applyNumberFormat="1" applyFont="1" applyAlignment="1" applyProtection="1">
      <protection locked="0"/>
    </xf>
    <xf numFmtId="10" fontId="7" fillId="0" borderId="0" xfId="0" applyNumberFormat="1" applyFont="1" applyAlignment="1" applyProtection="1">
      <alignment vertical="center"/>
      <protection locked="0"/>
    </xf>
    <xf numFmtId="0" fontId="4" fillId="0" borderId="0" xfId="0" applyFont="1" applyAlignment="1" applyProtection="1">
      <alignment horizontal="left"/>
      <protection locked="0"/>
    </xf>
    <xf numFmtId="0" fontId="3" fillId="2" borderId="1" xfId="0" applyFont="1" applyFill="1" applyBorder="1" applyAlignment="1" applyProtection="1">
      <alignment horizontal="left"/>
      <protection locked="0"/>
    </xf>
    <xf numFmtId="10" fontId="3" fillId="2" borderId="1" xfId="27" applyNumberFormat="1" applyFont="1" applyFill="1" applyBorder="1" applyAlignment="1" applyProtection="1">
      <alignment horizontal="center"/>
      <protection locked="0"/>
    </xf>
    <xf numFmtId="10" fontId="7" fillId="2" borderId="1" xfId="27" applyNumberFormat="1" applyFont="1" applyFill="1" applyBorder="1" applyAlignment="1" applyProtection="1">
      <alignment horizontal="center"/>
      <protection locked="0"/>
    </xf>
    <xf numFmtId="178" fontId="3" fillId="2" borderId="1" xfId="0" applyNumberFormat="1" applyFont="1" applyFill="1" applyBorder="1" applyAlignment="1" applyProtection="1">
      <alignment horizontal="center"/>
      <protection locked="0"/>
    </xf>
    <xf numFmtId="178" fontId="3" fillId="0" borderId="1" xfId="0" applyNumberFormat="1" applyFont="1" applyBorder="1" applyAlignment="1" applyProtection="1">
      <alignment horizontal="center" vertical="center" wrapText="1"/>
      <protection locked="0"/>
    </xf>
    <xf numFmtId="178" fontId="3" fillId="3" borderId="1" xfId="0" applyNumberFormat="1" applyFont="1" applyFill="1" applyBorder="1" applyAlignment="1" applyProtection="1">
      <alignment horizontal="center"/>
      <protection locked="0"/>
    </xf>
    <xf numFmtId="10" fontId="4" fillId="0" borderId="0" xfId="27" applyNumberFormat="1" applyFont="1" applyAlignment="1" applyProtection="1">
      <protection locked="0"/>
    </xf>
    <xf numFmtId="10" fontId="4" fillId="0" borderId="1" xfId="27" applyNumberFormat="1" applyFont="1" applyBorder="1" applyAlignment="1" applyProtection="1">
      <alignment horizontal="center" vertical="center" wrapText="1"/>
      <protection locked="0"/>
    </xf>
    <xf numFmtId="10" fontId="4" fillId="3" borderId="1" xfId="27" applyNumberFormat="1" applyFont="1" applyFill="1" applyBorder="1" applyAlignment="1" applyProtection="1">
      <alignment horizontal="center" vertical="center" wrapText="1"/>
      <protection locked="0"/>
    </xf>
    <xf numFmtId="10" fontId="7" fillId="0" borderId="0" xfId="27" applyNumberFormat="1" applyFont="1" applyAlignment="1" applyProtection="1">
      <protection locked="0"/>
    </xf>
    <xf numFmtId="178" fontId="7" fillId="0" borderId="0" xfId="0" applyNumberFormat="1" applyFont="1" applyAlignment="1" applyProtection="1">
      <protection locked="0"/>
    </xf>
    <xf numFmtId="0" fontId="30" fillId="0" borderId="0" xfId="0" applyFont="1" applyAlignment="1"/>
    <xf numFmtId="37" fontId="7" fillId="0" borderId="0" xfId="0" applyNumberFormat="1" applyFont="1" applyAlignment="1"/>
    <xf numFmtId="0" fontId="31" fillId="0" borderId="0" xfId="0" applyFont="1" applyAlignment="1">
      <alignment horizontal="center" vertical="center" wrapText="1"/>
    </xf>
    <xf numFmtId="0" fontId="32" fillId="0" borderId="0" xfId="0" applyFont="1">
      <alignment vertical="center"/>
    </xf>
    <xf numFmtId="0" fontId="31" fillId="0" borderId="0" xfId="0" applyFont="1">
      <alignment vertical="center"/>
    </xf>
    <xf numFmtId="0" fontId="30" fillId="0" borderId="0" xfId="0" applyFont="1" applyFill="1" applyAlignment="1" applyProtection="1">
      <protection locked="0"/>
    </xf>
    <xf numFmtId="0" fontId="33" fillId="0" borderId="9" xfId="0" applyFont="1" applyFill="1" applyBorder="1" applyAlignment="1" applyProtection="1">
      <alignment horizontal="center" vertical="center"/>
      <protection locked="0"/>
    </xf>
    <xf numFmtId="0" fontId="6" fillId="0" borderId="9" xfId="0" applyFont="1" applyFill="1" applyBorder="1" applyAlignment="1" applyProtection="1">
      <alignment horizontal="center" vertical="center"/>
      <protection locked="0"/>
    </xf>
    <xf numFmtId="37" fontId="7" fillId="0" borderId="0" xfId="0" applyNumberFormat="1" applyFont="1" applyFill="1" applyBorder="1" applyAlignment="1" applyProtection="1">
      <protection locked="0"/>
    </xf>
    <xf numFmtId="37" fontId="25" fillId="0" borderId="0" xfId="0" applyNumberFormat="1" applyFont="1" applyFill="1" applyBorder="1" applyAlignment="1" applyProtection="1">
      <alignment horizontal="left" vertical="top"/>
      <protection locked="0"/>
    </xf>
    <xf numFmtId="37" fontId="7" fillId="0" borderId="0" xfId="0" applyNumberFormat="1" applyFont="1" applyFill="1" applyBorder="1" applyAlignment="1" applyProtection="1">
      <alignment horizontal="center" vertical="top"/>
      <protection locked="0"/>
    </xf>
    <xf numFmtId="0" fontId="10" fillId="0" borderId="1" xfId="0" applyFont="1" applyBorder="1" applyAlignment="1" applyProtection="1">
      <alignment horizontal="center" vertical="center"/>
      <protection locked="0"/>
    </xf>
    <xf numFmtId="0" fontId="25" fillId="0" borderId="1" xfId="0" applyFont="1" applyBorder="1" applyAlignment="1" applyProtection="1">
      <alignment horizontal="center" vertical="center"/>
      <protection locked="0"/>
    </xf>
    <xf numFmtId="0" fontId="25" fillId="0" borderId="6" xfId="0" applyFont="1" applyBorder="1" applyProtection="1">
      <alignment vertical="center"/>
      <protection locked="0"/>
    </xf>
    <xf numFmtId="0" fontId="10" fillId="3" borderId="1" xfId="0" applyFont="1" applyFill="1" applyBorder="1" applyProtection="1">
      <alignment vertical="center"/>
      <protection locked="0"/>
    </xf>
    <xf numFmtId="0" fontId="25" fillId="0" borderId="6" xfId="0" applyFont="1" applyBorder="1" applyAlignment="1" applyProtection="1">
      <alignment horizontal="left" vertical="center"/>
      <protection locked="0"/>
    </xf>
    <xf numFmtId="0" fontId="25" fillId="0" borderId="6" xfId="0" applyFont="1" applyBorder="1" applyAlignment="1" applyProtection="1">
      <alignment horizontal="left" vertical="center" wrapText="1"/>
      <protection locked="0"/>
    </xf>
    <xf numFmtId="0" fontId="25" fillId="0" borderId="1" xfId="0" applyFont="1" applyBorder="1" applyAlignment="1" applyProtection="1">
      <alignment horizontal="left" vertical="center"/>
      <protection locked="0"/>
    </xf>
    <xf numFmtId="0" fontId="10" fillId="2" borderId="1" xfId="0" applyFont="1" applyFill="1" applyBorder="1" applyProtection="1">
      <alignment vertical="center"/>
      <protection locked="0"/>
    </xf>
    <xf numFmtId="0" fontId="25" fillId="0" borderId="1" xfId="0" applyFont="1" applyBorder="1" applyProtection="1">
      <alignment vertical="center"/>
      <protection locked="0"/>
    </xf>
    <xf numFmtId="0" fontId="10" fillId="8" borderId="1" xfId="0" applyFont="1" applyFill="1" applyBorder="1" applyProtection="1">
      <alignment vertical="center"/>
      <protection locked="0"/>
    </xf>
    <xf numFmtId="0" fontId="10" fillId="0" borderId="0" xfId="0" applyFont="1">
      <alignment vertical="center"/>
    </xf>
    <xf numFmtId="0" fontId="32" fillId="0" borderId="0" xfId="0" applyFont="1" applyProtection="1">
      <alignment vertical="center"/>
      <protection locked="0"/>
    </xf>
    <xf numFmtId="0" fontId="31" fillId="0" borderId="0" xfId="0" applyFont="1" applyProtection="1">
      <alignment vertical="center"/>
      <protection locked="0"/>
    </xf>
    <xf numFmtId="0" fontId="10" fillId="0" borderId="1" xfId="0" applyFont="1" applyBorder="1" applyAlignment="1" applyProtection="1">
      <alignment horizontal="center" vertical="center" wrapText="1"/>
      <protection locked="0"/>
    </xf>
    <xf numFmtId="0" fontId="10" fillId="0" borderId="1" xfId="0" applyFont="1" applyBorder="1" applyAlignment="1" applyProtection="1">
      <alignment vertical="center" wrapText="1"/>
      <protection locked="0"/>
    </xf>
    <xf numFmtId="0" fontId="10" fillId="3" borderId="10" xfId="0" applyFont="1" applyFill="1" applyBorder="1" applyProtection="1">
      <alignment vertical="center"/>
      <protection locked="0"/>
    </xf>
    <xf numFmtId="0" fontId="10" fillId="3" borderId="1" xfId="0" applyFont="1" applyFill="1" applyBorder="1" applyProtection="1">
      <alignment vertical="center"/>
    </xf>
    <xf numFmtId="0" fontId="34" fillId="6" borderId="0" xfId="0" applyFont="1" applyFill="1" applyProtection="1">
      <alignment vertical="center"/>
      <protection locked="0"/>
    </xf>
    <xf numFmtId="37" fontId="7" fillId="0" borderId="0" xfId="0" applyNumberFormat="1" applyFont="1" applyAlignment="1" applyProtection="1">
      <protection locked="0"/>
    </xf>
    <xf numFmtId="0" fontId="30" fillId="6" borderId="0" xfId="0" applyFont="1" applyFill="1" applyProtection="1">
      <alignment vertical="center"/>
      <protection locked="0"/>
    </xf>
    <xf numFmtId="0" fontId="31" fillId="0" borderId="0" xfId="0" applyFont="1" applyAlignment="1" applyProtection="1">
      <alignment horizontal="center" vertical="center" wrapText="1"/>
      <protection locked="0"/>
    </xf>
    <xf numFmtId="0" fontId="31" fillId="0" borderId="0" xfId="0" applyFont="1" applyProtection="1">
      <alignment vertical="center"/>
    </xf>
    <xf numFmtId="0" fontId="30" fillId="0" borderId="0" xfId="0" applyFont="1" applyAlignment="1" applyProtection="1"/>
    <xf numFmtId="0" fontId="30" fillId="0" borderId="0" xfId="0" applyFont="1" applyAlignment="1" applyProtection="1">
      <protection locked="0"/>
    </xf>
    <xf numFmtId="37" fontId="7" fillId="0" borderId="0" xfId="0" applyNumberFormat="1" applyFont="1" applyAlignment="1" applyProtection="1">
      <alignment horizontal="right" vertical="top"/>
      <protection locked="0"/>
    </xf>
    <xf numFmtId="0" fontId="35" fillId="0" borderId="0" xfId="13" applyFont="1" applyFill="1" applyAlignment="1" applyProtection="1">
      <alignment vertical="center"/>
    </xf>
    <xf numFmtId="0" fontId="7" fillId="0" borderId="0" xfId="13" applyFont="1" applyFill="1" applyAlignment="1" applyProtection="1">
      <alignment vertical="center"/>
    </xf>
    <xf numFmtId="0" fontId="27" fillId="0" borderId="0" xfId="13" applyFont="1" applyFill="1" applyAlignment="1" applyProtection="1">
      <alignment vertical="center"/>
    </xf>
    <xf numFmtId="0" fontId="12" fillId="0" borderId="0" xfId="13" applyFont="1" applyFill="1" applyAlignment="1" applyProtection="1">
      <alignment horizontal="center" vertical="center"/>
    </xf>
    <xf numFmtId="0" fontId="12" fillId="0" borderId="0" xfId="13" applyFont="1" applyFill="1" applyAlignment="1" applyProtection="1"/>
    <xf numFmtId="0" fontId="12" fillId="0" borderId="0" xfId="13" applyAlignment="1" applyProtection="1">
      <protection locked="0"/>
    </xf>
    <xf numFmtId="0" fontId="12" fillId="0" borderId="0" xfId="0" applyFont="1" applyFill="1" applyAlignment="1"/>
    <xf numFmtId="0" fontId="6" fillId="0" borderId="0" xfId="13" applyFont="1" applyFill="1" applyAlignment="1" applyProtection="1">
      <alignment horizontal="center" vertical="center"/>
    </xf>
    <xf numFmtId="0" fontId="6" fillId="0" borderId="0" xfId="13" applyFont="1" applyAlignment="1" applyProtection="1">
      <alignment horizontal="center" vertical="center"/>
      <protection locked="0"/>
    </xf>
    <xf numFmtId="0" fontId="7" fillId="0" borderId="11" xfId="6" applyFont="1" applyFill="1" applyBorder="1" applyAlignment="1" applyProtection="1">
      <alignment horizontal="left" vertical="center"/>
    </xf>
    <xf numFmtId="0" fontId="7" fillId="0" borderId="0" xfId="13" applyFont="1" applyProtection="1">
      <alignment vertical="center"/>
      <protection locked="0"/>
    </xf>
    <xf numFmtId="0" fontId="7" fillId="0" borderId="12" xfId="13" applyFont="1" applyFill="1" applyBorder="1" applyAlignment="1" applyProtection="1">
      <alignment horizontal="center" vertical="center" wrapText="1"/>
    </xf>
    <xf numFmtId="0" fontId="7" fillId="0" borderId="13" xfId="13" applyFont="1" applyFill="1" applyBorder="1" applyAlignment="1" applyProtection="1">
      <alignment horizontal="center" vertical="center" wrapText="1"/>
    </xf>
    <xf numFmtId="0" fontId="7" fillId="0" borderId="7" xfId="13" applyFont="1" applyBorder="1" applyAlignment="1" applyProtection="1">
      <alignment horizontal="center" vertical="center"/>
      <protection locked="0"/>
    </xf>
    <xf numFmtId="0" fontId="7" fillId="0" borderId="14" xfId="13" applyFont="1" applyFill="1" applyBorder="1" applyAlignment="1" applyProtection="1">
      <alignment horizontal="center" vertical="center" wrapText="1"/>
    </xf>
    <xf numFmtId="0" fontId="7" fillId="0" borderId="0" xfId="13" applyFont="1" applyFill="1" applyBorder="1" applyAlignment="1" applyProtection="1">
      <alignment horizontal="center" vertical="center" wrapText="1"/>
    </xf>
    <xf numFmtId="0" fontId="18" fillId="0" borderId="1" xfId="0" applyFont="1" applyFill="1" applyBorder="1" applyAlignment="1" applyProtection="1">
      <alignment horizontal="center" vertical="center" wrapText="1"/>
      <protection locked="0"/>
    </xf>
    <xf numFmtId="0" fontId="15" fillId="0" borderId="15" xfId="0" applyFont="1" applyFill="1" applyBorder="1" applyAlignment="1" applyProtection="1">
      <alignment horizontal="center" vertical="center"/>
      <protection locked="0"/>
    </xf>
    <xf numFmtId="0" fontId="15" fillId="0" borderId="6" xfId="0" applyFont="1" applyFill="1" applyBorder="1" applyAlignment="1" applyProtection="1">
      <alignment horizontal="center" vertical="center"/>
      <protection locked="0"/>
    </xf>
    <xf numFmtId="0" fontId="27" fillId="0" borderId="16" xfId="0" applyFont="1" applyFill="1" applyBorder="1" applyAlignment="1" applyProtection="1">
      <alignment horizontal="center" vertical="center" wrapText="1"/>
      <protection locked="0"/>
    </xf>
    <xf numFmtId="0" fontId="27" fillId="0" borderId="2" xfId="0" applyFont="1" applyFill="1" applyBorder="1" applyAlignment="1" applyProtection="1">
      <alignment horizontal="center" vertical="center" wrapText="1"/>
      <protection locked="0"/>
    </xf>
    <xf numFmtId="0" fontId="7" fillId="0" borderId="17" xfId="13" applyFont="1" applyFill="1" applyBorder="1" applyAlignment="1" applyProtection="1">
      <alignment horizontal="center" vertical="center" wrapText="1"/>
    </xf>
    <xf numFmtId="0" fontId="7" fillId="0" borderId="5" xfId="13" applyFont="1" applyFill="1" applyBorder="1" applyAlignment="1" applyProtection="1">
      <alignment horizontal="center" vertical="center" wrapText="1"/>
    </xf>
    <xf numFmtId="0" fontId="27" fillId="0" borderId="18" xfId="0" applyFont="1" applyFill="1" applyBorder="1" applyAlignment="1" applyProtection="1">
      <alignment horizontal="center" vertical="center" wrapText="1"/>
      <protection locked="0"/>
    </xf>
    <xf numFmtId="0" fontId="7" fillId="0" borderId="1" xfId="13" applyFont="1" applyFill="1" applyBorder="1" applyAlignment="1" applyProtection="1">
      <alignment horizontal="center" vertical="center"/>
    </xf>
    <xf numFmtId="0" fontId="27" fillId="0" borderId="1" xfId="13" applyFont="1" applyFill="1" applyBorder="1" applyAlignment="1" applyProtection="1">
      <alignment vertical="center" wrapText="1"/>
    </xf>
    <xf numFmtId="2" fontId="7" fillId="4" borderId="1" xfId="13" applyNumberFormat="1" applyFont="1" applyFill="1" applyBorder="1" applyAlignment="1" applyProtection="1">
      <alignment horizontal="right" vertical="center"/>
    </xf>
    <xf numFmtId="0" fontId="36" fillId="0" borderId="1" xfId="0" applyFont="1" applyFill="1" applyBorder="1" applyAlignment="1" applyProtection="1">
      <alignment horizontal="left" vertical="center" wrapText="1"/>
      <protection locked="0"/>
    </xf>
    <xf numFmtId="0" fontId="37" fillId="8" borderId="1" xfId="0" applyFont="1" applyFill="1" applyBorder="1" applyAlignment="1" applyProtection="1">
      <alignment horizontal="center" vertical="center" wrapText="1"/>
      <protection locked="0"/>
    </xf>
    <xf numFmtId="0" fontId="36" fillId="0" borderId="1" xfId="0" applyFont="1" applyFill="1" applyBorder="1" applyAlignment="1" applyProtection="1">
      <alignment horizontal="left" vertical="center"/>
      <protection locked="0"/>
    </xf>
    <xf numFmtId="0" fontId="12" fillId="4" borderId="1" xfId="13" applyFont="1" applyFill="1" applyBorder="1" applyAlignment="1" applyProtection="1">
      <alignment horizontal="center" vertical="center"/>
    </xf>
    <xf numFmtId="0" fontId="38" fillId="0" borderId="7" xfId="13" applyFont="1" applyBorder="1" applyAlignment="1" applyProtection="1">
      <alignment horizontal="center" vertical="center"/>
      <protection locked="0"/>
    </xf>
    <xf numFmtId="0" fontId="15" fillId="0" borderId="1" xfId="0" applyFont="1" applyFill="1" applyBorder="1" applyAlignment="1" applyProtection="1">
      <alignment horizontal="center" vertical="center"/>
      <protection locked="0"/>
    </xf>
    <xf numFmtId="0" fontId="27" fillId="0" borderId="9" xfId="0" applyFont="1" applyFill="1" applyBorder="1" applyAlignment="1" applyProtection="1">
      <alignment horizontal="center" vertical="center" wrapText="1"/>
      <protection locked="0"/>
    </xf>
    <xf numFmtId="0" fontId="39" fillId="0" borderId="1" xfId="13" applyFont="1" applyFill="1" applyBorder="1" applyAlignment="1" applyProtection="1">
      <alignment horizontal="center" vertical="center"/>
    </xf>
    <xf numFmtId="0" fontId="27" fillId="0" borderId="3" xfId="0" applyFont="1" applyFill="1" applyBorder="1" applyAlignment="1" applyProtection="1">
      <alignment horizontal="center" vertical="center" wrapText="1"/>
      <protection locked="0"/>
    </xf>
    <xf numFmtId="0" fontId="18" fillId="0" borderId="9" xfId="0" applyFont="1" applyFill="1" applyBorder="1" applyAlignment="1" applyProtection="1">
      <alignment horizontal="center" vertical="center" wrapText="1"/>
      <protection locked="0"/>
    </xf>
    <xf numFmtId="0" fontId="39" fillId="0" borderId="9" xfId="0" applyFont="1" applyFill="1" applyBorder="1" applyAlignment="1" applyProtection="1">
      <alignment horizontal="center" vertical="center" wrapText="1"/>
      <protection locked="0"/>
    </xf>
    <xf numFmtId="0" fontId="27" fillId="0" borderId="10" xfId="0" applyFont="1" applyFill="1" applyBorder="1" applyAlignment="1" applyProtection="1">
      <alignment horizontal="center" vertical="center" wrapText="1"/>
      <protection locked="0"/>
    </xf>
    <xf numFmtId="0" fontId="18" fillId="0" borderId="10" xfId="0" applyFont="1" applyFill="1" applyBorder="1" applyAlignment="1" applyProtection="1">
      <alignment horizontal="center" vertical="center" wrapText="1"/>
      <protection locked="0"/>
    </xf>
    <xf numFmtId="0" fontId="39" fillId="0" borderId="10" xfId="0" applyFont="1" applyFill="1" applyBorder="1" applyAlignment="1" applyProtection="1">
      <alignment horizontal="center" vertical="center" wrapText="1"/>
      <protection locked="0"/>
    </xf>
    <xf numFmtId="0" fontId="15" fillId="0" borderId="8" xfId="0" applyFont="1" applyFill="1" applyBorder="1" applyAlignment="1" applyProtection="1">
      <alignment horizontal="center" vertical="center" wrapText="1"/>
      <protection locked="0"/>
    </xf>
    <xf numFmtId="0" fontId="15" fillId="0" borderId="15" xfId="0" applyFont="1" applyFill="1" applyBorder="1" applyAlignment="1" applyProtection="1">
      <alignment horizontal="center" vertical="center" wrapText="1"/>
      <protection locked="0"/>
    </xf>
    <xf numFmtId="0" fontId="7" fillId="0" borderId="11" xfId="13" applyFont="1" applyFill="1" applyBorder="1" applyAlignment="1" applyProtection="1">
      <alignment horizontal="center" vertical="center"/>
    </xf>
    <xf numFmtId="0" fontId="40" fillId="0" borderId="1" xfId="0" applyFont="1" applyFill="1" applyBorder="1" applyAlignment="1" applyProtection="1">
      <alignment horizontal="center" vertical="center"/>
      <protection locked="0"/>
    </xf>
    <xf numFmtId="0" fontId="18" fillId="0" borderId="19" xfId="0" applyFont="1" applyFill="1" applyBorder="1" applyAlignment="1" applyProtection="1">
      <alignment horizontal="center" vertical="center" wrapText="1"/>
      <protection locked="0"/>
    </xf>
    <xf numFmtId="0" fontId="18" fillId="0" borderId="20" xfId="0" applyFont="1" applyFill="1" applyBorder="1" applyAlignment="1" applyProtection="1">
      <alignment horizontal="center" vertical="center" wrapText="1"/>
      <protection locked="0"/>
    </xf>
    <xf numFmtId="0" fontId="18" fillId="0" borderId="4" xfId="0" applyFont="1" applyFill="1" applyBorder="1" applyAlignment="1" applyProtection="1">
      <alignment horizontal="center" vertical="center" wrapText="1"/>
      <protection locked="0"/>
    </xf>
    <xf numFmtId="0" fontId="18" fillId="0" borderId="21" xfId="0" applyFont="1" applyFill="1" applyBorder="1" applyAlignment="1" applyProtection="1">
      <alignment horizontal="center" vertical="center" wrapText="1"/>
      <protection locked="0"/>
    </xf>
    <xf numFmtId="0" fontId="7" fillId="0" borderId="0" xfId="13" applyFont="1" applyFill="1" applyAlignment="1" applyProtection="1">
      <alignment horizontal="right" vertical="center"/>
    </xf>
    <xf numFmtId="0" fontId="18" fillId="0" borderId="16" xfId="0" applyFont="1" applyFill="1" applyBorder="1" applyAlignment="1" applyProtection="1">
      <alignment horizontal="center" vertical="center" wrapText="1"/>
      <protection locked="0"/>
    </xf>
    <xf numFmtId="2" fontId="7" fillId="8" borderId="1" xfId="13" applyNumberFormat="1" applyFont="1" applyFill="1" applyBorder="1" applyAlignment="1" applyProtection="1">
      <alignment horizontal="right" vertical="center"/>
    </xf>
    <xf numFmtId="0" fontId="1" fillId="0" borderId="0" xfId="0" applyFont="1" applyFill="1" applyAlignment="1" applyProtection="1">
      <alignment horizontal="center"/>
      <protection locked="0"/>
    </xf>
    <xf numFmtId="0" fontId="4" fillId="0" borderId="0" xfId="0" applyFont="1" applyFill="1" applyAlignment="1" applyProtection="1">
      <protection locked="0"/>
    </xf>
    <xf numFmtId="0" fontId="5" fillId="0" borderId="0" xfId="0" applyFont="1" applyFill="1" applyAlignment="1" applyProtection="1">
      <alignment horizontal="center" vertical="center" wrapText="1"/>
      <protection locked="0"/>
    </xf>
    <xf numFmtId="0" fontId="10" fillId="0" borderId="0" xfId="68" applyFont="1" applyFill="1" applyAlignment="1" applyProtection="1">
      <alignment horizontal="left" vertical="center"/>
      <protection locked="0"/>
    </xf>
    <xf numFmtId="0" fontId="10" fillId="0" borderId="0" xfId="68" applyFont="1" applyFill="1" applyAlignment="1" applyProtection="1">
      <alignment horizontal="center" vertical="center"/>
      <protection locked="0"/>
    </xf>
    <xf numFmtId="0" fontId="0" fillId="0" borderId="1" xfId="0" applyFill="1" applyBorder="1" applyAlignment="1" applyProtection="1">
      <alignment horizontal="center" vertical="center"/>
      <protection locked="0"/>
    </xf>
    <xf numFmtId="0" fontId="10" fillId="0" borderId="6" xfId="68" applyFont="1" applyFill="1" applyBorder="1" applyAlignment="1" applyProtection="1">
      <alignment horizontal="center" vertical="center"/>
      <protection locked="0"/>
    </xf>
    <xf numFmtId="0" fontId="10" fillId="0" borderId="1" xfId="68" applyFont="1" applyFill="1" applyBorder="1" applyAlignment="1" applyProtection="1">
      <alignment horizontal="center" vertical="center"/>
      <protection locked="0"/>
    </xf>
    <xf numFmtId="0" fontId="10" fillId="0" borderId="1" xfId="68" applyFont="1" applyFill="1" applyBorder="1" applyAlignment="1" applyProtection="1">
      <alignment horizontal="center" vertical="center" wrapText="1"/>
      <protection locked="0"/>
    </xf>
    <xf numFmtId="0" fontId="7" fillId="0" borderId="6" xfId="68" applyFont="1" applyFill="1" applyBorder="1" applyAlignment="1" applyProtection="1">
      <alignment vertical="center" wrapText="1"/>
      <protection locked="0"/>
    </xf>
    <xf numFmtId="180" fontId="10" fillId="7" borderId="1" xfId="11" applyNumberFormat="1" applyFont="1" applyFill="1" applyBorder="1" applyAlignment="1" applyProtection="1">
      <alignment horizontal="right" vertical="center"/>
    </xf>
    <xf numFmtId="0" fontId="10" fillId="8" borderId="1" xfId="68" applyFont="1" applyFill="1" applyBorder="1" applyAlignment="1" applyProtection="1">
      <alignment vertical="center" wrapText="1"/>
      <protection locked="0"/>
    </xf>
    <xf numFmtId="0" fontId="10" fillId="5" borderId="1" xfId="68" applyFont="1" applyFill="1" applyBorder="1" applyAlignment="1" applyProtection="1">
      <alignment vertical="center" wrapText="1"/>
      <protection locked="0"/>
    </xf>
    <xf numFmtId="0" fontId="25" fillId="0" borderId="1" xfId="0" applyFont="1" applyFill="1" applyBorder="1" applyProtection="1">
      <alignment vertical="center"/>
      <protection locked="0"/>
    </xf>
    <xf numFmtId="0" fontId="7" fillId="0" borderId="1" xfId="68" applyFont="1" applyFill="1" applyBorder="1" applyAlignment="1" applyProtection="1">
      <alignment horizontal="left" vertical="center" wrapText="1"/>
      <protection locked="0"/>
    </xf>
    <xf numFmtId="180" fontId="38" fillId="7" borderId="1" xfId="11" applyNumberFormat="1" applyFont="1" applyFill="1" applyBorder="1" applyAlignment="1" applyProtection="1">
      <alignment horizontal="right" vertical="center"/>
    </xf>
    <xf numFmtId="0" fontId="10" fillId="0" borderId="0" xfId="68" applyFont="1" applyFill="1" applyProtection="1">
      <alignment vertical="center"/>
      <protection locked="0"/>
    </xf>
    <xf numFmtId="0" fontId="10" fillId="0" borderId="0" xfId="68" applyFont="1" applyFill="1" applyAlignment="1" applyProtection="1">
      <alignment vertical="center" wrapText="1"/>
      <protection locked="0"/>
    </xf>
    <xf numFmtId="0" fontId="10" fillId="0" borderId="0" xfId="68" applyFont="1" applyFill="1" applyAlignment="1" applyProtection="1">
      <alignment horizontal="right" vertical="center"/>
      <protection locked="0"/>
    </xf>
    <xf numFmtId="0" fontId="6" fillId="0" borderId="0" xfId="0" applyFont="1" applyFill="1" applyAlignment="1" applyProtection="1">
      <alignment vertical="center" wrapText="1"/>
      <protection locked="0"/>
    </xf>
    <xf numFmtId="0" fontId="0" fillId="0" borderId="0" xfId="68" applyFill="1" applyProtection="1">
      <alignment vertical="center"/>
      <protection locked="0"/>
    </xf>
    <xf numFmtId="0" fontId="0" fillId="0" borderId="0" xfId="68" applyFill="1" applyAlignment="1" applyProtection="1">
      <alignment vertical="center" wrapText="1"/>
      <protection locked="0"/>
    </xf>
    <xf numFmtId="0" fontId="12" fillId="0" borderId="0" xfId="0" applyFont="1" applyFill="1" applyAlignment="1" applyProtection="1">
      <protection locked="0"/>
    </xf>
    <xf numFmtId="0" fontId="7" fillId="0" borderId="0" xfId="2" applyFont="1" applyAlignment="1">
      <alignment vertical="center"/>
    </xf>
    <xf numFmtId="0" fontId="41" fillId="0" borderId="0" xfId="2" applyFont="1" applyAlignment="1">
      <alignment vertical="center"/>
    </xf>
    <xf numFmtId="0" fontId="4" fillId="0" borderId="0" xfId="4" applyFont="1" applyFill="1" applyAlignment="1">
      <alignment vertical="center" wrapText="1"/>
    </xf>
    <xf numFmtId="0" fontId="4" fillId="0" borderId="0" xfId="4" applyFont="1" applyFill="1" applyAlignment="1">
      <alignment horizontal="center" vertical="center" wrapText="1"/>
    </xf>
    <xf numFmtId="0" fontId="42" fillId="0" borderId="0" xfId="4" applyFont="1" applyFill="1" applyAlignment="1">
      <alignment horizontal="center" vertical="center" wrapText="1"/>
    </xf>
    <xf numFmtId="0" fontId="7" fillId="0" borderId="0" xfId="5" applyFont="1" applyFill="1" applyAlignment="1" applyProtection="1">
      <alignment horizontal="left" vertical="center" wrapText="1"/>
      <protection locked="0"/>
    </xf>
    <xf numFmtId="0" fontId="7" fillId="0" borderId="5" xfId="5" applyFont="1" applyFill="1" applyBorder="1" applyAlignment="1" applyProtection="1">
      <alignment horizontal="left" vertical="center" wrapText="1"/>
      <protection locked="0"/>
    </xf>
    <xf numFmtId="0" fontId="25" fillId="0" borderId="1" xfId="0" applyFont="1" applyBorder="1" applyAlignment="1">
      <alignment horizontal="center" vertical="center" wrapText="1"/>
    </xf>
    <xf numFmtId="0" fontId="7" fillId="0" borderId="6" xfId="4" applyFont="1" applyFill="1" applyBorder="1" applyAlignment="1">
      <alignment horizontal="center" vertical="center" wrapText="1"/>
    </xf>
    <xf numFmtId="0" fontId="4" fillId="0" borderId="1" xfId="4" applyFont="1" applyFill="1" applyBorder="1" applyAlignment="1">
      <alignment horizontal="center" vertical="center" wrapText="1"/>
    </xf>
    <xf numFmtId="0" fontId="4" fillId="0" borderId="6" xfId="4" applyFont="1" applyFill="1" applyBorder="1" applyAlignment="1">
      <alignment horizontal="center" vertical="center" wrapText="1"/>
    </xf>
    <xf numFmtId="0" fontId="7" fillId="0" borderId="1" xfId="5" applyFont="1" applyFill="1" applyBorder="1" applyAlignment="1" applyProtection="1">
      <alignment horizontal="center" vertical="center" wrapText="1"/>
      <protection locked="0"/>
    </xf>
    <xf numFmtId="0" fontId="7" fillId="0" borderId="1" xfId="0" applyFont="1" applyBorder="1" applyAlignment="1">
      <alignment horizontal="center" vertical="center" wrapText="1"/>
    </xf>
    <xf numFmtId="181" fontId="43" fillId="4" borderId="1" xfId="28" applyNumberFormat="1" applyFont="1" applyFill="1" applyBorder="1" applyAlignment="1">
      <alignment horizontal="center" vertical="center" wrapText="1"/>
    </xf>
    <xf numFmtId="181" fontId="43" fillId="8" borderId="1" xfId="28" applyNumberFormat="1" applyFont="1" applyFill="1" applyBorder="1" applyAlignment="1">
      <alignment horizontal="center" vertical="center" wrapText="1"/>
    </xf>
    <xf numFmtId="0" fontId="4" fillId="5" borderId="6" xfId="4" applyFont="1" applyFill="1" applyBorder="1" applyAlignment="1">
      <alignment horizontal="center" vertical="center" wrapText="1"/>
    </xf>
    <xf numFmtId="181" fontId="43" fillId="5" borderId="1" xfId="28" applyNumberFormat="1" applyFont="1" applyFill="1" applyBorder="1" applyAlignment="1">
      <alignment horizontal="center" vertical="center" wrapText="1"/>
    </xf>
    <xf numFmtId="0" fontId="27" fillId="0" borderId="8" xfId="4" applyFont="1" applyFill="1" applyBorder="1" applyAlignment="1">
      <alignment horizontal="center" vertical="center" wrapText="1"/>
    </xf>
    <xf numFmtId="0" fontId="20" fillId="0" borderId="6" xfId="4" applyFont="1" applyFill="1" applyBorder="1" applyAlignment="1">
      <alignment horizontal="center" vertical="center" wrapText="1"/>
    </xf>
    <xf numFmtId="0" fontId="41" fillId="0" borderId="0" xfId="2" applyFont="1" applyFill="1" applyBorder="1" applyAlignment="1">
      <alignment horizontal="left" vertical="center"/>
    </xf>
    <xf numFmtId="0" fontId="41" fillId="0" borderId="0" xfId="2" applyFont="1" applyAlignment="1">
      <alignment horizontal="left" vertical="center"/>
    </xf>
    <xf numFmtId="0" fontId="7" fillId="0" borderId="0" xfId="4" applyFont="1" applyFill="1" applyAlignment="1">
      <alignment vertical="center"/>
    </xf>
    <xf numFmtId="0" fontId="7" fillId="0" borderId="0" xfId="2" applyFont="1" applyAlignment="1">
      <alignment horizontal="left" vertical="center" indent="1"/>
    </xf>
    <xf numFmtId="0" fontId="7" fillId="0" borderId="0" xfId="2" applyFont="1" applyAlignment="1">
      <alignment horizontal="center" vertical="center"/>
    </xf>
    <xf numFmtId="0" fontId="7" fillId="0" borderId="0" xfId="2" applyFont="1" applyFill="1" applyAlignment="1">
      <alignment horizontal="center" vertical="center" wrapText="1"/>
    </xf>
    <xf numFmtId="0" fontId="44" fillId="0" borderId="0" xfId="0" applyFont="1" applyAlignment="1" applyProtection="1">
      <alignment horizontal="center" vertical="center" wrapText="1"/>
      <protection locked="0"/>
    </xf>
    <xf numFmtId="0" fontId="7" fillId="0" borderId="1" xfId="0" applyFont="1" applyBorder="1" applyAlignment="1" applyProtection="1">
      <alignment vertical="center" wrapText="1"/>
      <protection locked="0"/>
    </xf>
    <xf numFmtId="180" fontId="3" fillId="2" borderId="1" xfId="10" applyNumberFormat="1" applyFont="1" applyFill="1" applyAlignment="1" applyProtection="1">
      <alignment horizontal="right"/>
      <protection locked="0"/>
    </xf>
    <xf numFmtId="0" fontId="7" fillId="2" borderId="1" xfId="0" applyFont="1" applyFill="1" applyBorder="1" applyAlignment="1" applyProtection="1">
      <alignment horizontal="left"/>
      <protection locked="0"/>
    </xf>
    <xf numFmtId="180" fontId="3" fillId="3" borderId="1" xfId="10" applyNumberFormat="1" applyFont="1" applyBorder="1" applyAlignment="1" applyProtection="1">
      <alignment horizontal="right"/>
      <protection locked="0"/>
    </xf>
    <xf numFmtId="180" fontId="3" fillId="2" borderId="1" xfId="10" applyNumberFormat="1" applyFont="1" applyFill="1" applyBorder="1" applyAlignment="1" applyProtection="1">
      <alignment horizontal="right"/>
      <protection locked="0"/>
    </xf>
    <xf numFmtId="0" fontId="25" fillId="0" borderId="1" xfId="12" applyFont="1" applyBorder="1" applyAlignment="1" applyProtection="1">
      <alignment vertical="center" wrapText="1"/>
      <protection locked="0"/>
    </xf>
    <xf numFmtId="0" fontId="7" fillId="0" borderId="1" xfId="12" applyFont="1" applyBorder="1" applyAlignment="1" applyProtection="1">
      <alignment vertical="center" wrapText="1"/>
      <protection locked="0"/>
    </xf>
    <xf numFmtId="0" fontId="25" fillId="2" borderId="1" xfId="0" applyFont="1" applyFill="1" applyBorder="1" applyAlignment="1" applyProtection="1">
      <alignment horizontal="center"/>
      <protection locked="0"/>
    </xf>
    <xf numFmtId="0" fontId="7" fillId="0" borderId="1" xfId="12" applyFont="1" applyBorder="1" applyAlignment="1" applyProtection="1">
      <alignment horizontal="center" vertical="center"/>
      <protection locked="0"/>
    </xf>
    <xf numFmtId="0" fontId="25" fillId="0" borderId="1" xfId="12" applyFont="1" applyBorder="1" applyAlignment="1" applyProtection="1">
      <alignment horizontal="center"/>
      <protection locked="0"/>
    </xf>
    <xf numFmtId="0" fontId="7" fillId="0" borderId="1" xfId="12" applyFont="1" applyBorder="1" applyAlignment="1" applyProtection="1">
      <alignment horizontal="center"/>
      <protection locked="0"/>
    </xf>
    <xf numFmtId="10" fontId="25" fillId="0" borderId="1" xfId="27" applyNumberFormat="1" applyFont="1" applyFill="1" applyBorder="1" applyAlignment="1" applyProtection="1">
      <alignment horizontal="center" vertical="center"/>
      <protection locked="0"/>
    </xf>
    <xf numFmtId="10" fontId="7" fillId="0" borderId="1" xfId="27" applyNumberFormat="1" applyFont="1" applyFill="1" applyBorder="1" applyAlignment="1" applyProtection="1">
      <alignment horizontal="center" vertical="center" wrapText="1"/>
      <protection locked="0"/>
    </xf>
    <xf numFmtId="10" fontId="7" fillId="0" borderId="1" xfId="27" applyNumberFormat="1" applyFont="1" applyFill="1" applyBorder="1" applyAlignment="1" applyProtection="1">
      <alignment horizontal="center" vertical="center"/>
      <protection locked="0"/>
    </xf>
    <xf numFmtId="9" fontId="7" fillId="0" borderId="1" xfId="27" applyFont="1" applyFill="1" applyBorder="1" applyAlignment="1" applyProtection="1">
      <alignment horizontal="center" vertical="center"/>
      <protection locked="0"/>
    </xf>
    <xf numFmtId="9" fontId="25" fillId="0" borderId="1" xfId="27" applyFont="1" applyFill="1" applyBorder="1" applyAlignment="1" applyProtection="1">
      <alignment horizontal="center" vertical="center"/>
      <protection locked="0"/>
    </xf>
    <xf numFmtId="0" fontId="3" fillId="0" borderId="0" xfId="0" applyFont="1" applyAlignment="1" applyProtection="1">
      <alignment wrapText="1"/>
      <protection locked="0"/>
    </xf>
    <xf numFmtId="176" fontId="3" fillId="3" borderId="1" xfId="10" applyNumberFormat="1" applyFont="1" applyAlignment="1" applyProtection="1">
      <alignment horizontal="center"/>
      <protection locked="0"/>
    </xf>
    <xf numFmtId="0" fontId="7" fillId="0" borderId="5" xfId="0" applyFont="1" applyBorder="1" applyAlignment="1" applyProtection="1">
      <alignment horizontal="left"/>
      <protection locked="0"/>
    </xf>
    <xf numFmtId="9" fontId="7" fillId="0" borderId="1" xfId="12" applyNumberFormat="1" applyFont="1" applyBorder="1" applyAlignment="1" applyProtection="1">
      <alignment horizontal="center" vertical="center" wrapText="1"/>
      <protection locked="0"/>
    </xf>
    <xf numFmtId="0" fontId="7" fillId="3" borderId="1" xfId="0" applyFont="1" applyFill="1" applyBorder="1" applyAlignment="1" applyProtection="1">
      <protection locked="0"/>
    </xf>
    <xf numFmtId="9" fontId="7" fillId="0" borderId="1" xfId="12" applyNumberFormat="1" applyFont="1" applyBorder="1" applyAlignment="1" applyProtection="1">
      <alignment horizontal="center" vertical="center"/>
      <protection locked="0"/>
    </xf>
    <xf numFmtId="4" fontId="3" fillId="2" borderId="1" xfId="10" applyNumberFormat="1" applyFont="1" applyFill="1" applyAlignment="1" applyProtection="1">
      <alignment horizontal="center"/>
      <protection locked="0"/>
    </xf>
    <xf numFmtId="3" fontId="3" fillId="2" borderId="1" xfId="10" applyFont="1" applyFill="1" applyAlignment="1" applyProtection="1">
      <alignment horizontal="center"/>
      <protection locked="0"/>
    </xf>
    <xf numFmtId="0" fontId="7" fillId="2" borderId="1" xfId="0" applyFont="1" applyFill="1" applyBorder="1" applyAlignment="1" applyProtection="1">
      <protection locked="0"/>
    </xf>
    <xf numFmtId="10" fontId="3" fillId="3" borderId="1" xfId="10" applyNumberFormat="1" applyFont="1" applyBorder="1" applyAlignment="1" applyProtection="1">
      <alignment horizontal="center"/>
      <protection locked="0"/>
    </xf>
    <xf numFmtId="176" fontId="3" fillId="3" borderId="1" xfId="10" applyNumberFormat="1" applyFont="1" applyBorder="1" applyAlignment="1" applyProtection="1">
      <alignment horizontal="center"/>
      <protection locked="0"/>
    </xf>
    <xf numFmtId="0" fontId="9" fillId="0" borderId="1" xfId="0" applyFont="1" applyBorder="1" applyProtection="1">
      <alignment vertical="center"/>
      <protection locked="0"/>
    </xf>
    <xf numFmtId="10" fontId="7" fillId="0" borderId="1" xfId="0" applyNumberFormat="1" applyFont="1" applyBorder="1" applyAlignment="1" applyProtection="1">
      <alignment horizontal="center"/>
      <protection locked="0"/>
    </xf>
    <xf numFmtId="0" fontId="3" fillId="0" borderId="0" xfId="0" applyFont="1" applyAlignment="1" applyProtection="1">
      <alignment vertical="center" wrapText="1"/>
      <protection locked="0"/>
    </xf>
    <xf numFmtId="0" fontId="16" fillId="0" borderId="1" xfId="0" applyFont="1" applyBorder="1" applyProtection="1">
      <alignment vertical="center"/>
      <protection locked="0"/>
    </xf>
    <xf numFmtId="0" fontId="19" fillId="2" borderId="1" xfId="0" applyFont="1" applyFill="1" applyBorder="1" applyProtection="1">
      <alignment vertical="center"/>
      <protection locked="0"/>
    </xf>
    <xf numFmtId="0" fontId="27" fillId="2" borderId="1" xfId="0" applyFont="1" applyFill="1" applyBorder="1" applyProtection="1">
      <alignment vertical="center"/>
      <protection locked="0"/>
    </xf>
    <xf numFmtId="0" fontId="27" fillId="2" borderId="1" xfId="0" applyFont="1" applyFill="1" applyBorder="1" applyAlignment="1" applyProtection="1">
      <alignment horizontal="left" vertical="center"/>
      <protection locked="0"/>
    </xf>
    <xf numFmtId="0" fontId="8" fillId="2" borderId="1" xfId="0" applyFont="1" applyFill="1" applyBorder="1" applyAlignment="1" applyProtection="1">
      <alignment horizontal="center" vertical="center" wrapText="1"/>
      <protection locked="0"/>
    </xf>
    <xf numFmtId="0" fontId="7" fillId="6" borderId="1" xfId="0" applyFont="1" applyFill="1" applyBorder="1" applyAlignment="1" applyProtection="1">
      <alignment horizontal="left" vertical="center" wrapText="1"/>
      <protection locked="0"/>
    </xf>
    <xf numFmtId="0" fontId="7" fillId="6" borderId="1" xfId="68" applyFont="1" applyFill="1" applyBorder="1" applyAlignment="1" applyProtection="1">
      <alignment horizontal="center"/>
      <protection locked="0"/>
    </xf>
    <xf numFmtId="0" fontId="7" fillId="2" borderId="1" xfId="0" applyFont="1" applyFill="1" applyBorder="1" applyAlignment="1" applyProtection="1">
      <alignment horizontal="center" vertical="center"/>
      <protection locked="0"/>
    </xf>
    <xf numFmtId="0" fontId="3" fillId="2" borderId="1" xfId="0" applyFont="1" applyFill="1" applyBorder="1" applyAlignment="1" applyProtection="1">
      <alignment horizontal="left" vertical="center"/>
      <protection locked="0"/>
    </xf>
    <xf numFmtId="0" fontId="3" fillId="2" borderId="1" xfId="0" applyFont="1" applyFill="1" applyBorder="1" applyAlignment="1" applyProtection="1">
      <alignment horizontal="center" vertical="center"/>
      <protection locked="0"/>
    </xf>
    <xf numFmtId="0" fontId="3" fillId="2" borderId="1" xfId="0" applyFont="1" applyFill="1" applyBorder="1" applyAlignment="1" applyProtection="1">
      <alignment vertical="center" wrapText="1"/>
      <protection locked="0"/>
    </xf>
    <xf numFmtId="0" fontId="3" fillId="3" borderId="1" xfId="0" applyFont="1" applyFill="1" applyBorder="1" applyAlignment="1" applyProtection="1">
      <alignment horizontal="center" vertical="center" wrapText="1"/>
      <protection locked="0"/>
    </xf>
    <xf numFmtId="37" fontId="3" fillId="0" borderId="0" xfId="0" applyNumberFormat="1" applyFont="1" applyAlignment="1" applyProtection="1">
      <alignment vertical="center"/>
      <protection locked="0"/>
    </xf>
    <xf numFmtId="37" fontId="3" fillId="0" borderId="0" xfId="0" applyNumberFormat="1" applyFont="1" applyAlignment="1" applyProtection="1">
      <protection locked="0"/>
    </xf>
    <xf numFmtId="0" fontId="0" fillId="0" borderId="0" xfId="0" applyAlignment="1" applyProtection="1">
      <alignment vertical="center" wrapText="1"/>
      <protection locked="0"/>
    </xf>
    <xf numFmtId="0" fontId="25" fillId="0" borderId="0" xfId="0" applyFont="1" applyProtection="1">
      <alignment vertical="center"/>
      <protection locked="0"/>
    </xf>
    <xf numFmtId="0" fontId="5" fillId="0" borderId="0" xfId="0" applyFont="1" applyFill="1" applyAlignment="1" applyProtection="1">
      <alignment horizontal="center" vertical="center"/>
      <protection locked="0"/>
    </xf>
    <xf numFmtId="0" fontId="45" fillId="0" borderId="0" xfId="0" applyFont="1" applyFill="1" applyAlignment="1" applyProtection="1">
      <alignment horizontal="center" vertical="center"/>
      <protection locked="0"/>
    </xf>
    <xf numFmtId="37" fontId="7" fillId="0" borderId="0" xfId="0" applyNumberFormat="1" applyFont="1" applyFill="1" applyAlignment="1" applyProtection="1">
      <alignment vertical="center"/>
      <protection locked="0"/>
    </xf>
    <xf numFmtId="37" fontId="25" fillId="0" borderId="0" xfId="0" applyNumberFormat="1" applyFont="1" applyFill="1" applyAlignment="1" applyProtection="1">
      <alignment horizontal="left" vertical="center"/>
      <protection locked="0"/>
    </xf>
    <xf numFmtId="37" fontId="7" fillId="0" borderId="0" xfId="0" applyNumberFormat="1" applyFont="1" applyFill="1" applyAlignment="1" applyProtection="1">
      <alignment horizontal="center" vertical="center"/>
      <protection locked="0"/>
    </xf>
    <xf numFmtId="37" fontId="27" fillId="0" borderId="1" xfId="0" applyNumberFormat="1" applyFont="1" applyBorder="1" applyAlignment="1" applyProtection="1">
      <alignment horizontal="center" vertical="center" wrapText="1"/>
      <protection locked="0"/>
    </xf>
    <xf numFmtId="37" fontId="15" fillId="0" borderId="1" xfId="0" applyNumberFormat="1" applyFont="1" applyBorder="1" applyAlignment="1" applyProtection="1">
      <alignment horizontal="center" vertical="center"/>
      <protection locked="0"/>
    </xf>
    <xf numFmtId="37" fontId="7" fillId="0" borderId="1" xfId="0" applyNumberFormat="1" applyFont="1" applyBorder="1" applyAlignment="1" applyProtection="1">
      <alignment horizontal="center" vertical="top"/>
      <protection locked="0"/>
    </xf>
    <xf numFmtId="0" fontId="19" fillId="0" borderId="1" xfId="0" applyFont="1" applyBorder="1" applyAlignment="1" applyProtection="1">
      <alignment horizontal="center" vertical="center"/>
      <protection locked="0"/>
    </xf>
    <xf numFmtId="0" fontId="27" fillId="0" borderId="1" xfId="0" applyFont="1" applyBorder="1" applyAlignment="1" applyProtection="1">
      <alignment horizontal="center" vertical="center" wrapText="1"/>
      <protection locked="0"/>
    </xf>
    <xf numFmtId="0" fontId="19" fillId="2" borderId="1" xfId="0" applyFont="1" applyFill="1" applyBorder="1" applyAlignment="1" applyProtection="1">
      <alignment horizontal="left" vertical="center"/>
      <protection locked="0"/>
    </xf>
    <xf numFmtId="0" fontId="15" fillId="2" borderId="1" xfId="0" applyFont="1" applyFill="1" applyBorder="1" applyAlignment="1" applyProtection="1">
      <alignment horizontal="left" vertical="center"/>
      <protection locked="0"/>
    </xf>
    <xf numFmtId="0" fontId="19" fillId="2" borderId="1" xfId="0" applyFont="1" applyFill="1" applyBorder="1" applyAlignment="1" applyProtection="1">
      <alignment horizontal="center" vertical="center"/>
      <protection locked="0"/>
    </xf>
    <xf numFmtId="180" fontId="10" fillId="4" borderId="1" xfId="0" applyNumberFormat="1" applyFont="1" applyFill="1" applyBorder="1" applyProtection="1">
      <alignment vertical="center"/>
    </xf>
    <xf numFmtId="0" fontId="25" fillId="0" borderId="1" xfId="0" applyFont="1" applyBorder="1" applyAlignment="1" applyProtection="1">
      <alignment horizontal="left" vertical="center" wrapText="1"/>
      <protection locked="0"/>
    </xf>
    <xf numFmtId="0" fontId="10" fillId="5" borderId="1" xfId="0" applyFont="1" applyFill="1" applyBorder="1" applyProtection="1">
      <alignment vertical="center"/>
      <protection locked="0"/>
    </xf>
    <xf numFmtId="180" fontId="10" fillId="2" borderId="1" xfId="0" applyNumberFormat="1" applyFont="1" applyFill="1" applyBorder="1" applyProtection="1">
      <alignment vertical="center"/>
      <protection locked="0"/>
    </xf>
    <xf numFmtId="0" fontId="15" fillId="0" borderId="1" xfId="0" applyFont="1" applyBorder="1" applyAlignment="1" applyProtection="1">
      <alignment horizontal="left" vertical="center"/>
      <protection locked="0"/>
    </xf>
    <xf numFmtId="180" fontId="38" fillId="4" borderId="1" xfId="0" applyNumberFormat="1" applyFont="1" applyFill="1" applyBorder="1" applyProtection="1">
      <alignment vertical="center"/>
    </xf>
    <xf numFmtId="0" fontId="15" fillId="2" borderId="1" xfId="0" applyFont="1" applyFill="1" applyBorder="1" applyProtection="1">
      <alignment vertical="center"/>
      <protection locked="0"/>
    </xf>
    <xf numFmtId="0" fontId="19" fillId="2" borderId="1" xfId="0" applyFont="1" applyFill="1" applyBorder="1" applyAlignment="1" applyProtection="1">
      <alignment horizontal="left" vertical="center" wrapText="1"/>
      <protection locked="0"/>
    </xf>
    <xf numFmtId="0" fontId="15" fillId="2" borderId="1" xfId="0" applyFont="1" applyFill="1" applyBorder="1" applyAlignment="1" applyProtection="1">
      <alignment horizontal="left" vertical="center" wrapText="1"/>
      <protection locked="0"/>
    </xf>
    <xf numFmtId="37" fontId="3" fillId="0" borderId="0" xfId="0" applyNumberFormat="1" applyFont="1" applyFill="1" applyAlignment="1" applyProtection="1">
      <alignment vertical="center"/>
      <protection locked="0"/>
    </xf>
    <xf numFmtId="0" fontId="19" fillId="3" borderId="1" xfId="0" applyFont="1" applyFill="1" applyBorder="1" applyProtection="1">
      <alignment vertical="center"/>
      <protection locked="0"/>
    </xf>
    <xf numFmtId="0" fontId="15" fillId="0" borderId="9" xfId="0" applyFont="1" applyBorder="1" applyAlignment="1" applyProtection="1">
      <alignment horizontal="left" vertical="center"/>
      <protection locked="0"/>
    </xf>
    <xf numFmtId="180" fontId="10" fillId="4" borderId="9" xfId="0" applyNumberFormat="1" applyFont="1" applyFill="1" applyBorder="1" applyProtection="1">
      <alignment vertical="center"/>
    </xf>
    <xf numFmtId="0" fontId="19" fillId="0" borderId="1" xfId="0" applyFont="1" applyBorder="1" applyAlignment="1" applyProtection="1">
      <alignment horizontal="left" vertical="center" wrapText="1"/>
      <protection locked="0"/>
    </xf>
    <xf numFmtId="0" fontId="15" fillId="0" borderId="1" xfId="0" applyFont="1" applyBorder="1" applyAlignment="1" applyProtection="1">
      <alignment horizontal="left" vertical="center" wrapText="1"/>
      <protection locked="0"/>
    </xf>
    <xf numFmtId="0" fontId="19" fillId="0" borderId="1" xfId="0" applyFont="1" applyBorder="1" applyAlignment="1" applyProtection="1">
      <alignment horizontal="center" vertical="center" wrapText="1"/>
      <protection locked="0"/>
    </xf>
    <xf numFmtId="0" fontId="10" fillId="0" borderId="10" xfId="0" applyFont="1" applyBorder="1" applyAlignment="1" applyProtection="1">
      <alignment horizontal="center" vertical="center"/>
      <protection locked="0"/>
    </xf>
    <xf numFmtId="0" fontId="25" fillId="0" borderId="10" xfId="0" applyFont="1" applyBorder="1" applyProtection="1">
      <alignment vertical="center"/>
      <protection locked="0"/>
    </xf>
    <xf numFmtId="0" fontId="10" fillId="3" borderId="1" xfId="0" applyFont="1" applyFill="1" applyBorder="1" applyAlignment="1" applyProtection="1">
      <alignment vertical="center" wrapText="1"/>
      <protection locked="0"/>
    </xf>
    <xf numFmtId="180" fontId="38" fillId="4" borderId="9" xfId="0" applyNumberFormat="1" applyFont="1" applyFill="1" applyBorder="1" applyProtection="1">
      <alignment vertical="center"/>
    </xf>
    <xf numFmtId="0" fontId="10" fillId="0" borderId="9" xfId="0" applyFont="1" applyBorder="1" applyAlignment="1" applyProtection="1">
      <alignment horizontal="center" vertical="center" wrapText="1"/>
      <protection locked="0"/>
    </xf>
    <xf numFmtId="0" fontId="25" fillId="0" borderId="9" xfId="0" applyFont="1" applyBorder="1" applyAlignment="1" applyProtection="1">
      <alignment vertical="center" wrapText="1"/>
      <protection locked="0"/>
    </xf>
    <xf numFmtId="0" fontId="19" fillId="3" borderId="9" xfId="0" applyFont="1" applyFill="1" applyBorder="1" applyAlignment="1" applyProtection="1">
      <alignment horizontal="center" vertical="center"/>
      <protection locked="0"/>
    </xf>
    <xf numFmtId="0" fontId="19" fillId="3" borderId="1" xfId="0" applyFont="1" applyFill="1" applyBorder="1" applyAlignment="1" applyProtection="1">
      <alignment horizontal="center" vertical="center"/>
      <protection locked="0"/>
    </xf>
    <xf numFmtId="0" fontId="19" fillId="0" borderId="1" xfId="0" applyFont="1" applyBorder="1" applyProtection="1">
      <alignment vertical="center"/>
      <protection locked="0"/>
    </xf>
    <xf numFmtId="0" fontId="15" fillId="0" borderId="8" xfId="0" applyFont="1" applyBorder="1" applyProtection="1">
      <alignment vertical="center"/>
      <protection locked="0"/>
    </xf>
    <xf numFmtId="0" fontId="25" fillId="0" borderId="21" xfId="0" applyFont="1" applyBorder="1" applyProtection="1">
      <alignment vertical="center"/>
      <protection locked="0"/>
    </xf>
    <xf numFmtId="0" fontId="25" fillId="0" borderId="8" xfId="0" applyFont="1" applyBorder="1" applyProtection="1">
      <alignment vertical="center"/>
      <protection locked="0"/>
    </xf>
    <xf numFmtId="0" fontId="25" fillId="0" borderId="8" xfId="0" applyFont="1" applyBorder="1" applyAlignment="1" applyProtection="1">
      <alignment horizontal="left" vertical="center"/>
      <protection locked="0"/>
    </xf>
    <xf numFmtId="0" fontId="25" fillId="0" borderId="20" xfId="0" applyFont="1" applyBorder="1" applyProtection="1">
      <alignment vertical="center"/>
      <protection locked="0"/>
    </xf>
    <xf numFmtId="0" fontId="27" fillId="0" borderId="0" xfId="13" applyFont="1" applyAlignment="1" applyProtection="1">
      <alignment horizontal="left" vertical="center"/>
      <protection locked="0"/>
    </xf>
    <xf numFmtId="2" fontId="7" fillId="0" borderId="0" xfId="13" applyNumberFormat="1" applyFont="1" applyAlignment="1" applyProtection="1">
      <alignment horizontal="right" vertical="center"/>
      <protection locked="0"/>
    </xf>
    <xf numFmtId="0" fontId="25" fillId="0" borderId="1" xfId="13" applyFont="1" applyBorder="1" applyAlignment="1" applyProtection="1">
      <alignment horizontal="left" vertical="center" wrapText="1"/>
      <protection locked="0"/>
    </xf>
    <xf numFmtId="0" fontId="7" fillId="0" borderId="0" xfId="0" applyFont="1" applyAlignment="1" applyProtection="1">
      <alignment wrapText="1"/>
      <protection locked="0"/>
    </xf>
    <xf numFmtId="0" fontId="25" fillId="0" borderId="9" xfId="13" applyFont="1" applyBorder="1" applyAlignment="1" applyProtection="1">
      <alignment horizontal="left" vertical="center" wrapText="1"/>
      <protection locked="0"/>
    </xf>
    <xf numFmtId="180" fontId="10" fillId="3" borderId="9" xfId="11" applyNumberFormat="1" applyFont="1" applyFill="1" applyBorder="1" applyAlignment="1" applyProtection="1">
      <alignment horizontal="right" vertical="center"/>
      <protection locked="0"/>
    </xf>
    <xf numFmtId="180" fontId="46" fillId="3" borderId="1" xfId="11" applyNumberFormat="1" applyFont="1" applyFill="1" applyBorder="1" applyAlignment="1" applyProtection="1">
      <alignment horizontal="right" vertical="center"/>
      <protection locked="0"/>
    </xf>
    <xf numFmtId="180" fontId="10" fillId="3" borderId="1" xfId="0" applyNumberFormat="1" applyFont="1" applyFill="1" applyBorder="1" applyProtection="1">
      <alignment vertical="center"/>
      <protection locked="0"/>
    </xf>
    <xf numFmtId="180" fontId="10" fillId="2" borderId="1" xfId="28" applyNumberFormat="1" applyFont="1" applyFill="1" applyBorder="1" applyProtection="1">
      <alignment vertical="center"/>
      <protection locked="0"/>
    </xf>
    <xf numFmtId="180" fontId="10" fillId="2" borderId="1" xfId="28" applyNumberFormat="1" applyFont="1" applyFill="1" applyBorder="1" applyAlignment="1" applyProtection="1">
      <alignment vertical="center" wrapText="1"/>
      <protection locked="0"/>
    </xf>
    <xf numFmtId="180" fontId="10" fillId="2" borderId="1" xfId="0" applyNumberFormat="1" applyFont="1" applyFill="1" applyBorder="1" applyAlignment="1" applyProtection="1">
      <alignment vertical="center" wrapText="1"/>
      <protection locked="0"/>
    </xf>
    <xf numFmtId="0" fontId="19" fillId="0" borderId="0" xfId="0" applyFont="1" applyAlignment="1" applyProtection="1">
      <alignment horizontal="center" vertical="center"/>
      <protection locked="0"/>
    </xf>
    <xf numFmtId="0" fontId="19" fillId="0" borderId="8" xfId="0" applyFont="1" applyBorder="1" applyAlignment="1" applyProtection="1">
      <alignment horizontal="center" vertical="center" wrapText="1"/>
      <protection locked="0"/>
    </xf>
    <xf numFmtId="0" fontId="19" fillId="0" borderId="22" xfId="0" applyFont="1" applyBorder="1" applyAlignment="1" applyProtection="1">
      <alignment horizontal="center" vertical="center" wrapText="1"/>
      <protection locked="0"/>
    </xf>
    <xf numFmtId="0" fontId="19" fillId="0" borderId="7" xfId="0" applyFont="1" applyBorder="1" applyAlignment="1" applyProtection="1">
      <alignment horizontal="center" vertical="center" wrapText="1"/>
      <protection locked="0"/>
    </xf>
    <xf numFmtId="0" fontId="10" fillId="3" borderId="8" xfId="0" applyFont="1" applyFill="1" applyBorder="1" applyProtection="1">
      <alignment vertical="center"/>
      <protection locked="0"/>
    </xf>
    <xf numFmtId="180" fontId="10" fillId="2" borderId="10" xfId="0" applyNumberFormat="1" applyFont="1" applyFill="1" applyBorder="1" applyProtection="1">
      <alignment vertical="center"/>
      <protection locked="0"/>
    </xf>
    <xf numFmtId="0" fontId="10" fillId="2" borderId="8" xfId="0" applyFont="1" applyFill="1" applyBorder="1" applyProtection="1">
      <alignment vertical="center"/>
      <protection locked="0"/>
    </xf>
    <xf numFmtId="0" fontId="10" fillId="2" borderId="8" xfId="0" applyFont="1" applyFill="1" applyBorder="1" applyAlignment="1" applyProtection="1">
      <alignment vertical="center" wrapText="1"/>
      <protection locked="0"/>
    </xf>
    <xf numFmtId="0" fontId="10" fillId="2" borderId="1" xfId="0" applyFont="1" applyFill="1" applyBorder="1" applyAlignment="1" applyProtection="1">
      <alignment vertical="center" wrapText="1"/>
      <protection locked="0"/>
    </xf>
    <xf numFmtId="0" fontId="10" fillId="0" borderId="0" xfId="0" applyFont="1" applyAlignment="1" applyProtection="1">
      <alignment vertical="center" wrapText="1"/>
      <protection locked="0"/>
    </xf>
    <xf numFmtId="180" fontId="38" fillId="4" borderId="8" xfId="0" applyNumberFormat="1" applyFont="1" applyFill="1" applyBorder="1" applyProtection="1">
      <alignment vertical="center"/>
    </xf>
    <xf numFmtId="0" fontId="10" fillId="0" borderId="0" xfId="0" applyFont="1" applyAlignment="1" applyProtection="1">
      <alignment horizontal="center" vertical="center"/>
      <protection locked="0"/>
    </xf>
    <xf numFmtId="10" fontId="10" fillId="4" borderId="1" xfId="27" applyNumberFormat="1" applyFont="1" applyFill="1" applyBorder="1" applyProtection="1">
      <alignment vertical="center"/>
    </xf>
    <xf numFmtId="10" fontId="10" fillId="2" borderId="1" xfId="27" applyNumberFormat="1" applyFont="1" applyFill="1" applyBorder="1" applyProtection="1">
      <alignment vertical="center"/>
      <protection locked="0"/>
    </xf>
    <xf numFmtId="180" fontId="46" fillId="3" borderId="9" xfId="11" applyNumberFormat="1" applyFont="1" applyFill="1" applyBorder="1" applyAlignment="1" applyProtection="1">
      <alignment horizontal="right" vertical="center"/>
      <protection locked="0"/>
    </xf>
    <xf numFmtId="0" fontId="25" fillId="0" borderId="0" xfId="13" applyFont="1" applyAlignment="1" applyProtection="1">
      <alignment horizontal="left" vertical="center" wrapText="1"/>
      <protection locked="0"/>
    </xf>
    <xf numFmtId="180" fontId="10" fillId="0" borderId="0" xfId="11" applyNumberFormat="1" applyFont="1" applyAlignment="1" applyProtection="1">
      <alignment horizontal="right" vertical="center"/>
      <protection locked="0"/>
    </xf>
  </cellXfs>
  <cellStyles count="72">
    <cellStyle name="常规" xfId="0" builtinId="0"/>
    <cellStyle name="常规_资本充足率汇总表-0223" xfId="1"/>
    <cellStyle name="常规_G01" xfId="2"/>
    <cellStyle name="千位分隔 2" xfId="3"/>
    <cellStyle name="常规_表1：场外衍生工具交易对手信用风险计算表" xfId="4"/>
    <cellStyle name="常规_G4B-3交易对手信用风险汇总表" xfId="5"/>
    <cellStyle name="常规_G4B-1 表内信用风险加权资产计算表（权重法）" xfId="6"/>
    <cellStyle name="40% - 着色 5" xfId="7"/>
    <cellStyle name="着色 1" xfId="8"/>
    <cellStyle name="20% - 着色 5" xfId="9"/>
    <cellStyle name="inputExposure" xfId="10"/>
    <cellStyle name="常规_G4A-1(b)贷款损失准备情况表" xfId="11"/>
    <cellStyle name="常规_G4E-6(a-d)违约损失率分布情况工作报表_last" xfId="12"/>
    <cellStyle name="常规_表内风险资产" xfId="13"/>
    <cellStyle name="Normal_G10revised-20050118" xfId="14"/>
    <cellStyle name="60% - 着色 2" xfId="15"/>
    <cellStyle name="40% - 强调文字颜色 6" xfId="16" builtinId="51"/>
    <cellStyle name="20% - 强调文字颜色 6" xfId="17" builtinId="50"/>
    <cellStyle name="强调文字颜色 6" xfId="18" builtinId="49"/>
    <cellStyle name="40% - 强调文字颜色 5" xfId="19" builtinId="47"/>
    <cellStyle name="20% - 强调文字颜色 5" xfId="20" builtinId="46"/>
    <cellStyle name="强调文字颜色 5" xfId="21" builtinId="45"/>
    <cellStyle name="40% - 强调文字颜色 4" xfId="22" builtinId="43"/>
    <cellStyle name="标题 3" xfId="23" builtinId="18"/>
    <cellStyle name="解释性文本" xfId="24" builtinId="53"/>
    <cellStyle name="汇总" xfId="25" builtinId="25"/>
    <cellStyle name="40% - 着色 4" xfId="26"/>
    <cellStyle name="百分比" xfId="27" builtinId="5"/>
    <cellStyle name="千位分隔" xfId="28" builtinId="3"/>
    <cellStyle name="标题 2" xfId="29" builtinId="17"/>
    <cellStyle name="货币[0]" xfId="30" builtinId="7"/>
    <cellStyle name="常规 4" xfId="31"/>
    <cellStyle name="60% - 强调文字颜色 4" xfId="32" builtinId="44"/>
    <cellStyle name="警告文本" xfId="33" builtinId="11"/>
    <cellStyle name="20% - 强调文字颜色 2" xfId="34" builtinId="34"/>
    <cellStyle name="60% - 强调文字颜色 5" xfId="35" builtinId="48"/>
    <cellStyle name="标题 1" xfId="36" builtinId="16"/>
    <cellStyle name="超链接" xfId="37" builtinId="8"/>
    <cellStyle name="20% - 强调文字颜色 3" xfId="38" builtinId="38"/>
    <cellStyle name="货币" xfId="39" builtinId="4"/>
    <cellStyle name="20% - 强调文字颜色 4" xfId="40" builtinId="42"/>
    <cellStyle name="计算" xfId="41" builtinId="22"/>
    <cellStyle name="着色 5" xfId="42"/>
    <cellStyle name="已访问的超链接" xfId="43" builtinId="9"/>
    <cellStyle name="千位分隔[0]" xfId="44" builtinId="6"/>
    <cellStyle name="强调文字颜色 4" xfId="45" builtinId="41"/>
    <cellStyle name="40% - 强调文字颜色 3" xfId="46" builtinId="39"/>
    <cellStyle name="常规 2 2" xfId="47"/>
    <cellStyle name="60% - 强调文字颜色 6" xfId="48" builtinId="52"/>
    <cellStyle name="输入" xfId="49" builtinId="20"/>
    <cellStyle name="千位分隔 3" xfId="50"/>
    <cellStyle name="输出" xfId="51" builtinId="21"/>
    <cellStyle name="检查单元格" xfId="52" builtinId="23"/>
    <cellStyle name="链接单元格" xfId="53" builtinId="24"/>
    <cellStyle name="百分比 2" xfId="54"/>
    <cellStyle name="60% - 强调文字颜色 1" xfId="55" builtinId="32"/>
    <cellStyle name="常规 3" xfId="56"/>
    <cellStyle name="60% - 强调文字颜色 3" xfId="57" builtinId="40"/>
    <cellStyle name="注释" xfId="58" builtinId="10"/>
    <cellStyle name="标题" xfId="59" builtinId="15"/>
    <cellStyle name="好" xfId="60" builtinId="26"/>
    <cellStyle name="标题 4" xfId="61" builtinId="19"/>
    <cellStyle name="强调文字颜色 1" xfId="62" builtinId="29"/>
    <cellStyle name="适中" xfId="63" builtinId="28"/>
    <cellStyle name="20% - 强调文字颜色 1" xfId="64" builtinId="30"/>
    <cellStyle name="差" xfId="65" builtinId="27"/>
    <cellStyle name="强调文字颜色 2" xfId="66" builtinId="33"/>
    <cellStyle name="40% - 强调文字颜色 1" xfId="67" builtinId="31"/>
    <cellStyle name="常规 2" xfId="68"/>
    <cellStyle name="60% - 强调文字颜色 2" xfId="69" builtinId="36"/>
    <cellStyle name="40% - 强调文字颜色 2" xfId="70" builtinId="35"/>
    <cellStyle name="强调文字颜色 3" xfId="71" builtinId="37"/>
  </cellStyles>
  <dxfs count="4">
    <dxf>
      <fill>
        <patternFill patternType="solid">
          <fgColor indexed="10"/>
          <bgColor indexed="10"/>
        </patternFill>
      </fill>
    </dxf>
    <dxf>
      <font>
        <b val="1"/>
        <i val="0"/>
        <strike val="0"/>
        <color rgb="FFAA322F"/>
      </font>
      <fill>
        <patternFill patternType="solid">
          <bgColor theme="0"/>
        </patternFill>
      </fill>
    </dxf>
    <dxf>
      <font>
        <color rgb="FFAA322F"/>
      </font>
      <fill>
        <patternFill patternType="solid">
          <bgColor theme="0"/>
        </patternFill>
      </fill>
    </dxf>
    <dxf>
      <fill>
        <patternFill patternType="solid">
          <bgColor theme="0"/>
        </patternFill>
      </fill>
    </dxf>
  </dxfs>
  <tableStyles count="0" defaultTableStyle="TableStyleMedium2"/>
  <colors>
    <mruColors>
      <color rgb="00FFFF00"/>
      <color rgb="00CC99FF"/>
      <color rgb="00AEAAAA"/>
      <color rgb="00969696"/>
      <color rgb="00C0C0C0"/>
      <color rgb="00FFFFFF"/>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haredStrings" Target="sharedStrings.xml"/><Relationship Id="rId22" Type="http://schemas.openxmlformats.org/officeDocument/2006/relationships/styles" Target="styles.xml"/><Relationship Id="rId21" Type="http://schemas.openxmlformats.org/officeDocument/2006/relationships/theme" Target="theme/theme1.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158115</xdr:colOff>
      <xdr:row>50</xdr:row>
      <xdr:rowOff>0</xdr:rowOff>
    </xdr:from>
    <xdr:to>
      <xdr:col>10</xdr:col>
      <xdr:colOff>0</xdr:colOff>
      <xdr:row>50</xdr:row>
      <xdr:rowOff>9525</xdr:rowOff>
    </xdr:to>
    <xdr:sp>
      <xdr:nvSpPr>
        <xdr:cNvPr id="2" name="Text Box 1"/>
        <xdr:cNvSpPr txBox="1"/>
      </xdr:nvSpPr>
      <xdr:spPr>
        <a:xfrm>
          <a:off x="158115" y="10487025"/>
          <a:ext cx="5096510" cy="9525"/>
        </a:xfrm>
        <a:prstGeom prst="rect">
          <a:avLst/>
        </a:prstGeom>
        <a:solidFill>
          <a:srgbClr val="FFFFFF">
            <a:alpha val="100000"/>
          </a:srgbClr>
        </a:solidFill>
        <a:ln w="9525">
          <a:noFill/>
        </a:ln>
      </xdr:spPr>
      <xdr:txBody>
        <a:bodyPr vertOverflow="clip" vert="horz" wrap="square" lIns="27432" tIns="22860" rIns="0" bIns="0" anchor="t" anchorCtr="0" upright="1"/>
        <a:lstStyle/>
        <a:p>
          <a:pPr algn="l" rtl="0"/>
          <a:r>
            <a:rPr lang="zh-CN" altLang="en-US" sz="900">
              <a:solidFill>
                <a:srgbClr xmlns:mc="http://schemas.openxmlformats.org/markup-compatibility/2006" xmlns:a14="http://schemas.microsoft.com/office/drawing/2010/main" val="008000" mc:Ignorable="a14" a14:legacySpreadsheetColorIndex="17"/>
              </a:solidFill>
              <a:latin typeface="Arial" panose="02080604020202020204" pitchFamily="7" charset="0"/>
              <a:ea typeface="Arial" panose="02080604020202020204" pitchFamily="7" charset="0"/>
              <a:cs typeface="Arial" panose="02080604020202020204" pitchFamily="7" charset="0"/>
              <a:sym typeface="Arial" panose="02080604020202020204" pitchFamily="7" charset="0"/>
            </a:rPr>
            <a:t>Please refer to paragraph 235 of QIS 3 Technical Guidance for details of the RW function for corporate, sovereign and bank exposures.  Derivation of RW is dependent on estimates of probability of default (PD), loss given default (LGD) and in some cases, maturity (M).  Under the IRB foundation approach, AIs should provide internal estimates of PD, while relying on supervisory rules to estimate other risk components. </a:t>
          </a:r>
          <a:endParaRPr lang="zh-CN" altLang="en-US" sz="900">
            <a:solidFill>
              <a:srgbClr xmlns:mc="http://schemas.openxmlformats.org/markup-compatibility/2006" xmlns:a14="http://schemas.microsoft.com/office/drawing/2010/main" val="008000" mc:Ignorable="a14" a14:legacySpreadsheetColorIndex="17"/>
            </a:solidFill>
            <a:latin typeface="Arial" panose="02080604020202020204" pitchFamily="7" charset="0"/>
            <a:ea typeface="Arial" panose="02080604020202020204" pitchFamily="7" charset="0"/>
            <a:cs typeface="Arial" panose="02080604020202020204" pitchFamily="7" charset="0"/>
            <a:sym typeface="Arial" panose="02080604020202020204" pitchFamily="7" charset="0"/>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193675</xdr:colOff>
      <xdr:row>77</xdr:row>
      <xdr:rowOff>0</xdr:rowOff>
    </xdr:from>
    <xdr:to>
      <xdr:col>9</xdr:col>
      <xdr:colOff>0</xdr:colOff>
      <xdr:row>77</xdr:row>
      <xdr:rowOff>9525</xdr:rowOff>
    </xdr:to>
    <xdr:sp>
      <xdr:nvSpPr>
        <xdr:cNvPr id="2" name="文本框 1"/>
        <xdr:cNvSpPr txBox="1"/>
      </xdr:nvSpPr>
      <xdr:spPr>
        <a:xfrm>
          <a:off x="193675" y="12900025"/>
          <a:ext cx="4462145" cy="9525"/>
        </a:xfrm>
        <a:prstGeom prst="rect">
          <a:avLst/>
        </a:prstGeom>
        <a:solidFill>
          <a:srgbClr val="FFFFFF">
            <a:alpha val="100000"/>
          </a:srgbClr>
        </a:solidFill>
        <a:ln w="9525">
          <a:noFill/>
        </a:ln>
      </xdr:spPr>
      <xdr:txBody>
        <a:bodyPr vertOverflow="clip" vert="horz" wrap="square" lIns="27432" tIns="22860" rIns="0" bIns="0" anchor="t" anchorCtr="0" upright="1"/>
        <a:lstStyle/>
        <a:p>
          <a:pPr algn="l" rtl="0"/>
          <a:r>
            <a:rPr lang="zh-CN" altLang="en-US" sz="900">
              <a:solidFill>
                <a:srgbClr xmlns:mc="http://schemas.openxmlformats.org/markup-compatibility/2006" xmlns:a14="http://schemas.microsoft.com/office/drawing/2010/main" val="008000" mc:Ignorable="a14" a14:legacySpreadsheetColorIndex="17"/>
              </a:solidFill>
              <a:latin typeface="Arial" panose="02080604020202020204" pitchFamily="7" charset="0"/>
              <a:ea typeface="Arial" panose="02080604020202020204" pitchFamily="7" charset="0"/>
              <a:cs typeface="Arial" panose="02080604020202020204" pitchFamily="7" charset="0"/>
              <a:sym typeface="Arial" panose="02080604020202020204" pitchFamily="7" charset="0"/>
            </a:rPr>
            <a:t>Please refer to paragraph 235 of QIS 3 Technical Guidance for details of the RW function for corporate, sovereign and bank exposures.  Derivation of RW is dependent on estimates of probability of default (PD), loss given default (LGD) and in some cases, maturity (M).  Under the IRB foundation approach, AIs should provide internal estimates of PD, while relying on supervisory rules to estimate other risk components. </a:t>
          </a:r>
          <a:endParaRPr lang="zh-CN" altLang="en-US" sz="900">
            <a:solidFill>
              <a:srgbClr xmlns:mc="http://schemas.openxmlformats.org/markup-compatibility/2006" xmlns:a14="http://schemas.microsoft.com/office/drawing/2010/main" val="008000" mc:Ignorable="a14" a14:legacySpreadsheetColorIndex="17"/>
            </a:solidFill>
            <a:latin typeface="Arial" panose="02080604020202020204" pitchFamily="7" charset="0"/>
            <a:ea typeface="Arial" panose="02080604020202020204" pitchFamily="7" charset="0"/>
            <a:cs typeface="Arial" panose="02080604020202020204" pitchFamily="7" charset="0"/>
            <a:sym typeface="Arial" panose="02080604020202020204" pitchFamily="7" charset="0"/>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158115</xdr:colOff>
      <xdr:row>101</xdr:row>
      <xdr:rowOff>0</xdr:rowOff>
    </xdr:from>
    <xdr:to>
      <xdr:col>11</xdr:col>
      <xdr:colOff>0</xdr:colOff>
      <xdr:row>101</xdr:row>
      <xdr:rowOff>9525</xdr:rowOff>
    </xdr:to>
    <xdr:sp>
      <xdr:nvSpPr>
        <xdr:cNvPr id="2" name="Text Box 1"/>
        <xdr:cNvSpPr txBox="1"/>
      </xdr:nvSpPr>
      <xdr:spPr>
        <a:xfrm>
          <a:off x="158115" y="18107025"/>
          <a:ext cx="6163945" cy="9525"/>
        </a:xfrm>
        <a:prstGeom prst="rect">
          <a:avLst/>
        </a:prstGeom>
        <a:solidFill>
          <a:srgbClr val="FFFFFF">
            <a:alpha val="100000"/>
          </a:srgbClr>
        </a:solidFill>
        <a:ln w="9525">
          <a:noFill/>
        </a:ln>
      </xdr:spPr>
      <xdr:txBody>
        <a:bodyPr vertOverflow="clip" vert="horz" wrap="square" lIns="27432" tIns="22860" rIns="0" bIns="0" anchor="t" anchorCtr="0" upright="1"/>
        <a:lstStyle/>
        <a:p>
          <a:pPr algn="l" rtl="0"/>
          <a:r>
            <a:rPr lang="zh-CN" altLang="en-US" sz="900">
              <a:solidFill>
                <a:srgbClr xmlns:mc="http://schemas.openxmlformats.org/markup-compatibility/2006" xmlns:a14="http://schemas.microsoft.com/office/drawing/2010/main" val="008000" mc:Ignorable="a14" a14:legacySpreadsheetColorIndex="17"/>
              </a:solidFill>
              <a:latin typeface="Arial" panose="02080604020202020204" pitchFamily="7" charset="0"/>
              <a:ea typeface="Arial" panose="02080604020202020204" pitchFamily="7" charset="0"/>
              <a:cs typeface="Arial" panose="02080604020202020204" pitchFamily="7" charset="0"/>
              <a:sym typeface="Arial" panose="02080604020202020204" pitchFamily="7" charset="0"/>
            </a:rPr>
            <a:t>Please refer to paragraph 235 of QIS 3 Technical Guidance for details of the RW function for corporate, sovereign and bank exposures.  Derivation of RW is dependent on estimates of probability of default (PD), loss given default (LGD) and in some cases, maturity (M).  Under the IRB foundation approach, AIs should provide internal estimates of PD, while relying on supervisory rules to estimate other risk components. </a:t>
          </a:r>
          <a:endParaRPr lang="zh-CN" altLang="en-US" sz="900">
            <a:solidFill>
              <a:srgbClr xmlns:mc="http://schemas.openxmlformats.org/markup-compatibility/2006" xmlns:a14="http://schemas.microsoft.com/office/drawing/2010/main" val="008000" mc:Ignorable="a14" a14:legacySpreadsheetColorIndex="17"/>
            </a:solidFill>
            <a:latin typeface="Arial" panose="02080604020202020204" pitchFamily="7" charset="0"/>
            <a:ea typeface="Arial" panose="02080604020202020204" pitchFamily="7" charset="0"/>
            <a:cs typeface="Arial" panose="02080604020202020204" pitchFamily="7" charset="0"/>
            <a:sym typeface="Arial" panose="02080604020202020204" pitchFamily="7" charset="0"/>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158115</xdr:colOff>
      <xdr:row>50</xdr:row>
      <xdr:rowOff>0</xdr:rowOff>
    </xdr:from>
    <xdr:to>
      <xdr:col>1</xdr:col>
      <xdr:colOff>0</xdr:colOff>
      <xdr:row>50</xdr:row>
      <xdr:rowOff>9525</xdr:rowOff>
    </xdr:to>
    <xdr:sp>
      <xdr:nvSpPr>
        <xdr:cNvPr id="2" name="文本框 1"/>
        <xdr:cNvSpPr txBox="1"/>
      </xdr:nvSpPr>
      <xdr:spPr>
        <a:xfrm>
          <a:off x="158115" y="9505950"/>
          <a:ext cx="337185" cy="9525"/>
        </a:xfrm>
        <a:prstGeom prst="rect">
          <a:avLst/>
        </a:prstGeom>
        <a:solidFill>
          <a:srgbClr val="FFFFFF">
            <a:alpha val="100000"/>
          </a:srgbClr>
        </a:solidFill>
        <a:ln w="9525">
          <a:noFill/>
        </a:ln>
      </xdr:spPr>
      <xdr:txBody>
        <a:bodyPr vertOverflow="clip" vert="horz" wrap="square" lIns="27432" tIns="22860" rIns="0" bIns="0" anchor="t" anchorCtr="0" upright="1"/>
        <a:lstStyle/>
        <a:p>
          <a:pPr algn="l" rtl="0"/>
          <a:r>
            <a:rPr lang="zh-CN" altLang="en-US" sz="900">
              <a:solidFill>
                <a:srgbClr xmlns:mc="http://schemas.openxmlformats.org/markup-compatibility/2006" xmlns:a14="http://schemas.microsoft.com/office/drawing/2010/main" val="008000" mc:Ignorable="a14" a14:legacySpreadsheetColorIndex="17"/>
              </a:solidFill>
              <a:latin typeface="Arial" panose="02080604020202020204" pitchFamily="7" charset="0"/>
              <a:ea typeface="Arial" panose="02080604020202020204" pitchFamily="7" charset="0"/>
              <a:cs typeface="Arial" panose="02080604020202020204" pitchFamily="7" charset="0"/>
              <a:sym typeface="Arial" panose="02080604020202020204" pitchFamily="7" charset="0"/>
            </a:rPr>
            <a:t>Please refer to paragraph 235 of QIS 3 Technical Guidance for details of the RW function for corporate, sovereign and bank exposures.  Derivation of RW is dependent on estimates of probability of default (PD), loss given default (LGD) and in some cases, maturity (M).  Under the IRB foundation approach, AIs should provide internal estimates of PD, while relying on supervisory rules to estimate other risk components. </a:t>
          </a:r>
          <a:endParaRPr lang="zh-CN" altLang="en-US" sz="900">
            <a:solidFill>
              <a:srgbClr xmlns:mc="http://schemas.openxmlformats.org/markup-compatibility/2006" xmlns:a14="http://schemas.microsoft.com/office/drawing/2010/main" val="008000" mc:Ignorable="a14" a14:legacySpreadsheetColorIndex="17"/>
            </a:solidFill>
            <a:latin typeface="Arial" panose="02080604020202020204" pitchFamily="7" charset="0"/>
            <a:ea typeface="Arial" panose="02080604020202020204" pitchFamily="7" charset="0"/>
            <a:cs typeface="Arial" panose="02080604020202020204" pitchFamily="7" charset="0"/>
            <a:sym typeface="Arial" panose="02080604020202020204" pitchFamily="7"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BG_IS4_ReportingTempla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sel%20III%20implementation%20monitoring%20reporting%20template%20v2-2-0.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eneral Info"/>
      <sheetName val="IRC"/>
      <sheetName val="Securitisations"/>
      <sheetName val="Correlation trading portf"/>
      <sheetName val="Securitisations LSS"/>
      <sheetName val="Correlation trading portf LSS"/>
      <sheetName val="Securitisations wide"/>
      <sheetName val="Correlation trading portf wide "/>
      <sheetName val="Parameters"/>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General Info"/>
      <sheetName val="DefCapB3"/>
      <sheetName val="DefCapB3-MI"/>
      <sheetName val="Leverage Ratio"/>
      <sheetName val="LCR"/>
      <sheetName val="NSFR"/>
      <sheetName val="Checks"/>
      <sheetName val="Parameters"/>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gradFill rotWithShape="0">
          <a:gsLst>
            <a:gs pos="0">
              <a:srgbClr val="BBD5F0">
                <a:alpha val="100000"/>
              </a:srgbClr>
            </a:gs>
            <a:gs pos="100000">
              <a:srgbClr val="9CBEE0">
                <a:alpha val="100000"/>
              </a:srgbClr>
            </a:gs>
          </a:gsLst>
          <a:lin ang="5400000"/>
          <a:tileRect/>
        </a:gradFill>
        <a:ln w="15875" cap="flat" cmpd="sng">
          <a:solidFill>
            <a:srgbClr val="739CC3"/>
          </a:solidFill>
          <a:prstDash val="solid"/>
          <a:headEnd type="none" w="med" len="med"/>
          <a:tailEnd type="none" w="med" len="med"/>
        </a:ln>
      </a:spPr>
      <a:bodyPr/>
      <a:lstStyle/>
    </a:spDef>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IQ135"/>
  <sheetViews>
    <sheetView workbookViewId="0">
      <pane ySplit="6" topLeftCell="A7" activePane="bottomLeft" state="frozen"/>
      <selection/>
      <selection pane="bottomLeft" activeCell="A135" sqref="A135:B135"/>
    </sheetView>
  </sheetViews>
  <sheetFormatPr defaultColWidth="8.16666666666667" defaultRowHeight="13.5"/>
  <cols>
    <col min="1" max="1" width="8.16666666666667" style="124"/>
    <col min="2" max="2" width="40.3333333333333" style="407" customWidth="1"/>
    <col min="3" max="3" width="14.5" style="124" customWidth="1"/>
    <col min="4" max="4" width="13.1666666666667" style="124" customWidth="1"/>
    <col min="5" max="5" width="12" style="124" customWidth="1"/>
    <col min="6" max="6" width="12.3333333333333" style="124" customWidth="1"/>
    <col min="7" max="7" width="12.5" style="124" customWidth="1"/>
    <col min="8" max="8" width="14.3333333333333" style="124" customWidth="1"/>
    <col min="9" max="9" width="12.6666666666667" style="124" customWidth="1"/>
    <col min="10" max="10" width="14.1666666666667" style="124" customWidth="1"/>
    <col min="11" max="11" width="19" style="124" customWidth="1"/>
    <col min="12" max="251" width="8.16666666666667" style="124"/>
    <col min="252" max="16384" width="8.16666666666667" style="12"/>
  </cols>
  <sheetData>
    <row r="1" s="103" customFormat="1" ht="25" customHeight="1" spans="1:10">
      <c r="A1" s="408" t="s">
        <v>0</v>
      </c>
      <c r="B1" s="409"/>
      <c r="C1" s="408"/>
      <c r="D1" s="408"/>
      <c r="E1" s="408"/>
      <c r="F1" s="408"/>
      <c r="G1" s="408"/>
      <c r="H1" s="408"/>
      <c r="I1" s="408"/>
      <c r="J1" s="408"/>
    </row>
    <row r="2" s="404" customFormat="1" ht="16" customHeight="1" spans="1:10">
      <c r="A2" s="410" t="s">
        <v>1</v>
      </c>
      <c r="B2" s="411"/>
      <c r="C2" s="412"/>
      <c r="D2" s="412" t="s">
        <v>2</v>
      </c>
      <c r="E2" s="412"/>
      <c r="F2" s="430"/>
      <c r="G2" s="430"/>
      <c r="H2" s="430"/>
      <c r="I2" s="410" t="s">
        <v>3</v>
      </c>
      <c r="J2" s="410"/>
    </row>
    <row r="3" s="405" customFormat="1" ht="12.75" spans="1:10">
      <c r="A3" s="413" t="s">
        <v>4</v>
      </c>
      <c r="B3" s="414" t="s">
        <v>5</v>
      </c>
      <c r="C3" s="415" t="s">
        <v>6</v>
      </c>
      <c r="D3" s="415" t="s">
        <v>7</v>
      </c>
      <c r="E3" s="415" t="s">
        <v>8</v>
      </c>
      <c r="F3" s="415" t="s">
        <v>9</v>
      </c>
      <c r="G3" s="415" t="s">
        <v>10</v>
      </c>
      <c r="H3" s="415" t="s">
        <v>11</v>
      </c>
      <c r="I3" s="415" t="s">
        <v>12</v>
      </c>
      <c r="J3" s="415" t="s">
        <v>13</v>
      </c>
    </row>
    <row r="4" spans="1:10">
      <c r="A4" s="413"/>
      <c r="B4" s="414"/>
      <c r="C4" s="416" t="s">
        <v>14</v>
      </c>
      <c r="D4" s="416"/>
      <c r="E4" s="416"/>
      <c r="F4" s="416"/>
      <c r="G4" s="416"/>
      <c r="H4" s="416" t="s">
        <v>15</v>
      </c>
      <c r="I4" s="416"/>
      <c r="J4" s="416"/>
    </row>
    <row r="5" ht="17.25" customHeight="1" spans="1:10">
      <c r="A5" s="413"/>
      <c r="B5" s="414"/>
      <c r="C5" s="417" t="s">
        <v>16</v>
      </c>
      <c r="D5" s="416" t="s">
        <v>17</v>
      </c>
      <c r="E5" s="416" t="s">
        <v>18</v>
      </c>
      <c r="F5" s="416"/>
      <c r="G5" s="416" t="s">
        <v>19</v>
      </c>
      <c r="H5" s="417" t="s">
        <v>16</v>
      </c>
      <c r="I5" s="416" t="s">
        <v>17</v>
      </c>
      <c r="J5" s="416" t="s">
        <v>18</v>
      </c>
    </row>
    <row r="6" ht="26" customHeight="1" spans="1:10">
      <c r="A6" s="413"/>
      <c r="B6" s="414"/>
      <c r="C6" s="417"/>
      <c r="D6" s="416"/>
      <c r="E6" s="416" t="s">
        <v>20</v>
      </c>
      <c r="F6" s="416" t="s">
        <v>21</v>
      </c>
      <c r="G6" s="416"/>
      <c r="H6" s="417"/>
      <c r="I6" s="416"/>
      <c r="J6" s="416"/>
    </row>
    <row r="7" spans="1:10">
      <c r="A7" s="418" t="s">
        <v>22</v>
      </c>
      <c r="B7" s="419"/>
      <c r="C7" s="420"/>
      <c r="D7" s="420"/>
      <c r="E7" s="420"/>
      <c r="F7" s="420"/>
      <c r="G7" s="420"/>
      <c r="H7" s="420"/>
      <c r="I7" s="420"/>
      <c r="J7" s="420"/>
    </row>
    <row r="8" spans="1:10">
      <c r="A8" s="236">
        <v>1</v>
      </c>
      <c r="B8" s="244" t="s">
        <v>23</v>
      </c>
      <c r="C8" s="421">
        <f>C9+C10+C11</f>
        <v>0</v>
      </c>
      <c r="D8" s="421">
        <f t="shared" ref="C8:J8" si="0">D9+D10+D11</f>
        <v>0</v>
      </c>
      <c r="E8" s="421">
        <f t="shared" si="0"/>
        <v>0</v>
      </c>
      <c r="F8" s="421">
        <f t="shared" si="0"/>
        <v>0</v>
      </c>
      <c r="G8" s="421">
        <f t="shared" si="0"/>
        <v>0</v>
      </c>
      <c r="H8" s="421">
        <f t="shared" si="0"/>
        <v>0</v>
      </c>
      <c r="I8" s="421">
        <f t="shared" si="0"/>
        <v>0</v>
      </c>
      <c r="J8" s="421">
        <f t="shared" si="0"/>
        <v>0</v>
      </c>
    </row>
    <row r="9" spans="1:10">
      <c r="A9" s="236">
        <v>2</v>
      </c>
      <c r="B9" s="242" t="s">
        <v>24</v>
      </c>
      <c r="C9" s="239"/>
      <c r="D9" s="421">
        <f t="shared" ref="D9:D11" si="1">C9</f>
        <v>0</v>
      </c>
      <c r="E9" s="239"/>
      <c r="F9" s="239"/>
      <c r="G9" s="239"/>
      <c r="H9" s="239"/>
      <c r="I9" s="421">
        <f t="shared" ref="I9:I11" si="2">H9</f>
        <v>0</v>
      </c>
      <c r="J9" s="239"/>
    </row>
    <row r="10" spans="1:10">
      <c r="A10" s="236">
        <v>3</v>
      </c>
      <c r="B10" s="242" t="s">
        <v>25</v>
      </c>
      <c r="C10" s="239"/>
      <c r="D10" s="421">
        <f t="shared" si="1"/>
        <v>0</v>
      </c>
      <c r="E10" s="239"/>
      <c r="F10" s="239"/>
      <c r="G10" s="239"/>
      <c r="H10" s="239"/>
      <c r="I10" s="421">
        <f t="shared" si="2"/>
        <v>0</v>
      </c>
      <c r="J10" s="239"/>
    </row>
    <row r="11" spans="1:10">
      <c r="A11" s="236">
        <v>4</v>
      </c>
      <c r="B11" s="242" t="s">
        <v>26</v>
      </c>
      <c r="C11" s="239"/>
      <c r="D11" s="421">
        <f t="shared" si="1"/>
        <v>0</v>
      </c>
      <c r="E11" s="239"/>
      <c r="F11" s="239"/>
      <c r="G11" s="239"/>
      <c r="H11" s="239"/>
      <c r="I11" s="421">
        <f t="shared" si="2"/>
        <v>0</v>
      </c>
      <c r="J11" s="239"/>
    </row>
    <row r="12" spans="1:10">
      <c r="A12" s="236">
        <v>5</v>
      </c>
      <c r="B12" s="244" t="s">
        <v>27</v>
      </c>
      <c r="C12" s="421">
        <f t="shared" ref="C12:J12" si="3">C13+C14+C15</f>
        <v>0</v>
      </c>
      <c r="D12" s="421">
        <f t="shared" si="3"/>
        <v>0</v>
      </c>
      <c r="E12" s="421">
        <f t="shared" si="3"/>
        <v>0</v>
      </c>
      <c r="F12" s="421">
        <f t="shared" si="3"/>
        <v>0</v>
      </c>
      <c r="G12" s="421">
        <f t="shared" si="3"/>
        <v>0</v>
      </c>
      <c r="H12" s="421">
        <f t="shared" si="3"/>
        <v>0</v>
      </c>
      <c r="I12" s="421">
        <f t="shared" si="3"/>
        <v>0</v>
      </c>
      <c r="J12" s="421">
        <f t="shared" si="3"/>
        <v>0</v>
      </c>
    </row>
    <row r="13" spans="1:10">
      <c r="A13" s="236">
        <v>6</v>
      </c>
      <c r="B13" s="242" t="s">
        <v>28</v>
      </c>
      <c r="C13" s="239"/>
      <c r="D13" s="421">
        <f t="shared" ref="D13:D15" si="4">C13</f>
        <v>0</v>
      </c>
      <c r="E13" s="239"/>
      <c r="F13" s="239"/>
      <c r="G13" s="239"/>
      <c r="H13" s="239"/>
      <c r="I13" s="421">
        <f t="shared" ref="I13:I15" si="5">H13</f>
        <v>0</v>
      </c>
      <c r="J13" s="239"/>
    </row>
    <row r="14" ht="24" spans="1:10">
      <c r="A14" s="236">
        <v>7</v>
      </c>
      <c r="B14" s="422" t="s">
        <v>29</v>
      </c>
      <c r="C14" s="239"/>
      <c r="D14" s="421">
        <f t="shared" si="4"/>
        <v>0</v>
      </c>
      <c r="E14" s="239"/>
      <c r="F14" s="239"/>
      <c r="G14" s="239"/>
      <c r="H14" s="239"/>
      <c r="I14" s="421">
        <f t="shared" si="5"/>
        <v>0</v>
      </c>
      <c r="J14" s="239"/>
    </row>
    <row r="15" spans="1:10">
      <c r="A15" s="236">
        <v>8</v>
      </c>
      <c r="B15" s="422" t="s">
        <v>30</v>
      </c>
      <c r="C15" s="239"/>
      <c r="D15" s="421">
        <f t="shared" si="4"/>
        <v>0</v>
      </c>
      <c r="E15" s="239"/>
      <c r="F15" s="239"/>
      <c r="G15" s="239"/>
      <c r="H15" s="239"/>
      <c r="I15" s="421">
        <f t="shared" si="5"/>
        <v>0</v>
      </c>
      <c r="J15" s="239"/>
    </row>
    <row r="16" spans="1:10">
      <c r="A16" s="236">
        <v>9</v>
      </c>
      <c r="B16" s="244" t="s">
        <v>31</v>
      </c>
      <c r="C16" s="421">
        <f>C17+C18+C19</f>
        <v>0</v>
      </c>
      <c r="D16" s="421">
        <f t="shared" ref="D16:J16" si="6">D17+D18+D19</f>
        <v>0</v>
      </c>
      <c r="E16" s="421">
        <f t="shared" si="6"/>
        <v>0</v>
      </c>
      <c r="F16" s="421">
        <f t="shared" si="6"/>
        <v>0</v>
      </c>
      <c r="G16" s="421">
        <f t="shared" si="6"/>
        <v>0</v>
      </c>
      <c r="H16" s="421">
        <f t="shared" si="6"/>
        <v>0</v>
      </c>
      <c r="I16" s="421">
        <f t="shared" si="6"/>
        <v>0</v>
      </c>
      <c r="J16" s="421">
        <f t="shared" si="6"/>
        <v>0</v>
      </c>
    </row>
    <row r="17" spans="1:10">
      <c r="A17" s="236">
        <v>10</v>
      </c>
      <c r="B17" s="242" t="s">
        <v>32</v>
      </c>
      <c r="C17" s="239"/>
      <c r="D17" s="421">
        <f t="shared" ref="D17:D19" si="7">C17</f>
        <v>0</v>
      </c>
      <c r="E17" s="239"/>
      <c r="F17" s="239"/>
      <c r="G17" s="239"/>
      <c r="H17" s="239"/>
      <c r="I17" s="421">
        <f t="shared" ref="I17:I19" si="8">H17</f>
        <v>0</v>
      </c>
      <c r="J17" s="239"/>
    </row>
    <row r="18" spans="1:10">
      <c r="A18" s="236">
        <v>11</v>
      </c>
      <c r="B18" s="242" t="s">
        <v>33</v>
      </c>
      <c r="C18" s="239"/>
      <c r="D18" s="421">
        <f t="shared" si="7"/>
        <v>0</v>
      </c>
      <c r="E18" s="239"/>
      <c r="F18" s="239"/>
      <c r="G18" s="239"/>
      <c r="H18" s="239"/>
      <c r="I18" s="421">
        <f t="shared" si="8"/>
        <v>0</v>
      </c>
      <c r="J18" s="239"/>
    </row>
    <row r="19" spans="1:10">
      <c r="A19" s="236">
        <v>12</v>
      </c>
      <c r="B19" s="242" t="s">
        <v>34</v>
      </c>
      <c r="C19" s="239"/>
      <c r="D19" s="421">
        <f t="shared" si="7"/>
        <v>0</v>
      </c>
      <c r="E19" s="239"/>
      <c r="F19" s="239"/>
      <c r="G19" s="239"/>
      <c r="H19" s="239"/>
      <c r="I19" s="421">
        <f t="shared" si="8"/>
        <v>0</v>
      </c>
      <c r="J19" s="239"/>
    </row>
    <row r="20" spans="1:10">
      <c r="A20" s="236">
        <v>13</v>
      </c>
      <c r="B20" s="244" t="s">
        <v>35</v>
      </c>
      <c r="C20" s="421">
        <f>C21+C22+C25</f>
        <v>0</v>
      </c>
      <c r="D20" s="421">
        <f t="shared" ref="D20:J20" si="9">D21+D22+D25</f>
        <v>0</v>
      </c>
      <c r="E20" s="421">
        <f t="shared" si="9"/>
        <v>0</v>
      </c>
      <c r="F20" s="421">
        <f t="shared" si="9"/>
        <v>0</v>
      </c>
      <c r="G20" s="421">
        <f t="shared" si="9"/>
        <v>0</v>
      </c>
      <c r="H20" s="421">
        <f t="shared" si="9"/>
        <v>0</v>
      </c>
      <c r="I20" s="421">
        <f t="shared" si="9"/>
        <v>0</v>
      </c>
      <c r="J20" s="421">
        <f t="shared" si="9"/>
        <v>0</v>
      </c>
    </row>
    <row r="21" spans="1:10">
      <c r="A21" s="236">
        <v>14</v>
      </c>
      <c r="B21" s="242" t="s">
        <v>36</v>
      </c>
      <c r="C21" s="239"/>
      <c r="D21" s="421">
        <f t="shared" ref="D21:D26" si="10">C21</f>
        <v>0</v>
      </c>
      <c r="E21" s="239"/>
      <c r="F21" s="239"/>
      <c r="G21" s="239"/>
      <c r="H21" s="239"/>
      <c r="I21" s="421">
        <f t="shared" ref="I21:I30" si="11">H21</f>
        <v>0</v>
      </c>
      <c r="J21" s="239"/>
    </row>
    <row r="22" spans="1:10">
      <c r="A22" s="236">
        <v>15</v>
      </c>
      <c r="B22" s="242" t="s">
        <v>37</v>
      </c>
      <c r="C22" s="239"/>
      <c r="D22" s="421">
        <f t="shared" si="10"/>
        <v>0</v>
      </c>
      <c r="E22" s="239"/>
      <c r="F22" s="239"/>
      <c r="G22" s="239"/>
      <c r="H22" s="239"/>
      <c r="I22" s="421">
        <f t="shared" si="11"/>
        <v>0</v>
      </c>
      <c r="J22" s="239"/>
    </row>
    <row r="23" spans="1:10">
      <c r="A23" s="236">
        <v>16</v>
      </c>
      <c r="B23" s="242" t="s">
        <v>38</v>
      </c>
      <c r="C23" s="239"/>
      <c r="D23" s="421">
        <f t="shared" si="10"/>
        <v>0</v>
      </c>
      <c r="E23" s="239"/>
      <c r="F23" s="239"/>
      <c r="G23" s="239"/>
      <c r="H23" s="239"/>
      <c r="I23" s="421">
        <f t="shared" si="11"/>
        <v>0</v>
      </c>
      <c r="J23" s="239"/>
    </row>
    <row r="24" spans="1:10">
      <c r="A24" s="236">
        <v>17</v>
      </c>
      <c r="B24" s="242" t="s">
        <v>39</v>
      </c>
      <c r="C24" s="239"/>
      <c r="D24" s="421">
        <f t="shared" si="10"/>
        <v>0</v>
      </c>
      <c r="E24" s="239"/>
      <c r="F24" s="239"/>
      <c r="G24" s="239"/>
      <c r="H24" s="239"/>
      <c r="I24" s="421">
        <f t="shared" si="11"/>
        <v>0</v>
      </c>
      <c r="J24" s="239"/>
    </row>
    <row r="25" spans="1:10">
      <c r="A25" s="236">
        <v>18</v>
      </c>
      <c r="B25" s="242" t="s">
        <v>40</v>
      </c>
      <c r="C25" s="239"/>
      <c r="D25" s="421">
        <f t="shared" si="10"/>
        <v>0</v>
      </c>
      <c r="E25" s="239"/>
      <c r="F25" s="239"/>
      <c r="G25" s="239"/>
      <c r="H25" s="239"/>
      <c r="I25" s="421">
        <f t="shared" si="11"/>
        <v>0</v>
      </c>
      <c r="J25" s="239"/>
    </row>
    <row r="26" spans="1:10">
      <c r="A26" s="236">
        <v>19</v>
      </c>
      <c r="B26" s="242" t="s">
        <v>41</v>
      </c>
      <c r="C26" s="239"/>
      <c r="D26" s="421">
        <f t="shared" si="10"/>
        <v>0</v>
      </c>
      <c r="E26" s="239"/>
      <c r="F26" s="239"/>
      <c r="G26" s="239"/>
      <c r="H26" s="239"/>
      <c r="I26" s="421">
        <f t="shared" si="11"/>
        <v>0</v>
      </c>
      <c r="J26" s="239"/>
    </row>
    <row r="27" spans="1:10">
      <c r="A27" s="236">
        <v>20</v>
      </c>
      <c r="B27" s="242" t="s">
        <v>42</v>
      </c>
      <c r="C27" s="423"/>
      <c r="D27" s="424"/>
      <c r="E27" s="243"/>
      <c r="F27" s="243"/>
      <c r="G27" s="243"/>
      <c r="H27" s="239"/>
      <c r="I27" s="421">
        <f t="shared" si="11"/>
        <v>0</v>
      </c>
      <c r="J27" s="239"/>
    </row>
    <row r="28" spans="1:10">
      <c r="A28" s="236">
        <v>21</v>
      </c>
      <c r="B28" s="244" t="s">
        <v>43</v>
      </c>
      <c r="C28" s="239"/>
      <c r="D28" s="421">
        <f>C28</f>
        <v>0</v>
      </c>
      <c r="E28" s="239"/>
      <c r="F28" s="239"/>
      <c r="G28" s="239"/>
      <c r="H28" s="239"/>
      <c r="I28" s="421">
        <f t="shared" si="11"/>
        <v>0</v>
      </c>
      <c r="J28" s="239"/>
    </row>
    <row r="29" spans="1:10">
      <c r="A29" s="236">
        <v>22</v>
      </c>
      <c r="B29" s="244" t="s">
        <v>44</v>
      </c>
      <c r="C29" s="239"/>
      <c r="D29" s="421">
        <f>C29</f>
        <v>0</v>
      </c>
      <c r="E29" s="239"/>
      <c r="F29" s="239"/>
      <c r="G29" s="239"/>
      <c r="H29" s="239"/>
      <c r="I29" s="421">
        <f t="shared" si="11"/>
        <v>0</v>
      </c>
      <c r="J29" s="239"/>
    </row>
    <row r="30" spans="1:10">
      <c r="A30" s="236">
        <v>23</v>
      </c>
      <c r="B30" s="244" t="s">
        <v>45</v>
      </c>
      <c r="C30" s="239"/>
      <c r="D30" s="421">
        <f>C30</f>
        <v>0</v>
      </c>
      <c r="E30" s="239"/>
      <c r="F30" s="239"/>
      <c r="G30" s="239"/>
      <c r="H30" s="239"/>
      <c r="I30" s="421">
        <f t="shared" si="11"/>
        <v>0</v>
      </c>
      <c r="J30" s="239"/>
    </row>
    <row r="31" spans="1:10">
      <c r="A31" s="236">
        <v>24</v>
      </c>
      <c r="B31" s="425" t="s">
        <v>46</v>
      </c>
      <c r="C31" s="426">
        <f>C8+C12+C16+C20+C28+C29+C30</f>
        <v>0</v>
      </c>
      <c r="D31" s="426">
        <f>D8+D12+D16+D20+D28+D29+D30</f>
        <v>0</v>
      </c>
      <c r="E31" s="426">
        <f>E8+E12+E16+E20+E28+E29+E30</f>
        <v>0</v>
      </c>
      <c r="F31" s="426">
        <f>F8+F12+F16+F20+F28+F29+F30</f>
        <v>0</v>
      </c>
      <c r="G31" s="426">
        <f>G8+G12+G16+G20+G28+G29+G30</f>
        <v>0</v>
      </c>
      <c r="H31" s="421">
        <f>H8+H12+H16+H20+H27+H28+H30+H29</f>
        <v>0</v>
      </c>
      <c r="I31" s="421">
        <f>I8+I12+I16+I20+I27+I28+I30+I29</f>
        <v>0</v>
      </c>
      <c r="J31" s="421">
        <f>J8+J12+J16+J20+J27+J28+J30+J29</f>
        <v>0</v>
      </c>
    </row>
    <row r="32" spans="1:10">
      <c r="A32" s="393" t="s">
        <v>47</v>
      </c>
      <c r="B32" s="427"/>
      <c r="C32" s="393"/>
      <c r="D32" s="393"/>
      <c r="E32" s="393"/>
      <c r="F32" s="393"/>
      <c r="G32" s="393"/>
      <c r="H32" s="393"/>
      <c r="I32" s="393"/>
      <c r="J32" s="393"/>
    </row>
    <row r="33" spans="1:10">
      <c r="A33" s="236">
        <v>25</v>
      </c>
      <c r="B33" s="244" t="s">
        <v>23</v>
      </c>
      <c r="C33" s="421">
        <f>C34+C35+C36</f>
        <v>0</v>
      </c>
      <c r="D33" s="421">
        <f t="shared" ref="C33:J33" si="12">D34+D35+D36</f>
        <v>0</v>
      </c>
      <c r="E33" s="421">
        <f t="shared" si="12"/>
        <v>0</v>
      </c>
      <c r="F33" s="421">
        <f t="shared" si="12"/>
        <v>0</v>
      </c>
      <c r="G33" s="421">
        <f t="shared" si="12"/>
        <v>0</v>
      </c>
      <c r="H33" s="421">
        <f t="shared" si="12"/>
        <v>0</v>
      </c>
      <c r="I33" s="421">
        <f t="shared" si="12"/>
        <v>0</v>
      </c>
      <c r="J33" s="421">
        <f t="shared" si="12"/>
        <v>0</v>
      </c>
    </row>
    <row r="34" spans="1:10">
      <c r="A34" s="236">
        <v>26</v>
      </c>
      <c r="B34" s="242" t="s">
        <v>24</v>
      </c>
      <c r="C34" s="239"/>
      <c r="D34" s="239"/>
      <c r="E34" s="239"/>
      <c r="F34" s="239"/>
      <c r="G34" s="239"/>
      <c r="H34" s="239"/>
      <c r="I34" s="239"/>
      <c r="J34" s="239"/>
    </row>
    <row r="35" spans="1:10">
      <c r="A35" s="236">
        <v>27</v>
      </c>
      <c r="B35" s="242" t="s">
        <v>25</v>
      </c>
      <c r="C35" s="239"/>
      <c r="D35" s="239"/>
      <c r="E35" s="239"/>
      <c r="F35" s="239"/>
      <c r="G35" s="239"/>
      <c r="H35" s="239"/>
      <c r="I35" s="239"/>
      <c r="J35" s="239"/>
    </row>
    <row r="36" spans="1:10">
      <c r="A36" s="236">
        <v>28</v>
      </c>
      <c r="B36" s="242" t="s">
        <v>26</v>
      </c>
      <c r="C36" s="239"/>
      <c r="D36" s="239"/>
      <c r="E36" s="431"/>
      <c r="F36" s="431"/>
      <c r="G36" s="431"/>
      <c r="H36" s="431"/>
      <c r="I36" s="431"/>
      <c r="J36" s="239"/>
    </row>
    <row r="37" spans="1:10">
      <c r="A37" s="236">
        <v>29</v>
      </c>
      <c r="B37" s="244" t="s">
        <v>27</v>
      </c>
      <c r="C37" s="421">
        <f>C38+C39+C40</f>
        <v>0</v>
      </c>
      <c r="D37" s="421">
        <f t="shared" ref="C37:J37" si="13">D38+D39+D40</f>
        <v>0</v>
      </c>
      <c r="E37" s="421">
        <f t="shared" si="13"/>
        <v>0</v>
      </c>
      <c r="F37" s="421">
        <f t="shared" si="13"/>
        <v>0</v>
      </c>
      <c r="G37" s="421">
        <f t="shared" si="13"/>
        <v>0</v>
      </c>
      <c r="H37" s="421">
        <f t="shared" si="13"/>
        <v>0</v>
      </c>
      <c r="I37" s="421">
        <f t="shared" si="13"/>
        <v>0</v>
      </c>
      <c r="J37" s="421">
        <f t="shared" si="13"/>
        <v>0</v>
      </c>
    </row>
    <row r="38" spans="1:10">
      <c r="A38" s="236">
        <v>30</v>
      </c>
      <c r="B38" s="242" t="s">
        <v>28</v>
      </c>
      <c r="C38" s="239"/>
      <c r="D38" s="239"/>
      <c r="E38" s="239"/>
      <c r="F38" s="239"/>
      <c r="G38" s="239"/>
      <c r="H38" s="239"/>
      <c r="I38" s="239"/>
      <c r="J38" s="239"/>
    </row>
    <row r="39" ht="24" spans="1:10">
      <c r="A39" s="236">
        <v>31</v>
      </c>
      <c r="B39" s="422" t="s">
        <v>29</v>
      </c>
      <c r="C39" s="239"/>
      <c r="D39" s="239"/>
      <c r="E39" s="239"/>
      <c r="F39" s="239"/>
      <c r="G39" s="239"/>
      <c r="H39" s="239"/>
      <c r="I39" s="239"/>
      <c r="J39" s="239"/>
    </row>
    <row r="40" spans="1:10">
      <c r="A40" s="236">
        <v>32</v>
      </c>
      <c r="B40" s="422" t="s">
        <v>30</v>
      </c>
      <c r="C40" s="239"/>
      <c r="D40" s="239"/>
      <c r="E40" s="239"/>
      <c r="F40" s="239"/>
      <c r="G40" s="239"/>
      <c r="H40" s="239"/>
      <c r="I40" s="239"/>
      <c r="J40" s="239"/>
    </row>
    <row r="41" spans="1:10">
      <c r="A41" s="236">
        <v>33</v>
      </c>
      <c r="B41" s="244" t="s">
        <v>31</v>
      </c>
      <c r="C41" s="421">
        <f>C42+C43+C44</f>
        <v>0</v>
      </c>
      <c r="D41" s="421">
        <f t="shared" ref="D41:J41" si="14">D42+D43+D44</f>
        <v>0</v>
      </c>
      <c r="E41" s="421">
        <f t="shared" si="14"/>
        <v>0</v>
      </c>
      <c r="F41" s="421">
        <f t="shared" si="14"/>
        <v>0</v>
      </c>
      <c r="G41" s="421">
        <f t="shared" si="14"/>
        <v>0</v>
      </c>
      <c r="H41" s="421">
        <f t="shared" si="14"/>
        <v>0</v>
      </c>
      <c r="I41" s="421">
        <f t="shared" si="14"/>
        <v>0</v>
      </c>
      <c r="J41" s="421">
        <f t="shared" si="14"/>
        <v>0</v>
      </c>
    </row>
    <row r="42" spans="1:10">
      <c r="A42" s="236">
        <v>34</v>
      </c>
      <c r="B42" s="242" t="s">
        <v>32</v>
      </c>
      <c r="C42" s="239"/>
      <c r="D42" s="239"/>
      <c r="E42" s="239"/>
      <c r="F42" s="239"/>
      <c r="G42" s="239"/>
      <c r="H42" s="239"/>
      <c r="I42" s="239"/>
      <c r="J42" s="239"/>
    </row>
    <row r="43" spans="1:10">
      <c r="A43" s="236">
        <v>35</v>
      </c>
      <c r="B43" s="242" t="s">
        <v>33</v>
      </c>
      <c r="C43" s="239"/>
      <c r="D43" s="239"/>
      <c r="E43" s="239"/>
      <c r="F43" s="239"/>
      <c r="G43" s="239"/>
      <c r="H43" s="239"/>
      <c r="I43" s="239"/>
      <c r="J43" s="239"/>
    </row>
    <row r="44" spans="1:10">
      <c r="A44" s="236">
        <v>36</v>
      </c>
      <c r="B44" s="242" t="s">
        <v>34</v>
      </c>
      <c r="C44" s="239"/>
      <c r="D44" s="239"/>
      <c r="E44" s="239"/>
      <c r="F44" s="239"/>
      <c r="G44" s="239"/>
      <c r="H44" s="239"/>
      <c r="I44" s="239"/>
      <c r="J44" s="239"/>
    </row>
    <row r="45" spans="1:10">
      <c r="A45" s="236">
        <v>37</v>
      </c>
      <c r="B45" s="244" t="s">
        <v>35</v>
      </c>
      <c r="C45" s="421">
        <f>C46+C47+C50</f>
        <v>0</v>
      </c>
      <c r="D45" s="421">
        <f t="shared" ref="C45:J45" si="15">D46+D47+D50</f>
        <v>0</v>
      </c>
      <c r="E45" s="421">
        <f t="shared" si="15"/>
        <v>0</v>
      </c>
      <c r="F45" s="421">
        <f t="shared" si="15"/>
        <v>0</v>
      </c>
      <c r="G45" s="421">
        <f t="shared" si="15"/>
        <v>0</v>
      </c>
      <c r="H45" s="421">
        <f t="shared" si="15"/>
        <v>0</v>
      </c>
      <c r="I45" s="421">
        <f t="shared" si="15"/>
        <v>0</v>
      </c>
      <c r="J45" s="421">
        <f t="shared" si="15"/>
        <v>0</v>
      </c>
    </row>
    <row r="46" spans="1:10">
      <c r="A46" s="236">
        <v>38</v>
      </c>
      <c r="B46" s="242" t="s">
        <v>36</v>
      </c>
      <c r="C46" s="239"/>
      <c r="D46" s="239"/>
      <c r="E46" s="239"/>
      <c r="F46" s="239"/>
      <c r="G46" s="239"/>
      <c r="H46" s="239"/>
      <c r="I46" s="239"/>
      <c r="J46" s="239"/>
    </row>
    <row r="47" spans="1:10">
      <c r="A47" s="236">
        <v>39</v>
      </c>
      <c r="B47" s="242" t="s">
        <v>37</v>
      </c>
      <c r="C47" s="239"/>
      <c r="D47" s="239"/>
      <c r="E47" s="239"/>
      <c r="F47" s="239"/>
      <c r="G47" s="239"/>
      <c r="H47" s="239"/>
      <c r="I47" s="239"/>
      <c r="J47" s="239"/>
    </row>
    <row r="48" spans="1:10">
      <c r="A48" s="236">
        <v>40</v>
      </c>
      <c r="B48" s="242" t="s">
        <v>38</v>
      </c>
      <c r="C48" s="239"/>
      <c r="D48" s="239"/>
      <c r="E48" s="239"/>
      <c r="F48" s="239"/>
      <c r="G48" s="239"/>
      <c r="H48" s="239"/>
      <c r="I48" s="239"/>
      <c r="J48" s="239"/>
    </row>
    <row r="49" spans="1:10">
      <c r="A49" s="236">
        <v>41</v>
      </c>
      <c r="B49" s="242" t="s">
        <v>39</v>
      </c>
      <c r="C49" s="239"/>
      <c r="D49" s="239"/>
      <c r="E49" s="239"/>
      <c r="F49" s="239"/>
      <c r="G49" s="239"/>
      <c r="H49" s="239"/>
      <c r="I49" s="239"/>
      <c r="J49" s="239"/>
    </row>
    <row r="50" spans="1:10">
      <c r="A50" s="236">
        <v>42</v>
      </c>
      <c r="B50" s="242" t="s">
        <v>40</v>
      </c>
      <c r="C50" s="239"/>
      <c r="D50" s="239"/>
      <c r="E50" s="239"/>
      <c r="F50" s="239"/>
      <c r="G50" s="239"/>
      <c r="H50" s="239"/>
      <c r="I50" s="239"/>
      <c r="J50" s="239"/>
    </row>
    <row r="51" spans="1:10">
      <c r="A51" s="236">
        <v>43</v>
      </c>
      <c r="B51" s="242" t="s">
        <v>41</v>
      </c>
      <c r="C51" s="239"/>
      <c r="D51" s="239"/>
      <c r="E51" s="239"/>
      <c r="F51" s="239"/>
      <c r="G51" s="239"/>
      <c r="H51" s="239"/>
      <c r="I51" s="239"/>
      <c r="J51" s="239"/>
    </row>
    <row r="52" spans="1:10">
      <c r="A52" s="236">
        <v>44</v>
      </c>
      <c r="B52" s="242" t="s">
        <v>42</v>
      </c>
      <c r="C52" s="243"/>
      <c r="D52" s="243"/>
      <c r="E52" s="243"/>
      <c r="F52" s="243"/>
      <c r="G52" s="243"/>
      <c r="H52" s="239"/>
      <c r="I52" s="239"/>
      <c r="J52" s="239"/>
    </row>
    <row r="53" spans="1:10">
      <c r="A53" s="236">
        <v>45</v>
      </c>
      <c r="B53" s="244" t="s">
        <v>43</v>
      </c>
      <c r="C53" s="239"/>
      <c r="D53" s="239"/>
      <c r="E53" s="239"/>
      <c r="F53" s="239"/>
      <c r="G53" s="239"/>
      <c r="H53" s="239"/>
      <c r="I53" s="239"/>
      <c r="J53" s="239"/>
    </row>
    <row r="54" spans="1:10">
      <c r="A54" s="236">
        <v>46</v>
      </c>
      <c r="B54" s="244" t="s">
        <v>44</v>
      </c>
      <c r="C54" s="239"/>
      <c r="D54" s="239"/>
      <c r="E54" s="239"/>
      <c r="F54" s="239"/>
      <c r="G54" s="239"/>
      <c r="H54" s="239"/>
      <c r="I54" s="239"/>
      <c r="J54" s="239"/>
    </row>
    <row r="55" spans="1:10">
      <c r="A55" s="236">
        <v>47</v>
      </c>
      <c r="B55" s="244" t="s">
        <v>45</v>
      </c>
      <c r="C55" s="239"/>
      <c r="D55" s="239"/>
      <c r="E55" s="239"/>
      <c r="F55" s="239"/>
      <c r="G55" s="239"/>
      <c r="H55" s="239"/>
      <c r="I55" s="239"/>
      <c r="J55" s="239"/>
    </row>
    <row r="56" spans="1:10">
      <c r="A56" s="236">
        <v>48</v>
      </c>
      <c r="B56" s="425" t="s">
        <v>46</v>
      </c>
      <c r="C56" s="426">
        <f>C33+C37+C41+C45+C53+C54+C55</f>
        <v>0</v>
      </c>
      <c r="D56" s="426">
        <f>D33+D37+D41+D45+D53+D54+D55</f>
        <v>0</v>
      </c>
      <c r="E56" s="426">
        <f>E33+E37+E41+E45+E53+E54+E55</f>
        <v>0</v>
      </c>
      <c r="F56" s="426">
        <f>F33+F37+F41+F45+F53+F54+F55</f>
        <v>0</v>
      </c>
      <c r="G56" s="426">
        <f>G33+G37+G41+G45+G53+G54+G55</f>
        <v>0</v>
      </c>
      <c r="H56" s="421">
        <f>H33+H37+H41+H45+H52+H53+H54+H55</f>
        <v>0</v>
      </c>
      <c r="I56" s="421">
        <f>I33+I37+I41+I45+I52+I53+I54+I55</f>
        <v>0</v>
      </c>
      <c r="J56" s="421">
        <f>J33+J37+J41+J45+J52+J53+J54+J55</f>
        <v>0</v>
      </c>
    </row>
    <row r="57" spans="1:10">
      <c r="A57" s="428" t="s">
        <v>48</v>
      </c>
      <c r="B57" s="429"/>
      <c r="C57" s="393"/>
      <c r="D57" s="393"/>
      <c r="E57" s="393"/>
      <c r="F57" s="393"/>
      <c r="G57" s="393"/>
      <c r="H57" s="393"/>
      <c r="I57" s="393"/>
      <c r="J57" s="393"/>
    </row>
    <row r="58" spans="1:10">
      <c r="A58" s="236">
        <v>49</v>
      </c>
      <c r="B58" s="244" t="s">
        <v>23</v>
      </c>
      <c r="C58" s="421">
        <f t="shared" ref="C58:J58" si="16">C59+C60+C61</f>
        <v>0</v>
      </c>
      <c r="D58" s="421">
        <f t="shared" si="16"/>
        <v>0</v>
      </c>
      <c r="E58" s="421">
        <f t="shared" si="16"/>
        <v>0</v>
      </c>
      <c r="F58" s="421">
        <f t="shared" si="16"/>
        <v>0</v>
      </c>
      <c r="G58" s="421">
        <f t="shared" si="16"/>
        <v>0</v>
      </c>
      <c r="H58" s="421">
        <f t="shared" si="16"/>
        <v>0</v>
      </c>
      <c r="I58" s="421">
        <f t="shared" si="16"/>
        <v>0</v>
      </c>
      <c r="J58" s="421">
        <f t="shared" si="16"/>
        <v>0</v>
      </c>
    </row>
    <row r="59" spans="1:10">
      <c r="A59" s="236">
        <v>50</v>
      </c>
      <c r="B59" s="242" t="s">
        <v>24</v>
      </c>
      <c r="C59" s="239"/>
      <c r="D59" s="239"/>
      <c r="E59" s="239"/>
      <c r="F59" s="239"/>
      <c r="G59" s="239"/>
      <c r="H59" s="239"/>
      <c r="I59" s="239"/>
      <c r="J59" s="239"/>
    </row>
    <row r="60" spans="1:10">
      <c r="A60" s="236">
        <v>51</v>
      </c>
      <c r="B60" s="242" t="s">
        <v>25</v>
      </c>
      <c r="C60" s="239"/>
      <c r="D60" s="239"/>
      <c r="E60" s="239"/>
      <c r="F60" s="239"/>
      <c r="G60" s="239"/>
      <c r="H60" s="239"/>
      <c r="I60" s="239"/>
      <c r="J60" s="239"/>
    </row>
    <row r="61" spans="1:10">
      <c r="A61" s="236">
        <v>52</v>
      </c>
      <c r="B61" s="242" t="s">
        <v>26</v>
      </c>
      <c r="C61" s="239"/>
      <c r="D61" s="239"/>
      <c r="E61" s="431"/>
      <c r="F61" s="431"/>
      <c r="G61" s="431"/>
      <c r="H61" s="431"/>
      <c r="I61" s="431"/>
      <c r="J61" s="239"/>
    </row>
    <row r="62" spans="1:10">
      <c r="A62" s="236">
        <v>53</v>
      </c>
      <c r="B62" s="244" t="s">
        <v>27</v>
      </c>
      <c r="C62" s="421">
        <f t="shared" ref="C62:J62" si="17">C63+C64+C65</f>
        <v>0</v>
      </c>
      <c r="D62" s="421">
        <f t="shared" si="17"/>
        <v>0</v>
      </c>
      <c r="E62" s="421">
        <f t="shared" si="17"/>
        <v>0</v>
      </c>
      <c r="F62" s="421">
        <f t="shared" si="17"/>
        <v>0</v>
      </c>
      <c r="G62" s="421">
        <f t="shared" si="17"/>
        <v>0</v>
      </c>
      <c r="H62" s="421">
        <f t="shared" si="17"/>
        <v>0</v>
      </c>
      <c r="I62" s="421">
        <f t="shared" si="17"/>
        <v>0</v>
      </c>
      <c r="J62" s="421">
        <f t="shared" si="17"/>
        <v>0</v>
      </c>
    </row>
    <row r="63" spans="1:10">
      <c r="A63" s="236">
        <v>54</v>
      </c>
      <c r="B63" s="242" t="s">
        <v>28</v>
      </c>
      <c r="C63" s="239"/>
      <c r="D63" s="239"/>
      <c r="E63" s="239"/>
      <c r="F63" s="239"/>
      <c r="G63" s="239"/>
      <c r="H63" s="239"/>
      <c r="I63" s="239"/>
      <c r="J63" s="239"/>
    </row>
    <row r="64" ht="24" spans="1:10">
      <c r="A64" s="236">
        <v>55</v>
      </c>
      <c r="B64" s="422" t="s">
        <v>29</v>
      </c>
      <c r="C64" s="239"/>
      <c r="D64" s="239"/>
      <c r="E64" s="239"/>
      <c r="F64" s="239"/>
      <c r="G64" s="239"/>
      <c r="H64" s="239"/>
      <c r="I64" s="239"/>
      <c r="J64" s="239"/>
    </row>
    <row r="65" spans="1:10">
      <c r="A65" s="236">
        <v>56</v>
      </c>
      <c r="B65" s="422" t="s">
        <v>30</v>
      </c>
      <c r="C65" s="239"/>
      <c r="D65" s="239"/>
      <c r="E65" s="239"/>
      <c r="F65" s="239"/>
      <c r="G65" s="239"/>
      <c r="H65" s="239"/>
      <c r="I65" s="239"/>
      <c r="J65" s="239"/>
    </row>
    <row r="66" spans="1:10">
      <c r="A66" s="236">
        <v>57</v>
      </c>
      <c r="B66" s="244" t="s">
        <v>31</v>
      </c>
      <c r="C66" s="421">
        <f>C67+C68+C69</f>
        <v>0</v>
      </c>
      <c r="D66" s="421">
        <f t="shared" ref="D66:J66" si="18">D67+D68+D69</f>
        <v>0</v>
      </c>
      <c r="E66" s="421">
        <f t="shared" si="18"/>
        <v>0</v>
      </c>
      <c r="F66" s="421">
        <f t="shared" si="18"/>
        <v>0</v>
      </c>
      <c r="G66" s="421">
        <f t="shared" si="18"/>
        <v>0</v>
      </c>
      <c r="H66" s="421">
        <f t="shared" si="18"/>
        <v>0</v>
      </c>
      <c r="I66" s="421">
        <f t="shared" si="18"/>
        <v>0</v>
      </c>
      <c r="J66" s="421">
        <f t="shared" si="18"/>
        <v>0</v>
      </c>
    </row>
    <row r="67" spans="1:10">
      <c r="A67" s="236">
        <v>58</v>
      </c>
      <c r="B67" s="242" t="s">
        <v>32</v>
      </c>
      <c r="C67" s="239"/>
      <c r="D67" s="239"/>
      <c r="E67" s="239"/>
      <c r="F67" s="239"/>
      <c r="G67" s="239"/>
      <c r="H67" s="239"/>
      <c r="I67" s="239"/>
      <c r="J67" s="239"/>
    </row>
    <row r="68" spans="1:10">
      <c r="A68" s="236">
        <v>59</v>
      </c>
      <c r="B68" s="242" t="s">
        <v>33</v>
      </c>
      <c r="C68" s="239"/>
      <c r="D68" s="239"/>
      <c r="E68" s="239"/>
      <c r="F68" s="239"/>
      <c r="G68" s="239"/>
      <c r="H68" s="239"/>
      <c r="I68" s="239"/>
      <c r="J68" s="239"/>
    </row>
    <row r="69" spans="1:10">
      <c r="A69" s="236">
        <v>60</v>
      </c>
      <c r="B69" s="242" t="s">
        <v>34</v>
      </c>
      <c r="C69" s="239"/>
      <c r="D69" s="239"/>
      <c r="E69" s="239"/>
      <c r="F69" s="239"/>
      <c r="G69" s="239"/>
      <c r="H69" s="239"/>
      <c r="I69" s="239"/>
      <c r="J69" s="239"/>
    </row>
    <row r="70" spans="1:10">
      <c r="A70" s="236">
        <v>61</v>
      </c>
      <c r="B70" s="244" t="s">
        <v>35</v>
      </c>
      <c r="C70" s="421">
        <f>C71+C72+C75</f>
        <v>0</v>
      </c>
      <c r="D70" s="421">
        <f t="shared" ref="C70:J70" si="19">D71+D72+D75</f>
        <v>0</v>
      </c>
      <c r="E70" s="421">
        <f t="shared" si="19"/>
        <v>0</v>
      </c>
      <c r="F70" s="421">
        <f t="shared" si="19"/>
        <v>0</v>
      </c>
      <c r="G70" s="421">
        <f t="shared" si="19"/>
        <v>0</v>
      </c>
      <c r="H70" s="421">
        <f t="shared" si="19"/>
        <v>0</v>
      </c>
      <c r="I70" s="421">
        <f t="shared" si="19"/>
        <v>0</v>
      </c>
      <c r="J70" s="421">
        <f t="shared" si="19"/>
        <v>0</v>
      </c>
    </row>
    <row r="71" spans="1:10">
      <c r="A71" s="236">
        <v>62</v>
      </c>
      <c r="B71" s="242" t="s">
        <v>36</v>
      </c>
      <c r="C71" s="239"/>
      <c r="D71" s="239"/>
      <c r="E71" s="239"/>
      <c r="F71" s="239"/>
      <c r="G71" s="239"/>
      <c r="H71" s="239"/>
      <c r="I71" s="239"/>
      <c r="J71" s="239"/>
    </row>
    <row r="72" spans="1:10">
      <c r="A72" s="236">
        <v>63</v>
      </c>
      <c r="B72" s="242" t="s">
        <v>37</v>
      </c>
      <c r="C72" s="239"/>
      <c r="D72" s="239"/>
      <c r="E72" s="239"/>
      <c r="F72" s="239"/>
      <c r="G72" s="239"/>
      <c r="H72" s="239"/>
      <c r="I72" s="239"/>
      <c r="J72" s="239"/>
    </row>
    <row r="73" spans="1:10">
      <c r="A73" s="236">
        <v>64</v>
      </c>
      <c r="B73" s="242" t="s">
        <v>38</v>
      </c>
      <c r="C73" s="239"/>
      <c r="D73" s="239"/>
      <c r="E73" s="239"/>
      <c r="F73" s="239"/>
      <c r="G73" s="239"/>
      <c r="H73" s="239"/>
      <c r="I73" s="239"/>
      <c r="J73" s="239"/>
    </row>
    <row r="74" spans="1:10">
      <c r="A74" s="236">
        <v>65</v>
      </c>
      <c r="B74" s="242" t="s">
        <v>39</v>
      </c>
      <c r="C74" s="239"/>
      <c r="D74" s="239"/>
      <c r="E74" s="239"/>
      <c r="F74" s="239"/>
      <c r="G74" s="239"/>
      <c r="H74" s="239"/>
      <c r="I74" s="239"/>
      <c r="J74" s="239"/>
    </row>
    <row r="75" spans="1:10">
      <c r="A75" s="236">
        <v>66</v>
      </c>
      <c r="B75" s="242" t="s">
        <v>40</v>
      </c>
      <c r="C75" s="239"/>
      <c r="D75" s="239"/>
      <c r="E75" s="239"/>
      <c r="F75" s="239"/>
      <c r="G75" s="239"/>
      <c r="H75" s="239"/>
      <c r="I75" s="239"/>
      <c r="J75" s="239"/>
    </row>
    <row r="76" spans="1:10">
      <c r="A76" s="236">
        <v>67</v>
      </c>
      <c r="B76" s="242" t="s">
        <v>41</v>
      </c>
      <c r="C76" s="239"/>
      <c r="D76" s="239"/>
      <c r="E76" s="239"/>
      <c r="F76" s="239"/>
      <c r="G76" s="239"/>
      <c r="H76" s="239"/>
      <c r="I76" s="239"/>
      <c r="J76" s="239"/>
    </row>
    <row r="77" spans="1:10">
      <c r="A77" s="236">
        <v>68</v>
      </c>
      <c r="B77" s="242" t="s">
        <v>42</v>
      </c>
      <c r="C77" s="243"/>
      <c r="D77" s="243"/>
      <c r="E77" s="243"/>
      <c r="F77" s="243"/>
      <c r="G77" s="243"/>
      <c r="H77" s="243"/>
      <c r="I77" s="243"/>
      <c r="J77" s="243"/>
    </row>
    <row r="78" spans="1:10">
      <c r="A78" s="236">
        <v>69</v>
      </c>
      <c r="B78" s="244" t="s">
        <v>43</v>
      </c>
      <c r="C78" s="243"/>
      <c r="D78" s="243"/>
      <c r="E78" s="243"/>
      <c r="F78" s="243"/>
      <c r="G78" s="243"/>
      <c r="H78" s="243"/>
      <c r="I78" s="243"/>
      <c r="J78" s="243"/>
    </row>
    <row r="79" spans="1:10">
      <c r="A79" s="236">
        <v>70</v>
      </c>
      <c r="B79" s="244" t="s">
        <v>49</v>
      </c>
      <c r="C79" s="239"/>
      <c r="D79" s="239"/>
      <c r="E79" s="239"/>
      <c r="F79" s="239"/>
      <c r="G79" s="239"/>
      <c r="H79" s="239"/>
      <c r="I79" s="239"/>
      <c r="J79" s="239"/>
    </row>
    <row r="80" spans="1:10">
      <c r="A80" s="236">
        <v>71</v>
      </c>
      <c r="B80" s="242" t="s">
        <v>50</v>
      </c>
      <c r="C80" s="243"/>
      <c r="D80" s="243"/>
      <c r="E80" s="243"/>
      <c r="F80" s="243"/>
      <c r="G80" s="243"/>
      <c r="H80" s="243"/>
      <c r="I80" s="243"/>
      <c r="J80" s="239"/>
    </row>
    <row r="81" spans="1:10">
      <c r="A81" s="236">
        <v>72</v>
      </c>
      <c r="B81" s="242" t="s">
        <v>51</v>
      </c>
      <c r="C81" s="243"/>
      <c r="D81" s="243"/>
      <c r="E81" s="243"/>
      <c r="F81" s="243"/>
      <c r="G81" s="243"/>
      <c r="H81" s="239"/>
      <c r="I81" s="239"/>
      <c r="J81" s="239"/>
    </row>
    <row r="82" spans="1:10">
      <c r="A82" s="236">
        <v>73</v>
      </c>
      <c r="B82" s="242" t="s">
        <v>52</v>
      </c>
      <c r="C82" s="239"/>
      <c r="D82" s="239"/>
      <c r="E82" s="239"/>
      <c r="F82" s="239"/>
      <c r="G82" s="239"/>
      <c r="H82" s="239"/>
      <c r="I82" s="239"/>
      <c r="J82" s="239"/>
    </row>
    <row r="83" spans="1:10">
      <c r="A83" s="236">
        <v>74</v>
      </c>
      <c r="B83" s="432" t="s">
        <v>53</v>
      </c>
      <c r="C83" s="433">
        <f>C58+C62+C66+C70+C79</f>
        <v>0</v>
      </c>
      <c r="D83" s="433">
        <f t="shared" ref="C83:J83" si="20">D58+D62+D66+D70+D79</f>
        <v>0</v>
      </c>
      <c r="E83" s="433">
        <f t="shared" si="20"/>
        <v>0</v>
      </c>
      <c r="F83" s="433">
        <f t="shared" si="20"/>
        <v>0</v>
      </c>
      <c r="G83" s="433">
        <f t="shared" si="20"/>
        <v>0</v>
      </c>
      <c r="H83" s="433">
        <f t="shared" si="20"/>
        <v>0</v>
      </c>
      <c r="I83" s="433">
        <f t="shared" si="20"/>
        <v>0</v>
      </c>
      <c r="J83" s="433">
        <f t="shared" si="20"/>
        <v>0</v>
      </c>
    </row>
    <row r="84" ht="42" customHeight="1" spans="1:10">
      <c r="A84" s="434" t="s">
        <v>54</v>
      </c>
      <c r="B84" s="435"/>
      <c r="C84" s="436" t="s">
        <v>55</v>
      </c>
      <c r="D84" s="436"/>
      <c r="E84" s="436"/>
      <c r="F84" s="436" t="s">
        <v>56</v>
      </c>
      <c r="G84" s="436"/>
      <c r="H84" s="436"/>
      <c r="I84" s="463" t="s">
        <v>57</v>
      </c>
      <c r="J84" s="436" t="s">
        <v>58</v>
      </c>
    </row>
    <row r="85" ht="40" customHeight="1" spans="1:10">
      <c r="A85" s="434"/>
      <c r="B85" s="435"/>
      <c r="C85" s="416" t="s">
        <v>59</v>
      </c>
      <c r="D85" s="416" t="s">
        <v>60</v>
      </c>
      <c r="E85" s="436" t="s">
        <v>61</v>
      </c>
      <c r="F85" s="416" t="s">
        <v>59</v>
      </c>
      <c r="G85" s="416" t="s">
        <v>60</v>
      </c>
      <c r="H85" s="436" t="s">
        <v>61</v>
      </c>
      <c r="I85" s="464"/>
      <c r="J85" s="465"/>
    </row>
    <row r="86" spans="1:10">
      <c r="A86" s="437">
        <v>75</v>
      </c>
      <c r="B86" s="438" t="s">
        <v>23</v>
      </c>
      <c r="C86" s="421">
        <f>C87+C88+C89</f>
        <v>0</v>
      </c>
      <c r="D86" s="421">
        <f>D87+D88+D89</f>
        <v>0</v>
      </c>
      <c r="E86" s="421">
        <f>E87+E88+E89</f>
        <v>0</v>
      </c>
      <c r="F86" s="458"/>
      <c r="G86" s="458"/>
      <c r="H86" s="458"/>
      <c r="I86" s="466"/>
      <c r="J86" s="467"/>
    </row>
    <row r="87" spans="1:10">
      <c r="A87" s="437">
        <v>76</v>
      </c>
      <c r="B87" s="242" t="s">
        <v>24</v>
      </c>
      <c r="C87" s="239"/>
      <c r="D87" s="239"/>
      <c r="E87" s="239"/>
      <c r="F87" s="459"/>
      <c r="G87" s="424"/>
      <c r="H87" s="424"/>
      <c r="I87" s="468"/>
      <c r="J87" s="243"/>
    </row>
    <row r="88" spans="1:10">
      <c r="A88" s="437">
        <v>77</v>
      </c>
      <c r="B88" s="242" t="s">
        <v>25</v>
      </c>
      <c r="C88" s="239"/>
      <c r="D88" s="239"/>
      <c r="E88" s="239"/>
      <c r="F88" s="459"/>
      <c r="G88" s="424"/>
      <c r="H88" s="424"/>
      <c r="I88" s="468"/>
      <c r="J88" s="243"/>
    </row>
    <row r="89" spans="1:10">
      <c r="A89" s="437">
        <v>78</v>
      </c>
      <c r="B89" s="242" t="s">
        <v>26</v>
      </c>
      <c r="C89" s="239"/>
      <c r="D89" s="239"/>
      <c r="E89" s="239"/>
      <c r="F89" s="459"/>
      <c r="G89" s="424"/>
      <c r="H89" s="424"/>
      <c r="I89" s="468"/>
      <c r="J89" s="243"/>
    </row>
    <row r="90" spans="1:10">
      <c r="A90" s="437">
        <v>79</v>
      </c>
      <c r="B90" s="244" t="s">
        <v>27</v>
      </c>
      <c r="C90" s="421">
        <f>C91+C92+C93</f>
        <v>0</v>
      </c>
      <c r="D90" s="421">
        <f>D91+D92+D93</f>
        <v>0</v>
      </c>
      <c r="E90" s="421">
        <f>E91+E92+E93</f>
        <v>0</v>
      </c>
      <c r="F90" s="458"/>
      <c r="G90" s="458"/>
      <c r="H90" s="458"/>
      <c r="I90" s="466"/>
      <c r="J90" s="424"/>
    </row>
    <row r="91" ht="15" customHeight="1" spans="1:10">
      <c r="A91" s="437">
        <v>80</v>
      </c>
      <c r="B91" s="242" t="s">
        <v>28</v>
      </c>
      <c r="C91" s="239"/>
      <c r="D91" s="239"/>
      <c r="E91" s="239"/>
      <c r="F91" s="459"/>
      <c r="G91" s="424"/>
      <c r="H91" s="424"/>
      <c r="I91" s="468"/>
      <c r="J91" s="243"/>
    </row>
    <row r="92" s="406" customFormat="1" ht="24" spans="1:251">
      <c r="A92" s="437">
        <v>81</v>
      </c>
      <c r="B92" s="422" t="s">
        <v>29</v>
      </c>
      <c r="C92" s="439"/>
      <c r="D92" s="439"/>
      <c r="E92" s="439"/>
      <c r="F92" s="460"/>
      <c r="G92" s="461"/>
      <c r="H92" s="461"/>
      <c r="I92" s="469"/>
      <c r="J92" s="470"/>
      <c r="K92" s="471"/>
      <c r="L92" s="471"/>
      <c r="M92" s="471"/>
      <c r="N92" s="471"/>
      <c r="O92" s="471"/>
      <c r="P92" s="471"/>
      <c r="Q92" s="471"/>
      <c r="R92" s="471"/>
      <c r="S92" s="471"/>
      <c r="T92" s="471"/>
      <c r="U92" s="471"/>
      <c r="V92" s="471"/>
      <c r="W92" s="471"/>
      <c r="X92" s="471"/>
      <c r="Y92" s="471"/>
      <c r="Z92" s="471"/>
      <c r="AA92" s="471"/>
      <c r="AB92" s="471"/>
      <c r="AC92" s="471"/>
      <c r="AD92" s="471"/>
      <c r="AE92" s="471"/>
      <c r="AF92" s="471"/>
      <c r="AG92" s="471"/>
      <c r="AH92" s="471"/>
      <c r="AI92" s="471"/>
      <c r="AJ92" s="471"/>
      <c r="AK92" s="471"/>
      <c r="AL92" s="471"/>
      <c r="AM92" s="471"/>
      <c r="AN92" s="471"/>
      <c r="AO92" s="471"/>
      <c r="AP92" s="471"/>
      <c r="AQ92" s="471"/>
      <c r="AR92" s="471"/>
      <c r="AS92" s="471"/>
      <c r="AT92" s="471"/>
      <c r="AU92" s="471"/>
      <c r="AV92" s="471"/>
      <c r="AW92" s="471"/>
      <c r="AX92" s="471"/>
      <c r="AY92" s="471"/>
      <c r="AZ92" s="471"/>
      <c r="BA92" s="471"/>
      <c r="BB92" s="471"/>
      <c r="BC92" s="471"/>
      <c r="BD92" s="471"/>
      <c r="BE92" s="471"/>
      <c r="BF92" s="471"/>
      <c r="BG92" s="471"/>
      <c r="BH92" s="471"/>
      <c r="BI92" s="471"/>
      <c r="BJ92" s="471"/>
      <c r="BK92" s="471"/>
      <c r="BL92" s="471"/>
      <c r="BM92" s="471"/>
      <c r="BN92" s="471"/>
      <c r="BO92" s="471"/>
      <c r="BP92" s="471"/>
      <c r="BQ92" s="471"/>
      <c r="BR92" s="471"/>
      <c r="BS92" s="471"/>
      <c r="BT92" s="471"/>
      <c r="BU92" s="471"/>
      <c r="BV92" s="471"/>
      <c r="BW92" s="471"/>
      <c r="BX92" s="471"/>
      <c r="BY92" s="471"/>
      <c r="BZ92" s="471"/>
      <c r="CA92" s="471"/>
      <c r="CB92" s="471"/>
      <c r="CC92" s="471"/>
      <c r="CD92" s="471"/>
      <c r="CE92" s="471"/>
      <c r="CF92" s="471"/>
      <c r="CG92" s="471"/>
      <c r="CH92" s="471"/>
      <c r="CI92" s="471"/>
      <c r="CJ92" s="471"/>
      <c r="CK92" s="471"/>
      <c r="CL92" s="471"/>
      <c r="CM92" s="471"/>
      <c r="CN92" s="471"/>
      <c r="CO92" s="471"/>
      <c r="CP92" s="471"/>
      <c r="CQ92" s="471"/>
      <c r="CR92" s="471"/>
      <c r="CS92" s="471"/>
      <c r="CT92" s="471"/>
      <c r="CU92" s="471"/>
      <c r="CV92" s="471"/>
      <c r="CW92" s="471"/>
      <c r="CX92" s="471"/>
      <c r="CY92" s="471"/>
      <c r="CZ92" s="471"/>
      <c r="DA92" s="471"/>
      <c r="DB92" s="471"/>
      <c r="DC92" s="471"/>
      <c r="DD92" s="471"/>
      <c r="DE92" s="471"/>
      <c r="DF92" s="471"/>
      <c r="DG92" s="471"/>
      <c r="DH92" s="471"/>
      <c r="DI92" s="471"/>
      <c r="DJ92" s="471"/>
      <c r="DK92" s="471"/>
      <c r="DL92" s="471"/>
      <c r="DM92" s="471"/>
      <c r="DN92" s="471"/>
      <c r="DO92" s="471"/>
      <c r="DP92" s="471"/>
      <c r="DQ92" s="471"/>
      <c r="DR92" s="471"/>
      <c r="DS92" s="471"/>
      <c r="DT92" s="471"/>
      <c r="DU92" s="471"/>
      <c r="DV92" s="471"/>
      <c r="DW92" s="471"/>
      <c r="DX92" s="471"/>
      <c r="DY92" s="471"/>
      <c r="DZ92" s="471"/>
      <c r="EA92" s="471"/>
      <c r="EB92" s="471"/>
      <c r="EC92" s="471"/>
      <c r="ED92" s="471"/>
      <c r="EE92" s="471"/>
      <c r="EF92" s="471"/>
      <c r="EG92" s="471"/>
      <c r="EH92" s="471"/>
      <c r="EI92" s="471"/>
      <c r="EJ92" s="471"/>
      <c r="EK92" s="471"/>
      <c r="EL92" s="471"/>
      <c r="EM92" s="471"/>
      <c r="EN92" s="471"/>
      <c r="EO92" s="471"/>
      <c r="EP92" s="471"/>
      <c r="EQ92" s="471"/>
      <c r="ER92" s="471"/>
      <c r="ES92" s="471"/>
      <c r="ET92" s="471"/>
      <c r="EU92" s="471"/>
      <c r="EV92" s="471"/>
      <c r="EW92" s="471"/>
      <c r="EX92" s="471"/>
      <c r="EY92" s="471"/>
      <c r="EZ92" s="471"/>
      <c r="FA92" s="471"/>
      <c r="FB92" s="471"/>
      <c r="FC92" s="471"/>
      <c r="FD92" s="471"/>
      <c r="FE92" s="471"/>
      <c r="FF92" s="471"/>
      <c r="FG92" s="471"/>
      <c r="FH92" s="471"/>
      <c r="FI92" s="471"/>
      <c r="FJ92" s="471"/>
      <c r="FK92" s="471"/>
      <c r="FL92" s="471"/>
      <c r="FM92" s="471"/>
      <c r="FN92" s="471"/>
      <c r="FO92" s="471"/>
      <c r="FP92" s="471"/>
      <c r="FQ92" s="471"/>
      <c r="FR92" s="471"/>
      <c r="FS92" s="471"/>
      <c r="FT92" s="471"/>
      <c r="FU92" s="471"/>
      <c r="FV92" s="471"/>
      <c r="FW92" s="471"/>
      <c r="FX92" s="471"/>
      <c r="FY92" s="471"/>
      <c r="FZ92" s="471"/>
      <c r="GA92" s="471"/>
      <c r="GB92" s="471"/>
      <c r="GC92" s="471"/>
      <c r="GD92" s="471"/>
      <c r="GE92" s="471"/>
      <c r="GF92" s="471"/>
      <c r="GG92" s="471"/>
      <c r="GH92" s="471"/>
      <c r="GI92" s="471"/>
      <c r="GJ92" s="471"/>
      <c r="GK92" s="471"/>
      <c r="GL92" s="471"/>
      <c r="GM92" s="471"/>
      <c r="GN92" s="471"/>
      <c r="GO92" s="471"/>
      <c r="GP92" s="471"/>
      <c r="GQ92" s="471"/>
      <c r="GR92" s="471"/>
      <c r="GS92" s="471"/>
      <c r="GT92" s="471"/>
      <c r="GU92" s="471"/>
      <c r="GV92" s="471"/>
      <c r="GW92" s="471"/>
      <c r="GX92" s="471"/>
      <c r="GY92" s="471"/>
      <c r="GZ92" s="471"/>
      <c r="HA92" s="471"/>
      <c r="HB92" s="471"/>
      <c r="HC92" s="471"/>
      <c r="HD92" s="471"/>
      <c r="HE92" s="471"/>
      <c r="HF92" s="471"/>
      <c r="HG92" s="471"/>
      <c r="HH92" s="471"/>
      <c r="HI92" s="471"/>
      <c r="HJ92" s="471"/>
      <c r="HK92" s="471"/>
      <c r="HL92" s="471"/>
      <c r="HM92" s="471"/>
      <c r="HN92" s="471"/>
      <c r="HO92" s="471"/>
      <c r="HP92" s="471"/>
      <c r="HQ92" s="471"/>
      <c r="HR92" s="471"/>
      <c r="HS92" s="471"/>
      <c r="HT92" s="471"/>
      <c r="HU92" s="471"/>
      <c r="HV92" s="471"/>
      <c r="HW92" s="471"/>
      <c r="HX92" s="471"/>
      <c r="HY92" s="471"/>
      <c r="HZ92" s="471"/>
      <c r="IA92" s="471"/>
      <c r="IB92" s="471"/>
      <c r="IC92" s="471"/>
      <c r="ID92" s="471"/>
      <c r="IE92" s="471"/>
      <c r="IF92" s="471"/>
      <c r="IG92" s="471"/>
      <c r="IH92" s="471"/>
      <c r="II92" s="471"/>
      <c r="IJ92" s="471"/>
      <c r="IK92" s="471"/>
      <c r="IL92" s="471"/>
      <c r="IM92" s="471"/>
      <c r="IN92" s="471"/>
      <c r="IO92" s="471"/>
      <c r="IP92" s="471"/>
      <c r="IQ92" s="471"/>
    </row>
    <row r="93" ht="14" customHeight="1" spans="1:10">
      <c r="A93" s="437">
        <v>82</v>
      </c>
      <c r="B93" s="422" t="s">
        <v>62</v>
      </c>
      <c r="C93" s="239"/>
      <c r="D93" s="239"/>
      <c r="E93" s="239"/>
      <c r="F93" s="459"/>
      <c r="G93" s="424"/>
      <c r="H93" s="424"/>
      <c r="I93" s="468"/>
      <c r="J93" s="243"/>
    </row>
    <row r="94" spans="1:10">
      <c r="A94" s="437">
        <v>83</v>
      </c>
      <c r="B94" s="244" t="s">
        <v>31</v>
      </c>
      <c r="C94" s="421">
        <f>C95+C96+C97</f>
        <v>0</v>
      </c>
      <c r="D94" s="421">
        <f>D95+D96+D97</f>
        <v>0</v>
      </c>
      <c r="E94" s="421">
        <f>E95+E96+E97</f>
        <v>0</v>
      </c>
      <c r="F94" s="458"/>
      <c r="G94" s="458"/>
      <c r="H94" s="458"/>
      <c r="I94" s="466"/>
      <c r="J94" s="424"/>
    </row>
    <row r="95" spans="1:10">
      <c r="A95" s="437">
        <v>84</v>
      </c>
      <c r="B95" s="242" t="s">
        <v>32</v>
      </c>
      <c r="C95" s="239"/>
      <c r="D95" s="239"/>
      <c r="E95" s="239"/>
      <c r="F95" s="459"/>
      <c r="G95" s="424"/>
      <c r="H95" s="424"/>
      <c r="I95" s="468"/>
      <c r="J95" s="243"/>
    </row>
    <row r="96" spans="1:10">
      <c r="A96" s="437">
        <v>85</v>
      </c>
      <c r="B96" s="242" t="s">
        <v>33</v>
      </c>
      <c r="C96" s="239"/>
      <c r="D96" s="239"/>
      <c r="E96" s="239"/>
      <c r="F96" s="459"/>
      <c r="G96" s="424"/>
      <c r="H96" s="424"/>
      <c r="I96" s="468"/>
      <c r="J96" s="243"/>
    </row>
    <row r="97" spans="1:10">
      <c r="A97" s="437">
        <v>86</v>
      </c>
      <c r="B97" s="422" t="s">
        <v>34</v>
      </c>
      <c r="C97" s="239"/>
      <c r="D97" s="239"/>
      <c r="E97" s="239"/>
      <c r="F97" s="459"/>
      <c r="G97" s="424"/>
      <c r="H97" s="424"/>
      <c r="I97" s="468"/>
      <c r="J97" s="243"/>
    </row>
    <row r="98" spans="1:10">
      <c r="A98" s="437">
        <v>87</v>
      </c>
      <c r="B98" s="244" t="s">
        <v>35</v>
      </c>
      <c r="C98" s="421">
        <f>C99+C100+C103</f>
        <v>0</v>
      </c>
      <c r="D98" s="421">
        <f>D99+D100+D103</f>
        <v>0</v>
      </c>
      <c r="E98" s="421">
        <f>E99+E100+E103</f>
        <v>0</v>
      </c>
      <c r="F98" s="458"/>
      <c r="G98" s="458"/>
      <c r="H98" s="458"/>
      <c r="I98" s="466"/>
      <c r="J98" s="424"/>
    </row>
    <row r="99" spans="1:10">
      <c r="A99" s="437">
        <v>88</v>
      </c>
      <c r="B99" s="242" t="s">
        <v>36</v>
      </c>
      <c r="C99" s="239"/>
      <c r="D99" s="239"/>
      <c r="E99" s="239"/>
      <c r="F99" s="459"/>
      <c r="G99" s="424"/>
      <c r="H99" s="424"/>
      <c r="I99" s="468"/>
      <c r="J99" s="243"/>
    </row>
    <row r="100" spans="1:10">
      <c r="A100" s="437">
        <v>89</v>
      </c>
      <c r="B100" s="242" t="s">
        <v>37</v>
      </c>
      <c r="C100" s="239"/>
      <c r="D100" s="239"/>
      <c r="E100" s="239"/>
      <c r="F100" s="459"/>
      <c r="G100" s="424"/>
      <c r="H100" s="424"/>
      <c r="I100" s="468"/>
      <c r="J100" s="243"/>
    </row>
    <row r="101" spans="1:10">
      <c r="A101" s="437">
        <v>90</v>
      </c>
      <c r="B101" s="242" t="s">
        <v>38</v>
      </c>
      <c r="C101" s="239"/>
      <c r="D101" s="239"/>
      <c r="E101" s="239"/>
      <c r="F101" s="459"/>
      <c r="G101" s="424"/>
      <c r="H101" s="424"/>
      <c r="I101" s="468"/>
      <c r="J101" s="243"/>
    </row>
    <row r="102" spans="1:10">
      <c r="A102" s="437">
        <v>91</v>
      </c>
      <c r="B102" s="242" t="s">
        <v>39</v>
      </c>
      <c r="C102" s="239"/>
      <c r="D102" s="239"/>
      <c r="E102" s="239"/>
      <c r="F102" s="459"/>
      <c r="G102" s="424"/>
      <c r="H102" s="424"/>
      <c r="I102" s="468"/>
      <c r="J102" s="243"/>
    </row>
    <row r="103" spans="1:10">
      <c r="A103" s="437">
        <v>92</v>
      </c>
      <c r="B103" s="242" t="s">
        <v>40</v>
      </c>
      <c r="C103" s="239"/>
      <c r="D103" s="239"/>
      <c r="E103" s="239"/>
      <c r="F103" s="459"/>
      <c r="G103" s="424"/>
      <c r="H103" s="424"/>
      <c r="I103" s="468"/>
      <c r="J103" s="243"/>
    </row>
    <row r="104" spans="1:10">
      <c r="A104" s="437">
        <v>93</v>
      </c>
      <c r="B104" s="242" t="s">
        <v>42</v>
      </c>
      <c r="C104" s="243"/>
      <c r="D104" s="243"/>
      <c r="E104" s="243"/>
      <c r="F104" s="459"/>
      <c r="G104" s="424"/>
      <c r="H104" s="424"/>
      <c r="I104" s="468"/>
      <c r="J104" s="243"/>
    </row>
    <row r="105" spans="1:10">
      <c r="A105" s="437">
        <v>94</v>
      </c>
      <c r="B105" s="244" t="s">
        <v>43</v>
      </c>
      <c r="C105" s="239"/>
      <c r="D105" s="239"/>
      <c r="E105" s="243"/>
      <c r="F105" s="458"/>
      <c r="G105" s="458"/>
      <c r="H105" s="424"/>
      <c r="I105" s="466"/>
      <c r="J105" s="243"/>
    </row>
    <row r="106" spans="1:10">
      <c r="A106" s="437">
        <v>95</v>
      </c>
      <c r="B106" s="244" t="s">
        <v>44</v>
      </c>
      <c r="C106" s="239"/>
      <c r="D106" s="239"/>
      <c r="E106" s="243"/>
      <c r="F106" s="239"/>
      <c r="G106" s="458"/>
      <c r="H106" s="424"/>
      <c r="I106" s="466"/>
      <c r="J106" s="243"/>
    </row>
    <row r="107" spans="1:10">
      <c r="A107" s="437">
        <v>96</v>
      </c>
      <c r="B107" s="244" t="s">
        <v>45</v>
      </c>
      <c r="C107" s="239"/>
      <c r="D107" s="239"/>
      <c r="E107" s="239"/>
      <c r="F107" s="458"/>
      <c r="G107" s="458"/>
      <c r="H107" s="458"/>
      <c r="I107" s="466"/>
      <c r="J107" s="243"/>
    </row>
    <row r="108" spans="1:10">
      <c r="A108" s="437">
        <v>97</v>
      </c>
      <c r="B108" s="425" t="s">
        <v>46</v>
      </c>
      <c r="C108" s="440">
        <f>C86+C90+C94+C98+C105+C106+C107</f>
        <v>0</v>
      </c>
      <c r="D108" s="440">
        <f>D86+D90+D94+D98+D105+D106+D107</f>
        <v>0</v>
      </c>
      <c r="E108" s="421">
        <f>E86+E90+E94+E98+E107</f>
        <v>0</v>
      </c>
      <c r="F108" s="426">
        <f>F86+F90+F94+F98+F105+F106+F107</f>
        <v>0</v>
      </c>
      <c r="G108" s="426">
        <f>G86+G90+G94+G98+G105+G106+G107</f>
        <v>0</v>
      </c>
      <c r="H108" s="421">
        <f>H86+H90+H94+H98+H107</f>
        <v>0</v>
      </c>
      <c r="I108" s="472">
        <f>I86+I90+I94+I98+I105+I106+I107</f>
        <v>0</v>
      </c>
      <c r="J108" s="424"/>
    </row>
    <row r="109" ht="33" customHeight="1" spans="1:7">
      <c r="A109" s="182" t="s">
        <v>63</v>
      </c>
      <c r="B109" s="182"/>
      <c r="C109" s="416" t="s">
        <v>64</v>
      </c>
      <c r="D109" s="416" t="s">
        <v>21</v>
      </c>
      <c r="E109" s="462"/>
      <c r="F109" s="462"/>
      <c r="G109" s="462"/>
    </row>
    <row r="110" ht="30" customHeight="1" spans="1:10">
      <c r="A110" s="441">
        <v>98</v>
      </c>
      <c r="B110" s="442" t="s">
        <v>65</v>
      </c>
      <c r="C110" s="443"/>
      <c r="D110" s="444"/>
      <c r="E110" s="462"/>
      <c r="F110" s="462"/>
      <c r="J110" s="473"/>
    </row>
    <row r="111" ht="39" customHeight="1" spans="1:10">
      <c r="A111" s="445" t="s">
        <v>66</v>
      </c>
      <c r="B111" s="446"/>
      <c r="C111" s="436" t="s">
        <v>67</v>
      </c>
      <c r="D111" s="436" t="s">
        <v>68</v>
      </c>
      <c r="E111" s="436" t="s">
        <v>69</v>
      </c>
      <c r="F111" s="436" t="s">
        <v>70</v>
      </c>
      <c r="G111" s="436" t="s">
        <v>71</v>
      </c>
      <c r="H111" s="436" t="s">
        <v>19</v>
      </c>
      <c r="I111" s="436" t="s">
        <v>72</v>
      </c>
      <c r="J111" s="436" t="s">
        <v>73</v>
      </c>
    </row>
    <row r="112" spans="1:10">
      <c r="A112" s="236">
        <v>99</v>
      </c>
      <c r="B112" s="447" t="s">
        <v>23</v>
      </c>
      <c r="C112" s="433">
        <f>E8+E33+E58+C86+D86+E86+F86+G86+H86</f>
        <v>0</v>
      </c>
      <c r="D112" s="433">
        <f>D8+D33+D58</f>
        <v>0</v>
      </c>
      <c r="E112" s="433">
        <f>C112+J8+J33+J58</f>
        <v>0</v>
      </c>
      <c r="F112" s="433">
        <f>F8+F33+F58+J8+J33+J58</f>
        <v>0</v>
      </c>
      <c r="G112" s="433">
        <f>D112+I8+I33+I58</f>
        <v>0</v>
      </c>
      <c r="H112" s="433">
        <f>G8+G33+G58+I86</f>
        <v>0</v>
      </c>
      <c r="I112" s="474" t="e">
        <f>E112/G112</f>
        <v>#DIV/0!</v>
      </c>
      <c r="J112" s="474" t="e">
        <f>C112/E112</f>
        <v>#DIV/0!</v>
      </c>
    </row>
    <row r="113" spans="1:10">
      <c r="A113" s="236">
        <v>100</v>
      </c>
      <c r="B113" s="448" t="s">
        <v>27</v>
      </c>
      <c r="C113" s="433">
        <f>E12+E37+E62+C90+D90+E90+F90+G90+H90</f>
        <v>0</v>
      </c>
      <c r="D113" s="433">
        <f>D12+D37+D62</f>
        <v>0</v>
      </c>
      <c r="E113" s="433">
        <f>C113+J12+J37+J62</f>
        <v>0</v>
      </c>
      <c r="F113" s="433">
        <f>F12+F37+F62+J12+J37+J62</f>
        <v>0</v>
      </c>
      <c r="G113" s="433">
        <f>D113+I12+I37+I62</f>
        <v>0</v>
      </c>
      <c r="H113" s="433">
        <f>G12+G37+G62+I90</f>
        <v>0</v>
      </c>
      <c r="I113" s="474" t="e">
        <f>E113/G113</f>
        <v>#DIV/0!</v>
      </c>
      <c r="J113" s="474" t="e">
        <f t="shared" ref="J113:J115" si="21">C113/E113</f>
        <v>#DIV/0!</v>
      </c>
    </row>
    <row r="114" spans="1:10">
      <c r="A114" s="236">
        <v>101</v>
      </c>
      <c r="B114" s="448" t="s">
        <v>31</v>
      </c>
      <c r="C114" s="433">
        <f>E16+E41+E66+C94+D94+E94+F94+G94+H94</f>
        <v>0</v>
      </c>
      <c r="D114" s="433">
        <f>D16+D41+D66</f>
        <v>0</v>
      </c>
      <c r="E114" s="433">
        <f>C114+J16+J41+J66</f>
        <v>0</v>
      </c>
      <c r="F114" s="433">
        <f>F16+F41+F66+J16+J41+J66</f>
        <v>0</v>
      </c>
      <c r="G114" s="433">
        <f>D114+I16+I41+I66</f>
        <v>0</v>
      </c>
      <c r="H114" s="433">
        <f>G16+G41+G66+I94</f>
        <v>0</v>
      </c>
      <c r="I114" s="474" t="e">
        <f t="shared" ref="I113:I120" si="22">E114/G114</f>
        <v>#DIV/0!</v>
      </c>
      <c r="J114" s="474" t="e">
        <f t="shared" si="21"/>
        <v>#DIV/0!</v>
      </c>
    </row>
    <row r="115" spans="1:10">
      <c r="A115" s="236">
        <v>102</v>
      </c>
      <c r="B115" s="448" t="s">
        <v>35</v>
      </c>
      <c r="C115" s="433">
        <f>E20+E45+E70+C98+D98+E98+F98+G98+H98</f>
        <v>0</v>
      </c>
      <c r="D115" s="433">
        <f>D20+D45+D70</f>
        <v>0</v>
      </c>
      <c r="E115" s="433">
        <f>C115+J20+J45+J70</f>
        <v>0</v>
      </c>
      <c r="F115" s="433">
        <f>F20+F45+F70+J20+J45+J70</f>
        <v>0</v>
      </c>
      <c r="G115" s="433">
        <f>D115+I20+I45+I70</f>
        <v>0</v>
      </c>
      <c r="H115" s="433">
        <f>G20+G45+G70+I98</f>
        <v>0</v>
      </c>
      <c r="I115" s="474" t="e">
        <f t="shared" si="22"/>
        <v>#DIV/0!</v>
      </c>
      <c r="J115" s="474" t="e">
        <f t="shared" si="21"/>
        <v>#DIV/0!</v>
      </c>
    </row>
    <row r="116" spans="1:10">
      <c r="A116" s="236">
        <v>103</v>
      </c>
      <c r="B116" s="449" t="s">
        <v>42</v>
      </c>
      <c r="C116" s="424"/>
      <c r="D116" s="424"/>
      <c r="E116" s="433">
        <f>J27+J52</f>
        <v>0</v>
      </c>
      <c r="F116" s="433">
        <f>E116</f>
        <v>0</v>
      </c>
      <c r="G116" s="433">
        <f>I27+I52</f>
        <v>0</v>
      </c>
      <c r="H116" s="424"/>
      <c r="I116" s="474" t="e">
        <f t="shared" si="22"/>
        <v>#DIV/0!</v>
      </c>
      <c r="J116" s="475"/>
    </row>
    <row r="117" spans="1:10">
      <c r="A117" s="236">
        <v>104</v>
      </c>
      <c r="B117" s="448" t="s">
        <v>43</v>
      </c>
      <c r="C117" s="433">
        <f>E28+E53+C105+D105+F105+G105</f>
        <v>0</v>
      </c>
      <c r="D117" s="433">
        <f>D28+D53</f>
        <v>0</v>
      </c>
      <c r="E117" s="433">
        <f>C117+J28+J53</f>
        <v>0</v>
      </c>
      <c r="F117" s="433">
        <f>F28+F53+J28+J53</f>
        <v>0</v>
      </c>
      <c r="G117" s="433">
        <f>D117+I28+I53</f>
        <v>0</v>
      </c>
      <c r="H117" s="433">
        <f>G28+G53+I105</f>
        <v>0</v>
      </c>
      <c r="I117" s="474" t="e">
        <f t="shared" si="22"/>
        <v>#DIV/0!</v>
      </c>
      <c r="J117" s="474" t="e">
        <f t="shared" ref="J117:J120" si="23">C117/E117</f>
        <v>#DIV/0!</v>
      </c>
    </row>
    <row r="118" spans="1:10">
      <c r="A118" s="236">
        <v>105</v>
      </c>
      <c r="B118" s="450" t="s">
        <v>44</v>
      </c>
      <c r="C118" s="440">
        <f>E29+E54+C106+D106+F106+G106</f>
        <v>0</v>
      </c>
      <c r="D118" s="440">
        <f>D29+D54</f>
        <v>0</v>
      </c>
      <c r="E118" s="440">
        <f>C118+J29+J54</f>
        <v>0</v>
      </c>
      <c r="F118" s="440">
        <f>F29+F54+J29+J54</f>
        <v>0</v>
      </c>
      <c r="G118" s="440">
        <f>D118+I29+I54</f>
        <v>0</v>
      </c>
      <c r="H118" s="440">
        <f>G29+G54+I106</f>
        <v>0</v>
      </c>
      <c r="I118" s="474" t="e">
        <f t="shared" si="22"/>
        <v>#DIV/0!</v>
      </c>
      <c r="J118" s="474" t="e">
        <f t="shared" si="23"/>
        <v>#DIV/0!</v>
      </c>
    </row>
    <row r="119" spans="1:10">
      <c r="A119" s="236">
        <v>106</v>
      </c>
      <c r="B119" s="450" t="s">
        <v>45</v>
      </c>
      <c r="C119" s="440">
        <f>E30+E55+E79+C107+D107+E107+F107+G107+H107</f>
        <v>0</v>
      </c>
      <c r="D119" s="440">
        <f>D30+D55+D79</f>
        <v>0</v>
      </c>
      <c r="E119" s="440">
        <f>C119+J30+J55+J79</f>
        <v>0</v>
      </c>
      <c r="F119" s="440">
        <f>F30+F55+F79+J30+J55+J79</f>
        <v>0</v>
      </c>
      <c r="G119" s="440">
        <f>D119+I30+I55+I79</f>
        <v>0</v>
      </c>
      <c r="H119" s="440">
        <f>G30+G55+G79+I107</f>
        <v>0</v>
      </c>
      <c r="I119" s="474" t="e">
        <f t="shared" si="22"/>
        <v>#DIV/0!</v>
      </c>
      <c r="J119" s="474" t="e">
        <f t="shared" si="23"/>
        <v>#DIV/0!</v>
      </c>
    </row>
    <row r="120" spans="1:10">
      <c r="A120" s="236">
        <v>107</v>
      </c>
      <c r="B120" s="448" t="s">
        <v>74</v>
      </c>
      <c r="C120" s="426">
        <f>C112+C113+C114+C115+C117+C118+C119</f>
        <v>0</v>
      </c>
      <c r="D120" s="426">
        <f>D112+D113+D114+D115+D117+D118+D119</f>
        <v>0</v>
      </c>
      <c r="E120" s="426">
        <f>E112+E113+E114+E115+E116+E117+E119+E118+C110</f>
        <v>0</v>
      </c>
      <c r="F120" s="426">
        <f>F112+F113+F114+F115+F116+F117+F119+F118+D110</f>
        <v>0</v>
      </c>
      <c r="G120" s="426">
        <f>G112+G113+G114+G115+G116+G117+G119+G118</f>
        <v>0</v>
      </c>
      <c r="H120" s="426">
        <f>H112+H113+H114+H115+H117+H118+H119</f>
        <v>0</v>
      </c>
      <c r="I120" s="474" t="e">
        <f t="shared" si="22"/>
        <v>#DIV/0!</v>
      </c>
      <c r="J120" s="474" t="e">
        <f t="shared" si="23"/>
        <v>#DIV/0!</v>
      </c>
    </row>
    <row r="121" s="103" customFormat="1" ht="17" customHeight="1" spans="1:3">
      <c r="A121" s="451" t="s">
        <v>75</v>
      </c>
      <c r="B121" s="165"/>
      <c r="C121" s="452"/>
    </row>
    <row r="122" s="103" customFormat="1" ht="12" spans="1:10">
      <c r="A122" s="236">
        <v>108</v>
      </c>
      <c r="B122" s="453" t="s">
        <v>76</v>
      </c>
      <c r="C122" s="62"/>
      <c r="D122" s="454"/>
      <c r="E122" s="454"/>
      <c r="G122" s="454"/>
      <c r="H122" s="454"/>
      <c r="I122" s="454"/>
      <c r="J122" s="454"/>
    </row>
    <row r="123" s="34" customFormat="1" ht="17.25" customHeight="1" spans="1:3">
      <c r="A123" s="236">
        <v>109</v>
      </c>
      <c r="B123" s="453" t="s">
        <v>77</v>
      </c>
      <c r="C123" s="62"/>
    </row>
    <row r="124" s="103" customFormat="1" ht="17.25" customHeight="1" spans="1:3">
      <c r="A124" s="236">
        <v>110</v>
      </c>
      <c r="B124" s="453" t="s">
        <v>78</v>
      </c>
      <c r="C124" s="62"/>
    </row>
    <row r="125" s="103" customFormat="1" ht="24" spans="1:3">
      <c r="A125" s="236">
        <v>111</v>
      </c>
      <c r="B125" s="453" t="s">
        <v>79</v>
      </c>
      <c r="C125" s="62"/>
    </row>
    <row r="126" s="103" customFormat="1" ht="17.25" customHeight="1" spans="1:3">
      <c r="A126" s="236">
        <v>112</v>
      </c>
      <c r="B126" s="453" t="s">
        <v>80</v>
      </c>
      <c r="C126" s="62"/>
    </row>
    <row r="127" s="103" customFormat="1" ht="17.25" customHeight="1" spans="1:3">
      <c r="A127" s="236">
        <v>113</v>
      </c>
      <c r="B127" s="455" t="s">
        <v>81</v>
      </c>
      <c r="C127" s="456"/>
    </row>
    <row r="128" s="103" customFormat="1" ht="24" spans="1:3">
      <c r="A128" s="236">
        <v>114</v>
      </c>
      <c r="B128" s="453" t="s">
        <v>82</v>
      </c>
      <c r="C128" s="457"/>
    </row>
    <row r="129" s="103" customFormat="1" ht="24" spans="1:3">
      <c r="A129" s="236">
        <v>115</v>
      </c>
      <c r="B129" s="455" t="s">
        <v>83</v>
      </c>
      <c r="C129" s="476"/>
    </row>
    <row r="130" s="103" customFormat="1" ht="17" customHeight="1" spans="1:3">
      <c r="A130" s="236">
        <v>116</v>
      </c>
      <c r="B130" s="453" t="s">
        <v>84</v>
      </c>
      <c r="C130" s="62"/>
    </row>
    <row r="131" s="103" customFormat="1" ht="24" spans="1:3">
      <c r="A131" s="236">
        <v>117</v>
      </c>
      <c r="B131" s="453" t="s">
        <v>85</v>
      </c>
      <c r="C131" s="62"/>
    </row>
    <row r="132" s="103" customFormat="1" ht="12" spans="1:10">
      <c r="A132" s="473" t="s">
        <v>86</v>
      </c>
      <c r="B132" s="477"/>
      <c r="C132" s="478"/>
      <c r="D132" s="103" t="s">
        <v>87</v>
      </c>
      <c r="J132" s="103" t="s">
        <v>88</v>
      </c>
    </row>
    <row r="133" spans="1:2">
      <c r="A133" s="33"/>
      <c r="B133" s="134" t="s">
        <v>89</v>
      </c>
    </row>
    <row r="134" spans="1:2">
      <c r="A134" s="35"/>
      <c r="B134" s="174" t="s">
        <v>90</v>
      </c>
    </row>
    <row r="135" spans="1:2">
      <c r="A135" s="40" t="s">
        <v>91</v>
      </c>
      <c r="B135" s="41">
        <v>241</v>
      </c>
    </row>
  </sheetData>
  <sheetProtection sort="0" autoFilter="0" pivotTables="0"/>
  <mergeCells count="19">
    <mergeCell ref="A1:J1"/>
    <mergeCell ref="C4:G4"/>
    <mergeCell ref="H4:J4"/>
    <mergeCell ref="E5:F5"/>
    <mergeCell ref="A57:B57"/>
    <mergeCell ref="C84:E84"/>
    <mergeCell ref="F84:H84"/>
    <mergeCell ref="A109:B109"/>
    <mergeCell ref="A3:A6"/>
    <mergeCell ref="B3:B6"/>
    <mergeCell ref="C5:C6"/>
    <mergeCell ref="D5:D6"/>
    <mergeCell ref="G5:G6"/>
    <mergeCell ref="H5:H6"/>
    <mergeCell ref="I5:I6"/>
    <mergeCell ref="I84:I85"/>
    <mergeCell ref="J5:J6"/>
    <mergeCell ref="J84:J85"/>
    <mergeCell ref="A84:B85"/>
  </mergeCells>
  <dataValidations count="2">
    <dataValidation type="decimal" operator="greaterThanOrEqual" allowBlank="1" showInputMessage="1" showErrorMessage="1" sqref="C122:C126 C127:C131">
      <formula1>0</formula1>
    </dataValidation>
    <dataValidation type="decimal" operator="between" allowBlank="1" showInputMessage="1" showErrorMessage="1" sqref="C121">
      <formula1>-9999999999</formula1>
      <formula2>9999999999</formula2>
    </dataValidation>
  </dataValidations>
  <pageMargins left="0.709027777777778" right="0.709027777777778" top="0.75" bottom="0.75" header="0.309027777777778" footer="0.309027777777778"/>
  <pageSetup paperSize="9" scale="86" fitToHeight="0" orientation="landscape" verticalDpi="3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IR106"/>
  <sheetViews>
    <sheetView zoomScale="80" zoomScaleNormal="80" workbookViewId="0">
      <selection activeCell="A106" sqref="A106:B106"/>
    </sheetView>
  </sheetViews>
  <sheetFormatPr defaultColWidth="9" defaultRowHeight="13.5"/>
  <cols>
    <col min="1" max="1" width="6.83333333333333" style="8" customWidth="1"/>
    <col min="2" max="2" width="7.5" style="9" customWidth="1"/>
    <col min="3" max="4" width="9.33333333333333" style="9" customWidth="1"/>
    <col min="5" max="5" width="11.8333333333333" style="9" customWidth="1"/>
    <col min="6" max="8" width="9.33333333333333" style="9" customWidth="1"/>
    <col min="9" max="9" width="11" style="9" customWidth="1"/>
    <col min="10" max="12" width="9.33333333333333" style="9" customWidth="1"/>
    <col min="13" max="13" width="10.8333333333333" style="9" customWidth="1"/>
    <col min="14" max="15" width="9.33333333333333" style="9" customWidth="1"/>
    <col min="16" max="16" width="11.5" style="9" customWidth="1"/>
    <col min="17" max="18" width="9.33333333333333" style="9" customWidth="1"/>
    <col min="19" max="252" width="9" style="9"/>
    <col min="253" max="16384" width="9" style="12"/>
  </cols>
  <sheetData>
    <row r="1" s="1" customFormat="1" ht="24" customHeight="1" spans="1:23">
      <c r="A1" s="13" t="s">
        <v>92</v>
      </c>
      <c r="B1" s="13"/>
      <c r="C1" s="13"/>
      <c r="D1" s="13"/>
      <c r="E1" s="13"/>
      <c r="F1" s="13"/>
      <c r="G1" s="13"/>
      <c r="H1" s="13"/>
      <c r="I1" s="13"/>
      <c r="J1" s="13"/>
      <c r="K1" s="13"/>
      <c r="L1" s="13"/>
      <c r="M1" s="13"/>
      <c r="N1" s="13"/>
      <c r="O1" s="13"/>
      <c r="P1" s="13"/>
      <c r="Q1" s="13"/>
      <c r="R1" s="13"/>
      <c r="S1" s="13"/>
      <c r="T1" s="13"/>
      <c r="U1" s="13"/>
      <c r="V1" s="13"/>
      <c r="W1" s="13"/>
    </row>
    <row r="2" s="2" customFormat="1" ht="18" customHeight="1" spans="1:252">
      <c r="A2" s="16" t="s">
        <v>1</v>
      </c>
      <c r="B2" s="17"/>
      <c r="C2" s="5"/>
      <c r="D2" s="391"/>
      <c r="F2" s="120"/>
      <c r="G2" s="120"/>
      <c r="H2" s="120" t="s">
        <v>93</v>
      </c>
      <c r="I2" s="120"/>
      <c r="J2" s="120"/>
      <c r="K2" s="5"/>
      <c r="L2" s="5"/>
      <c r="M2" s="5"/>
      <c r="N2" s="120"/>
      <c r="O2" s="5"/>
      <c r="P2" s="120" t="s">
        <v>94</v>
      </c>
      <c r="Q2" s="120"/>
      <c r="R2" s="120"/>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row>
    <row r="3" s="3" customFormat="1" ht="20.25" customHeight="1" spans="1:23">
      <c r="A3" s="19" t="s">
        <v>4</v>
      </c>
      <c r="B3" s="20" t="s">
        <v>95</v>
      </c>
      <c r="C3" s="21" t="s">
        <v>6</v>
      </c>
      <c r="D3" s="21" t="s">
        <v>7</v>
      </c>
      <c r="E3" s="21" t="s">
        <v>8</v>
      </c>
      <c r="F3" s="21" t="s">
        <v>9</v>
      </c>
      <c r="G3" s="21" t="s">
        <v>10</v>
      </c>
      <c r="H3" s="21" t="s">
        <v>11</v>
      </c>
      <c r="I3" s="21" t="s">
        <v>12</v>
      </c>
      <c r="J3" s="21" t="s">
        <v>13</v>
      </c>
      <c r="K3" s="21" t="s">
        <v>96</v>
      </c>
      <c r="L3" s="21" t="s">
        <v>97</v>
      </c>
      <c r="M3" s="21" t="s">
        <v>98</v>
      </c>
      <c r="N3" s="21" t="s">
        <v>99</v>
      </c>
      <c r="O3" s="21" t="s">
        <v>100</v>
      </c>
      <c r="P3" s="60" t="s">
        <v>101</v>
      </c>
      <c r="Q3" s="60" t="s">
        <v>102</v>
      </c>
      <c r="R3" s="21" t="s">
        <v>103</v>
      </c>
      <c r="S3" s="21" t="s">
        <v>104</v>
      </c>
      <c r="T3" s="21" t="s">
        <v>105</v>
      </c>
      <c r="U3" s="21" t="s">
        <v>106</v>
      </c>
      <c r="V3" s="21" t="s">
        <v>107</v>
      </c>
      <c r="W3" s="21" t="s">
        <v>108</v>
      </c>
    </row>
    <row r="4" s="4" customFormat="1" ht="24.75" customHeight="1" spans="1:23">
      <c r="A4" s="106"/>
      <c r="B4" s="20"/>
      <c r="C4" s="20" t="s">
        <v>109</v>
      </c>
      <c r="D4" s="20"/>
      <c r="E4" s="20"/>
      <c r="F4" s="20"/>
      <c r="G4" s="20" t="s">
        <v>110</v>
      </c>
      <c r="H4" s="20"/>
      <c r="I4" s="20"/>
      <c r="J4" s="20"/>
      <c r="K4" s="20" t="s">
        <v>61</v>
      </c>
      <c r="L4" s="20"/>
      <c r="M4" s="20"/>
      <c r="N4" s="20"/>
      <c r="O4" s="249" t="s">
        <v>111</v>
      </c>
      <c r="P4" s="249"/>
      <c r="Q4" s="249"/>
      <c r="R4" s="249"/>
      <c r="S4" s="20" t="s">
        <v>112</v>
      </c>
      <c r="T4" s="20"/>
      <c r="U4" s="20"/>
      <c r="V4" s="20"/>
      <c r="W4" s="20"/>
    </row>
    <row r="5" s="4" customFormat="1" ht="24.75" customHeight="1" spans="1:23">
      <c r="A5" s="106"/>
      <c r="B5" s="20"/>
      <c r="C5" s="20"/>
      <c r="D5" s="20"/>
      <c r="E5" s="20"/>
      <c r="F5" s="20"/>
      <c r="G5" s="20"/>
      <c r="H5" s="20"/>
      <c r="I5" s="20"/>
      <c r="J5" s="20"/>
      <c r="K5" s="20"/>
      <c r="L5" s="20"/>
      <c r="M5" s="20"/>
      <c r="N5" s="20"/>
      <c r="O5" s="249"/>
      <c r="P5" s="249"/>
      <c r="Q5" s="249"/>
      <c r="R5" s="249"/>
      <c r="S5" s="20"/>
      <c r="T5" s="20"/>
      <c r="U5" s="20"/>
      <c r="V5" s="20"/>
      <c r="W5" s="20"/>
    </row>
    <row r="6" s="4" customFormat="1" ht="24" spans="1:23">
      <c r="A6" s="106"/>
      <c r="B6" s="20"/>
      <c r="C6" s="20" t="s">
        <v>113</v>
      </c>
      <c r="D6" s="20" t="s">
        <v>17</v>
      </c>
      <c r="E6" s="20" t="s">
        <v>18</v>
      </c>
      <c r="F6" s="20" t="s">
        <v>19</v>
      </c>
      <c r="G6" s="20" t="s">
        <v>114</v>
      </c>
      <c r="H6" s="20" t="s">
        <v>17</v>
      </c>
      <c r="I6" s="20" t="s">
        <v>18</v>
      </c>
      <c r="J6" s="20" t="s">
        <v>19</v>
      </c>
      <c r="K6" s="20" t="s">
        <v>115</v>
      </c>
      <c r="L6" s="20" t="s">
        <v>17</v>
      </c>
      <c r="M6" s="20" t="s">
        <v>18</v>
      </c>
      <c r="N6" s="20" t="s">
        <v>19</v>
      </c>
      <c r="O6" s="20" t="s">
        <v>17</v>
      </c>
      <c r="P6" s="20" t="s">
        <v>18</v>
      </c>
      <c r="Q6" s="20" t="s">
        <v>116</v>
      </c>
      <c r="R6" s="20" t="s">
        <v>19</v>
      </c>
      <c r="S6" s="20" t="s">
        <v>117</v>
      </c>
      <c r="T6" s="20" t="s">
        <v>118</v>
      </c>
      <c r="U6" s="20" t="s">
        <v>119</v>
      </c>
      <c r="V6" s="20" t="s">
        <v>120</v>
      </c>
      <c r="W6" s="20" t="s">
        <v>121</v>
      </c>
    </row>
    <row r="7" s="4" customFormat="1" ht="12.75" spans="1:23">
      <c r="A7" s="107" t="s">
        <v>122</v>
      </c>
      <c r="B7" s="108"/>
      <c r="C7" s="108"/>
      <c r="D7" s="108"/>
      <c r="E7" s="108"/>
      <c r="F7" s="108"/>
      <c r="G7" s="108"/>
      <c r="H7" s="108"/>
      <c r="I7" s="108"/>
      <c r="J7" s="108"/>
      <c r="K7" s="108"/>
      <c r="L7" s="108"/>
      <c r="M7" s="108"/>
      <c r="N7" s="108"/>
      <c r="O7" s="108"/>
      <c r="P7" s="108"/>
      <c r="Q7" s="108"/>
      <c r="R7" s="108"/>
      <c r="S7" s="108"/>
      <c r="T7" s="108"/>
      <c r="U7" s="108"/>
      <c r="V7" s="108"/>
      <c r="W7" s="108"/>
    </row>
    <row r="8" s="5" customFormat="1" ht="15" customHeight="1" spans="1:23">
      <c r="A8" s="25">
        <v>1</v>
      </c>
      <c r="B8" s="26" t="s">
        <v>111</v>
      </c>
      <c r="C8" s="61">
        <f>SUM(C9:C38)</f>
        <v>0</v>
      </c>
      <c r="D8" s="61">
        <f t="shared" ref="D8:N8" si="0">SUM(D9:D38)</f>
        <v>0</v>
      </c>
      <c r="E8" s="61">
        <f t="shared" si="0"/>
        <v>0</v>
      </c>
      <c r="F8" s="61">
        <f t="shared" si="0"/>
        <v>0</v>
      </c>
      <c r="G8" s="61">
        <f t="shared" si="0"/>
        <v>0</v>
      </c>
      <c r="H8" s="61">
        <f t="shared" si="0"/>
        <v>0</v>
      </c>
      <c r="I8" s="61">
        <f t="shared" si="0"/>
        <v>0</v>
      </c>
      <c r="J8" s="61">
        <f t="shared" si="0"/>
        <v>0</v>
      </c>
      <c r="K8" s="61">
        <f t="shared" si="0"/>
        <v>0</v>
      </c>
      <c r="L8" s="61">
        <f t="shared" si="0"/>
        <v>0</v>
      </c>
      <c r="M8" s="61">
        <f t="shared" si="0"/>
        <v>0</v>
      </c>
      <c r="N8" s="61">
        <f t="shared" si="0"/>
        <v>0</v>
      </c>
      <c r="O8" s="61">
        <f>D8+H8+L8</f>
        <v>0</v>
      </c>
      <c r="P8" s="61">
        <f>E8+I8+M8</f>
        <v>0</v>
      </c>
      <c r="Q8" s="61" t="e">
        <f>P8/O8</f>
        <v>#DIV/0!</v>
      </c>
      <c r="R8" s="61">
        <f>F8+J8+N8</f>
        <v>0</v>
      </c>
      <c r="S8" s="61">
        <f>SUM(S9:S38)</f>
        <v>0</v>
      </c>
      <c r="T8" s="61">
        <f>SUM(T9:T38)</f>
        <v>0</v>
      </c>
      <c r="U8" s="61">
        <f>SUM(U9:U38)</f>
        <v>0</v>
      </c>
      <c r="V8" s="61">
        <f>SUM(V9:V38)</f>
        <v>0</v>
      </c>
      <c r="W8" s="61">
        <f>SUM(W9:W38)</f>
        <v>0</v>
      </c>
    </row>
    <row r="9" spans="1:23">
      <c r="A9" s="29">
        <v>2</v>
      </c>
      <c r="B9" s="26" t="s">
        <v>123</v>
      </c>
      <c r="C9" s="30"/>
      <c r="D9" s="379"/>
      <c r="E9" s="63"/>
      <c r="F9" s="63"/>
      <c r="G9" s="63"/>
      <c r="H9" s="63"/>
      <c r="I9" s="63"/>
      <c r="J9" s="63"/>
      <c r="K9" s="63"/>
      <c r="L9" s="63"/>
      <c r="M9" s="63"/>
      <c r="N9" s="63"/>
      <c r="O9" s="61">
        <f t="shared" ref="O9:O38" si="1">D9+H9+L9</f>
        <v>0</v>
      </c>
      <c r="P9" s="61">
        <f>E9+I9+M9</f>
        <v>0</v>
      </c>
      <c r="Q9" s="61" t="e">
        <f t="shared" ref="Q9:Q38" si="2">P9/O9</f>
        <v>#DIV/0!</v>
      </c>
      <c r="R9" s="61">
        <f>F9+J9+N9</f>
        <v>0</v>
      </c>
      <c r="S9" s="403"/>
      <c r="T9" s="403"/>
      <c r="U9" s="403"/>
      <c r="V9" s="403"/>
      <c r="W9" s="199"/>
    </row>
    <row r="10" spans="1:23">
      <c r="A10" s="25">
        <v>3</v>
      </c>
      <c r="B10" s="26" t="s">
        <v>124</v>
      </c>
      <c r="C10" s="379"/>
      <c r="D10" s="379"/>
      <c r="E10" s="63"/>
      <c r="F10" s="63"/>
      <c r="G10" s="63"/>
      <c r="H10" s="63"/>
      <c r="I10" s="63"/>
      <c r="J10" s="63"/>
      <c r="K10" s="63"/>
      <c r="L10" s="63"/>
      <c r="M10" s="63"/>
      <c r="N10" s="63"/>
      <c r="O10" s="61">
        <f t="shared" si="1"/>
        <v>0</v>
      </c>
      <c r="P10" s="61">
        <f t="shared" ref="P9:P38" si="3">E10+I10+M10</f>
        <v>0</v>
      </c>
      <c r="Q10" s="61" t="e">
        <f t="shared" si="2"/>
        <v>#DIV/0!</v>
      </c>
      <c r="R10" s="61">
        <f t="shared" ref="R9:R38" si="4">F10+J10+N10</f>
        <v>0</v>
      </c>
      <c r="S10" s="201"/>
      <c r="T10" s="201"/>
      <c r="U10" s="201"/>
      <c r="V10" s="201"/>
      <c r="W10" s="199"/>
    </row>
    <row r="11" spans="1:23">
      <c r="A11" s="29">
        <v>4</v>
      </c>
      <c r="B11" s="26" t="s">
        <v>125</v>
      </c>
      <c r="C11" s="30"/>
      <c r="D11" s="379"/>
      <c r="E11" s="63"/>
      <c r="F11" s="63"/>
      <c r="G11" s="63"/>
      <c r="H11" s="63"/>
      <c r="I11" s="63"/>
      <c r="J11" s="63"/>
      <c r="K11" s="63"/>
      <c r="L11" s="63"/>
      <c r="M11" s="63"/>
      <c r="N11" s="63"/>
      <c r="O11" s="61">
        <f t="shared" si="1"/>
        <v>0</v>
      </c>
      <c r="P11" s="61">
        <f t="shared" si="3"/>
        <v>0</v>
      </c>
      <c r="Q11" s="61" t="e">
        <f t="shared" si="2"/>
        <v>#DIV/0!</v>
      </c>
      <c r="R11" s="61">
        <f t="shared" si="4"/>
        <v>0</v>
      </c>
      <c r="S11" s="199"/>
      <c r="T11" s="199"/>
      <c r="U11" s="199"/>
      <c r="V11" s="199"/>
      <c r="W11" s="199"/>
    </row>
    <row r="12" spans="1:23">
      <c r="A12" s="25">
        <v>5</v>
      </c>
      <c r="B12" s="26" t="s">
        <v>126</v>
      </c>
      <c r="C12" s="30"/>
      <c r="D12" s="379"/>
      <c r="E12" s="63"/>
      <c r="F12" s="63"/>
      <c r="G12" s="63"/>
      <c r="H12" s="63"/>
      <c r="I12" s="63"/>
      <c r="J12" s="63"/>
      <c r="K12" s="63"/>
      <c r="L12" s="63"/>
      <c r="M12" s="63"/>
      <c r="N12" s="63"/>
      <c r="O12" s="61">
        <f t="shared" si="1"/>
        <v>0</v>
      </c>
      <c r="P12" s="61">
        <f t="shared" si="3"/>
        <v>0</v>
      </c>
      <c r="Q12" s="61" t="e">
        <f t="shared" si="2"/>
        <v>#DIV/0!</v>
      </c>
      <c r="R12" s="61">
        <f t="shared" si="4"/>
        <v>0</v>
      </c>
      <c r="S12" s="199"/>
      <c r="T12" s="199"/>
      <c r="U12" s="199"/>
      <c r="V12" s="199"/>
      <c r="W12" s="199"/>
    </row>
    <row r="13" spans="1:23">
      <c r="A13" s="29">
        <v>6</v>
      </c>
      <c r="B13" s="26" t="s">
        <v>127</v>
      </c>
      <c r="C13" s="30"/>
      <c r="D13" s="379"/>
      <c r="E13" s="63"/>
      <c r="F13" s="63"/>
      <c r="G13" s="63"/>
      <c r="H13" s="63"/>
      <c r="I13" s="63"/>
      <c r="J13" s="63"/>
      <c r="K13" s="63"/>
      <c r="L13" s="63"/>
      <c r="M13" s="63"/>
      <c r="N13" s="63"/>
      <c r="O13" s="61">
        <f t="shared" si="1"/>
        <v>0</v>
      </c>
      <c r="P13" s="61">
        <f t="shared" si="3"/>
        <v>0</v>
      </c>
      <c r="Q13" s="61" t="e">
        <f t="shared" si="2"/>
        <v>#DIV/0!</v>
      </c>
      <c r="R13" s="61">
        <f t="shared" si="4"/>
        <v>0</v>
      </c>
      <c r="S13" s="199"/>
      <c r="T13" s="199"/>
      <c r="U13" s="199"/>
      <c r="V13" s="199"/>
      <c r="W13" s="199"/>
    </row>
    <row r="14" spans="1:23">
      <c r="A14" s="25">
        <v>7</v>
      </c>
      <c r="B14" s="26" t="s">
        <v>128</v>
      </c>
      <c r="C14" s="30"/>
      <c r="D14" s="30"/>
      <c r="E14" s="63"/>
      <c r="F14" s="63"/>
      <c r="G14" s="63"/>
      <c r="H14" s="63"/>
      <c r="I14" s="63"/>
      <c r="J14" s="63"/>
      <c r="K14" s="63"/>
      <c r="L14" s="63"/>
      <c r="M14" s="63"/>
      <c r="N14" s="63"/>
      <c r="O14" s="61">
        <f t="shared" si="1"/>
        <v>0</v>
      </c>
      <c r="P14" s="61">
        <f t="shared" si="3"/>
        <v>0</v>
      </c>
      <c r="Q14" s="61" t="e">
        <f t="shared" si="2"/>
        <v>#DIV/0!</v>
      </c>
      <c r="R14" s="61">
        <f t="shared" si="4"/>
        <v>0</v>
      </c>
      <c r="S14" s="199"/>
      <c r="T14" s="199"/>
      <c r="U14" s="199"/>
      <c r="V14" s="199"/>
      <c r="W14" s="199"/>
    </row>
    <row r="15" spans="1:23">
      <c r="A15" s="29">
        <v>8</v>
      </c>
      <c r="B15" s="26" t="s">
        <v>129</v>
      </c>
      <c r="C15" s="30"/>
      <c r="D15" s="379"/>
      <c r="E15" s="63"/>
      <c r="F15" s="63"/>
      <c r="G15" s="63"/>
      <c r="H15" s="63"/>
      <c r="I15" s="63"/>
      <c r="J15" s="63"/>
      <c r="K15" s="63"/>
      <c r="L15" s="63"/>
      <c r="M15" s="63"/>
      <c r="N15" s="63"/>
      <c r="O15" s="61">
        <f t="shared" si="1"/>
        <v>0</v>
      </c>
      <c r="P15" s="61">
        <f t="shared" si="3"/>
        <v>0</v>
      </c>
      <c r="Q15" s="61" t="e">
        <f t="shared" si="2"/>
        <v>#DIV/0!</v>
      </c>
      <c r="R15" s="61">
        <f t="shared" si="4"/>
        <v>0</v>
      </c>
      <c r="S15" s="199"/>
      <c r="T15" s="199"/>
      <c r="U15" s="199"/>
      <c r="V15" s="199"/>
      <c r="W15" s="199"/>
    </row>
    <row r="16" spans="1:23">
      <c r="A16" s="25">
        <v>9</v>
      </c>
      <c r="B16" s="26" t="s">
        <v>130</v>
      </c>
      <c r="C16" s="30"/>
      <c r="D16" s="379"/>
      <c r="E16" s="63"/>
      <c r="F16" s="63"/>
      <c r="G16" s="63"/>
      <c r="H16" s="63"/>
      <c r="I16" s="63"/>
      <c r="J16" s="63"/>
      <c r="K16" s="63"/>
      <c r="L16" s="63"/>
      <c r="M16" s="63"/>
      <c r="N16" s="63"/>
      <c r="O16" s="61">
        <f t="shared" si="1"/>
        <v>0</v>
      </c>
      <c r="P16" s="61">
        <f t="shared" si="3"/>
        <v>0</v>
      </c>
      <c r="Q16" s="61" t="e">
        <f t="shared" si="2"/>
        <v>#DIV/0!</v>
      </c>
      <c r="R16" s="61">
        <f t="shared" si="4"/>
        <v>0</v>
      </c>
      <c r="S16" s="199"/>
      <c r="T16" s="199"/>
      <c r="U16" s="199"/>
      <c r="V16" s="199"/>
      <c r="W16" s="199"/>
    </row>
    <row r="17" spans="1:23">
      <c r="A17" s="29">
        <v>10</v>
      </c>
      <c r="B17" s="26" t="s">
        <v>131</v>
      </c>
      <c r="C17" s="30"/>
      <c r="D17" s="379"/>
      <c r="E17" s="63"/>
      <c r="F17" s="63"/>
      <c r="G17" s="63"/>
      <c r="H17" s="63"/>
      <c r="I17" s="63"/>
      <c r="J17" s="63"/>
      <c r="K17" s="63"/>
      <c r="L17" s="63"/>
      <c r="M17" s="63"/>
      <c r="N17" s="63"/>
      <c r="O17" s="61">
        <f t="shared" si="1"/>
        <v>0</v>
      </c>
      <c r="P17" s="61">
        <f t="shared" si="3"/>
        <v>0</v>
      </c>
      <c r="Q17" s="61" t="e">
        <f t="shared" si="2"/>
        <v>#DIV/0!</v>
      </c>
      <c r="R17" s="61">
        <f t="shared" si="4"/>
        <v>0</v>
      </c>
      <c r="S17" s="199"/>
      <c r="T17" s="199"/>
      <c r="U17" s="199"/>
      <c r="V17" s="199"/>
      <c r="W17" s="199"/>
    </row>
    <row r="18" spans="1:23">
      <c r="A18" s="25">
        <v>11</v>
      </c>
      <c r="B18" s="26" t="s">
        <v>132</v>
      </c>
      <c r="C18" s="30"/>
      <c r="D18" s="379"/>
      <c r="E18" s="63"/>
      <c r="F18" s="63"/>
      <c r="G18" s="63"/>
      <c r="H18" s="63"/>
      <c r="I18" s="63"/>
      <c r="J18" s="63"/>
      <c r="K18" s="63"/>
      <c r="L18" s="63"/>
      <c r="M18" s="63"/>
      <c r="N18" s="63"/>
      <c r="O18" s="61">
        <f t="shared" si="1"/>
        <v>0</v>
      </c>
      <c r="P18" s="61">
        <f t="shared" si="3"/>
        <v>0</v>
      </c>
      <c r="Q18" s="61" t="e">
        <f t="shared" si="2"/>
        <v>#DIV/0!</v>
      </c>
      <c r="R18" s="61">
        <f t="shared" si="4"/>
        <v>0</v>
      </c>
      <c r="S18" s="199"/>
      <c r="T18" s="199"/>
      <c r="U18" s="199"/>
      <c r="V18" s="199"/>
      <c r="W18" s="199"/>
    </row>
    <row r="19" spans="1:23">
      <c r="A19" s="29">
        <v>12</v>
      </c>
      <c r="B19" s="26" t="s">
        <v>133</v>
      </c>
      <c r="C19" s="30"/>
      <c r="D19" s="379"/>
      <c r="E19" s="63"/>
      <c r="F19" s="63"/>
      <c r="G19" s="63"/>
      <c r="H19" s="63"/>
      <c r="I19" s="63"/>
      <c r="J19" s="63"/>
      <c r="K19" s="63"/>
      <c r="L19" s="63"/>
      <c r="M19" s="63"/>
      <c r="N19" s="63"/>
      <c r="O19" s="61">
        <f t="shared" si="1"/>
        <v>0</v>
      </c>
      <c r="P19" s="61">
        <f t="shared" si="3"/>
        <v>0</v>
      </c>
      <c r="Q19" s="61" t="e">
        <f t="shared" si="2"/>
        <v>#DIV/0!</v>
      </c>
      <c r="R19" s="61">
        <f t="shared" si="4"/>
        <v>0</v>
      </c>
      <c r="S19" s="199"/>
      <c r="T19" s="199"/>
      <c r="U19" s="199"/>
      <c r="V19" s="199"/>
      <c r="W19" s="199"/>
    </row>
    <row r="20" ht="14" customHeight="1" spans="1:23">
      <c r="A20" s="25">
        <v>13</v>
      </c>
      <c r="B20" s="26" t="s">
        <v>134</v>
      </c>
      <c r="C20" s="30"/>
      <c r="D20" s="379"/>
      <c r="E20" s="63"/>
      <c r="F20" s="63"/>
      <c r="G20" s="63"/>
      <c r="H20" s="63"/>
      <c r="I20" s="63"/>
      <c r="J20" s="63"/>
      <c r="K20" s="63"/>
      <c r="L20" s="63"/>
      <c r="M20" s="63"/>
      <c r="N20" s="63"/>
      <c r="O20" s="61">
        <f t="shared" si="1"/>
        <v>0</v>
      </c>
      <c r="P20" s="61">
        <f t="shared" si="3"/>
        <v>0</v>
      </c>
      <c r="Q20" s="61" t="e">
        <f t="shared" si="2"/>
        <v>#DIV/0!</v>
      </c>
      <c r="R20" s="61">
        <f t="shared" si="4"/>
        <v>0</v>
      </c>
      <c r="S20" s="199"/>
      <c r="T20" s="199"/>
      <c r="U20" s="199"/>
      <c r="V20" s="199"/>
      <c r="W20" s="199"/>
    </row>
    <row r="21" spans="1:23">
      <c r="A21" s="29">
        <v>14</v>
      </c>
      <c r="B21" s="26" t="s">
        <v>135</v>
      </c>
      <c r="C21" s="30"/>
      <c r="D21" s="379"/>
      <c r="E21" s="63"/>
      <c r="F21" s="63"/>
      <c r="G21" s="63"/>
      <c r="H21" s="63"/>
      <c r="I21" s="63"/>
      <c r="J21" s="63"/>
      <c r="K21" s="63"/>
      <c r="L21" s="63"/>
      <c r="M21" s="63"/>
      <c r="N21" s="63"/>
      <c r="O21" s="61">
        <f t="shared" si="1"/>
        <v>0</v>
      </c>
      <c r="P21" s="61">
        <f t="shared" si="3"/>
        <v>0</v>
      </c>
      <c r="Q21" s="61" t="e">
        <f t="shared" si="2"/>
        <v>#DIV/0!</v>
      </c>
      <c r="R21" s="61">
        <f t="shared" si="4"/>
        <v>0</v>
      </c>
      <c r="S21" s="199"/>
      <c r="T21" s="199"/>
      <c r="U21" s="199"/>
      <c r="V21" s="199"/>
      <c r="W21" s="199"/>
    </row>
    <row r="22" spans="1:23">
      <c r="A22" s="25">
        <v>15</v>
      </c>
      <c r="B22" s="26" t="s">
        <v>136</v>
      </c>
      <c r="C22" s="30"/>
      <c r="D22" s="379"/>
      <c r="E22" s="63"/>
      <c r="F22" s="63"/>
      <c r="G22" s="63"/>
      <c r="H22" s="63"/>
      <c r="I22" s="63"/>
      <c r="J22" s="63"/>
      <c r="K22" s="63"/>
      <c r="L22" s="63"/>
      <c r="M22" s="63"/>
      <c r="N22" s="63"/>
      <c r="O22" s="61">
        <f t="shared" si="1"/>
        <v>0</v>
      </c>
      <c r="P22" s="61">
        <f t="shared" si="3"/>
        <v>0</v>
      </c>
      <c r="Q22" s="61" t="e">
        <f t="shared" si="2"/>
        <v>#DIV/0!</v>
      </c>
      <c r="R22" s="61">
        <f t="shared" si="4"/>
        <v>0</v>
      </c>
      <c r="S22" s="199"/>
      <c r="T22" s="199"/>
      <c r="U22" s="199"/>
      <c r="V22" s="199"/>
      <c r="W22" s="199"/>
    </row>
    <row r="23" spans="1:23">
      <c r="A23" s="29">
        <v>16</v>
      </c>
      <c r="B23" s="26" t="s">
        <v>137</v>
      </c>
      <c r="C23" s="30"/>
      <c r="D23" s="379"/>
      <c r="E23" s="63"/>
      <c r="F23" s="63"/>
      <c r="G23" s="63"/>
      <c r="H23" s="63"/>
      <c r="I23" s="63"/>
      <c r="J23" s="63"/>
      <c r="K23" s="63"/>
      <c r="L23" s="63"/>
      <c r="M23" s="63"/>
      <c r="N23" s="63"/>
      <c r="O23" s="61">
        <f t="shared" si="1"/>
        <v>0</v>
      </c>
      <c r="P23" s="61">
        <f t="shared" si="3"/>
        <v>0</v>
      </c>
      <c r="Q23" s="61" t="e">
        <f t="shared" si="2"/>
        <v>#DIV/0!</v>
      </c>
      <c r="R23" s="61">
        <f t="shared" si="4"/>
        <v>0</v>
      </c>
      <c r="S23" s="199"/>
      <c r="T23" s="199"/>
      <c r="U23" s="199"/>
      <c r="V23" s="199"/>
      <c r="W23" s="199"/>
    </row>
    <row r="24" spans="1:23">
      <c r="A24" s="29">
        <v>17</v>
      </c>
      <c r="B24" s="26" t="s">
        <v>138</v>
      </c>
      <c r="C24" s="30"/>
      <c r="D24" s="379"/>
      <c r="E24" s="63"/>
      <c r="F24" s="63"/>
      <c r="G24" s="63"/>
      <c r="H24" s="63"/>
      <c r="I24" s="63"/>
      <c r="J24" s="63"/>
      <c r="K24" s="63"/>
      <c r="L24" s="63"/>
      <c r="M24" s="63"/>
      <c r="N24" s="63"/>
      <c r="O24" s="61">
        <f t="shared" si="1"/>
        <v>0</v>
      </c>
      <c r="P24" s="61">
        <f t="shared" si="3"/>
        <v>0</v>
      </c>
      <c r="Q24" s="61" t="e">
        <f t="shared" si="2"/>
        <v>#DIV/0!</v>
      </c>
      <c r="R24" s="61">
        <f t="shared" si="4"/>
        <v>0</v>
      </c>
      <c r="S24" s="199"/>
      <c r="T24" s="199"/>
      <c r="U24" s="199"/>
      <c r="V24" s="199"/>
      <c r="W24" s="199"/>
    </row>
    <row r="25" spans="1:23">
      <c r="A25" s="25">
        <v>18</v>
      </c>
      <c r="B25" s="26" t="s">
        <v>139</v>
      </c>
      <c r="C25" s="30"/>
      <c r="D25" s="379"/>
      <c r="E25" s="63"/>
      <c r="F25" s="63"/>
      <c r="G25" s="63"/>
      <c r="H25" s="63"/>
      <c r="I25" s="63"/>
      <c r="J25" s="63"/>
      <c r="K25" s="63"/>
      <c r="L25" s="63"/>
      <c r="M25" s="63"/>
      <c r="N25" s="63"/>
      <c r="O25" s="61">
        <f t="shared" si="1"/>
        <v>0</v>
      </c>
      <c r="P25" s="61">
        <f t="shared" si="3"/>
        <v>0</v>
      </c>
      <c r="Q25" s="61" t="e">
        <f t="shared" si="2"/>
        <v>#DIV/0!</v>
      </c>
      <c r="R25" s="61">
        <f t="shared" si="4"/>
        <v>0</v>
      </c>
      <c r="S25" s="199"/>
      <c r="T25" s="199"/>
      <c r="U25" s="199"/>
      <c r="V25" s="199"/>
      <c r="W25" s="199"/>
    </row>
    <row r="26" spans="1:23">
      <c r="A26" s="29">
        <v>19</v>
      </c>
      <c r="B26" s="26" t="s">
        <v>140</v>
      </c>
      <c r="C26" s="30"/>
      <c r="D26" s="379"/>
      <c r="E26" s="63"/>
      <c r="F26" s="63"/>
      <c r="G26" s="63"/>
      <c r="H26" s="63"/>
      <c r="I26" s="63"/>
      <c r="J26" s="63"/>
      <c r="K26" s="63"/>
      <c r="L26" s="63"/>
      <c r="M26" s="63"/>
      <c r="N26" s="63"/>
      <c r="O26" s="61">
        <f t="shared" si="1"/>
        <v>0</v>
      </c>
      <c r="P26" s="61">
        <f t="shared" si="3"/>
        <v>0</v>
      </c>
      <c r="Q26" s="61" t="e">
        <f t="shared" si="2"/>
        <v>#DIV/0!</v>
      </c>
      <c r="R26" s="61">
        <f t="shared" si="4"/>
        <v>0</v>
      </c>
      <c r="S26" s="199"/>
      <c r="T26" s="199"/>
      <c r="U26" s="199"/>
      <c r="V26" s="199"/>
      <c r="W26" s="199"/>
    </row>
    <row r="27" spans="1:23">
      <c r="A27" s="29">
        <v>20</v>
      </c>
      <c r="B27" s="26" t="s">
        <v>141</v>
      </c>
      <c r="C27" s="30"/>
      <c r="D27" s="379"/>
      <c r="E27" s="63"/>
      <c r="F27" s="63"/>
      <c r="G27" s="63"/>
      <c r="H27" s="63"/>
      <c r="I27" s="63"/>
      <c r="J27" s="63"/>
      <c r="K27" s="63"/>
      <c r="L27" s="63"/>
      <c r="M27" s="63"/>
      <c r="N27" s="63"/>
      <c r="O27" s="61">
        <f t="shared" si="1"/>
        <v>0</v>
      </c>
      <c r="P27" s="61">
        <f t="shared" si="3"/>
        <v>0</v>
      </c>
      <c r="Q27" s="61" t="e">
        <f t="shared" si="2"/>
        <v>#DIV/0!</v>
      </c>
      <c r="R27" s="61">
        <f t="shared" si="4"/>
        <v>0</v>
      </c>
      <c r="S27" s="199"/>
      <c r="T27" s="199"/>
      <c r="U27" s="199"/>
      <c r="V27" s="199"/>
      <c r="W27" s="199"/>
    </row>
    <row r="28" spans="1:23">
      <c r="A28" s="25">
        <v>21</v>
      </c>
      <c r="B28" s="26" t="s">
        <v>142</v>
      </c>
      <c r="C28" s="30"/>
      <c r="D28" s="379"/>
      <c r="E28" s="63"/>
      <c r="F28" s="63"/>
      <c r="G28" s="63"/>
      <c r="H28" s="63"/>
      <c r="I28" s="63"/>
      <c r="J28" s="63"/>
      <c r="K28" s="63"/>
      <c r="L28" s="63"/>
      <c r="M28" s="63"/>
      <c r="N28" s="63"/>
      <c r="O28" s="61">
        <f t="shared" si="1"/>
        <v>0</v>
      </c>
      <c r="P28" s="61">
        <f t="shared" si="3"/>
        <v>0</v>
      </c>
      <c r="Q28" s="61" t="e">
        <f t="shared" si="2"/>
        <v>#DIV/0!</v>
      </c>
      <c r="R28" s="61">
        <f t="shared" si="4"/>
        <v>0</v>
      </c>
      <c r="S28" s="199"/>
      <c r="T28" s="199"/>
      <c r="U28" s="199"/>
      <c r="V28" s="199"/>
      <c r="W28" s="199"/>
    </row>
    <row r="29" spans="1:23">
      <c r="A29" s="29">
        <v>22</v>
      </c>
      <c r="B29" s="26" t="s">
        <v>143</v>
      </c>
      <c r="C29" s="30"/>
      <c r="D29" s="379"/>
      <c r="E29" s="63"/>
      <c r="F29" s="63"/>
      <c r="G29" s="63"/>
      <c r="H29" s="63"/>
      <c r="I29" s="63"/>
      <c r="J29" s="63"/>
      <c r="K29" s="63"/>
      <c r="L29" s="63"/>
      <c r="M29" s="63"/>
      <c r="N29" s="63"/>
      <c r="O29" s="61">
        <f t="shared" si="1"/>
        <v>0</v>
      </c>
      <c r="P29" s="61">
        <f t="shared" si="3"/>
        <v>0</v>
      </c>
      <c r="Q29" s="61" t="e">
        <f t="shared" si="2"/>
        <v>#DIV/0!</v>
      </c>
      <c r="R29" s="61">
        <f t="shared" si="4"/>
        <v>0</v>
      </c>
      <c r="S29" s="199"/>
      <c r="T29" s="199"/>
      <c r="U29" s="199"/>
      <c r="V29" s="199"/>
      <c r="W29" s="199"/>
    </row>
    <row r="30" spans="1:23">
      <c r="A30" s="29">
        <v>23</v>
      </c>
      <c r="B30" s="26" t="s">
        <v>144</v>
      </c>
      <c r="C30" s="30"/>
      <c r="D30" s="379"/>
      <c r="E30" s="63"/>
      <c r="F30" s="63"/>
      <c r="G30" s="63"/>
      <c r="H30" s="63"/>
      <c r="I30" s="63"/>
      <c r="J30" s="63"/>
      <c r="K30" s="63"/>
      <c r="L30" s="63"/>
      <c r="M30" s="63"/>
      <c r="N30" s="63"/>
      <c r="O30" s="61">
        <f t="shared" si="1"/>
        <v>0</v>
      </c>
      <c r="P30" s="61">
        <f t="shared" si="3"/>
        <v>0</v>
      </c>
      <c r="Q30" s="61" t="e">
        <f t="shared" si="2"/>
        <v>#DIV/0!</v>
      </c>
      <c r="R30" s="61">
        <f t="shared" si="4"/>
        <v>0</v>
      </c>
      <c r="S30" s="199"/>
      <c r="T30" s="199"/>
      <c r="U30" s="199"/>
      <c r="V30" s="199"/>
      <c r="W30" s="199"/>
    </row>
    <row r="31" spans="1:23">
      <c r="A31" s="29">
        <v>24</v>
      </c>
      <c r="B31" s="26" t="s">
        <v>145</v>
      </c>
      <c r="C31" s="30"/>
      <c r="D31" s="379"/>
      <c r="E31" s="63"/>
      <c r="F31" s="63"/>
      <c r="G31" s="63"/>
      <c r="H31" s="63"/>
      <c r="I31" s="63"/>
      <c r="J31" s="63"/>
      <c r="K31" s="63"/>
      <c r="L31" s="63"/>
      <c r="M31" s="63"/>
      <c r="N31" s="63"/>
      <c r="O31" s="61">
        <f t="shared" si="1"/>
        <v>0</v>
      </c>
      <c r="P31" s="61">
        <f t="shared" si="3"/>
        <v>0</v>
      </c>
      <c r="Q31" s="61" t="e">
        <f t="shared" si="2"/>
        <v>#DIV/0!</v>
      </c>
      <c r="R31" s="61">
        <f t="shared" si="4"/>
        <v>0</v>
      </c>
      <c r="S31" s="199"/>
      <c r="T31" s="199"/>
      <c r="U31" s="199"/>
      <c r="V31" s="199"/>
      <c r="W31" s="199"/>
    </row>
    <row r="32" spans="1:23">
      <c r="A32" s="29">
        <v>25</v>
      </c>
      <c r="B32" s="26" t="s">
        <v>146</v>
      </c>
      <c r="C32" s="30"/>
      <c r="D32" s="379"/>
      <c r="E32" s="63"/>
      <c r="F32" s="63"/>
      <c r="G32" s="63"/>
      <c r="H32" s="63"/>
      <c r="I32" s="63"/>
      <c r="J32" s="63"/>
      <c r="K32" s="63"/>
      <c r="L32" s="63"/>
      <c r="M32" s="63"/>
      <c r="N32" s="63"/>
      <c r="O32" s="61">
        <f t="shared" si="1"/>
        <v>0</v>
      </c>
      <c r="P32" s="61">
        <f t="shared" si="3"/>
        <v>0</v>
      </c>
      <c r="Q32" s="61" t="e">
        <f t="shared" si="2"/>
        <v>#DIV/0!</v>
      </c>
      <c r="R32" s="61">
        <f t="shared" si="4"/>
        <v>0</v>
      </c>
      <c r="S32" s="199"/>
      <c r="T32" s="199"/>
      <c r="U32" s="199"/>
      <c r="V32" s="199"/>
      <c r="W32" s="199"/>
    </row>
    <row r="33" spans="1:23">
      <c r="A33" s="29">
        <v>26</v>
      </c>
      <c r="B33" s="26" t="s">
        <v>147</v>
      </c>
      <c r="C33" s="30"/>
      <c r="D33" s="379"/>
      <c r="E33" s="63"/>
      <c r="F33" s="63"/>
      <c r="G33" s="63"/>
      <c r="H33" s="63"/>
      <c r="I33" s="63"/>
      <c r="J33" s="63"/>
      <c r="K33" s="63"/>
      <c r="L33" s="63"/>
      <c r="M33" s="63"/>
      <c r="N33" s="63"/>
      <c r="O33" s="61">
        <f t="shared" si="1"/>
        <v>0</v>
      </c>
      <c r="P33" s="61">
        <f t="shared" si="3"/>
        <v>0</v>
      </c>
      <c r="Q33" s="61" t="e">
        <f t="shared" si="2"/>
        <v>#DIV/0!</v>
      </c>
      <c r="R33" s="61">
        <f t="shared" si="4"/>
        <v>0</v>
      </c>
      <c r="S33" s="199"/>
      <c r="T33" s="199"/>
      <c r="U33" s="199"/>
      <c r="V33" s="199"/>
      <c r="W33" s="199"/>
    </row>
    <row r="34" spans="1:23">
      <c r="A34" s="29">
        <v>27</v>
      </c>
      <c r="B34" s="26" t="s">
        <v>148</v>
      </c>
      <c r="C34" s="30"/>
      <c r="D34" s="379"/>
      <c r="E34" s="63"/>
      <c r="F34" s="63"/>
      <c r="G34" s="63"/>
      <c r="H34" s="63"/>
      <c r="I34" s="63"/>
      <c r="J34" s="63"/>
      <c r="K34" s="63"/>
      <c r="L34" s="63"/>
      <c r="M34" s="63"/>
      <c r="N34" s="63"/>
      <c r="O34" s="61">
        <f t="shared" si="1"/>
        <v>0</v>
      </c>
      <c r="P34" s="61">
        <f t="shared" si="3"/>
        <v>0</v>
      </c>
      <c r="Q34" s="61" t="e">
        <f t="shared" si="2"/>
        <v>#DIV/0!</v>
      </c>
      <c r="R34" s="61">
        <f t="shared" si="4"/>
        <v>0</v>
      </c>
      <c r="S34" s="199"/>
      <c r="T34" s="199"/>
      <c r="U34" s="199"/>
      <c r="V34" s="199"/>
      <c r="W34" s="199"/>
    </row>
    <row r="35" spans="1:23">
      <c r="A35" s="29">
        <v>28</v>
      </c>
      <c r="B35" s="26" t="s">
        <v>149</v>
      </c>
      <c r="C35" s="30"/>
      <c r="D35" s="379"/>
      <c r="E35" s="63"/>
      <c r="F35" s="63"/>
      <c r="G35" s="63"/>
      <c r="H35" s="63"/>
      <c r="I35" s="63"/>
      <c r="J35" s="63"/>
      <c r="K35" s="63"/>
      <c r="L35" s="63"/>
      <c r="M35" s="63"/>
      <c r="N35" s="63"/>
      <c r="O35" s="61">
        <f t="shared" si="1"/>
        <v>0</v>
      </c>
      <c r="P35" s="61">
        <f t="shared" si="3"/>
        <v>0</v>
      </c>
      <c r="Q35" s="61" t="e">
        <f t="shared" si="2"/>
        <v>#DIV/0!</v>
      </c>
      <c r="R35" s="61">
        <f t="shared" si="4"/>
        <v>0</v>
      </c>
      <c r="S35" s="199"/>
      <c r="T35" s="199"/>
      <c r="U35" s="199"/>
      <c r="V35" s="199"/>
      <c r="W35" s="199"/>
    </row>
    <row r="36" spans="1:23">
      <c r="A36" s="29">
        <v>29</v>
      </c>
      <c r="B36" s="26" t="s">
        <v>150</v>
      </c>
      <c r="C36" s="30"/>
      <c r="D36" s="379"/>
      <c r="E36" s="63"/>
      <c r="F36" s="63"/>
      <c r="G36" s="63"/>
      <c r="H36" s="63"/>
      <c r="I36" s="63"/>
      <c r="J36" s="63"/>
      <c r="K36" s="63"/>
      <c r="L36" s="63"/>
      <c r="M36" s="63"/>
      <c r="N36" s="63"/>
      <c r="O36" s="61">
        <f t="shared" si="1"/>
        <v>0</v>
      </c>
      <c r="P36" s="61">
        <f t="shared" si="3"/>
        <v>0</v>
      </c>
      <c r="Q36" s="61" t="e">
        <f t="shared" si="2"/>
        <v>#DIV/0!</v>
      </c>
      <c r="R36" s="61">
        <f t="shared" si="4"/>
        <v>0</v>
      </c>
      <c r="S36" s="199"/>
      <c r="T36" s="199"/>
      <c r="U36" s="199"/>
      <c r="V36" s="199"/>
      <c r="W36" s="199"/>
    </row>
    <row r="37" spans="1:23">
      <c r="A37" s="29">
        <v>30</v>
      </c>
      <c r="B37" s="26" t="s">
        <v>151</v>
      </c>
      <c r="C37" s="30"/>
      <c r="D37" s="379"/>
      <c r="E37" s="63"/>
      <c r="F37" s="63"/>
      <c r="G37" s="63"/>
      <c r="H37" s="63"/>
      <c r="I37" s="63"/>
      <c r="J37" s="63"/>
      <c r="K37" s="63"/>
      <c r="L37" s="63"/>
      <c r="M37" s="63"/>
      <c r="N37" s="63"/>
      <c r="O37" s="61">
        <f t="shared" si="1"/>
        <v>0</v>
      </c>
      <c r="P37" s="61">
        <f t="shared" si="3"/>
        <v>0</v>
      </c>
      <c r="Q37" s="61" t="e">
        <f t="shared" si="2"/>
        <v>#DIV/0!</v>
      </c>
      <c r="R37" s="61">
        <f t="shared" si="4"/>
        <v>0</v>
      </c>
      <c r="S37" s="199"/>
      <c r="T37" s="199"/>
      <c r="U37" s="199"/>
      <c r="V37" s="199"/>
      <c r="W37" s="199"/>
    </row>
    <row r="38" spans="1:23">
      <c r="A38" s="29">
        <v>31</v>
      </c>
      <c r="B38" s="26" t="s">
        <v>152</v>
      </c>
      <c r="C38" s="30"/>
      <c r="D38" s="379"/>
      <c r="E38" s="63"/>
      <c r="F38" s="63"/>
      <c r="G38" s="63"/>
      <c r="H38" s="63"/>
      <c r="I38" s="63"/>
      <c r="J38" s="63"/>
      <c r="K38" s="63"/>
      <c r="L38" s="63"/>
      <c r="M38" s="63"/>
      <c r="N38" s="63"/>
      <c r="O38" s="61">
        <f t="shared" si="1"/>
        <v>0</v>
      </c>
      <c r="P38" s="61">
        <f t="shared" si="3"/>
        <v>0</v>
      </c>
      <c r="Q38" s="61" t="e">
        <f t="shared" si="2"/>
        <v>#DIV/0!</v>
      </c>
      <c r="R38" s="61">
        <f t="shared" si="4"/>
        <v>0</v>
      </c>
      <c r="S38" s="199"/>
      <c r="T38" s="199"/>
      <c r="U38" s="199"/>
      <c r="V38" s="199"/>
      <c r="W38" s="199"/>
    </row>
    <row r="39" s="2" customFormat="1" spans="1:252">
      <c r="A39" s="188" t="s">
        <v>153</v>
      </c>
      <c r="B39" s="400"/>
      <c r="C39" s="401"/>
      <c r="D39" s="402"/>
      <c r="E39" s="399"/>
      <c r="F39" s="399"/>
      <c r="G39" s="399"/>
      <c r="H39" s="399"/>
      <c r="I39" s="399"/>
      <c r="J39" s="399"/>
      <c r="K39" s="401"/>
      <c r="L39" s="401"/>
      <c r="M39" s="401"/>
      <c r="N39" s="399"/>
      <c r="O39" s="401"/>
      <c r="P39" s="399"/>
      <c r="Q39" s="399"/>
      <c r="R39" s="399"/>
      <c r="S39" s="399"/>
      <c r="T39" s="399"/>
      <c r="U39" s="399"/>
      <c r="V39" s="399"/>
      <c r="W39" s="399"/>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row>
    <row r="40" s="5" customFormat="1" ht="15" customHeight="1" spans="1:23">
      <c r="A40" s="25">
        <v>32</v>
      </c>
      <c r="B40" s="26" t="s">
        <v>111</v>
      </c>
      <c r="C40" s="61">
        <f t="shared" ref="C40:N40" si="5">SUM(C41:C70)</f>
        <v>0</v>
      </c>
      <c r="D40" s="61">
        <f t="shared" si="5"/>
        <v>0</v>
      </c>
      <c r="E40" s="61">
        <f t="shared" si="5"/>
        <v>0</v>
      </c>
      <c r="F40" s="61">
        <f t="shared" si="5"/>
        <v>0</v>
      </c>
      <c r="G40" s="61">
        <f t="shared" si="5"/>
        <v>0</v>
      </c>
      <c r="H40" s="61">
        <f t="shared" si="5"/>
        <v>0</v>
      </c>
      <c r="I40" s="61">
        <f t="shared" si="5"/>
        <v>0</v>
      </c>
      <c r="J40" s="61">
        <f t="shared" si="5"/>
        <v>0</v>
      </c>
      <c r="K40" s="61">
        <f t="shared" si="5"/>
        <v>0</v>
      </c>
      <c r="L40" s="61">
        <f t="shared" si="5"/>
        <v>0</v>
      </c>
      <c r="M40" s="61">
        <f t="shared" si="5"/>
        <v>0</v>
      </c>
      <c r="N40" s="61">
        <f t="shared" si="5"/>
        <v>0</v>
      </c>
      <c r="O40" s="61">
        <f>D40+H40+L40</f>
        <v>0</v>
      </c>
      <c r="P40" s="61">
        <f t="shared" ref="P40:P70" si="6">E40+I40+M40</f>
        <v>0</v>
      </c>
      <c r="Q40" s="61" t="e">
        <f t="shared" ref="Q40:Q69" si="7">P40/O40</f>
        <v>#DIV/0!</v>
      </c>
      <c r="R40" s="61">
        <f t="shared" ref="R40:R70" si="8">F40+J40+N40</f>
        <v>0</v>
      </c>
      <c r="S40" s="61">
        <f>SUM(S41:S70)</f>
        <v>0</v>
      </c>
      <c r="T40" s="61">
        <f>SUM(T41:T70)</f>
        <v>0</v>
      </c>
      <c r="U40" s="61">
        <f>SUM(U41:U70)</f>
        <v>0</v>
      </c>
      <c r="V40" s="61">
        <f>SUM(V41:V70)</f>
        <v>0</v>
      </c>
      <c r="W40" s="61">
        <f>SUM(W41:W70)</f>
        <v>0</v>
      </c>
    </row>
    <row r="41" spans="1:23">
      <c r="A41" s="29">
        <v>33</v>
      </c>
      <c r="B41" s="26" t="s">
        <v>123</v>
      </c>
      <c r="C41" s="30"/>
      <c r="D41" s="379"/>
      <c r="E41" s="63"/>
      <c r="F41" s="63"/>
      <c r="G41" s="63"/>
      <c r="H41" s="63"/>
      <c r="I41" s="63"/>
      <c r="J41" s="63"/>
      <c r="K41" s="63"/>
      <c r="L41" s="63"/>
      <c r="M41" s="63"/>
      <c r="N41" s="63"/>
      <c r="O41" s="61">
        <f t="shared" ref="O41:O70" si="9">D41+H41+L41</f>
        <v>0</v>
      </c>
      <c r="P41" s="61">
        <f t="shared" si="6"/>
        <v>0</v>
      </c>
      <c r="Q41" s="61" t="e">
        <f t="shared" si="7"/>
        <v>#DIV/0!</v>
      </c>
      <c r="R41" s="61">
        <f t="shared" si="8"/>
        <v>0</v>
      </c>
      <c r="S41" s="199"/>
      <c r="T41" s="199"/>
      <c r="U41" s="199"/>
      <c r="V41" s="199"/>
      <c r="W41" s="199"/>
    </row>
    <row r="42" spans="1:23">
      <c r="A42" s="25">
        <v>34</v>
      </c>
      <c r="B42" s="26" t="s">
        <v>124</v>
      </c>
      <c r="C42" s="30"/>
      <c r="D42" s="379"/>
      <c r="E42" s="63"/>
      <c r="F42" s="63"/>
      <c r="G42" s="63"/>
      <c r="H42" s="63"/>
      <c r="I42" s="63"/>
      <c r="J42" s="63"/>
      <c r="K42" s="63"/>
      <c r="L42" s="63"/>
      <c r="M42" s="63"/>
      <c r="N42" s="63"/>
      <c r="O42" s="61">
        <f t="shared" si="9"/>
        <v>0</v>
      </c>
      <c r="P42" s="61">
        <f t="shared" si="6"/>
        <v>0</v>
      </c>
      <c r="Q42" s="61" t="e">
        <f t="shared" si="7"/>
        <v>#DIV/0!</v>
      </c>
      <c r="R42" s="61">
        <f t="shared" si="8"/>
        <v>0</v>
      </c>
      <c r="S42" s="201"/>
      <c r="T42" s="201"/>
      <c r="U42" s="201"/>
      <c r="V42" s="201"/>
      <c r="W42" s="199"/>
    </row>
    <row r="43" spans="1:23">
      <c r="A43" s="25">
        <v>35</v>
      </c>
      <c r="B43" s="26" t="s">
        <v>125</v>
      </c>
      <c r="C43" s="30"/>
      <c r="D43" s="379"/>
      <c r="E43" s="63"/>
      <c r="F43" s="63"/>
      <c r="G43" s="63"/>
      <c r="H43" s="63"/>
      <c r="I43" s="63"/>
      <c r="J43" s="63"/>
      <c r="K43" s="63"/>
      <c r="L43" s="63"/>
      <c r="M43" s="63"/>
      <c r="N43" s="63"/>
      <c r="O43" s="61">
        <f t="shared" si="9"/>
        <v>0</v>
      </c>
      <c r="P43" s="61">
        <f t="shared" si="6"/>
        <v>0</v>
      </c>
      <c r="Q43" s="61" t="e">
        <f t="shared" si="7"/>
        <v>#DIV/0!</v>
      </c>
      <c r="R43" s="61">
        <f t="shared" si="8"/>
        <v>0</v>
      </c>
      <c r="S43" s="199"/>
      <c r="T43" s="199"/>
      <c r="U43" s="199"/>
      <c r="V43" s="199"/>
      <c r="W43" s="199"/>
    </row>
    <row r="44" spans="1:23">
      <c r="A44" s="29">
        <v>36</v>
      </c>
      <c r="B44" s="26" t="s">
        <v>126</v>
      </c>
      <c r="C44" s="30"/>
      <c r="D44" s="379"/>
      <c r="E44" s="63"/>
      <c r="F44" s="63"/>
      <c r="G44" s="63"/>
      <c r="H44" s="63"/>
      <c r="I44" s="63"/>
      <c r="J44" s="63"/>
      <c r="K44" s="63"/>
      <c r="L44" s="63"/>
      <c r="M44" s="63"/>
      <c r="N44" s="63"/>
      <c r="O44" s="61">
        <f t="shared" si="9"/>
        <v>0</v>
      </c>
      <c r="P44" s="61">
        <f t="shared" si="6"/>
        <v>0</v>
      </c>
      <c r="Q44" s="61" t="e">
        <f t="shared" si="7"/>
        <v>#DIV/0!</v>
      </c>
      <c r="R44" s="61">
        <f t="shared" si="8"/>
        <v>0</v>
      </c>
      <c r="S44" s="199"/>
      <c r="T44" s="199"/>
      <c r="U44" s="199"/>
      <c r="V44" s="199"/>
      <c r="W44" s="199"/>
    </row>
    <row r="45" spans="1:23">
      <c r="A45" s="25">
        <v>37</v>
      </c>
      <c r="B45" s="26" t="s">
        <v>127</v>
      </c>
      <c r="C45" s="30"/>
      <c r="D45" s="379"/>
      <c r="E45" s="63"/>
      <c r="F45" s="63"/>
      <c r="G45" s="63"/>
      <c r="H45" s="63"/>
      <c r="I45" s="63"/>
      <c r="J45" s="63"/>
      <c r="K45" s="63"/>
      <c r="L45" s="63"/>
      <c r="M45" s="63"/>
      <c r="N45" s="63"/>
      <c r="O45" s="61">
        <f t="shared" si="9"/>
        <v>0</v>
      </c>
      <c r="P45" s="61">
        <f t="shared" si="6"/>
        <v>0</v>
      </c>
      <c r="Q45" s="61" t="e">
        <f t="shared" si="7"/>
        <v>#DIV/0!</v>
      </c>
      <c r="R45" s="61">
        <f t="shared" si="8"/>
        <v>0</v>
      </c>
      <c r="S45" s="199"/>
      <c r="T45" s="199"/>
      <c r="U45" s="199"/>
      <c r="V45" s="199"/>
      <c r="W45" s="199"/>
    </row>
    <row r="46" spans="1:23">
      <c r="A46" s="25">
        <v>38</v>
      </c>
      <c r="B46" s="26" t="s">
        <v>128</v>
      </c>
      <c r="C46" s="30"/>
      <c r="D46" s="379"/>
      <c r="E46" s="63"/>
      <c r="F46" s="63"/>
      <c r="G46" s="63"/>
      <c r="H46" s="63"/>
      <c r="I46" s="63"/>
      <c r="J46" s="63"/>
      <c r="K46" s="63"/>
      <c r="L46" s="63"/>
      <c r="M46" s="63"/>
      <c r="N46" s="63"/>
      <c r="O46" s="61">
        <f t="shared" si="9"/>
        <v>0</v>
      </c>
      <c r="P46" s="61">
        <f t="shared" si="6"/>
        <v>0</v>
      </c>
      <c r="Q46" s="61" t="e">
        <f t="shared" si="7"/>
        <v>#DIV/0!</v>
      </c>
      <c r="R46" s="61">
        <f t="shared" si="8"/>
        <v>0</v>
      </c>
      <c r="S46" s="199"/>
      <c r="T46" s="199"/>
      <c r="U46" s="199"/>
      <c r="V46" s="199"/>
      <c r="W46" s="199"/>
    </row>
    <row r="47" spans="1:23">
      <c r="A47" s="29">
        <v>39</v>
      </c>
      <c r="B47" s="26" t="s">
        <v>129</v>
      </c>
      <c r="C47" s="30"/>
      <c r="D47" s="379"/>
      <c r="E47" s="63"/>
      <c r="F47" s="63"/>
      <c r="G47" s="63"/>
      <c r="H47" s="63"/>
      <c r="I47" s="63"/>
      <c r="J47" s="63"/>
      <c r="K47" s="63"/>
      <c r="L47" s="63"/>
      <c r="M47" s="63"/>
      <c r="N47" s="63"/>
      <c r="O47" s="61">
        <f t="shared" si="9"/>
        <v>0</v>
      </c>
      <c r="P47" s="61">
        <f t="shared" si="6"/>
        <v>0</v>
      </c>
      <c r="Q47" s="61" t="e">
        <f t="shared" si="7"/>
        <v>#DIV/0!</v>
      </c>
      <c r="R47" s="61">
        <f t="shared" si="8"/>
        <v>0</v>
      </c>
      <c r="S47" s="199"/>
      <c r="T47" s="199"/>
      <c r="U47" s="199"/>
      <c r="V47" s="199"/>
      <c r="W47" s="199"/>
    </row>
    <row r="48" spans="1:23">
      <c r="A48" s="25">
        <v>40</v>
      </c>
      <c r="B48" s="26" t="s">
        <v>130</v>
      </c>
      <c r="C48" s="30"/>
      <c r="D48" s="379"/>
      <c r="E48" s="63"/>
      <c r="F48" s="63"/>
      <c r="G48" s="63"/>
      <c r="H48" s="63"/>
      <c r="I48" s="63"/>
      <c r="J48" s="63"/>
      <c r="K48" s="63"/>
      <c r="L48" s="63"/>
      <c r="M48" s="63"/>
      <c r="N48" s="63"/>
      <c r="O48" s="61">
        <f t="shared" si="9"/>
        <v>0</v>
      </c>
      <c r="P48" s="61">
        <f t="shared" si="6"/>
        <v>0</v>
      </c>
      <c r="Q48" s="61" t="e">
        <f t="shared" si="7"/>
        <v>#DIV/0!</v>
      </c>
      <c r="R48" s="61">
        <f t="shared" si="8"/>
        <v>0</v>
      </c>
      <c r="S48" s="199"/>
      <c r="T48" s="199"/>
      <c r="U48" s="199"/>
      <c r="V48" s="199"/>
      <c r="W48" s="199"/>
    </row>
    <row r="49" spans="1:23">
      <c r="A49" s="25">
        <v>41</v>
      </c>
      <c r="B49" s="26" t="s">
        <v>131</v>
      </c>
      <c r="C49" s="30"/>
      <c r="D49" s="379"/>
      <c r="E49" s="63"/>
      <c r="F49" s="63"/>
      <c r="G49" s="63"/>
      <c r="H49" s="63"/>
      <c r="I49" s="63"/>
      <c r="J49" s="63"/>
      <c r="K49" s="63"/>
      <c r="L49" s="63"/>
      <c r="M49" s="63"/>
      <c r="N49" s="63"/>
      <c r="O49" s="61">
        <f t="shared" si="9"/>
        <v>0</v>
      </c>
      <c r="P49" s="61">
        <f t="shared" si="6"/>
        <v>0</v>
      </c>
      <c r="Q49" s="61" t="e">
        <f t="shared" si="7"/>
        <v>#DIV/0!</v>
      </c>
      <c r="R49" s="61">
        <f t="shared" si="8"/>
        <v>0</v>
      </c>
      <c r="S49" s="199"/>
      <c r="T49" s="199"/>
      <c r="U49" s="199"/>
      <c r="V49" s="199"/>
      <c r="W49" s="199"/>
    </row>
    <row r="50" spans="1:23">
      <c r="A50" s="29">
        <v>42</v>
      </c>
      <c r="B50" s="26" t="s">
        <v>132</v>
      </c>
      <c r="C50" s="30"/>
      <c r="D50" s="379"/>
      <c r="E50" s="63"/>
      <c r="F50" s="63"/>
      <c r="G50" s="63"/>
      <c r="H50" s="63"/>
      <c r="I50" s="63"/>
      <c r="J50" s="63"/>
      <c r="K50" s="63"/>
      <c r="L50" s="63"/>
      <c r="M50" s="63"/>
      <c r="N50" s="63"/>
      <c r="O50" s="61">
        <f t="shared" si="9"/>
        <v>0</v>
      </c>
      <c r="P50" s="61">
        <f t="shared" si="6"/>
        <v>0</v>
      </c>
      <c r="Q50" s="61" t="e">
        <f t="shared" si="7"/>
        <v>#DIV/0!</v>
      </c>
      <c r="R50" s="61">
        <f t="shared" si="8"/>
        <v>0</v>
      </c>
      <c r="S50" s="199"/>
      <c r="T50" s="199"/>
      <c r="U50" s="199"/>
      <c r="V50" s="199"/>
      <c r="W50" s="199"/>
    </row>
    <row r="51" spans="1:23">
      <c r="A51" s="25">
        <v>43</v>
      </c>
      <c r="B51" s="26" t="s">
        <v>133</v>
      </c>
      <c r="C51" s="30"/>
      <c r="D51" s="379"/>
      <c r="E51" s="63"/>
      <c r="F51" s="63"/>
      <c r="G51" s="63"/>
      <c r="H51" s="63"/>
      <c r="I51" s="63"/>
      <c r="J51" s="63"/>
      <c r="K51" s="63"/>
      <c r="L51" s="63"/>
      <c r="M51" s="63"/>
      <c r="N51" s="63"/>
      <c r="O51" s="61">
        <f t="shared" si="9"/>
        <v>0</v>
      </c>
      <c r="P51" s="61">
        <f t="shared" si="6"/>
        <v>0</v>
      </c>
      <c r="Q51" s="61" t="e">
        <f t="shared" si="7"/>
        <v>#DIV/0!</v>
      </c>
      <c r="R51" s="61">
        <f t="shared" si="8"/>
        <v>0</v>
      </c>
      <c r="S51" s="199"/>
      <c r="T51" s="199"/>
      <c r="U51" s="199"/>
      <c r="V51" s="199"/>
      <c r="W51" s="199"/>
    </row>
    <row r="52" spans="1:23">
      <c r="A52" s="25">
        <v>44</v>
      </c>
      <c r="B52" s="26" t="s">
        <v>134</v>
      </c>
      <c r="C52" s="30"/>
      <c r="D52" s="379"/>
      <c r="E52" s="63"/>
      <c r="F52" s="63"/>
      <c r="G52" s="63"/>
      <c r="H52" s="63"/>
      <c r="I52" s="63"/>
      <c r="J52" s="63"/>
      <c r="K52" s="63"/>
      <c r="L52" s="63"/>
      <c r="M52" s="63"/>
      <c r="N52" s="63"/>
      <c r="O52" s="61">
        <f t="shared" si="9"/>
        <v>0</v>
      </c>
      <c r="P52" s="61">
        <f t="shared" si="6"/>
        <v>0</v>
      </c>
      <c r="Q52" s="61" t="e">
        <f t="shared" si="7"/>
        <v>#DIV/0!</v>
      </c>
      <c r="R52" s="61">
        <f t="shared" si="8"/>
        <v>0</v>
      </c>
      <c r="S52" s="199"/>
      <c r="T52" s="199"/>
      <c r="U52" s="199"/>
      <c r="V52" s="199"/>
      <c r="W52" s="199"/>
    </row>
    <row r="53" spans="1:23">
      <c r="A53" s="29">
        <v>45</v>
      </c>
      <c r="B53" s="26" t="s">
        <v>135</v>
      </c>
      <c r="C53" s="30"/>
      <c r="D53" s="379"/>
      <c r="E53" s="63"/>
      <c r="F53" s="63"/>
      <c r="G53" s="63"/>
      <c r="H53" s="63"/>
      <c r="I53" s="63"/>
      <c r="J53" s="63"/>
      <c r="K53" s="63"/>
      <c r="L53" s="63"/>
      <c r="M53" s="63"/>
      <c r="N53" s="63"/>
      <c r="O53" s="61">
        <f t="shared" si="9"/>
        <v>0</v>
      </c>
      <c r="P53" s="61">
        <f t="shared" si="6"/>
        <v>0</v>
      </c>
      <c r="Q53" s="61" t="e">
        <f t="shared" si="7"/>
        <v>#DIV/0!</v>
      </c>
      <c r="R53" s="61">
        <f t="shared" si="8"/>
        <v>0</v>
      </c>
      <c r="S53" s="199"/>
      <c r="T53" s="199"/>
      <c r="U53" s="199"/>
      <c r="V53" s="199"/>
      <c r="W53" s="199"/>
    </row>
    <row r="54" spans="1:23">
      <c r="A54" s="25">
        <v>46</v>
      </c>
      <c r="B54" s="26" t="s">
        <v>136</v>
      </c>
      <c r="C54" s="30"/>
      <c r="D54" s="379"/>
      <c r="E54" s="63"/>
      <c r="F54" s="63"/>
      <c r="G54" s="63"/>
      <c r="H54" s="63"/>
      <c r="I54" s="63"/>
      <c r="J54" s="63"/>
      <c r="K54" s="63"/>
      <c r="L54" s="63"/>
      <c r="M54" s="63"/>
      <c r="N54" s="63"/>
      <c r="O54" s="61">
        <f t="shared" si="9"/>
        <v>0</v>
      </c>
      <c r="P54" s="61">
        <f t="shared" si="6"/>
        <v>0</v>
      </c>
      <c r="Q54" s="61" t="e">
        <f t="shared" si="7"/>
        <v>#DIV/0!</v>
      </c>
      <c r="R54" s="61">
        <f t="shared" si="8"/>
        <v>0</v>
      </c>
      <c r="S54" s="199"/>
      <c r="T54" s="199"/>
      <c r="U54" s="199"/>
      <c r="V54" s="199"/>
      <c r="W54" s="199"/>
    </row>
    <row r="55" spans="1:23">
      <c r="A55" s="25">
        <v>47</v>
      </c>
      <c r="B55" s="26" t="s">
        <v>137</v>
      </c>
      <c r="C55" s="30"/>
      <c r="D55" s="379"/>
      <c r="E55" s="63"/>
      <c r="F55" s="63"/>
      <c r="G55" s="63"/>
      <c r="H55" s="63"/>
      <c r="I55" s="63"/>
      <c r="J55" s="63"/>
      <c r="K55" s="63"/>
      <c r="L55" s="63"/>
      <c r="M55" s="63"/>
      <c r="N55" s="63"/>
      <c r="O55" s="61">
        <f t="shared" si="9"/>
        <v>0</v>
      </c>
      <c r="P55" s="61">
        <f t="shared" si="6"/>
        <v>0</v>
      </c>
      <c r="Q55" s="61" t="e">
        <f t="shared" si="7"/>
        <v>#DIV/0!</v>
      </c>
      <c r="R55" s="61">
        <f t="shared" si="8"/>
        <v>0</v>
      </c>
      <c r="S55" s="199"/>
      <c r="T55" s="199"/>
      <c r="U55" s="199"/>
      <c r="V55" s="199"/>
      <c r="W55" s="199"/>
    </row>
    <row r="56" spans="1:23">
      <c r="A56" s="29">
        <v>48</v>
      </c>
      <c r="B56" s="26" t="s">
        <v>138</v>
      </c>
      <c r="C56" s="30"/>
      <c r="D56" s="379"/>
      <c r="E56" s="63"/>
      <c r="F56" s="63"/>
      <c r="G56" s="63"/>
      <c r="H56" s="63"/>
      <c r="I56" s="63"/>
      <c r="J56" s="63"/>
      <c r="K56" s="63"/>
      <c r="L56" s="63"/>
      <c r="M56" s="63"/>
      <c r="N56" s="63"/>
      <c r="O56" s="61">
        <f t="shared" si="9"/>
        <v>0</v>
      </c>
      <c r="P56" s="61">
        <f t="shared" si="6"/>
        <v>0</v>
      </c>
      <c r="Q56" s="61" t="e">
        <f t="shared" si="7"/>
        <v>#DIV/0!</v>
      </c>
      <c r="R56" s="61">
        <f t="shared" si="8"/>
        <v>0</v>
      </c>
      <c r="S56" s="199"/>
      <c r="T56" s="199"/>
      <c r="U56" s="199"/>
      <c r="V56" s="199"/>
      <c r="W56" s="199"/>
    </row>
    <row r="57" spans="1:23">
      <c r="A57" s="25">
        <v>49</v>
      </c>
      <c r="B57" s="26" t="s">
        <v>139</v>
      </c>
      <c r="C57" s="30"/>
      <c r="D57" s="379"/>
      <c r="E57" s="63"/>
      <c r="F57" s="63"/>
      <c r="G57" s="63"/>
      <c r="H57" s="63"/>
      <c r="I57" s="63"/>
      <c r="J57" s="63"/>
      <c r="K57" s="63"/>
      <c r="L57" s="63"/>
      <c r="M57" s="63"/>
      <c r="N57" s="63"/>
      <c r="O57" s="61">
        <f t="shared" si="9"/>
        <v>0</v>
      </c>
      <c r="P57" s="61">
        <f t="shared" si="6"/>
        <v>0</v>
      </c>
      <c r="Q57" s="61" t="e">
        <f t="shared" si="7"/>
        <v>#DIV/0!</v>
      </c>
      <c r="R57" s="61">
        <f t="shared" si="8"/>
        <v>0</v>
      </c>
      <c r="S57" s="199"/>
      <c r="T57" s="199"/>
      <c r="U57" s="199"/>
      <c r="V57" s="199"/>
      <c r="W57" s="199"/>
    </row>
    <row r="58" spans="1:23">
      <c r="A58" s="25">
        <v>50</v>
      </c>
      <c r="B58" s="26" t="s">
        <v>140</v>
      </c>
      <c r="C58" s="30"/>
      <c r="D58" s="379"/>
      <c r="E58" s="63"/>
      <c r="F58" s="63"/>
      <c r="G58" s="63"/>
      <c r="H58" s="63"/>
      <c r="I58" s="63"/>
      <c r="J58" s="63"/>
      <c r="K58" s="63"/>
      <c r="L58" s="63"/>
      <c r="M58" s="63"/>
      <c r="N58" s="63"/>
      <c r="O58" s="61">
        <f t="shared" si="9"/>
        <v>0</v>
      </c>
      <c r="P58" s="61">
        <f t="shared" si="6"/>
        <v>0</v>
      </c>
      <c r="Q58" s="61" t="e">
        <f t="shared" si="7"/>
        <v>#DIV/0!</v>
      </c>
      <c r="R58" s="61">
        <f t="shared" si="8"/>
        <v>0</v>
      </c>
      <c r="S58" s="199"/>
      <c r="T58" s="199"/>
      <c r="U58" s="199"/>
      <c r="V58" s="199"/>
      <c r="W58" s="199"/>
    </row>
    <row r="59" spans="1:23">
      <c r="A59" s="25">
        <v>51</v>
      </c>
      <c r="B59" s="26" t="s">
        <v>141</v>
      </c>
      <c r="C59" s="30"/>
      <c r="D59" s="379"/>
      <c r="E59" s="63"/>
      <c r="F59" s="63"/>
      <c r="G59" s="63"/>
      <c r="H59" s="63"/>
      <c r="I59" s="63"/>
      <c r="J59" s="63"/>
      <c r="K59" s="63"/>
      <c r="L59" s="63"/>
      <c r="M59" s="63"/>
      <c r="N59" s="63"/>
      <c r="O59" s="61">
        <f t="shared" si="9"/>
        <v>0</v>
      </c>
      <c r="P59" s="61">
        <f t="shared" si="6"/>
        <v>0</v>
      </c>
      <c r="Q59" s="61" t="e">
        <f t="shared" si="7"/>
        <v>#DIV/0!</v>
      </c>
      <c r="R59" s="61">
        <f t="shared" si="8"/>
        <v>0</v>
      </c>
      <c r="S59" s="199"/>
      <c r="T59" s="199"/>
      <c r="U59" s="199"/>
      <c r="V59" s="199"/>
      <c r="W59" s="199"/>
    </row>
    <row r="60" spans="1:23">
      <c r="A60" s="29">
        <v>52</v>
      </c>
      <c r="B60" s="26" t="s">
        <v>142</v>
      </c>
      <c r="C60" s="30"/>
      <c r="D60" s="379"/>
      <c r="E60" s="63"/>
      <c r="F60" s="63"/>
      <c r="G60" s="63"/>
      <c r="H60" s="63"/>
      <c r="I60" s="63"/>
      <c r="J60" s="63"/>
      <c r="K60" s="63"/>
      <c r="L60" s="63"/>
      <c r="M60" s="63"/>
      <c r="N60" s="63"/>
      <c r="O60" s="61">
        <f t="shared" si="9"/>
        <v>0</v>
      </c>
      <c r="P60" s="61">
        <f t="shared" si="6"/>
        <v>0</v>
      </c>
      <c r="Q60" s="61" t="e">
        <f t="shared" si="7"/>
        <v>#DIV/0!</v>
      </c>
      <c r="R60" s="61">
        <f t="shared" si="8"/>
        <v>0</v>
      </c>
      <c r="S60" s="199"/>
      <c r="T60" s="199"/>
      <c r="U60" s="199"/>
      <c r="V60" s="199"/>
      <c r="W60" s="199"/>
    </row>
    <row r="61" spans="1:23">
      <c r="A61" s="25">
        <v>53</v>
      </c>
      <c r="B61" s="26" t="s">
        <v>143</v>
      </c>
      <c r="C61" s="30"/>
      <c r="D61" s="379"/>
      <c r="E61" s="63"/>
      <c r="F61" s="63"/>
      <c r="G61" s="63"/>
      <c r="H61" s="63"/>
      <c r="I61" s="63"/>
      <c r="J61" s="63"/>
      <c r="K61" s="63"/>
      <c r="L61" s="63"/>
      <c r="M61" s="63"/>
      <c r="N61" s="63"/>
      <c r="O61" s="61">
        <f t="shared" si="9"/>
        <v>0</v>
      </c>
      <c r="P61" s="61">
        <f t="shared" si="6"/>
        <v>0</v>
      </c>
      <c r="Q61" s="61" t="e">
        <f t="shared" si="7"/>
        <v>#DIV/0!</v>
      </c>
      <c r="R61" s="61">
        <f t="shared" si="8"/>
        <v>0</v>
      </c>
      <c r="S61" s="199"/>
      <c r="T61" s="199"/>
      <c r="U61" s="199"/>
      <c r="V61" s="199"/>
      <c r="W61" s="199"/>
    </row>
    <row r="62" spans="1:23">
      <c r="A62" s="25">
        <v>54</v>
      </c>
      <c r="B62" s="26" t="s">
        <v>144</v>
      </c>
      <c r="C62" s="30"/>
      <c r="D62" s="379"/>
      <c r="E62" s="63"/>
      <c r="F62" s="63"/>
      <c r="G62" s="63"/>
      <c r="H62" s="63"/>
      <c r="I62" s="63"/>
      <c r="J62" s="63"/>
      <c r="K62" s="63"/>
      <c r="L62" s="63"/>
      <c r="M62" s="63"/>
      <c r="N62" s="63"/>
      <c r="O62" s="61">
        <f t="shared" si="9"/>
        <v>0</v>
      </c>
      <c r="P62" s="61">
        <f t="shared" si="6"/>
        <v>0</v>
      </c>
      <c r="Q62" s="61" t="e">
        <f t="shared" si="7"/>
        <v>#DIV/0!</v>
      </c>
      <c r="R62" s="61">
        <f t="shared" si="8"/>
        <v>0</v>
      </c>
      <c r="S62" s="199"/>
      <c r="T62" s="199"/>
      <c r="U62" s="199"/>
      <c r="V62" s="199"/>
      <c r="W62" s="199"/>
    </row>
    <row r="63" spans="1:23">
      <c r="A63" s="29">
        <v>55</v>
      </c>
      <c r="B63" s="26" t="s">
        <v>145</v>
      </c>
      <c r="C63" s="30"/>
      <c r="D63" s="379"/>
      <c r="E63" s="63"/>
      <c r="F63" s="63"/>
      <c r="G63" s="63"/>
      <c r="H63" s="63"/>
      <c r="I63" s="63"/>
      <c r="J63" s="63"/>
      <c r="K63" s="63"/>
      <c r="L63" s="63"/>
      <c r="M63" s="63"/>
      <c r="N63" s="63"/>
      <c r="O63" s="61">
        <f t="shared" si="9"/>
        <v>0</v>
      </c>
      <c r="P63" s="61">
        <f t="shared" si="6"/>
        <v>0</v>
      </c>
      <c r="Q63" s="61" t="e">
        <f t="shared" si="7"/>
        <v>#DIV/0!</v>
      </c>
      <c r="R63" s="61">
        <f t="shared" si="8"/>
        <v>0</v>
      </c>
      <c r="S63" s="199"/>
      <c r="T63" s="199"/>
      <c r="U63" s="199"/>
      <c r="V63" s="199"/>
      <c r="W63" s="199"/>
    </row>
    <row r="64" spans="1:23">
      <c r="A64" s="25">
        <v>56</v>
      </c>
      <c r="B64" s="26" t="s">
        <v>146</v>
      </c>
      <c r="C64" s="30"/>
      <c r="D64" s="379"/>
      <c r="E64" s="63"/>
      <c r="F64" s="63"/>
      <c r="G64" s="63"/>
      <c r="H64" s="63"/>
      <c r="I64" s="63"/>
      <c r="J64" s="63"/>
      <c r="K64" s="63"/>
      <c r="L64" s="63"/>
      <c r="M64" s="63"/>
      <c r="N64" s="63"/>
      <c r="O64" s="61">
        <f t="shared" si="9"/>
        <v>0</v>
      </c>
      <c r="P64" s="61">
        <f t="shared" si="6"/>
        <v>0</v>
      </c>
      <c r="Q64" s="61" t="e">
        <f t="shared" si="7"/>
        <v>#DIV/0!</v>
      </c>
      <c r="R64" s="61">
        <f t="shared" si="8"/>
        <v>0</v>
      </c>
      <c r="S64" s="199"/>
      <c r="T64" s="199"/>
      <c r="U64" s="199"/>
      <c r="V64" s="199"/>
      <c r="W64" s="199"/>
    </row>
    <row r="65" spans="1:23">
      <c r="A65" s="25">
        <v>57</v>
      </c>
      <c r="B65" s="26" t="s">
        <v>147</v>
      </c>
      <c r="C65" s="30"/>
      <c r="D65" s="379"/>
      <c r="E65" s="63"/>
      <c r="F65" s="63"/>
      <c r="G65" s="63"/>
      <c r="H65" s="63"/>
      <c r="I65" s="63"/>
      <c r="J65" s="63"/>
      <c r="K65" s="63"/>
      <c r="L65" s="63"/>
      <c r="M65" s="63"/>
      <c r="N65" s="63"/>
      <c r="O65" s="61">
        <f t="shared" si="9"/>
        <v>0</v>
      </c>
      <c r="P65" s="61">
        <f t="shared" si="6"/>
        <v>0</v>
      </c>
      <c r="Q65" s="61" t="e">
        <f t="shared" si="7"/>
        <v>#DIV/0!</v>
      </c>
      <c r="R65" s="61">
        <f t="shared" si="8"/>
        <v>0</v>
      </c>
      <c r="S65" s="199"/>
      <c r="T65" s="199"/>
      <c r="U65" s="199"/>
      <c r="V65" s="199"/>
      <c r="W65" s="199"/>
    </row>
    <row r="66" spans="1:23">
      <c r="A66" s="29">
        <v>58</v>
      </c>
      <c r="B66" s="26" t="s">
        <v>148</v>
      </c>
      <c r="C66" s="30"/>
      <c r="D66" s="379"/>
      <c r="E66" s="63"/>
      <c r="F66" s="63"/>
      <c r="G66" s="63"/>
      <c r="H66" s="63"/>
      <c r="I66" s="63"/>
      <c r="J66" s="63"/>
      <c r="K66" s="63"/>
      <c r="L66" s="63"/>
      <c r="M66" s="63"/>
      <c r="N66" s="63"/>
      <c r="O66" s="61">
        <f t="shared" si="9"/>
        <v>0</v>
      </c>
      <c r="P66" s="61">
        <f t="shared" si="6"/>
        <v>0</v>
      </c>
      <c r="Q66" s="61" t="e">
        <f t="shared" si="7"/>
        <v>#DIV/0!</v>
      </c>
      <c r="R66" s="61">
        <f t="shared" si="8"/>
        <v>0</v>
      </c>
      <c r="S66" s="199"/>
      <c r="T66" s="199"/>
      <c r="U66" s="199"/>
      <c r="V66" s="199"/>
      <c r="W66" s="199"/>
    </row>
    <row r="67" spans="1:23">
      <c r="A67" s="25">
        <v>59</v>
      </c>
      <c r="B67" s="26" t="s">
        <v>149</v>
      </c>
      <c r="C67" s="30"/>
      <c r="D67" s="379"/>
      <c r="E67" s="63"/>
      <c r="F67" s="63"/>
      <c r="G67" s="63"/>
      <c r="H67" s="63"/>
      <c r="I67" s="63"/>
      <c r="J67" s="63"/>
      <c r="K67" s="63"/>
      <c r="L67" s="63"/>
      <c r="M67" s="63"/>
      <c r="N67" s="63"/>
      <c r="O67" s="61">
        <f t="shared" si="9"/>
        <v>0</v>
      </c>
      <c r="P67" s="61">
        <f t="shared" si="6"/>
        <v>0</v>
      </c>
      <c r="Q67" s="61" t="e">
        <f t="shared" si="7"/>
        <v>#DIV/0!</v>
      </c>
      <c r="R67" s="61">
        <f t="shared" si="8"/>
        <v>0</v>
      </c>
      <c r="S67" s="199"/>
      <c r="T67" s="199"/>
      <c r="U67" s="199"/>
      <c r="V67" s="199"/>
      <c r="W67" s="199"/>
    </row>
    <row r="68" spans="1:23">
      <c r="A68" s="25">
        <v>60</v>
      </c>
      <c r="B68" s="26" t="s">
        <v>150</v>
      </c>
      <c r="C68" s="30"/>
      <c r="D68" s="379"/>
      <c r="E68" s="63"/>
      <c r="F68" s="63"/>
      <c r="G68" s="63"/>
      <c r="H68" s="63"/>
      <c r="I68" s="63"/>
      <c r="J68" s="63"/>
      <c r="K68" s="63"/>
      <c r="L68" s="63"/>
      <c r="M68" s="63"/>
      <c r="N68" s="63"/>
      <c r="O68" s="61">
        <f t="shared" si="9"/>
        <v>0</v>
      </c>
      <c r="P68" s="61">
        <f t="shared" si="6"/>
        <v>0</v>
      </c>
      <c r="Q68" s="61" t="e">
        <f t="shared" si="7"/>
        <v>#DIV/0!</v>
      </c>
      <c r="R68" s="61">
        <f t="shared" si="8"/>
        <v>0</v>
      </c>
      <c r="S68" s="199"/>
      <c r="T68" s="199"/>
      <c r="U68" s="199"/>
      <c r="V68" s="199"/>
      <c r="W68" s="199"/>
    </row>
    <row r="69" spans="1:23">
      <c r="A69" s="29">
        <v>61</v>
      </c>
      <c r="B69" s="26" t="s">
        <v>151</v>
      </c>
      <c r="C69" s="30"/>
      <c r="D69" s="379"/>
      <c r="E69" s="63"/>
      <c r="F69" s="63"/>
      <c r="G69" s="63"/>
      <c r="H69" s="63"/>
      <c r="I69" s="63"/>
      <c r="J69" s="63"/>
      <c r="K69" s="63"/>
      <c r="L69" s="63"/>
      <c r="M69" s="63"/>
      <c r="N69" s="63"/>
      <c r="O69" s="61">
        <f t="shared" si="9"/>
        <v>0</v>
      </c>
      <c r="P69" s="61">
        <f t="shared" si="6"/>
        <v>0</v>
      </c>
      <c r="Q69" s="61" t="e">
        <f t="shared" si="7"/>
        <v>#DIV/0!</v>
      </c>
      <c r="R69" s="61">
        <f t="shared" si="8"/>
        <v>0</v>
      </c>
      <c r="S69" s="199"/>
      <c r="T69" s="199"/>
      <c r="U69" s="199"/>
      <c r="V69" s="199"/>
      <c r="W69" s="199"/>
    </row>
    <row r="70" spans="1:23">
      <c r="A70" s="25">
        <v>62</v>
      </c>
      <c r="B70" s="26" t="s">
        <v>152</v>
      </c>
      <c r="C70" s="30"/>
      <c r="D70" s="379"/>
      <c r="E70" s="63"/>
      <c r="F70" s="63"/>
      <c r="G70" s="63"/>
      <c r="H70" s="63"/>
      <c r="I70" s="63"/>
      <c r="J70" s="63"/>
      <c r="K70" s="63"/>
      <c r="L70" s="63"/>
      <c r="M70" s="63"/>
      <c r="N70" s="63"/>
      <c r="O70" s="61">
        <f t="shared" si="9"/>
        <v>0</v>
      </c>
      <c r="P70" s="61">
        <f t="shared" si="6"/>
        <v>0</v>
      </c>
      <c r="Q70" s="61" t="e">
        <f t="shared" ref="Q70:Q102" si="10">P70/O70</f>
        <v>#DIV/0!</v>
      </c>
      <c r="R70" s="61">
        <f t="shared" si="8"/>
        <v>0</v>
      </c>
      <c r="S70" s="199"/>
      <c r="T70" s="199"/>
      <c r="U70" s="199"/>
      <c r="V70" s="199"/>
      <c r="W70" s="199"/>
    </row>
    <row r="71" s="2" customFormat="1" spans="1:252">
      <c r="A71" s="188" t="s">
        <v>154</v>
      </c>
      <c r="B71" s="400"/>
      <c r="C71" s="401"/>
      <c r="D71" s="402"/>
      <c r="E71" s="399"/>
      <c r="F71" s="399"/>
      <c r="G71" s="399"/>
      <c r="H71" s="399"/>
      <c r="I71" s="399"/>
      <c r="J71" s="399"/>
      <c r="K71" s="401"/>
      <c r="L71" s="401"/>
      <c r="M71" s="401"/>
      <c r="N71" s="399"/>
      <c r="O71" s="401"/>
      <c r="P71" s="399"/>
      <c r="Q71" s="399"/>
      <c r="R71" s="399"/>
      <c r="S71" s="399"/>
      <c r="T71" s="399"/>
      <c r="U71" s="399"/>
      <c r="V71" s="399"/>
      <c r="W71" s="399"/>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row>
    <row r="72" s="5" customFormat="1" ht="15" customHeight="1" spans="1:23">
      <c r="A72" s="25">
        <v>63</v>
      </c>
      <c r="B72" s="26" t="s">
        <v>111</v>
      </c>
      <c r="C72" s="61">
        <f t="shared" ref="C72:N72" si="11">SUM(C73:C102)</f>
        <v>0</v>
      </c>
      <c r="D72" s="61">
        <f t="shared" si="11"/>
        <v>0</v>
      </c>
      <c r="E72" s="61">
        <f t="shared" si="11"/>
        <v>0</v>
      </c>
      <c r="F72" s="61">
        <f t="shared" si="11"/>
        <v>0</v>
      </c>
      <c r="G72" s="61">
        <f t="shared" si="11"/>
        <v>0</v>
      </c>
      <c r="H72" s="61">
        <f t="shared" si="11"/>
        <v>0</v>
      </c>
      <c r="I72" s="61">
        <f t="shared" si="11"/>
        <v>0</v>
      </c>
      <c r="J72" s="61">
        <f t="shared" si="11"/>
        <v>0</v>
      </c>
      <c r="K72" s="61">
        <f t="shared" si="11"/>
        <v>0</v>
      </c>
      <c r="L72" s="61">
        <f t="shared" si="11"/>
        <v>0</v>
      </c>
      <c r="M72" s="61">
        <f t="shared" si="11"/>
        <v>0</v>
      </c>
      <c r="N72" s="61">
        <f t="shared" si="11"/>
        <v>0</v>
      </c>
      <c r="O72" s="61">
        <f>D72+H72+L72</f>
        <v>0</v>
      </c>
      <c r="P72" s="61">
        <f>E72+I72+M72</f>
        <v>0</v>
      </c>
      <c r="Q72" s="61" t="e">
        <f t="shared" si="10"/>
        <v>#DIV/0!</v>
      </c>
      <c r="R72" s="61">
        <f>F72+J72+N72</f>
        <v>0</v>
      </c>
      <c r="S72" s="61">
        <f>SUM(S73:S102)</f>
        <v>0</v>
      </c>
      <c r="T72" s="61">
        <f>SUM(T73:T102)</f>
        <v>0</v>
      </c>
      <c r="U72" s="61">
        <f>SUM(U73:U102)</f>
        <v>0</v>
      </c>
      <c r="V72" s="61">
        <f>SUM(V73:V102)</f>
        <v>0</v>
      </c>
      <c r="W72" s="61">
        <f>SUM(W73:W102)</f>
        <v>0</v>
      </c>
    </row>
    <row r="73" spans="1:23">
      <c r="A73" s="29">
        <v>64</v>
      </c>
      <c r="B73" s="26" t="s">
        <v>123</v>
      </c>
      <c r="C73" s="30"/>
      <c r="D73" s="379"/>
      <c r="E73" s="63"/>
      <c r="F73" s="63"/>
      <c r="G73" s="63"/>
      <c r="H73" s="63"/>
      <c r="I73" s="63"/>
      <c r="J73" s="63"/>
      <c r="K73" s="63"/>
      <c r="L73" s="63"/>
      <c r="M73" s="63"/>
      <c r="N73" s="63"/>
      <c r="O73" s="61">
        <f t="shared" ref="O73:O102" si="12">D73+H73+L73</f>
        <v>0</v>
      </c>
      <c r="P73" s="61">
        <f t="shared" ref="P73:P102" si="13">E73+I73+M73</f>
        <v>0</v>
      </c>
      <c r="Q73" s="61" t="e">
        <f t="shared" si="10"/>
        <v>#DIV/0!</v>
      </c>
      <c r="R73" s="61">
        <f t="shared" ref="R73:R102" si="14">F73+J73+N73</f>
        <v>0</v>
      </c>
      <c r="S73" s="199"/>
      <c r="T73" s="199"/>
      <c r="U73" s="199"/>
      <c r="V73" s="199"/>
      <c r="W73" s="199"/>
    </row>
    <row r="74" spans="1:23">
      <c r="A74" s="25">
        <v>65</v>
      </c>
      <c r="B74" s="26" t="s">
        <v>124</v>
      </c>
      <c r="C74" s="30"/>
      <c r="D74" s="379"/>
      <c r="E74" s="63"/>
      <c r="F74" s="63"/>
      <c r="G74" s="63"/>
      <c r="H74" s="63"/>
      <c r="I74" s="63"/>
      <c r="J74" s="63"/>
      <c r="K74" s="63"/>
      <c r="L74" s="63"/>
      <c r="M74" s="63"/>
      <c r="N74" s="63"/>
      <c r="O74" s="61">
        <f t="shared" si="12"/>
        <v>0</v>
      </c>
      <c r="P74" s="61">
        <f t="shared" si="13"/>
        <v>0</v>
      </c>
      <c r="Q74" s="61" t="e">
        <f t="shared" si="10"/>
        <v>#DIV/0!</v>
      </c>
      <c r="R74" s="61">
        <f t="shared" si="14"/>
        <v>0</v>
      </c>
      <c r="S74" s="201"/>
      <c r="T74" s="201"/>
      <c r="U74" s="201"/>
      <c r="V74" s="201"/>
      <c r="W74" s="199"/>
    </row>
    <row r="75" spans="1:23">
      <c r="A75" s="25">
        <v>66</v>
      </c>
      <c r="B75" s="26" t="s">
        <v>125</v>
      </c>
      <c r="C75" s="30"/>
      <c r="D75" s="379"/>
      <c r="E75" s="63"/>
      <c r="F75" s="63"/>
      <c r="G75" s="63"/>
      <c r="H75" s="63"/>
      <c r="I75" s="63"/>
      <c r="J75" s="63"/>
      <c r="K75" s="63"/>
      <c r="L75" s="63"/>
      <c r="M75" s="63"/>
      <c r="N75" s="63"/>
      <c r="O75" s="61">
        <f t="shared" si="12"/>
        <v>0</v>
      </c>
      <c r="P75" s="61">
        <f t="shared" si="13"/>
        <v>0</v>
      </c>
      <c r="Q75" s="61" t="e">
        <f t="shared" si="10"/>
        <v>#DIV/0!</v>
      </c>
      <c r="R75" s="61">
        <f t="shared" si="14"/>
        <v>0</v>
      </c>
      <c r="S75" s="199"/>
      <c r="T75" s="199"/>
      <c r="U75" s="199"/>
      <c r="V75" s="199"/>
      <c r="W75" s="199"/>
    </row>
    <row r="76" spans="1:23">
      <c r="A76" s="29">
        <v>67</v>
      </c>
      <c r="B76" s="26" t="s">
        <v>126</v>
      </c>
      <c r="C76" s="30"/>
      <c r="D76" s="379"/>
      <c r="E76" s="63"/>
      <c r="F76" s="63"/>
      <c r="G76" s="63"/>
      <c r="H76" s="63"/>
      <c r="I76" s="63"/>
      <c r="J76" s="63"/>
      <c r="K76" s="63"/>
      <c r="L76" s="63"/>
      <c r="M76" s="63"/>
      <c r="N76" s="63"/>
      <c r="O76" s="61">
        <f t="shared" si="12"/>
        <v>0</v>
      </c>
      <c r="P76" s="61">
        <f t="shared" si="13"/>
        <v>0</v>
      </c>
      <c r="Q76" s="61" t="e">
        <f t="shared" si="10"/>
        <v>#DIV/0!</v>
      </c>
      <c r="R76" s="61">
        <f t="shared" si="14"/>
        <v>0</v>
      </c>
      <c r="S76" s="199"/>
      <c r="T76" s="199"/>
      <c r="U76" s="199"/>
      <c r="V76" s="199"/>
      <c r="W76" s="199"/>
    </row>
    <row r="77" spans="1:23">
      <c r="A77" s="25">
        <v>68</v>
      </c>
      <c r="B77" s="26" t="s">
        <v>127</v>
      </c>
      <c r="C77" s="30"/>
      <c r="D77" s="379"/>
      <c r="E77" s="63"/>
      <c r="F77" s="63"/>
      <c r="G77" s="63"/>
      <c r="H77" s="63"/>
      <c r="I77" s="63"/>
      <c r="J77" s="63"/>
      <c r="K77" s="63"/>
      <c r="L77" s="63"/>
      <c r="M77" s="63"/>
      <c r="N77" s="63"/>
      <c r="O77" s="61">
        <f t="shared" si="12"/>
        <v>0</v>
      </c>
      <c r="P77" s="61">
        <f t="shared" si="13"/>
        <v>0</v>
      </c>
      <c r="Q77" s="61" t="e">
        <f t="shared" si="10"/>
        <v>#DIV/0!</v>
      </c>
      <c r="R77" s="61">
        <f t="shared" si="14"/>
        <v>0</v>
      </c>
      <c r="S77" s="199"/>
      <c r="T77" s="199"/>
      <c r="U77" s="199"/>
      <c r="V77" s="199"/>
      <c r="W77" s="199"/>
    </row>
    <row r="78" spans="1:23">
      <c r="A78" s="25">
        <v>69</v>
      </c>
      <c r="B78" s="26" t="s">
        <v>128</v>
      </c>
      <c r="C78" s="30"/>
      <c r="D78" s="379"/>
      <c r="E78" s="63"/>
      <c r="F78" s="63"/>
      <c r="G78" s="63"/>
      <c r="H78" s="63"/>
      <c r="I78" s="63"/>
      <c r="J78" s="63"/>
      <c r="K78" s="63"/>
      <c r="L78" s="63"/>
      <c r="M78" s="63"/>
      <c r="N78" s="63"/>
      <c r="O78" s="61">
        <f t="shared" si="12"/>
        <v>0</v>
      </c>
      <c r="P78" s="61">
        <f t="shared" si="13"/>
        <v>0</v>
      </c>
      <c r="Q78" s="61" t="e">
        <f t="shared" si="10"/>
        <v>#DIV/0!</v>
      </c>
      <c r="R78" s="61">
        <f t="shared" si="14"/>
        <v>0</v>
      </c>
      <c r="S78" s="199"/>
      <c r="T78" s="199"/>
      <c r="U78" s="199"/>
      <c r="V78" s="199"/>
      <c r="W78" s="199"/>
    </row>
    <row r="79" spans="1:23">
      <c r="A79" s="29">
        <v>70</v>
      </c>
      <c r="B79" s="26" t="s">
        <v>129</v>
      </c>
      <c r="C79" s="30"/>
      <c r="D79" s="379"/>
      <c r="E79" s="63"/>
      <c r="F79" s="63"/>
      <c r="G79" s="63"/>
      <c r="H79" s="63"/>
      <c r="I79" s="63"/>
      <c r="J79" s="63"/>
      <c r="K79" s="63"/>
      <c r="L79" s="63"/>
      <c r="M79" s="63"/>
      <c r="N79" s="63"/>
      <c r="O79" s="61">
        <f t="shared" si="12"/>
        <v>0</v>
      </c>
      <c r="P79" s="61">
        <f t="shared" si="13"/>
        <v>0</v>
      </c>
      <c r="Q79" s="61" t="e">
        <f t="shared" si="10"/>
        <v>#DIV/0!</v>
      </c>
      <c r="R79" s="61">
        <f t="shared" si="14"/>
        <v>0</v>
      </c>
      <c r="S79" s="199"/>
      <c r="T79" s="199"/>
      <c r="U79" s="199"/>
      <c r="V79" s="199"/>
      <c r="W79" s="199"/>
    </row>
    <row r="80" spans="1:23">
      <c r="A80" s="25">
        <v>71</v>
      </c>
      <c r="B80" s="26" t="s">
        <v>130</v>
      </c>
      <c r="C80" s="30"/>
      <c r="D80" s="379"/>
      <c r="E80" s="63"/>
      <c r="F80" s="63"/>
      <c r="G80" s="63"/>
      <c r="H80" s="63"/>
      <c r="I80" s="63"/>
      <c r="J80" s="63"/>
      <c r="K80" s="63"/>
      <c r="L80" s="63"/>
      <c r="M80" s="63"/>
      <c r="N80" s="63"/>
      <c r="O80" s="61">
        <f t="shared" si="12"/>
        <v>0</v>
      </c>
      <c r="P80" s="61">
        <f t="shared" si="13"/>
        <v>0</v>
      </c>
      <c r="Q80" s="61" t="e">
        <f t="shared" si="10"/>
        <v>#DIV/0!</v>
      </c>
      <c r="R80" s="61">
        <f t="shared" si="14"/>
        <v>0</v>
      </c>
      <c r="S80" s="199"/>
      <c r="T80" s="199"/>
      <c r="U80" s="199"/>
      <c r="V80" s="199"/>
      <c r="W80" s="199"/>
    </row>
    <row r="81" spans="1:23">
      <c r="A81" s="25">
        <v>72</v>
      </c>
      <c r="B81" s="26" t="s">
        <v>131</v>
      </c>
      <c r="C81" s="30"/>
      <c r="D81" s="379"/>
      <c r="E81" s="63"/>
      <c r="F81" s="63"/>
      <c r="G81" s="63"/>
      <c r="H81" s="63"/>
      <c r="I81" s="63"/>
      <c r="J81" s="63"/>
      <c r="K81" s="63"/>
      <c r="L81" s="63"/>
      <c r="M81" s="63"/>
      <c r="N81" s="63"/>
      <c r="O81" s="61">
        <f t="shared" si="12"/>
        <v>0</v>
      </c>
      <c r="P81" s="61">
        <f t="shared" si="13"/>
        <v>0</v>
      </c>
      <c r="Q81" s="61" t="e">
        <f t="shared" si="10"/>
        <v>#DIV/0!</v>
      </c>
      <c r="R81" s="61">
        <f t="shared" si="14"/>
        <v>0</v>
      </c>
      <c r="S81" s="199"/>
      <c r="T81" s="199"/>
      <c r="U81" s="199"/>
      <c r="V81" s="199"/>
      <c r="W81" s="199"/>
    </row>
    <row r="82" spans="1:23">
      <c r="A82" s="29">
        <v>73</v>
      </c>
      <c r="B82" s="26" t="s">
        <v>132</v>
      </c>
      <c r="C82" s="30"/>
      <c r="D82" s="379"/>
      <c r="E82" s="63"/>
      <c r="F82" s="63"/>
      <c r="G82" s="63"/>
      <c r="H82" s="63"/>
      <c r="I82" s="63"/>
      <c r="J82" s="63"/>
      <c r="K82" s="63"/>
      <c r="L82" s="63"/>
      <c r="M82" s="63"/>
      <c r="N82" s="63"/>
      <c r="O82" s="61">
        <f t="shared" si="12"/>
        <v>0</v>
      </c>
      <c r="P82" s="61">
        <f t="shared" si="13"/>
        <v>0</v>
      </c>
      <c r="Q82" s="61" t="e">
        <f t="shared" si="10"/>
        <v>#DIV/0!</v>
      </c>
      <c r="R82" s="61">
        <f t="shared" si="14"/>
        <v>0</v>
      </c>
      <c r="S82" s="199"/>
      <c r="T82" s="199"/>
      <c r="U82" s="199"/>
      <c r="V82" s="199"/>
      <c r="W82" s="199"/>
    </row>
    <row r="83" spans="1:23">
      <c r="A83" s="25">
        <v>74</v>
      </c>
      <c r="B83" s="26" t="s">
        <v>133</v>
      </c>
      <c r="C83" s="30"/>
      <c r="D83" s="379"/>
      <c r="E83" s="63"/>
      <c r="F83" s="63"/>
      <c r="G83" s="63"/>
      <c r="H83" s="63"/>
      <c r="I83" s="63"/>
      <c r="J83" s="63"/>
      <c r="K83" s="63"/>
      <c r="L83" s="63"/>
      <c r="M83" s="63"/>
      <c r="N83" s="63"/>
      <c r="O83" s="61">
        <f t="shared" si="12"/>
        <v>0</v>
      </c>
      <c r="P83" s="61">
        <f t="shared" si="13"/>
        <v>0</v>
      </c>
      <c r="Q83" s="61" t="e">
        <f t="shared" si="10"/>
        <v>#DIV/0!</v>
      </c>
      <c r="R83" s="61">
        <f t="shared" si="14"/>
        <v>0</v>
      </c>
      <c r="S83" s="199"/>
      <c r="T83" s="199"/>
      <c r="U83" s="199"/>
      <c r="V83" s="199"/>
      <c r="W83" s="199"/>
    </row>
    <row r="84" spans="1:23">
      <c r="A84" s="25">
        <v>75</v>
      </c>
      <c r="B84" s="26" t="s">
        <v>134</v>
      </c>
      <c r="C84" s="30"/>
      <c r="D84" s="379"/>
      <c r="E84" s="63"/>
      <c r="F84" s="63"/>
      <c r="G84" s="63"/>
      <c r="H84" s="63"/>
      <c r="I84" s="63"/>
      <c r="J84" s="63"/>
      <c r="K84" s="63"/>
      <c r="L84" s="63"/>
      <c r="M84" s="63"/>
      <c r="N84" s="63"/>
      <c r="O84" s="61">
        <f t="shared" si="12"/>
        <v>0</v>
      </c>
      <c r="P84" s="61">
        <f t="shared" si="13"/>
        <v>0</v>
      </c>
      <c r="Q84" s="61" t="e">
        <f t="shared" si="10"/>
        <v>#DIV/0!</v>
      </c>
      <c r="R84" s="61">
        <f t="shared" si="14"/>
        <v>0</v>
      </c>
      <c r="S84" s="199"/>
      <c r="T84" s="199"/>
      <c r="U84" s="199"/>
      <c r="V84" s="199"/>
      <c r="W84" s="199"/>
    </row>
    <row r="85" spans="1:23">
      <c r="A85" s="29">
        <v>76</v>
      </c>
      <c r="B85" s="26" t="s">
        <v>135</v>
      </c>
      <c r="C85" s="30"/>
      <c r="D85" s="379"/>
      <c r="E85" s="63"/>
      <c r="F85" s="63"/>
      <c r="G85" s="63"/>
      <c r="H85" s="63"/>
      <c r="I85" s="63"/>
      <c r="J85" s="63"/>
      <c r="K85" s="63"/>
      <c r="L85" s="63"/>
      <c r="M85" s="63"/>
      <c r="N85" s="63"/>
      <c r="O85" s="61">
        <f t="shared" si="12"/>
        <v>0</v>
      </c>
      <c r="P85" s="61">
        <f t="shared" si="13"/>
        <v>0</v>
      </c>
      <c r="Q85" s="61" t="e">
        <f t="shared" si="10"/>
        <v>#DIV/0!</v>
      </c>
      <c r="R85" s="61">
        <f t="shared" si="14"/>
        <v>0</v>
      </c>
      <c r="S85" s="199"/>
      <c r="T85" s="199"/>
      <c r="U85" s="199"/>
      <c r="V85" s="199"/>
      <c r="W85" s="199"/>
    </row>
    <row r="86" spans="1:23">
      <c r="A86" s="25">
        <v>77</v>
      </c>
      <c r="B86" s="26" t="s">
        <v>136</v>
      </c>
      <c r="C86" s="30"/>
      <c r="D86" s="379"/>
      <c r="E86" s="63"/>
      <c r="F86" s="63"/>
      <c r="G86" s="63"/>
      <c r="H86" s="63"/>
      <c r="I86" s="63"/>
      <c r="J86" s="63"/>
      <c r="K86" s="63"/>
      <c r="L86" s="63"/>
      <c r="M86" s="63"/>
      <c r="N86" s="63"/>
      <c r="O86" s="61">
        <f t="shared" si="12"/>
        <v>0</v>
      </c>
      <c r="P86" s="61">
        <f t="shared" si="13"/>
        <v>0</v>
      </c>
      <c r="Q86" s="61" t="e">
        <f t="shared" si="10"/>
        <v>#DIV/0!</v>
      </c>
      <c r="R86" s="61">
        <f t="shared" si="14"/>
        <v>0</v>
      </c>
      <c r="S86" s="199"/>
      <c r="T86" s="199"/>
      <c r="U86" s="199"/>
      <c r="V86" s="199"/>
      <c r="W86" s="199"/>
    </row>
    <row r="87" spans="1:23">
      <c r="A87" s="25">
        <v>78</v>
      </c>
      <c r="B87" s="26" t="s">
        <v>137</v>
      </c>
      <c r="C87" s="30"/>
      <c r="D87" s="379"/>
      <c r="E87" s="63"/>
      <c r="F87" s="63"/>
      <c r="G87" s="63"/>
      <c r="H87" s="63"/>
      <c r="I87" s="63"/>
      <c r="J87" s="63"/>
      <c r="K87" s="63"/>
      <c r="L87" s="63"/>
      <c r="M87" s="63"/>
      <c r="N87" s="63"/>
      <c r="O87" s="61">
        <f t="shared" si="12"/>
        <v>0</v>
      </c>
      <c r="P87" s="61">
        <f t="shared" si="13"/>
        <v>0</v>
      </c>
      <c r="Q87" s="61" t="e">
        <f t="shared" si="10"/>
        <v>#DIV/0!</v>
      </c>
      <c r="R87" s="61">
        <f t="shared" si="14"/>
        <v>0</v>
      </c>
      <c r="S87" s="199"/>
      <c r="T87" s="199"/>
      <c r="U87" s="199"/>
      <c r="V87" s="199"/>
      <c r="W87" s="199"/>
    </row>
    <row r="88" spans="1:23">
      <c r="A88" s="29">
        <v>79</v>
      </c>
      <c r="B88" s="26" t="s">
        <v>138</v>
      </c>
      <c r="C88" s="30"/>
      <c r="D88" s="379"/>
      <c r="E88" s="63"/>
      <c r="F88" s="63"/>
      <c r="G88" s="63"/>
      <c r="H88" s="63"/>
      <c r="I88" s="63"/>
      <c r="J88" s="63"/>
      <c r="K88" s="63"/>
      <c r="L88" s="63"/>
      <c r="M88" s="63"/>
      <c r="N88" s="63"/>
      <c r="O88" s="61">
        <f t="shared" si="12"/>
        <v>0</v>
      </c>
      <c r="P88" s="61">
        <f t="shared" si="13"/>
        <v>0</v>
      </c>
      <c r="Q88" s="61" t="e">
        <f t="shared" si="10"/>
        <v>#DIV/0!</v>
      </c>
      <c r="R88" s="61">
        <f t="shared" si="14"/>
        <v>0</v>
      </c>
      <c r="S88" s="199"/>
      <c r="T88" s="199"/>
      <c r="U88" s="199"/>
      <c r="V88" s="199"/>
      <c r="W88" s="199"/>
    </row>
    <row r="89" spans="1:23">
      <c r="A89" s="25">
        <v>80</v>
      </c>
      <c r="B89" s="26" t="s">
        <v>139</v>
      </c>
      <c r="C89" s="30"/>
      <c r="D89" s="379"/>
      <c r="E89" s="63"/>
      <c r="F89" s="63"/>
      <c r="G89" s="63"/>
      <c r="H89" s="63"/>
      <c r="I89" s="63"/>
      <c r="J89" s="63"/>
      <c r="K89" s="63"/>
      <c r="L89" s="63"/>
      <c r="M89" s="63"/>
      <c r="N89" s="63"/>
      <c r="O89" s="61">
        <f t="shared" si="12"/>
        <v>0</v>
      </c>
      <c r="P89" s="61">
        <f t="shared" si="13"/>
        <v>0</v>
      </c>
      <c r="Q89" s="61" t="e">
        <f t="shared" si="10"/>
        <v>#DIV/0!</v>
      </c>
      <c r="R89" s="61">
        <f t="shared" si="14"/>
        <v>0</v>
      </c>
      <c r="S89" s="199"/>
      <c r="T89" s="199"/>
      <c r="U89" s="199"/>
      <c r="V89" s="199"/>
      <c r="W89" s="199"/>
    </row>
    <row r="90" spans="1:23">
      <c r="A90" s="25">
        <v>81</v>
      </c>
      <c r="B90" s="26" t="s">
        <v>140</v>
      </c>
      <c r="C90" s="30"/>
      <c r="D90" s="379"/>
      <c r="E90" s="63"/>
      <c r="F90" s="63"/>
      <c r="G90" s="63"/>
      <c r="H90" s="63"/>
      <c r="I90" s="63"/>
      <c r="J90" s="63"/>
      <c r="K90" s="63"/>
      <c r="L90" s="63"/>
      <c r="M90" s="63"/>
      <c r="N90" s="63"/>
      <c r="O90" s="61">
        <f t="shared" si="12"/>
        <v>0</v>
      </c>
      <c r="P90" s="61">
        <f t="shared" si="13"/>
        <v>0</v>
      </c>
      <c r="Q90" s="61" t="e">
        <f t="shared" si="10"/>
        <v>#DIV/0!</v>
      </c>
      <c r="R90" s="61">
        <f t="shared" si="14"/>
        <v>0</v>
      </c>
      <c r="S90" s="199"/>
      <c r="T90" s="199"/>
      <c r="U90" s="199"/>
      <c r="V90" s="199"/>
      <c r="W90" s="199"/>
    </row>
    <row r="91" spans="1:23">
      <c r="A91" s="29">
        <v>82</v>
      </c>
      <c r="B91" s="26" t="s">
        <v>141</v>
      </c>
      <c r="C91" s="30"/>
      <c r="D91" s="379"/>
      <c r="E91" s="63"/>
      <c r="F91" s="63"/>
      <c r="G91" s="63"/>
      <c r="H91" s="63"/>
      <c r="I91" s="63"/>
      <c r="J91" s="63"/>
      <c r="K91" s="63"/>
      <c r="L91" s="63"/>
      <c r="M91" s="63"/>
      <c r="N91" s="63"/>
      <c r="O91" s="61">
        <f t="shared" si="12"/>
        <v>0</v>
      </c>
      <c r="P91" s="61">
        <f t="shared" si="13"/>
        <v>0</v>
      </c>
      <c r="Q91" s="61" t="e">
        <f t="shared" si="10"/>
        <v>#DIV/0!</v>
      </c>
      <c r="R91" s="61">
        <f t="shared" si="14"/>
        <v>0</v>
      </c>
      <c r="S91" s="199"/>
      <c r="T91" s="199"/>
      <c r="U91" s="199"/>
      <c r="V91" s="199"/>
      <c r="W91" s="199"/>
    </row>
    <row r="92" spans="1:23">
      <c r="A92" s="25">
        <v>83</v>
      </c>
      <c r="B92" s="26" t="s">
        <v>142</v>
      </c>
      <c r="C92" s="30"/>
      <c r="D92" s="379"/>
      <c r="E92" s="63"/>
      <c r="F92" s="63"/>
      <c r="G92" s="63"/>
      <c r="H92" s="63"/>
      <c r="I92" s="63"/>
      <c r="J92" s="63"/>
      <c r="K92" s="63"/>
      <c r="L92" s="63"/>
      <c r="M92" s="63"/>
      <c r="N92" s="63"/>
      <c r="O92" s="61">
        <f t="shared" si="12"/>
        <v>0</v>
      </c>
      <c r="P92" s="61">
        <f t="shared" si="13"/>
        <v>0</v>
      </c>
      <c r="Q92" s="61" t="e">
        <f t="shared" si="10"/>
        <v>#DIV/0!</v>
      </c>
      <c r="R92" s="61">
        <f t="shared" si="14"/>
        <v>0</v>
      </c>
      <c r="S92" s="199"/>
      <c r="T92" s="199"/>
      <c r="U92" s="199"/>
      <c r="V92" s="199"/>
      <c r="W92" s="199"/>
    </row>
    <row r="93" spans="1:23">
      <c r="A93" s="25">
        <v>84</v>
      </c>
      <c r="B93" s="26" t="s">
        <v>143</v>
      </c>
      <c r="C93" s="30"/>
      <c r="D93" s="379"/>
      <c r="E93" s="63"/>
      <c r="F93" s="63"/>
      <c r="G93" s="63"/>
      <c r="H93" s="63"/>
      <c r="I93" s="63"/>
      <c r="J93" s="63"/>
      <c r="K93" s="63"/>
      <c r="L93" s="63"/>
      <c r="M93" s="63"/>
      <c r="N93" s="63"/>
      <c r="O93" s="61">
        <f t="shared" si="12"/>
        <v>0</v>
      </c>
      <c r="P93" s="61">
        <f t="shared" si="13"/>
        <v>0</v>
      </c>
      <c r="Q93" s="61" t="e">
        <f t="shared" si="10"/>
        <v>#DIV/0!</v>
      </c>
      <c r="R93" s="61">
        <f t="shared" si="14"/>
        <v>0</v>
      </c>
      <c r="S93" s="199"/>
      <c r="T93" s="199"/>
      <c r="U93" s="199"/>
      <c r="V93" s="199"/>
      <c r="W93" s="199"/>
    </row>
    <row r="94" spans="1:23">
      <c r="A94" s="29">
        <v>85</v>
      </c>
      <c r="B94" s="26" t="s">
        <v>144</v>
      </c>
      <c r="C94" s="30"/>
      <c r="D94" s="379"/>
      <c r="E94" s="63"/>
      <c r="F94" s="63"/>
      <c r="G94" s="63"/>
      <c r="H94" s="63"/>
      <c r="I94" s="63"/>
      <c r="J94" s="63"/>
      <c r="K94" s="63"/>
      <c r="L94" s="63"/>
      <c r="M94" s="63"/>
      <c r="N94" s="63"/>
      <c r="O94" s="61">
        <f t="shared" si="12"/>
        <v>0</v>
      </c>
      <c r="P94" s="61">
        <f t="shared" si="13"/>
        <v>0</v>
      </c>
      <c r="Q94" s="61" t="e">
        <f t="shared" si="10"/>
        <v>#DIV/0!</v>
      </c>
      <c r="R94" s="61">
        <f t="shared" si="14"/>
        <v>0</v>
      </c>
      <c r="S94" s="199"/>
      <c r="T94" s="199"/>
      <c r="U94" s="199"/>
      <c r="V94" s="199"/>
      <c r="W94" s="199"/>
    </row>
    <row r="95" spans="1:23">
      <c r="A95" s="25">
        <v>86</v>
      </c>
      <c r="B95" s="26" t="s">
        <v>145</v>
      </c>
      <c r="C95" s="30"/>
      <c r="D95" s="379"/>
      <c r="E95" s="63"/>
      <c r="F95" s="63"/>
      <c r="G95" s="63"/>
      <c r="H95" s="63"/>
      <c r="I95" s="63"/>
      <c r="J95" s="63"/>
      <c r="K95" s="63"/>
      <c r="L95" s="63"/>
      <c r="M95" s="63"/>
      <c r="N95" s="63"/>
      <c r="O95" s="61">
        <f t="shared" si="12"/>
        <v>0</v>
      </c>
      <c r="P95" s="61">
        <f t="shared" si="13"/>
        <v>0</v>
      </c>
      <c r="Q95" s="61" t="e">
        <f t="shared" si="10"/>
        <v>#DIV/0!</v>
      </c>
      <c r="R95" s="61">
        <f t="shared" si="14"/>
        <v>0</v>
      </c>
      <c r="S95" s="199"/>
      <c r="T95" s="199"/>
      <c r="U95" s="199"/>
      <c r="V95" s="199"/>
      <c r="W95" s="199"/>
    </row>
    <row r="96" spans="1:23">
      <c r="A96" s="25">
        <v>87</v>
      </c>
      <c r="B96" s="26" t="s">
        <v>146</v>
      </c>
      <c r="C96" s="30"/>
      <c r="D96" s="379"/>
      <c r="E96" s="63"/>
      <c r="F96" s="63"/>
      <c r="G96" s="63"/>
      <c r="H96" s="63"/>
      <c r="I96" s="63"/>
      <c r="J96" s="63"/>
      <c r="K96" s="63"/>
      <c r="L96" s="63"/>
      <c r="M96" s="63"/>
      <c r="N96" s="63"/>
      <c r="O96" s="61">
        <f t="shared" si="12"/>
        <v>0</v>
      </c>
      <c r="P96" s="61">
        <f t="shared" si="13"/>
        <v>0</v>
      </c>
      <c r="Q96" s="61" t="e">
        <f t="shared" si="10"/>
        <v>#DIV/0!</v>
      </c>
      <c r="R96" s="61">
        <f t="shared" si="14"/>
        <v>0</v>
      </c>
      <c r="S96" s="199"/>
      <c r="T96" s="199"/>
      <c r="U96" s="199"/>
      <c r="V96" s="199"/>
      <c r="W96" s="199"/>
    </row>
    <row r="97" spans="1:23">
      <c r="A97" s="29">
        <v>88</v>
      </c>
      <c r="B97" s="26" t="s">
        <v>147</v>
      </c>
      <c r="C97" s="30"/>
      <c r="D97" s="379"/>
      <c r="E97" s="63"/>
      <c r="F97" s="63"/>
      <c r="G97" s="63"/>
      <c r="H97" s="63"/>
      <c r="I97" s="63"/>
      <c r="J97" s="63"/>
      <c r="K97" s="63"/>
      <c r="L97" s="63"/>
      <c r="M97" s="63"/>
      <c r="N97" s="63"/>
      <c r="O97" s="61">
        <f t="shared" si="12"/>
        <v>0</v>
      </c>
      <c r="P97" s="61">
        <f t="shared" si="13"/>
        <v>0</v>
      </c>
      <c r="Q97" s="61" t="e">
        <f t="shared" si="10"/>
        <v>#DIV/0!</v>
      </c>
      <c r="R97" s="61">
        <f t="shared" si="14"/>
        <v>0</v>
      </c>
      <c r="S97" s="199"/>
      <c r="T97" s="199"/>
      <c r="U97" s="199"/>
      <c r="V97" s="199"/>
      <c r="W97" s="199"/>
    </row>
    <row r="98" spans="1:23">
      <c r="A98" s="25">
        <v>89</v>
      </c>
      <c r="B98" s="26" t="s">
        <v>148</v>
      </c>
      <c r="C98" s="30"/>
      <c r="D98" s="379"/>
      <c r="E98" s="63"/>
      <c r="F98" s="63"/>
      <c r="G98" s="63"/>
      <c r="H98" s="63"/>
      <c r="I98" s="63"/>
      <c r="J98" s="63"/>
      <c r="K98" s="63"/>
      <c r="L98" s="63"/>
      <c r="M98" s="63"/>
      <c r="N98" s="63"/>
      <c r="O98" s="61">
        <f t="shared" si="12"/>
        <v>0</v>
      </c>
      <c r="P98" s="61">
        <f t="shared" si="13"/>
        <v>0</v>
      </c>
      <c r="Q98" s="61" t="e">
        <f t="shared" si="10"/>
        <v>#DIV/0!</v>
      </c>
      <c r="R98" s="61">
        <f t="shared" si="14"/>
        <v>0</v>
      </c>
      <c r="S98" s="199"/>
      <c r="T98" s="199"/>
      <c r="U98" s="199"/>
      <c r="V98" s="199"/>
      <c r="W98" s="199"/>
    </row>
    <row r="99" spans="1:23">
      <c r="A99" s="25">
        <v>90</v>
      </c>
      <c r="B99" s="26" t="s">
        <v>149</v>
      </c>
      <c r="C99" s="30"/>
      <c r="D99" s="379"/>
      <c r="E99" s="63"/>
      <c r="F99" s="63"/>
      <c r="G99" s="63"/>
      <c r="H99" s="63"/>
      <c r="I99" s="63"/>
      <c r="J99" s="63"/>
      <c r="K99" s="63"/>
      <c r="L99" s="63"/>
      <c r="M99" s="63"/>
      <c r="N99" s="63"/>
      <c r="O99" s="61">
        <f t="shared" si="12"/>
        <v>0</v>
      </c>
      <c r="P99" s="61">
        <f t="shared" si="13"/>
        <v>0</v>
      </c>
      <c r="Q99" s="61" t="e">
        <f t="shared" si="10"/>
        <v>#DIV/0!</v>
      </c>
      <c r="R99" s="61">
        <f t="shared" si="14"/>
        <v>0</v>
      </c>
      <c r="S99" s="199"/>
      <c r="T99" s="199"/>
      <c r="U99" s="199"/>
      <c r="V99" s="199"/>
      <c r="W99" s="199"/>
    </row>
    <row r="100" spans="1:23">
      <c r="A100" s="29">
        <v>91</v>
      </c>
      <c r="B100" s="26" t="s">
        <v>150</v>
      </c>
      <c r="C100" s="30"/>
      <c r="D100" s="379"/>
      <c r="E100" s="63"/>
      <c r="F100" s="63"/>
      <c r="G100" s="63"/>
      <c r="H100" s="63"/>
      <c r="I100" s="63"/>
      <c r="J100" s="63"/>
      <c r="K100" s="63"/>
      <c r="L100" s="63"/>
      <c r="M100" s="63"/>
      <c r="N100" s="63"/>
      <c r="O100" s="61">
        <f t="shared" si="12"/>
        <v>0</v>
      </c>
      <c r="P100" s="61">
        <f t="shared" si="13"/>
        <v>0</v>
      </c>
      <c r="Q100" s="61" t="e">
        <f t="shared" si="10"/>
        <v>#DIV/0!</v>
      </c>
      <c r="R100" s="61">
        <f t="shared" si="14"/>
        <v>0</v>
      </c>
      <c r="S100" s="199"/>
      <c r="T100" s="199"/>
      <c r="U100" s="199"/>
      <c r="V100" s="199"/>
      <c r="W100" s="199"/>
    </row>
    <row r="101" spans="1:23">
      <c r="A101" s="25">
        <v>92</v>
      </c>
      <c r="B101" s="26" t="s">
        <v>151</v>
      </c>
      <c r="C101" s="30"/>
      <c r="D101" s="379"/>
      <c r="E101" s="63"/>
      <c r="F101" s="63"/>
      <c r="G101" s="63"/>
      <c r="H101" s="63"/>
      <c r="I101" s="63"/>
      <c r="J101" s="63"/>
      <c r="K101" s="63"/>
      <c r="L101" s="63"/>
      <c r="M101" s="63"/>
      <c r="N101" s="63"/>
      <c r="O101" s="61">
        <f t="shared" si="12"/>
        <v>0</v>
      </c>
      <c r="P101" s="61">
        <f t="shared" si="13"/>
        <v>0</v>
      </c>
      <c r="Q101" s="61" t="e">
        <f t="shared" si="10"/>
        <v>#DIV/0!</v>
      </c>
      <c r="R101" s="61">
        <f t="shared" si="14"/>
        <v>0</v>
      </c>
      <c r="S101" s="199"/>
      <c r="T101" s="199"/>
      <c r="U101" s="199"/>
      <c r="V101" s="199"/>
      <c r="W101" s="199"/>
    </row>
    <row r="102" spans="1:23">
      <c r="A102" s="25">
        <v>93</v>
      </c>
      <c r="B102" s="26" t="s">
        <v>152</v>
      </c>
      <c r="C102" s="30"/>
      <c r="D102" s="379"/>
      <c r="E102" s="63"/>
      <c r="F102" s="63"/>
      <c r="G102" s="63"/>
      <c r="H102" s="63"/>
      <c r="I102" s="63"/>
      <c r="J102" s="63"/>
      <c r="K102" s="63"/>
      <c r="L102" s="63"/>
      <c r="M102" s="63"/>
      <c r="N102" s="63"/>
      <c r="O102" s="61">
        <f t="shared" si="12"/>
        <v>0</v>
      </c>
      <c r="P102" s="61">
        <f t="shared" si="13"/>
        <v>0</v>
      </c>
      <c r="Q102" s="61" t="e">
        <f t="shared" si="10"/>
        <v>#DIV/0!</v>
      </c>
      <c r="R102" s="61">
        <f t="shared" si="14"/>
        <v>0</v>
      </c>
      <c r="S102" s="199"/>
      <c r="T102" s="199"/>
      <c r="U102" s="199"/>
      <c r="V102" s="199"/>
      <c r="W102" s="199"/>
    </row>
    <row r="103" s="6" customFormat="1" ht="17.25" customHeight="1" spans="1:16">
      <c r="A103" s="6" t="s">
        <v>155</v>
      </c>
      <c r="I103" s="177" t="s">
        <v>87</v>
      </c>
      <c r="P103" s="177" t="s">
        <v>88</v>
      </c>
    </row>
    <row r="104" s="104" customFormat="1" ht="12.75" spans="1:22">
      <c r="A104" s="33"/>
      <c r="B104" s="34" t="s">
        <v>89</v>
      </c>
      <c r="S104" s="9"/>
      <c r="T104" s="9"/>
      <c r="U104" s="9"/>
      <c r="V104" s="9"/>
    </row>
    <row r="105" spans="1:22">
      <c r="A105" s="35"/>
      <c r="B105" s="36" t="s">
        <v>90</v>
      </c>
      <c r="S105" s="104"/>
      <c r="T105" s="104"/>
      <c r="U105" s="104"/>
      <c r="V105" s="104"/>
    </row>
    <row r="106" spans="1:22">
      <c r="A106" s="40" t="s">
        <v>91</v>
      </c>
      <c r="B106" s="41">
        <v>241</v>
      </c>
      <c r="S106" s="104"/>
      <c r="T106" s="104"/>
      <c r="U106" s="104"/>
      <c r="V106" s="104"/>
    </row>
  </sheetData>
  <sheetProtection sort="0" autoFilter="0" pivotTables="0"/>
  <mergeCells count="8">
    <mergeCell ref="A1:W1"/>
    <mergeCell ref="A3:A6"/>
    <mergeCell ref="B3:B6"/>
    <mergeCell ref="C4:F5"/>
    <mergeCell ref="G4:J5"/>
    <mergeCell ref="K4:N5"/>
    <mergeCell ref="O4:R5"/>
    <mergeCell ref="S4:W5"/>
  </mergeCells>
  <conditionalFormatting sqref="C10">
    <cfRule type="cellIs" dxfId="0" priority="1" stopIfTrue="1" operator="lessThan">
      <formula>0</formula>
    </cfRule>
  </conditionalFormatting>
  <conditionalFormatting sqref="C73:N102 D9:N38 C41:N70 C9 C11:C38">
    <cfRule type="cellIs" dxfId="0" priority="2" stopIfTrue="1" operator="lessThan">
      <formula>0</formula>
    </cfRule>
  </conditionalFormatting>
  <pageMargins left="0.75" right="0.75" top="1" bottom="1" header="0.509027777777778" footer="0.509027777777778"/>
  <pageSetup paperSize="9" scale="98" fitToHeight="0" orientation="landscape"/>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IR82"/>
  <sheetViews>
    <sheetView workbookViewId="0">
      <selection activeCell="A82" sqref="A82:B82"/>
    </sheetView>
  </sheetViews>
  <sheetFormatPr defaultColWidth="9" defaultRowHeight="13.5"/>
  <cols>
    <col min="1" max="1" width="6.125" style="178" customWidth="1"/>
    <col min="2" max="2" width="14.1666666666667" style="9" customWidth="1"/>
    <col min="3" max="3" width="5.5" style="9" customWidth="1"/>
    <col min="4" max="4" width="6.16666666666667" style="9"/>
    <col min="5" max="5" width="6.16666666666667" style="9" customWidth="1"/>
    <col min="6" max="6" width="5.83333333333333" style="9" customWidth="1"/>
    <col min="7" max="7" width="6.33333333333333" style="9" customWidth="1"/>
    <col min="8" max="8" width="6.16666666666667" style="9" customWidth="1"/>
    <col min="9" max="9" width="6" style="9" customWidth="1"/>
    <col min="10" max="10" width="6.5" style="9" customWidth="1"/>
    <col min="11" max="11" width="6.33333333333333" style="9" customWidth="1"/>
    <col min="12" max="12" width="6.66666666666667" style="9" customWidth="1"/>
    <col min="13" max="13" width="6" style="9" customWidth="1"/>
    <col min="14" max="14" width="6.5" style="9" customWidth="1"/>
    <col min="15" max="15" width="7.66666666666667" style="9" customWidth="1"/>
    <col min="16" max="248" width="9" style="9"/>
    <col min="249" max="16384" width="9" style="12"/>
  </cols>
  <sheetData>
    <row r="1" s="1" customFormat="1" ht="20.25" spans="1:23">
      <c r="A1" s="13" t="s">
        <v>156</v>
      </c>
      <c r="B1" s="13"/>
      <c r="C1" s="13"/>
      <c r="D1" s="13"/>
      <c r="E1" s="13"/>
      <c r="F1" s="13"/>
      <c r="G1" s="13"/>
      <c r="H1" s="13"/>
      <c r="I1" s="13"/>
      <c r="J1" s="13"/>
      <c r="K1" s="13"/>
      <c r="L1" s="13"/>
      <c r="M1" s="13"/>
      <c r="N1" s="13"/>
      <c r="O1" s="13"/>
      <c r="P1" s="13"/>
      <c r="Q1" s="13"/>
      <c r="R1" s="13"/>
      <c r="S1" s="13"/>
      <c r="T1" s="13"/>
      <c r="U1" s="13"/>
      <c r="V1" s="13"/>
      <c r="W1" s="13"/>
    </row>
    <row r="2" s="2" customFormat="1" ht="20.25" customHeight="1" spans="1:247">
      <c r="A2" s="16" t="s">
        <v>1</v>
      </c>
      <c r="B2" s="17"/>
      <c r="C2" s="5"/>
      <c r="D2" s="5"/>
      <c r="E2" s="120"/>
      <c r="F2" s="5"/>
      <c r="H2" s="120"/>
      <c r="I2" s="5"/>
      <c r="J2" s="120" t="s">
        <v>93</v>
      </c>
      <c r="K2" s="5"/>
      <c r="L2" s="5"/>
      <c r="N2" s="5"/>
      <c r="O2" s="5"/>
      <c r="P2" s="120" t="s">
        <v>157</v>
      </c>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row>
    <row r="3" s="3" customFormat="1" ht="20.25" customHeight="1" spans="1:23">
      <c r="A3" s="19" t="s">
        <v>4</v>
      </c>
      <c r="B3" s="20" t="s">
        <v>5</v>
      </c>
      <c r="C3" s="21" t="s">
        <v>6</v>
      </c>
      <c r="D3" s="21" t="s">
        <v>7</v>
      </c>
      <c r="E3" s="21" t="s">
        <v>8</v>
      </c>
      <c r="F3" s="21" t="s">
        <v>9</v>
      </c>
      <c r="G3" s="21" t="s">
        <v>10</v>
      </c>
      <c r="H3" s="21" t="s">
        <v>11</v>
      </c>
      <c r="I3" s="21" t="s">
        <v>12</v>
      </c>
      <c r="J3" s="21" t="s">
        <v>13</v>
      </c>
      <c r="K3" s="21" t="s">
        <v>96</v>
      </c>
      <c r="L3" s="21" t="s">
        <v>97</v>
      </c>
      <c r="M3" s="21" t="s">
        <v>98</v>
      </c>
      <c r="N3" s="21" t="s">
        <v>99</v>
      </c>
      <c r="O3" s="21" t="s">
        <v>100</v>
      </c>
      <c r="P3" s="60" t="s">
        <v>101</v>
      </c>
      <c r="Q3" s="60" t="s">
        <v>102</v>
      </c>
      <c r="R3" s="21" t="s">
        <v>103</v>
      </c>
      <c r="S3" s="21" t="s">
        <v>104</v>
      </c>
      <c r="T3" s="21" t="s">
        <v>105</v>
      </c>
      <c r="U3" s="21" t="s">
        <v>106</v>
      </c>
      <c r="V3" s="21" t="s">
        <v>107</v>
      </c>
      <c r="W3" s="21" t="s">
        <v>108</v>
      </c>
    </row>
    <row r="4" s="4" customFormat="1" ht="24.75" customHeight="1" spans="1:23">
      <c r="A4" s="392"/>
      <c r="B4" s="20"/>
      <c r="C4" s="20" t="s">
        <v>109</v>
      </c>
      <c r="D4" s="20"/>
      <c r="E4" s="20"/>
      <c r="F4" s="20"/>
      <c r="G4" s="20" t="s">
        <v>110</v>
      </c>
      <c r="H4" s="20"/>
      <c r="I4" s="20"/>
      <c r="J4" s="20"/>
      <c r="K4" s="20" t="s">
        <v>61</v>
      </c>
      <c r="L4" s="20"/>
      <c r="M4" s="20"/>
      <c r="N4" s="20"/>
      <c r="O4" s="249" t="s">
        <v>111</v>
      </c>
      <c r="P4" s="249"/>
      <c r="Q4" s="249"/>
      <c r="R4" s="249"/>
      <c r="S4" s="20" t="s">
        <v>112</v>
      </c>
      <c r="T4" s="20"/>
      <c r="U4" s="20"/>
      <c r="V4" s="20"/>
      <c r="W4" s="20"/>
    </row>
    <row r="5" s="4" customFormat="1" ht="24.75" customHeight="1" spans="1:23">
      <c r="A5" s="392"/>
      <c r="B5" s="20"/>
      <c r="C5" s="20"/>
      <c r="D5" s="20"/>
      <c r="E5" s="20"/>
      <c r="F5" s="20"/>
      <c r="G5" s="20"/>
      <c r="H5" s="20"/>
      <c r="I5" s="20"/>
      <c r="J5" s="20"/>
      <c r="K5" s="20"/>
      <c r="L5" s="20"/>
      <c r="M5" s="20"/>
      <c r="N5" s="20"/>
      <c r="O5" s="249"/>
      <c r="P5" s="249"/>
      <c r="Q5" s="249"/>
      <c r="R5" s="249"/>
      <c r="S5" s="20"/>
      <c r="T5" s="20"/>
      <c r="U5" s="20"/>
      <c r="V5" s="20"/>
      <c r="W5" s="20"/>
    </row>
    <row r="6" s="4" customFormat="1" ht="24" spans="1:23">
      <c r="A6" s="392"/>
      <c r="B6" s="20"/>
      <c r="C6" s="20" t="s">
        <v>113</v>
      </c>
      <c r="D6" s="20" t="s">
        <v>17</v>
      </c>
      <c r="E6" s="20" t="s">
        <v>18</v>
      </c>
      <c r="F6" s="20" t="s">
        <v>19</v>
      </c>
      <c r="G6" s="20" t="s">
        <v>114</v>
      </c>
      <c r="H6" s="20" t="s">
        <v>17</v>
      </c>
      <c r="I6" s="20" t="s">
        <v>18</v>
      </c>
      <c r="J6" s="20" t="s">
        <v>19</v>
      </c>
      <c r="K6" s="20" t="s">
        <v>115</v>
      </c>
      <c r="L6" s="20" t="s">
        <v>17</v>
      </c>
      <c r="M6" s="20" t="s">
        <v>18</v>
      </c>
      <c r="N6" s="20" t="s">
        <v>19</v>
      </c>
      <c r="O6" s="20" t="s">
        <v>17</v>
      </c>
      <c r="P6" s="20" t="s">
        <v>18</v>
      </c>
      <c r="Q6" s="20" t="s">
        <v>116</v>
      </c>
      <c r="R6" s="20" t="s">
        <v>19</v>
      </c>
      <c r="S6" s="20" t="s">
        <v>117</v>
      </c>
      <c r="T6" s="20" t="s">
        <v>118</v>
      </c>
      <c r="U6" s="20" t="s">
        <v>119</v>
      </c>
      <c r="V6" s="20" t="s">
        <v>120</v>
      </c>
      <c r="W6" s="20" t="s">
        <v>121</v>
      </c>
    </row>
    <row r="7" s="4" customFormat="1" ht="12.75" spans="1:23">
      <c r="A7" s="393" t="s">
        <v>158</v>
      </c>
      <c r="B7" s="185"/>
      <c r="C7" s="108"/>
      <c r="D7" s="108"/>
      <c r="E7" s="108"/>
      <c r="F7" s="108"/>
      <c r="G7" s="108"/>
      <c r="H7" s="108"/>
      <c r="I7" s="108"/>
      <c r="J7" s="108"/>
      <c r="K7" s="108"/>
      <c r="L7" s="108"/>
      <c r="M7" s="108"/>
      <c r="N7" s="108"/>
      <c r="O7" s="108"/>
      <c r="P7" s="108"/>
      <c r="Q7" s="108"/>
      <c r="R7" s="108"/>
      <c r="S7" s="108"/>
      <c r="T7" s="108"/>
      <c r="U7" s="108"/>
      <c r="V7" s="108"/>
      <c r="W7" s="108"/>
    </row>
    <row r="8" s="5" customFormat="1" ht="15" customHeight="1" spans="1:23">
      <c r="A8" s="25">
        <v>1</v>
      </c>
      <c r="B8" s="26" t="s">
        <v>111</v>
      </c>
      <c r="C8" s="61">
        <f>SUM(C9:C28)</f>
        <v>0</v>
      </c>
      <c r="D8" s="61">
        <f t="shared" ref="C8:N8" si="0">SUM(D9:D28)</f>
        <v>0</v>
      </c>
      <c r="E8" s="61">
        <f t="shared" si="0"/>
        <v>0</v>
      </c>
      <c r="F8" s="61">
        <f t="shared" si="0"/>
        <v>0</v>
      </c>
      <c r="G8" s="61">
        <f t="shared" si="0"/>
        <v>0</v>
      </c>
      <c r="H8" s="61">
        <f t="shared" si="0"/>
        <v>0</v>
      </c>
      <c r="I8" s="61">
        <f t="shared" si="0"/>
        <v>0</v>
      </c>
      <c r="J8" s="61">
        <f t="shared" si="0"/>
        <v>0</v>
      </c>
      <c r="K8" s="61">
        <f t="shared" si="0"/>
        <v>0</v>
      </c>
      <c r="L8" s="61">
        <f t="shared" si="0"/>
        <v>0</v>
      </c>
      <c r="M8" s="61">
        <f t="shared" si="0"/>
        <v>0</v>
      </c>
      <c r="N8" s="61">
        <f t="shared" si="0"/>
        <v>0</v>
      </c>
      <c r="O8" s="61">
        <f>D8+H8+L8</f>
        <v>0</v>
      </c>
      <c r="P8" s="61">
        <f>E8+I8+M8</f>
        <v>0</v>
      </c>
      <c r="Q8" s="61" t="e">
        <f>P8/O8</f>
        <v>#DIV/0!</v>
      </c>
      <c r="R8" s="61">
        <f>F8+J8+N8</f>
        <v>0</v>
      </c>
      <c r="S8" s="61">
        <f>SUM(S9:S28)</f>
        <v>0</v>
      </c>
      <c r="T8" s="61">
        <f>SUM(T9:T28)</f>
        <v>0</v>
      </c>
      <c r="U8" s="61">
        <f>SUM(U9:U28)</f>
        <v>0</v>
      </c>
      <c r="V8" s="61">
        <f>SUM(V9:V28)</f>
        <v>0</v>
      </c>
      <c r="W8" s="61">
        <f>SUM(W9:W28)</f>
        <v>0</v>
      </c>
    </row>
    <row r="9" spans="1:252">
      <c r="A9" s="25">
        <v>2</v>
      </c>
      <c r="B9" s="187" t="s">
        <v>159</v>
      </c>
      <c r="C9" s="30"/>
      <c r="D9" s="379"/>
      <c r="E9" s="63"/>
      <c r="F9" s="63"/>
      <c r="G9" s="63"/>
      <c r="H9" s="63"/>
      <c r="I9" s="63"/>
      <c r="J9" s="63"/>
      <c r="K9" s="63"/>
      <c r="L9" s="63"/>
      <c r="M9" s="63"/>
      <c r="N9" s="63"/>
      <c r="O9" s="61">
        <f t="shared" ref="O9:O28" si="1">D9+H9+L9</f>
        <v>0</v>
      </c>
      <c r="P9" s="61">
        <f t="shared" ref="P9:P28" si="2">E9+I9+M9</f>
        <v>0</v>
      </c>
      <c r="Q9" s="61" t="e">
        <f t="shared" ref="Q9:Q28" si="3">P9/O9</f>
        <v>#DIV/0!</v>
      </c>
      <c r="R9" s="61">
        <f t="shared" ref="R9:R28" si="4">F9+J9+N9</f>
        <v>0</v>
      </c>
      <c r="S9" s="199"/>
      <c r="T9" s="199"/>
      <c r="U9" s="199"/>
      <c r="V9" s="199"/>
      <c r="W9" s="199"/>
      <c r="IO9" s="9"/>
      <c r="IP9" s="9"/>
      <c r="IQ9" s="9"/>
      <c r="IR9" s="9"/>
    </row>
    <row r="10" spans="1:252">
      <c r="A10" s="25">
        <v>3</v>
      </c>
      <c r="B10" s="187" t="s">
        <v>160</v>
      </c>
      <c r="C10" s="30"/>
      <c r="D10" s="379"/>
      <c r="E10" s="63"/>
      <c r="F10" s="63"/>
      <c r="G10" s="63"/>
      <c r="H10" s="63"/>
      <c r="I10" s="63"/>
      <c r="J10" s="63"/>
      <c r="K10" s="63"/>
      <c r="L10" s="63"/>
      <c r="M10" s="63"/>
      <c r="N10" s="63"/>
      <c r="O10" s="61">
        <f t="shared" si="1"/>
        <v>0</v>
      </c>
      <c r="P10" s="61">
        <f t="shared" si="2"/>
        <v>0</v>
      </c>
      <c r="Q10" s="61" t="e">
        <f t="shared" si="3"/>
        <v>#DIV/0!</v>
      </c>
      <c r="R10" s="61">
        <f t="shared" si="4"/>
        <v>0</v>
      </c>
      <c r="S10" s="199"/>
      <c r="T10" s="199"/>
      <c r="U10" s="199"/>
      <c r="V10" s="199"/>
      <c r="W10" s="199"/>
      <c r="IO10" s="9"/>
      <c r="IP10" s="9"/>
      <c r="IQ10" s="9"/>
      <c r="IR10" s="9"/>
    </row>
    <row r="11" spans="1:252">
      <c r="A11" s="25">
        <v>4</v>
      </c>
      <c r="B11" s="187" t="s">
        <v>161</v>
      </c>
      <c r="C11" s="30"/>
      <c r="D11" s="379"/>
      <c r="E11" s="63"/>
      <c r="F11" s="63"/>
      <c r="G11" s="63"/>
      <c r="H11" s="63"/>
      <c r="I11" s="63"/>
      <c r="J11" s="63"/>
      <c r="K11" s="63"/>
      <c r="L11" s="63"/>
      <c r="M11" s="63"/>
      <c r="N11" s="63"/>
      <c r="O11" s="61">
        <f t="shared" si="1"/>
        <v>0</v>
      </c>
      <c r="P11" s="61">
        <f t="shared" si="2"/>
        <v>0</v>
      </c>
      <c r="Q11" s="61" t="e">
        <f t="shared" si="3"/>
        <v>#DIV/0!</v>
      </c>
      <c r="R11" s="61">
        <f t="shared" si="4"/>
        <v>0</v>
      </c>
      <c r="S11" s="199"/>
      <c r="T11" s="199"/>
      <c r="U11" s="199"/>
      <c r="V11" s="199"/>
      <c r="W11" s="199"/>
      <c r="IO11" s="9"/>
      <c r="IP11" s="9"/>
      <c r="IQ11" s="9"/>
      <c r="IR11" s="9"/>
    </row>
    <row r="12" ht="36" spans="1:252">
      <c r="A12" s="25">
        <v>5</v>
      </c>
      <c r="B12" s="187" t="s">
        <v>162</v>
      </c>
      <c r="C12" s="30"/>
      <c r="D12" s="379"/>
      <c r="E12" s="63"/>
      <c r="F12" s="63"/>
      <c r="G12" s="63"/>
      <c r="H12" s="63"/>
      <c r="I12" s="63"/>
      <c r="J12" s="63"/>
      <c r="K12" s="63"/>
      <c r="L12" s="63"/>
      <c r="M12" s="63"/>
      <c r="N12" s="63"/>
      <c r="O12" s="61">
        <f t="shared" si="1"/>
        <v>0</v>
      </c>
      <c r="P12" s="61">
        <f t="shared" si="2"/>
        <v>0</v>
      </c>
      <c r="Q12" s="61" t="e">
        <f t="shared" si="3"/>
        <v>#DIV/0!</v>
      </c>
      <c r="R12" s="61">
        <f t="shared" si="4"/>
        <v>0</v>
      </c>
      <c r="S12" s="199"/>
      <c r="T12" s="199"/>
      <c r="U12" s="199"/>
      <c r="V12" s="199"/>
      <c r="W12" s="199"/>
      <c r="Y12" s="9" t="b">
        <f>1*(1/5)*1.25*20%*4=1*20%</f>
        <v>1</v>
      </c>
      <c r="IO12" s="9"/>
      <c r="IP12" s="9"/>
      <c r="IQ12" s="9"/>
      <c r="IR12" s="9"/>
    </row>
    <row r="13" spans="1:252">
      <c r="A13" s="25">
        <v>6</v>
      </c>
      <c r="B13" s="187" t="s">
        <v>163</v>
      </c>
      <c r="C13" s="30"/>
      <c r="D13" s="379"/>
      <c r="E13" s="63"/>
      <c r="F13" s="63"/>
      <c r="G13" s="63"/>
      <c r="H13" s="63"/>
      <c r="I13" s="63"/>
      <c r="J13" s="63"/>
      <c r="K13" s="63"/>
      <c r="L13" s="63"/>
      <c r="M13" s="63"/>
      <c r="N13" s="63"/>
      <c r="O13" s="61">
        <f t="shared" si="1"/>
        <v>0</v>
      </c>
      <c r="P13" s="61">
        <f t="shared" si="2"/>
        <v>0</v>
      </c>
      <c r="Q13" s="61" t="e">
        <f t="shared" si="3"/>
        <v>#DIV/0!</v>
      </c>
      <c r="R13" s="61">
        <f t="shared" si="4"/>
        <v>0</v>
      </c>
      <c r="S13" s="199"/>
      <c r="T13" s="199"/>
      <c r="U13" s="199"/>
      <c r="V13" s="199"/>
      <c r="W13" s="199"/>
      <c r="IO13" s="9"/>
      <c r="IP13" s="9"/>
      <c r="IQ13" s="9"/>
      <c r="IR13" s="9"/>
    </row>
    <row r="14" spans="1:252">
      <c r="A14" s="25">
        <v>7</v>
      </c>
      <c r="B14" s="187" t="s">
        <v>164</v>
      </c>
      <c r="C14" s="30"/>
      <c r="D14" s="379"/>
      <c r="E14" s="63"/>
      <c r="F14" s="63"/>
      <c r="G14" s="63"/>
      <c r="H14" s="63"/>
      <c r="I14" s="63"/>
      <c r="J14" s="63"/>
      <c r="K14" s="63"/>
      <c r="L14" s="63"/>
      <c r="M14" s="63"/>
      <c r="N14" s="63"/>
      <c r="O14" s="61">
        <f t="shared" si="1"/>
        <v>0</v>
      </c>
      <c r="P14" s="61">
        <f t="shared" si="2"/>
        <v>0</v>
      </c>
      <c r="Q14" s="61" t="e">
        <f t="shared" si="3"/>
        <v>#DIV/0!</v>
      </c>
      <c r="R14" s="61">
        <f t="shared" si="4"/>
        <v>0</v>
      </c>
      <c r="S14" s="199"/>
      <c r="T14" s="199"/>
      <c r="U14" s="199"/>
      <c r="V14" s="199"/>
      <c r="W14" s="199"/>
      <c r="IO14" s="9"/>
      <c r="IP14" s="9"/>
      <c r="IQ14" s="9"/>
      <c r="IR14" s="9"/>
    </row>
    <row r="15" ht="24" spans="1:252">
      <c r="A15" s="25">
        <v>8</v>
      </c>
      <c r="B15" s="187" t="s">
        <v>165</v>
      </c>
      <c r="C15" s="30"/>
      <c r="D15" s="379"/>
      <c r="E15" s="63"/>
      <c r="F15" s="63"/>
      <c r="G15" s="63"/>
      <c r="H15" s="63"/>
      <c r="I15" s="63"/>
      <c r="J15" s="63"/>
      <c r="K15" s="63"/>
      <c r="L15" s="63"/>
      <c r="M15" s="63"/>
      <c r="N15" s="63"/>
      <c r="O15" s="61">
        <f t="shared" si="1"/>
        <v>0</v>
      </c>
      <c r="P15" s="61">
        <f t="shared" si="2"/>
        <v>0</v>
      </c>
      <c r="Q15" s="61" t="e">
        <f t="shared" si="3"/>
        <v>#DIV/0!</v>
      </c>
      <c r="R15" s="61">
        <f t="shared" si="4"/>
        <v>0</v>
      </c>
      <c r="S15" s="199"/>
      <c r="T15" s="199"/>
      <c r="U15" s="199"/>
      <c r="V15" s="199"/>
      <c r="W15" s="199"/>
      <c r="IO15" s="9"/>
      <c r="IP15" s="9"/>
      <c r="IQ15" s="9"/>
      <c r="IR15" s="9"/>
    </row>
    <row r="16" spans="1:252">
      <c r="A16" s="25">
        <v>9</v>
      </c>
      <c r="B16" s="187" t="s">
        <v>166</v>
      </c>
      <c r="C16" s="30"/>
      <c r="D16" s="379"/>
      <c r="E16" s="63"/>
      <c r="F16" s="63"/>
      <c r="G16" s="63"/>
      <c r="H16" s="63"/>
      <c r="I16" s="63"/>
      <c r="J16" s="63"/>
      <c r="K16" s="63"/>
      <c r="L16" s="63"/>
      <c r="M16" s="63"/>
      <c r="N16" s="63"/>
      <c r="O16" s="61">
        <f t="shared" si="1"/>
        <v>0</v>
      </c>
      <c r="P16" s="61">
        <f t="shared" si="2"/>
        <v>0</v>
      </c>
      <c r="Q16" s="61" t="e">
        <f t="shared" si="3"/>
        <v>#DIV/0!</v>
      </c>
      <c r="R16" s="61">
        <f t="shared" si="4"/>
        <v>0</v>
      </c>
      <c r="S16" s="199"/>
      <c r="T16" s="199"/>
      <c r="U16" s="199"/>
      <c r="V16" s="199"/>
      <c r="W16" s="199"/>
      <c r="IO16" s="9"/>
      <c r="IP16" s="9"/>
      <c r="IQ16" s="9"/>
      <c r="IR16" s="9"/>
    </row>
    <row r="17" ht="24" spans="1:252">
      <c r="A17" s="25">
        <v>10</v>
      </c>
      <c r="B17" s="187" t="s">
        <v>167</v>
      </c>
      <c r="C17" s="30"/>
      <c r="D17" s="379"/>
      <c r="E17" s="63"/>
      <c r="F17" s="63"/>
      <c r="G17" s="63"/>
      <c r="H17" s="63"/>
      <c r="I17" s="63"/>
      <c r="J17" s="63"/>
      <c r="K17" s="63"/>
      <c r="L17" s="63"/>
      <c r="M17" s="63"/>
      <c r="N17" s="63"/>
      <c r="O17" s="61">
        <f t="shared" si="1"/>
        <v>0</v>
      </c>
      <c r="P17" s="61">
        <f t="shared" si="2"/>
        <v>0</v>
      </c>
      <c r="Q17" s="61" t="e">
        <f t="shared" si="3"/>
        <v>#DIV/0!</v>
      </c>
      <c r="R17" s="61">
        <f t="shared" si="4"/>
        <v>0</v>
      </c>
      <c r="S17" s="199"/>
      <c r="T17" s="199"/>
      <c r="U17" s="199"/>
      <c r="V17" s="199"/>
      <c r="W17" s="199"/>
      <c r="IO17" s="9"/>
      <c r="IP17" s="9"/>
      <c r="IQ17" s="9"/>
      <c r="IR17" s="9"/>
    </row>
    <row r="18" spans="1:252">
      <c r="A18" s="25">
        <v>11</v>
      </c>
      <c r="B18" s="187" t="s">
        <v>168</v>
      </c>
      <c r="C18" s="30"/>
      <c r="D18" s="379"/>
      <c r="E18" s="63"/>
      <c r="F18" s="63"/>
      <c r="G18" s="63"/>
      <c r="H18" s="63"/>
      <c r="I18" s="63"/>
      <c r="J18" s="63"/>
      <c r="K18" s="63"/>
      <c r="L18" s="63"/>
      <c r="M18" s="63"/>
      <c r="N18" s="63"/>
      <c r="O18" s="61">
        <f t="shared" si="1"/>
        <v>0</v>
      </c>
      <c r="P18" s="61">
        <f t="shared" si="2"/>
        <v>0</v>
      </c>
      <c r="Q18" s="61" t="e">
        <f t="shared" si="3"/>
        <v>#DIV/0!</v>
      </c>
      <c r="R18" s="61">
        <f t="shared" si="4"/>
        <v>0</v>
      </c>
      <c r="S18" s="199"/>
      <c r="T18" s="199"/>
      <c r="U18" s="199"/>
      <c r="V18" s="199"/>
      <c r="W18" s="199"/>
      <c r="IO18" s="9"/>
      <c r="IP18" s="9"/>
      <c r="IQ18" s="9"/>
      <c r="IR18" s="9"/>
    </row>
    <row r="19" spans="1:252">
      <c r="A19" s="25">
        <v>12</v>
      </c>
      <c r="B19" s="187" t="s">
        <v>169</v>
      </c>
      <c r="C19" s="30"/>
      <c r="D19" s="379"/>
      <c r="E19" s="63"/>
      <c r="F19" s="63"/>
      <c r="G19" s="63"/>
      <c r="H19" s="63"/>
      <c r="I19" s="63"/>
      <c r="J19" s="63"/>
      <c r="K19" s="63"/>
      <c r="L19" s="63"/>
      <c r="M19" s="63"/>
      <c r="N19" s="63"/>
      <c r="O19" s="61">
        <f t="shared" si="1"/>
        <v>0</v>
      </c>
      <c r="P19" s="61">
        <f t="shared" si="2"/>
        <v>0</v>
      </c>
      <c r="Q19" s="61" t="e">
        <f t="shared" si="3"/>
        <v>#DIV/0!</v>
      </c>
      <c r="R19" s="61">
        <f t="shared" si="4"/>
        <v>0</v>
      </c>
      <c r="S19" s="199"/>
      <c r="T19" s="199"/>
      <c r="U19" s="199"/>
      <c r="V19" s="199"/>
      <c r="W19" s="199"/>
      <c r="IO19" s="9"/>
      <c r="IP19" s="9"/>
      <c r="IQ19" s="9"/>
      <c r="IR19" s="9"/>
    </row>
    <row r="20" spans="1:252">
      <c r="A20" s="25">
        <v>13</v>
      </c>
      <c r="B20" s="187" t="s">
        <v>170</v>
      </c>
      <c r="C20" s="30"/>
      <c r="D20" s="379"/>
      <c r="E20" s="63"/>
      <c r="F20" s="63"/>
      <c r="G20" s="63"/>
      <c r="H20" s="63"/>
      <c r="I20" s="63"/>
      <c r="J20" s="63"/>
      <c r="K20" s="63"/>
      <c r="L20" s="63"/>
      <c r="M20" s="63"/>
      <c r="N20" s="63"/>
      <c r="O20" s="61">
        <f t="shared" si="1"/>
        <v>0</v>
      </c>
      <c r="P20" s="61">
        <f t="shared" si="2"/>
        <v>0</v>
      </c>
      <c r="Q20" s="61" t="e">
        <f t="shared" si="3"/>
        <v>#DIV/0!</v>
      </c>
      <c r="R20" s="61">
        <f t="shared" si="4"/>
        <v>0</v>
      </c>
      <c r="S20" s="199"/>
      <c r="T20" s="199"/>
      <c r="U20" s="199"/>
      <c r="V20" s="199"/>
      <c r="W20" s="199"/>
      <c r="IO20" s="9"/>
      <c r="IP20" s="9"/>
      <c r="IQ20" s="9"/>
      <c r="IR20" s="9"/>
    </row>
    <row r="21" ht="24" spans="1:252">
      <c r="A21" s="25">
        <v>14</v>
      </c>
      <c r="B21" s="187" t="s">
        <v>171</v>
      </c>
      <c r="C21" s="30"/>
      <c r="D21" s="379"/>
      <c r="E21" s="63"/>
      <c r="F21" s="63"/>
      <c r="G21" s="63"/>
      <c r="H21" s="63"/>
      <c r="I21" s="63"/>
      <c r="J21" s="63"/>
      <c r="K21" s="63"/>
      <c r="L21" s="63"/>
      <c r="M21" s="63"/>
      <c r="N21" s="63"/>
      <c r="O21" s="61">
        <f t="shared" si="1"/>
        <v>0</v>
      </c>
      <c r="P21" s="61">
        <f t="shared" si="2"/>
        <v>0</v>
      </c>
      <c r="Q21" s="61" t="e">
        <f t="shared" si="3"/>
        <v>#DIV/0!</v>
      </c>
      <c r="R21" s="61">
        <f t="shared" si="4"/>
        <v>0</v>
      </c>
      <c r="S21" s="199"/>
      <c r="T21" s="199"/>
      <c r="U21" s="199"/>
      <c r="V21" s="199"/>
      <c r="W21" s="199"/>
      <c r="IO21" s="9"/>
      <c r="IP21" s="9"/>
      <c r="IQ21" s="9"/>
      <c r="IR21" s="9"/>
    </row>
    <row r="22" ht="24" spans="1:252">
      <c r="A22" s="25">
        <v>15</v>
      </c>
      <c r="B22" s="187" t="s">
        <v>172</v>
      </c>
      <c r="C22" s="30"/>
      <c r="D22" s="379"/>
      <c r="E22" s="63"/>
      <c r="F22" s="63"/>
      <c r="G22" s="63"/>
      <c r="H22" s="63"/>
      <c r="I22" s="63"/>
      <c r="J22" s="63"/>
      <c r="K22" s="63"/>
      <c r="L22" s="63"/>
      <c r="M22" s="63"/>
      <c r="N22" s="63"/>
      <c r="O22" s="61">
        <f t="shared" si="1"/>
        <v>0</v>
      </c>
      <c r="P22" s="61">
        <f t="shared" si="2"/>
        <v>0</v>
      </c>
      <c r="Q22" s="61" t="e">
        <f t="shared" si="3"/>
        <v>#DIV/0!</v>
      </c>
      <c r="R22" s="61">
        <f t="shared" si="4"/>
        <v>0</v>
      </c>
      <c r="S22" s="199"/>
      <c r="T22" s="199"/>
      <c r="U22" s="199"/>
      <c r="V22" s="199"/>
      <c r="W22" s="199"/>
      <c r="IO22" s="9"/>
      <c r="IP22" s="9"/>
      <c r="IQ22" s="9"/>
      <c r="IR22" s="9"/>
    </row>
    <row r="23" ht="24" spans="1:252">
      <c r="A23" s="25">
        <v>16</v>
      </c>
      <c r="B23" s="187" t="s">
        <v>173</v>
      </c>
      <c r="C23" s="30"/>
      <c r="D23" s="379"/>
      <c r="E23" s="63"/>
      <c r="F23" s="63"/>
      <c r="G23" s="63"/>
      <c r="H23" s="63"/>
      <c r="I23" s="63"/>
      <c r="J23" s="63"/>
      <c r="K23" s="63"/>
      <c r="L23" s="63"/>
      <c r="M23" s="63"/>
      <c r="N23" s="63"/>
      <c r="O23" s="61">
        <f t="shared" si="1"/>
        <v>0</v>
      </c>
      <c r="P23" s="61">
        <f t="shared" si="2"/>
        <v>0</v>
      </c>
      <c r="Q23" s="61" t="e">
        <f t="shared" si="3"/>
        <v>#DIV/0!</v>
      </c>
      <c r="R23" s="61">
        <f t="shared" si="4"/>
        <v>0</v>
      </c>
      <c r="S23" s="199"/>
      <c r="T23" s="199"/>
      <c r="U23" s="199"/>
      <c r="V23" s="199"/>
      <c r="W23" s="199"/>
      <c r="IO23" s="9"/>
      <c r="IP23" s="9"/>
      <c r="IQ23" s="9"/>
      <c r="IR23" s="9"/>
    </row>
    <row r="24" spans="1:252">
      <c r="A24" s="25">
        <v>17</v>
      </c>
      <c r="B24" s="187" t="s">
        <v>174</v>
      </c>
      <c r="C24" s="30"/>
      <c r="D24" s="379"/>
      <c r="E24" s="63"/>
      <c r="F24" s="63"/>
      <c r="G24" s="63"/>
      <c r="H24" s="63"/>
      <c r="I24" s="63"/>
      <c r="J24" s="63"/>
      <c r="K24" s="63"/>
      <c r="L24" s="63"/>
      <c r="M24" s="63"/>
      <c r="N24" s="63"/>
      <c r="O24" s="61">
        <f t="shared" si="1"/>
        <v>0</v>
      </c>
      <c r="P24" s="61">
        <f t="shared" si="2"/>
        <v>0</v>
      </c>
      <c r="Q24" s="61" t="e">
        <f t="shared" si="3"/>
        <v>#DIV/0!</v>
      </c>
      <c r="R24" s="61">
        <f t="shared" si="4"/>
        <v>0</v>
      </c>
      <c r="S24" s="199"/>
      <c r="T24" s="199"/>
      <c r="U24" s="199"/>
      <c r="V24" s="199"/>
      <c r="W24" s="199"/>
      <c r="IO24" s="9"/>
      <c r="IP24" s="9"/>
      <c r="IQ24" s="9"/>
      <c r="IR24" s="9"/>
    </row>
    <row r="25" spans="1:252">
      <c r="A25" s="25">
        <v>18</v>
      </c>
      <c r="B25" s="187" t="s">
        <v>175</v>
      </c>
      <c r="C25" s="30"/>
      <c r="D25" s="379"/>
      <c r="E25" s="63"/>
      <c r="F25" s="63"/>
      <c r="G25" s="63"/>
      <c r="H25" s="63"/>
      <c r="I25" s="63"/>
      <c r="J25" s="63"/>
      <c r="K25" s="63"/>
      <c r="L25" s="63"/>
      <c r="M25" s="63"/>
      <c r="N25" s="63"/>
      <c r="O25" s="61">
        <f t="shared" si="1"/>
        <v>0</v>
      </c>
      <c r="P25" s="61">
        <f t="shared" si="2"/>
        <v>0</v>
      </c>
      <c r="Q25" s="61" t="e">
        <f t="shared" si="3"/>
        <v>#DIV/0!</v>
      </c>
      <c r="R25" s="61">
        <f t="shared" si="4"/>
        <v>0</v>
      </c>
      <c r="S25" s="199"/>
      <c r="T25" s="199"/>
      <c r="U25" s="199"/>
      <c r="V25" s="199"/>
      <c r="W25" s="199"/>
      <c r="IO25" s="9"/>
      <c r="IP25" s="9"/>
      <c r="IQ25" s="9"/>
      <c r="IR25" s="9"/>
    </row>
    <row r="26" ht="24" spans="1:252">
      <c r="A26" s="25">
        <v>19</v>
      </c>
      <c r="B26" s="187" t="s">
        <v>176</v>
      </c>
      <c r="C26" s="30"/>
      <c r="D26" s="379"/>
      <c r="E26" s="63"/>
      <c r="F26" s="63"/>
      <c r="G26" s="63"/>
      <c r="H26" s="63"/>
      <c r="I26" s="63"/>
      <c r="J26" s="63"/>
      <c r="K26" s="63"/>
      <c r="L26" s="63"/>
      <c r="M26" s="63"/>
      <c r="N26" s="63"/>
      <c r="O26" s="61">
        <f t="shared" si="1"/>
        <v>0</v>
      </c>
      <c r="P26" s="61">
        <f t="shared" si="2"/>
        <v>0</v>
      </c>
      <c r="Q26" s="61" t="e">
        <f t="shared" si="3"/>
        <v>#DIV/0!</v>
      </c>
      <c r="R26" s="61">
        <f t="shared" si="4"/>
        <v>0</v>
      </c>
      <c r="S26" s="199"/>
      <c r="T26" s="199"/>
      <c r="U26" s="199"/>
      <c r="V26" s="199"/>
      <c r="W26" s="199"/>
      <c r="IO26" s="9"/>
      <c r="IP26" s="9"/>
      <c r="IQ26" s="9"/>
      <c r="IR26" s="9"/>
    </row>
    <row r="27" ht="24" spans="1:252">
      <c r="A27" s="25">
        <v>20</v>
      </c>
      <c r="B27" s="187" t="s">
        <v>177</v>
      </c>
      <c r="C27" s="30"/>
      <c r="D27" s="379"/>
      <c r="E27" s="63"/>
      <c r="F27" s="63"/>
      <c r="G27" s="63"/>
      <c r="H27" s="63"/>
      <c r="I27" s="63"/>
      <c r="J27" s="63"/>
      <c r="K27" s="63"/>
      <c r="L27" s="63"/>
      <c r="M27" s="63"/>
      <c r="N27" s="63"/>
      <c r="O27" s="61">
        <f t="shared" si="1"/>
        <v>0</v>
      </c>
      <c r="P27" s="61">
        <f t="shared" si="2"/>
        <v>0</v>
      </c>
      <c r="Q27" s="61" t="e">
        <f t="shared" si="3"/>
        <v>#DIV/0!</v>
      </c>
      <c r="R27" s="61">
        <f t="shared" si="4"/>
        <v>0</v>
      </c>
      <c r="S27" s="199"/>
      <c r="T27" s="199"/>
      <c r="U27" s="199"/>
      <c r="V27" s="199"/>
      <c r="W27" s="199"/>
      <c r="IO27" s="9"/>
      <c r="IP27" s="9"/>
      <c r="IQ27" s="9"/>
      <c r="IR27" s="9"/>
    </row>
    <row r="28" spans="1:252">
      <c r="A28" s="25">
        <v>21</v>
      </c>
      <c r="B28" s="187" t="s">
        <v>178</v>
      </c>
      <c r="C28" s="30"/>
      <c r="D28" s="379"/>
      <c r="E28" s="63"/>
      <c r="F28" s="63"/>
      <c r="G28" s="63"/>
      <c r="H28" s="63"/>
      <c r="I28" s="63"/>
      <c r="J28" s="63"/>
      <c r="K28" s="63"/>
      <c r="L28" s="63"/>
      <c r="M28" s="63"/>
      <c r="N28" s="63"/>
      <c r="O28" s="61">
        <f t="shared" si="1"/>
        <v>0</v>
      </c>
      <c r="P28" s="61">
        <f t="shared" si="2"/>
        <v>0</v>
      </c>
      <c r="Q28" s="61" t="e">
        <f t="shared" si="3"/>
        <v>#DIV/0!</v>
      </c>
      <c r="R28" s="61">
        <f t="shared" si="4"/>
        <v>0</v>
      </c>
      <c r="S28" s="199"/>
      <c r="T28" s="199"/>
      <c r="U28" s="199"/>
      <c r="V28" s="199"/>
      <c r="W28" s="199"/>
      <c r="IO28" s="9"/>
      <c r="IP28" s="9"/>
      <c r="IQ28" s="9"/>
      <c r="IR28" s="9"/>
    </row>
    <row r="29" s="4" customFormat="1" ht="12.75" spans="1:23">
      <c r="A29" s="394" t="s">
        <v>179</v>
      </c>
      <c r="B29" s="185"/>
      <c r="C29" s="108"/>
      <c r="D29" s="108"/>
      <c r="E29" s="108"/>
      <c r="F29" s="108"/>
      <c r="G29" s="108"/>
      <c r="H29" s="108"/>
      <c r="I29" s="108"/>
      <c r="J29" s="108"/>
      <c r="K29" s="108"/>
      <c r="L29" s="108"/>
      <c r="M29" s="108"/>
      <c r="N29" s="108"/>
      <c r="O29" s="108"/>
      <c r="P29" s="108"/>
      <c r="Q29" s="108"/>
      <c r="R29" s="108"/>
      <c r="S29" s="108"/>
      <c r="T29" s="108"/>
      <c r="U29" s="108"/>
      <c r="V29" s="108"/>
      <c r="W29" s="108"/>
    </row>
    <row r="30" s="5" customFormat="1" ht="15" customHeight="1" spans="1:23">
      <c r="A30" s="25">
        <v>22</v>
      </c>
      <c r="B30" s="26" t="s">
        <v>111</v>
      </c>
      <c r="C30" s="61">
        <f>SUM(C31:C64)</f>
        <v>0</v>
      </c>
      <c r="D30" s="61">
        <f t="shared" ref="D30:N30" si="5">SUM(D31:D64)</f>
        <v>0</v>
      </c>
      <c r="E30" s="61">
        <f t="shared" si="5"/>
        <v>0</v>
      </c>
      <c r="F30" s="61">
        <f t="shared" si="5"/>
        <v>0</v>
      </c>
      <c r="G30" s="61">
        <f t="shared" si="5"/>
        <v>0</v>
      </c>
      <c r="H30" s="61">
        <f t="shared" si="5"/>
        <v>0</v>
      </c>
      <c r="I30" s="61">
        <f t="shared" si="5"/>
        <v>0</v>
      </c>
      <c r="J30" s="61">
        <f t="shared" si="5"/>
        <v>0</v>
      </c>
      <c r="K30" s="61">
        <f t="shared" si="5"/>
        <v>0</v>
      </c>
      <c r="L30" s="61">
        <f t="shared" si="5"/>
        <v>0</v>
      </c>
      <c r="M30" s="61">
        <f t="shared" si="5"/>
        <v>0</v>
      </c>
      <c r="N30" s="61">
        <f t="shared" si="5"/>
        <v>0</v>
      </c>
      <c r="O30" s="61">
        <f t="shared" ref="O30:O64" si="6">D30+H30+L30</f>
        <v>0</v>
      </c>
      <c r="P30" s="61">
        <f t="shared" ref="P30:P64" si="7">E30+I30+M30</f>
        <v>0</v>
      </c>
      <c r="Q30" s="61" t="e">
        <f t="shared" ref="Q30:Q64" si="8">P30/O30</f>
        <v>#DIV/0!</v>
      </c>
      <c r="R30" s="61">
        <f t="shared" ref="R30:R64" si="9">F30+J30+N30</f>
        <v>0</v>
      </c>
      <c r="S30" s="61">
        <f>SUM(S31:S64)</f>
        <v>0</v>
      </c>
      <c r="T30" s="61">
        <f>SUM(T31:T64)</f>
        <v>0</v>
      </c>
      <c r="U30" s="61">
        <f>SUM(U31:U64)</f>
        <v>0</v>
      </c>
      <c r="V30" s="61">
        <f>SUM(V31:V64)</f>
        <v>0</v>
      </c>
      <c r="W30" s="61">
        <f>SUM(W31:W64)</f>
        <v>0</v>
      </c>
    </row>
    <row r="31" spans="1:252">
      <c r="A31" s="25">
        <v>23</v>
      </c>
      <c r="B31" s="109" t="s">
        <v>180</v>
      </c>
      <c r="C31" s="30"/>
      <c r="D31" s="379"/>
      <c r="E31" s="63"/>
      <c r="F31" s="63"/>
      <c r="G31" s="63"/>
      <c r="H31" s="63"/>
      <c r="I31" s="63"/>
      <c r="J31" s="63"/>
      <c r="K31" s="63"/>
      <c r="L31" s="63"/>
      <c r="M31" s="63"/>
      <c r="N31" s="63"/>
      <c r="O31" s="61">
        <f t="shared" si="6"/>
        <v>0</v>
      </c>
      <c r="P31" s="61">
        <f t="shared" si="7"/>
        <v>0</v>
      </c>
      <c r="Q31" s="61" t="e">
        <f t="shared" si="8"/>
        <v>#DIV/0!</v>
      </c>
      <c r="R31" s="61">
        <f t="shared" si="9"/>
        <v>0</v>
      </c>
      <c r="S31" s="199"/>
      <c r="T31" s="199"/>
      <c r="U31" s="199"/>
      <c r="V31" s="199"/>
      <c r="W31" s="199"/>
      <c r="IO31" s="9"/>
      <c r="IP31" s="9"/>
      <c r="IQ31" s="9"/>
      <c r="IR31" s="9"/>
    </row>
    <row r="32" spans="1:252">
      <c r="A32" s="25">
        <v>24</v>
      </c>
      <c r="B32" s="109" t="s">
        <v>181</v>
      </c>
      <c r="C32" s="30"/>
      <c r="D32" s="379"/>
      <c r="E32" s="63"/>
      <c r="F32" s="63"/>
      <c r="G32" s="63"/>
      <c r="H32" s="63"/>
      <c r="I32" s="63"/>
      <c r="J32" s="63"/>
      <c r="K32" s="63"/>
      <c r="L32" s="63"/>
      <c r="M32" s="63"/>
      <c r="N32" s="63"/>
      <c r="O32" s="61">
        <f t="shared" si="6"/>
        <v>0</v>
      </c>
      <c r="P32" s="61">
        <f t="shared" si="7"/>
        <v>0</v>
      </c>
      <c r="Q32" s="61" t="e">
        <f t="shared" si="8"/>
        <v>#DIV/0!</v>
      </c>
      <c r="R32" s="61">
        <f t="shared" si="9"/>
        <v>0</v>
      </c>
      <c r="S32" s="199"/>
      <c r="T32" s="199"/>
      <c r="U32" s="199"/>
      <c r="V32" s="199"/>
      <c r="W32" s="199"/>
      <c r="IO32" s="9"/>
      <c r="IP32" s="9"/>
      <c r="IQ32" s="9"/>
      <c r="IR32" s="9"/>
    </row>
    <row r="33" spans="1:252">
      <c r="A33" s="25">
        <v>25</v>
      </c>
      <c r="B33" s="109" t="s">
        <v>182</v>
      </c>
      <c r="C33" s="30"/>
      <c r="D33" s="379"/>
      <c r="E33" s="63"/>
      <c r="F33" s="63"/>
      <c r="G33" s="63"/>
      <c r="H33" s="63"/>
      <c r="I33" s="63"/>
      <c r="J33" s="63"/>
      <c r="K33" s="63"/>
      <c r="L33" s="63"/>
      <c r="M33" s="63"/>
      <c r="N33" s="63"/>
      <c r="O33" s="61">
        <f t="shared" si="6"/>
        <v>0</v>
      </c>
      <c r="P33" s="61">
        <f t="shared" si="7"/>
        <v>0</v>
      </c>
      <c r="Q33" s="61" t="e">
        <f t="shared" si="8"/>
        <v>#DIV/0!</v>
      </c>
      <c r="R33" s="61">
        <f t="shared" si="9"/>
        <v>0</v>
      </c>
      <c r="S33" s="199"/>
      <c r="T33" s="199"/>
      <c r="U33" s="199"/>
      <c r="V33" s="199"/>
      <c r="W33" s="199"/>
      <c r="IO33" s="9"/>
      <c r="IP33" s="9"/>
      <c r="IQ33" s="9"/>
      <c r="IR33" s="9"/>
    </row>
    <row r="34" spans="1:252">
      <c r="A34" s="25">
        <v>26</v>
      </c>
      <c r="B34" s="109" t="s">
        <v>183</v>
      </c>
      <c r="C34" s="30"/>
      <c r="D34" s="379"/>
      <c r="E34" s="63"/>
      <c r="F34" s="63"/>
      <c r="G34" s="63"/>
      <c r="H34" s="63"/>
      <c r="I34" s="63"/>
      <c r="J34" s="63"/>
      <c r="K34" s="63"/>
      <c r="L34" s="63"/>
      <c r="M34" s="63"/>
      <c r="N34" s="63"/>
      <c r="O34" s="61">
        <f t="shared" si="6"/>
        <v>0</v>
      </c>
      <c r="P34" s="61">
        <f t="shared" si="7"/>
        <v>0</v>
      </c>
      <c r="Q34" s="61" t="e">
        <f t="shared" si="8"/>
        <v>#DIV/0!</v>
      </c>
      <c r="R34" s="61">
        <f t="shared" si="9"/>
        <v>0</v>
      </c>
      <c r="S34" s="199"/>
      <c r="T34" s="199"/>
      <c r="U34" s="199"/>
      <c r="V34" s="199"/>
      <c r="W34" s="199"/>
      <c r="IO34" s="9"/>
      <c r="IP34" s="9"/>
      <c r="IQ34" s="9"/>
      <c r="IR34" s="9"/>
    </row>
    <row r="35" spans="1:252">
      <c r="A35" s="25">
        <v>27</v>
      </c>
      <c r="B35" s="109" t="s">
        <v>184</v>
      </c>
      <c r="C35" s="30"/>
      <c r="D35" s="379"/>
      <c r="E35" s="63"/>
      <c r="F35" s="63"/>
      <c r="G35" s="63"/>
      <c r="H35" s="63"/>
      <c r="I35" s="63"/>
      <c r="J35" s="63"/>
      <c r="K35" s="63"/>
      <c r="L35" s="63"/>
      <c r="M35" s="63"/>
      <c r="N35" s="63"/>
      <c r="O35" s="61">
        <f t="shared" si="6"/>
        <v>0</v>
      </c>
      <c r="P35" s="61">
        <f t="shared" si="7"/>
        <v>0</v>
      </c>
      <c r="Q35" s="61" t="e">
        <f t="shared" si="8"/>
        <v>#DIV/0!</v>
      </c>
      <c r="R35" s="61">
        <f t="shared" si="9"/>
        <v>0</v>
      </c>
      <c r="S35" s="199"/>
      <c r="T35" s="199"/>
      <c r="U35" s="199"/>
      <c r="V35" s="199"/>
      <c r="W35" s="199"/>
      <c r="IO35" s="9"/>
      <c r="IP35" s="9"/>
      <c r="IQ35" s="9"/>
      <c r="IR35" s="9"/>
    </row>
    <row r="36" spans="1:252">
      <c r="A36" s="25">
        <v>28</v>
      </c>
      <c r="B36" s="109" t="s">
        <v>185</v>
      </c>
      <c r="C36" s="30"/>
      <c r="D36" s="379"/>
      <c r="E36" s="63"/>
      <c r="F36" s="63"/>
      <c r="G36" s="63"/>
      <c r="H36" s="63"/>
      <c r="I36" s="63"/>
      <c r="J36" s="63"/>
      <c r="K36" s="63"/>
      <c r="L36" s="63"/>
      <c r="M36" s="63"/>
      <c r="N36" s="63"/>
      <c r="O36" s="61">
        <f t="shared" si="6"/>
        <v>0</v>
      </c>
      <c r="P36" s="61">
        <f t="shared" si="7"/>
        <v>0</v>
      </c>
      <c r="Q36" s="61" t="e">
        <f t="shared" si="8"/>
        <v>#DIV/0!</v>
      </c>
      <c r="R36" s="61">
        <f t="shared" si="9"/>
        <v>0</v>
      </c>
      <c r="S36" s="199"/>
      <c r="T36" s="199"/>
      <c r="U36" s="199"/>
      <c r="V36" s="199"/>
      <c r="W36" s="199"/>
      <c r="IO36" s="9"/>
      <c r="IP36" s="9"/>
      <c r="IQ36" s="9"/>
      <c r="IR36" s="9"/>
    </row>
    <row r="37" spans="1:252">
      <c r="A37" s="25">
        <v>29</v>
      </c>
      <c r="B37" s="109" t="s">
        <v>186</v>
      </c>
      <c r="C37" s="30"/>
      <c r="D37" s="379"/>
      <c r="E37" s="63"/>
      <c r="F37" s="63"/>
      <c r="G37" s="63"/>
      <c r="H37" s="63"/>
      <c r="I37" s="63"/>
      <c r="J37" s="63"/>
      <c r="K37" s="63"/>
      <c r="L37" s="63"/>
      <c r="M37" s="63"/>
      <c r="N37" s="63"/>
      <c r="O37" s="61">
        <f t="shared" si="6"/>
        <v>0</v>
      </c>
      <c r="P37" s="61">
        <f t="shared" si="7"/>
        <v>0</v>
      </c>
      <c r="Q37" s="61" t="e">
        <f t="shared" si="8"/>
        <v>#DIV/0!</v>
      </c>
      <c r="R37" s="61">
        <f t="shared" si="9"/>
        <v>0</v>
      </c>
      <c r="S37" s="199"/>
      <c r="T37" s="199"/>
      <c r="U37" s="199"/>
      <c r="V37" s="199"/>
      <c r="W37" s="199"/>
      <c r="IO37" s="9"/>
      <c r="IP37" s="9"/>
      <c r="IQ37" s="9"/>
      <c r="IR37" s="9"/>
    </row>
    <row r="38" spans="1:252">
      <c r="A38" s="25">
        <v>30</v>
      </c>
      <c r="B38" s="109" t="s">
        <v>187</v>
      </c>
      <c r="C38" s="30"/>
      <c r="D38" s="379"/>
      <c r="E38" s="63"/>
      <c r="F38" s="63"/>
      <c r="G38" s="63"/>
      <c r="H38" s="63"/>
      <c r="I38" s="63"/>
      <c r="J38" s="63"/>
      <c r="K38" s="63"/>
      <c r="L38" s="63"/>
      <c r="M38" s="63"/>
      <c r="N38" s="63"/>
      <c r="O38" s="61">
        <f t="shared" si="6"/>
        <v>0</v>
      </c>
      <c r="P38" s="61">
        <f t="shared" si="7"/>
        <v>0</v>
      </c>
      <c r="Q38" s="61" t="e">
        <f t="shared" si="8"/>
        <v>#DIV/0!</v>
      </c>
      <c r="R38" s="61">
        <f t="shared" si="9"/>
        <v>0</v>
      </c>
      <c r="S38" s="199"/>
      <c r="T38" s="199"/>
      <c r="U38" s="199"/>
      <c r="V38" s="199"/>
      <c r="W38" s="199"/>
      <c r="IO38" s="9"/>
      <c r="IP38" s="9"/>
      <c r="IQ38" s="9"/>
      <c r="IR38" s="9"/>
    </row>
    <row r="39" spans="1:252">
      <c r="A39" s="25">
        <v>31</v>
      </c>
      <c r="B39" s="109" t="s">
        <v>188</v>
      </c>
      <c r="C39" s="30"/>
      <c r="D39" s="379"/>
      <c r="E39" s="63"/>
      <c r="F39" s="63"/>
      <c r="G39" s="63"/>
      <c r="H39" s="63"/>
      <c r="I39" s="63"/>
      <c r="J39" s="63"/>
      <c r="K39" s="63"/>
      <c r="L39" s="63"/>
      <c r="M39" s="63"/>
      <c r="N39" s="63"/>
      <c r="O39" s="61">
        <f t="shared" si="6"/>
        <v>0</v>
      </c>
      <c r="P39" s="61">
        <f t="shared" si="7"/>
        <v>0</v>
      </c>
      <c r="Q39" s="61" t="e">
        <f t="shared" si="8"/>
        <v>#DIV/0!</v>
      </c>
      <c r="R39" s="61">
        <f t="shared" si="9"/>
        <v>0</v>
      </c>
      <c r="S39" s="199"/>
      <c r="T39" s="199"/>
      <c r="U39" s="199"/>
      <c r="V39" s="199"/>
      <c r="W39" s="199"/>
      <c r="IO39" s="9"/>
      <c r="IP39" s="9"/>
      <c r="IQ39" s="9"/>
      <c r="IR39" s="9"/>
    </row>
    <row r="40" spans="1:252">
      <c r="A40" s="25">
        <v>32</v>
      </c>
      <c r="B40" s="109" t="s">
        <v>189</v>
      </c>
      <c r="C40" s="30"/>
      <c r="D40" s="379"/>
      <c r="E40" s="63"/>
      <c r="F40" s="63"/>
      <c r="G40" s="63"/>
      <c r="H40" s="63"/>
      <c r="I40" s="63"/>
      <c r="J40" s="63"/>
      <c r="K40" s="63"/>
      <c r="L40" s="63"/>
      <c r="M40" s="63"/>
      <c r="N40" s="63"/>
      <c r="O40" s="61">
        <f t="shared" si="6"/>
        <v>0</v>
      </c>
      <c r="P40" s="61">
        <f t="shared" si="7"/>
        <v>0</v>
      </c>
      <c r="Q40" s="61" t="e">
        <f t="shared" si="8"/>
        <v>#DIV/0!</v>
      </c>
      <c r="R40" s="61">
        <f t="shared" si="9"/>
        <v>0</v>
      </c>
      <c r="S40" s="199"/>
      <c r="T40" s="199"/>
      <c r="U40" s="199"/>
      <c r="V40" s="199"/>
      <c r="W40" s="199"/>
      <c r="IO40" s="9"/>
      <c r="IP40" s="9"/>
      <c r="IQ40" s="9"/>
      <c r="IR40" s="9"/>
    </row>
    <row r="41" spans="1:252">
      <c r="A41" s="25">
        <v>33</v>
      </c>
      <c r="B41" s="109" t="s">
        <v>190</v>
      </c>
      <c r="C41" s="30"/>
      <c r="D41" s="379"/>
      <c r="E41" s="63"/>
      <c r="F41" s="63"/>
      <c r="G41" s="63"/>
      <c r="H41" s="63"/>
      <c r="I41" s="63"/>
      <c r="J41" s="63"/>
      <c r="K41" s="63"/>
      <c r="L41" s="63"/>
      <c r="M41" s="63"/>
      <c r="N41" s="63"/>
      <c r="O41" s="61">
        <f t="shared" si="6"/>
        <v>0</v>
      </c>
      <c r="P41" s="61">
        <f t="shared" si="7"/>
        <v>0</v>
      </c>
      <c r="Q41" s="61" t="e">
        <f t="shared" si="8"/>
        <v>#DIV/0!</v>
      </c>
      <c r="R41" s="61">
        <f t="shared" si="9"/>
        <v>0</v>
      </c>
      <c r="S41" s="199"/>
      <c r="T41" s="199"/>
      <c r="U41" s="199"/>
      <c r="V41" s="199"/>
      <c r="W41" s="199"/>
      <c r="IO41" s="9"/>
      <c r="IP41" s="9"/>
      <c r="IQ41" s="9"/>
      <c r="IR41" s="9"/>
    </row>
    <row r="42" spans="1:252">
      <c r="A42" s="25">
        <v>34</v>
      </c>
      <c r="B42" s="109" t="s">
        <v>191</v>
      </c>
      <c r="C42" s="30"/>
      <c r="D42" s="379"/>
      <c r="E42" s="63"/>
      <c r="F42" s="63"/>
      <c r="G42" s="63"/>
      <c r="H42" s="63"/>
      <c r="I42" s="63"/>
      <c r="J42" s="63"/>
      <c r="K42" s="63"/>
      <c r="L42" s="63"/>
      <c r="M42" s="63"/>
      <c r="N42" s="63"/>
      <c r="O42" s="61">
        <f t="shared" si="6"/>
        <v>0</v>
      </c>
      <c r="P42" s="61">
        <f t="shared" si="7"/>
        <v>0</v>
      </c>
      <c r="Q42" s="61" t="e">
        <f t="shared" si="8"/>
        <v>#DIV/0!</v>
      </c>
      <c r="R42" s="61">
        <f t="shared" si="9"/>
        <v>0</v>
      </c>
      <c r="S42" s="199"/>
      <c r="T42" s="199"/>
      <c r="U42" s="199"/>
      <c r="V42" s="199"/>
      <c r="W42" s="199"/>
      <c r="IO42" s="9"/>
      <c r="IP42" s="9"/>
      <c r="IQ42" s="9"/>
      <c r="IR42" s="9"/>
    </row>
    <row r="43" spans="1:252">
      <c r="A43" s="25">
        <v>35</v>
      </c>
      <c r="B43" s="109" t="s">
        <v>192</v>
      </c>
      <c r="C43" s="30"/>
      <c r="D43" s="379"/>
      <c r="E43" s="63"/>
      <c r="F43" s="63"/>
      <c r="G43" s="63"/>
      <c r="H43" s="63"/>
      <c r="I43" s="63"/>
      <c r="J43" s="63"/>
      <c r="K43" s="63"/>
      <c r="L43" s="63"/>
      <c r="M43" s="63"/>
      <c r="N43" s="63"/>
      <c r="O43" s="61">
        <f t="shared" si="6"/>
        <v>0</v>
      </c>
      <c r="P43" s="61">
        <f t="shared" si="7"/>
        <v>0</v>
      </c>
      <c r="Q43" s="61" t="e">
        <f t="shared" si="8"/>
        <v>#DIV/0!</v>
      </c>
      <c r="R43" s="61">
        <f t="shared" si="9"/>
        <v>0</v>
      </c>
      <c r="S43" s="199"/>
      <c r="T43" s="199"/>
      <c r="U43" s="199"/>
      <c r="V43" s="199"/>
      <c r="W43" s="199"/>
      <c r="IO43" s="9"/>
      <c r="IP43" s="9"/>
      <c r="IQ43" s="9"/>
      <c r="IR43" s="9"/>
    </row>
    <row r="44" spans="1:252">
      <c r="A44" s="25">
        <v>36</v>
      </c>
      <c r="B44" s="109" t="s">
        <v>193</v>
      </c>
      <c r="C44" s="30"/>
      <c r="D44" s="379"/>
      <c r="E44" s="63"/>
      <c r="F44" s="63"/>
      <c r="G44" s="63"/>
      <c r="H44" s="63"/>
      <c r="I44" s="63"/>
      <c r="J44" s="63"/>
      <c r="K44" s="63"/>
      <c r="L44" s="63"/>
      <c r="M44" s="63"/>
      <c r="N44" s="63"/>
      <c r="O44" s="61">
        <f t="shared" si="6"/>
        <v>0</v>
      </c>
      <c r="P44" s="61">
        <f t="shared" si="7"/>
        <v>0</v>
      </c>
      <c r="Q44" s="61" t="e">
        <f t="shared" si="8"/>
        <v>#DIV/0!</v>
      </c>
      <c r="R44" s="61">
        <f t="shared" si="9"/>
        <v>0</v>
      </c>
      <c r="S44" s="199"/>
      <c r="T44" s="199"/>
      <c r="U44" s="199"/>
      <c r="V44" s="199"/>
      <c r="W44" s="199"/>
      <c r="IO44" s="9"/>
      <c r="IP44" s="9"/>
      <c r="IQ44" s="9"/>
      <c r="IR44" s="9"/>
    </row>
    <row r="45" spans="1:252">
      <c r="A45" s="25">
        <v>37</v>
      </c>
      <c r="B45" s="109" t="s">
        <v>194</v>
      </c>
      <c r="C45" s="30"/>
      <c r="D45" s="379"/>
      <c r="E45" s="63"/>
      <c r="F45" s="63"/>
      <c r="G45" s="63"/>
      <c r="H45" s="63"/>
      <c r="I45" s="63"/>
      <c r="J45" s="63"/>
      <c r="K45" s="63"/>
      <c r="L45" s="63"/>
      <c r="M45" s="63"/>
      <c r="N45" s="63"/>
      <c r="O45" s="61">
        <f t="shared" si="6"/>
        <v>0</v>
      </c>
      <c r="P45" s="61">
        <f t="shared" si="7"/>
        <v>0</v>
      </c>
      <c r="Q45" s="61" t="e">
        <f t="shared" si="8"/>
        <v>#DIV/0!</v>
      </c>
      <c r="R45" s="61">
        <f t="shared" si="9"/>
        <v>0</v>
      </c>
      <c r="S45" s="199"/>
      <c r="T45" s="199"/>
      <c r="U45" s="199"/>
      <c r="V45" s="199"/>
      <c r="W45" s="199"/>
      <c r="IO45" s="9"/>
      <c r="IP45" s="9"/>
      <c r="IQ45" s="9"/>
      <c r="IR45" s="9"/>
    </row>
    <row r="46" spans="1:252">
      <c r="A46" s="25">
        <v>38</v>
      </c>
      <c r="B46" s="109" t="s">
        <v>195</v>
      </c>
      <c r="C46" s="30"/>
      <c r="D46" s="379"/>
      <c r="E46" s="63"/>
      <c r="F46" s="63"/>
      <c r="G46" s="63"/>
      <c r="H46" s="63"/>
      <c r="I46" s="63"/>
      <c r="J46" s="63"/>
      <c r="K46" s="63"/>
      <c r="L46" s="63"/>
      <c r="M46" s="63"/>
      <c r="N46" s="63"/>
      <c r="O46" s="61">
        <f t="shared" si="6"/>
        <v>0</v>
      </c>
      <c r="P46" s="61">
        <f t="shared" si="7"/>
        <v>0</v>
      </c>
      <c r="Q46" s="61" t="e">
        <f t="shared" si="8"/>
        <v>#DIV/0!</v>
      </c>
      <c r="R46" s="61">
        <f t="shared" si="9"/>
        <v>0</v>
      </c>
      <c r="S46" s="199"/>
      <c r="T46" s="199"/>
      <c r="U46" s="199"/>
      <c r="V46" s="199"/>
      <c r="W46" s="199"/>
      <c r="IO46" s="9"/>
      <c r="IP46" s="9"/>
      <c r="IQ46" s="9"/>
      <c r="IR46" s="9"/>
    </row>
    <row r="47" spans="1:252">
      <c r="A47" s="25">
        <v>39</v>
      </c>
      <c r="B47" s="109" t="s">
        <v>196</v>
      </c>
      <c r="C47" s="30"/>
      <c r="D47" s="379"/>
      <c r="E47" s="63"/>
      <c r="F47" s="63"/>
      <c r="G47" s="63"/>
      <c r="H47" s="63"/>
      <c r="I47" s="63"/>
      <c r="J47" s="63"/>
      <c r="K47" s="63"/>
      <c r="L47" s="63"/>
      <c r="M47" s="63"/>
      <c r="N47" s="63"/>
      <c r="O47" s="61">
        <f t="shared" si="6"/>
        <v>0</v>
      </c>
      <c r="P47" s="61">
        <f t="shared" si="7"/>
        <v>0</v>
      </c>
      <c r="Q47" s="61" t="e">
        <f t="shared" si="8"/>
        <v>#DIV/0!</v>
      </c>
      <c r="R47" s="61">
        <f t="shared" si="9"/>
        <v>0</v>
      </c>
      <c r="S47" s="199"/>
      <c r="T47" s="199"/>
      <c r="U47" s="199"/>
      <c r="V47" s="199"/>
      <c r="W47" s="199"/>
      <c r="IO47" s="9"/>
      <c r="IP47" s="9"/>
      <c r="IQ47" s="9"/>
      <c r="IR47" s="9"/>
    </row>
    <row r="48" spans="1:252">
      <c r="A48" s="25">
        <v>40</v>
      </c>
      <c r="B48" s="109" t="s">
        <v>197</v>
      </c>
      <c r="C48" s="30"/>
      <c r="D48" s="379"/>
      <c r="E48" s="63"/>
      <c r="F48" s="63"/>
      <c r="G48" s="63"/>
      <c r="H48" s="63"/>
      <c r="I48" s="63"/>
      <c r="J48" s="63"/>
      <c r="K48" s="63"/>
      <c r="L48" s="63"/>
      <c r="M48" s="63"/>
      <c r="N48" s="63"/>
      <c r="O48" s="61">
        <f t="shared" si="6"/>
        <v>0</v>
      </c>
      <c r="P48" s="61">
        <f t="shared" si="7"/>
        <v>0</v>
      </c>
      <c r="Q48" s="61" t="e">
        <f t="shared" si="8"/>
        <v>#DIV/0!</v>
      </c>
      <c r="R48" s="61">
        <f t="shared" si="9"/>
        <v>0</v>
      </c>
      <c r="S48" s="199"/>
      <c r="T48" s="199"/>
      <c r="U48" s="199"/>
      <c r="V48" s="199"/>
      <c r="W48" s="199"/>
      <c r="IO48" s="9"/>
      <c r="IP48" s="9"/>
      <c r="IQ48" s="9"/>
      <c r="IR48" s="9"/>
    </row>
    <row r="49" spans="1:252">
      <c r="A49" s="25">
        <v>41</v>
      </c>
      <c r="B49" s="109" t="s">
        <v>198</v>
      </c>
      <c r="C49" s="30"/>
      <c r="D49" s="379"/>
      <c r="E49" s="63"/>
      <c r="F49" s="63"/>
      <c r="G49" s="63"/>
      <c r="H49" s="63"/>
      <c r="I49" s="63"/>
      <c r="J49" s="63"/>
      <c r="K49" s="63"/>
      <c r="L49" s="63"/>
      <c r="M49" s="63"/>
      <c r="N49" s="63"/>
      <c r="O49" s="61">
        <f t="shared" si="6"/>
        <v>0</v>
      </c>
      <c r="P49" s="61">
        <f t="shared" si="7"/>
        <v>0</v>
      </c>
      <c r="Q49" s="61" t="e">
        <f t="shared" si="8"/>
        <v>#DIV/0!</v>
      </c>
      <c r="R49" s="61">
        <f t="shared" si="9"/>
        <v>0</v>
      </c>
      <c r="S49" s="199"/>
      <c r="T49" s="199"/>
      <c r="U49" s="199"/>
      <c r="V49" s="199"/>
      <c r="W49" s="199"/>
      <c r="IO49" s="9"/>
      <c r="IP49" s="9"/>
      <c r="IQ49" s="9"/>
      <c r="IR49" s="9"/>
    </row>
    <row r="50" spans="1:252">
      <c r="A50" s="25">
        <v>42</v>
      </c>
      <c r="B50" s="109" t="s">
        <v>199</v>
      </c>
      <c r="C50" s="30"/>
      <c r="D50" s="379"/>
      <c r="E50" s="63"/>
      <c r="F50" s="63"/>
      <c r="G50" s="63"/>
      <c r="H50" s="63"/>
      <c r="I50" s="63"/>
      <c r="J50" s="63"/>
      <c r="K50" s="63"/>
      <c r="L50" s="63"/>
      <c r="M50" s="63"/>
      <c r="N50" s="63"/>
      <c r="O50" s="61">
        <f t="shared" si="6"/>
        <v>0</v>
      </c>
      <c r="P50" s="61">
        <f t="shared" si="7"/>
        <v>0</v>
      </c>
      <c r="Q50" s="61" t="e">
        <f t="shared" si="8"/>
        <v>#DIV/0!</v>
      </c>
      <c r="R50" s="61">
        <f t="shared" si="9"/>
        <v>0</v>
      </c>
      <c r="S50" s="199"/>
      <c r="T50" s="199"/>
      <c r="U50" s="199"/>
      <c r="V50" s="199"/>
      <c r="W50" s="199"/>
      <c r="IO50" s="9"/>
      <c r="IP50" s="9"/>
      <c r="IQ50" s="9"/>
      <c r="IR50" s="9"/>
    </row>
    <row r="51" s="104" customFormat="1" ht="12.75" spans="1:23">
      <c r="A51" s="25">
        <v>43</v>
      </c>
      <c r="B51" s="109" t="s">
        <v>200</v>
      </c>
      <c r="C51" s="30"/>
      <c r="D51" s="379"/>
      <c r="E51" s="63"/>
      <c r="F51" s="63"/>
      <c r="G51" s="63"/>
      <c r="H51" s="63"/>
      <c r="I51" s="63"/>
      <c r="J51" s="63"/>
      <c r="K51" s="63"/>
      <c r="L51" s="63"/>
      <c r="M51" s="63"/>
      <c r="N51" s="63"/>
      <c r="O51" s="61">
        <f t="shared" si="6"/>
        <v>0</v>
      </c>
      <c r="P51" s="61">
        <f t="shared" si="7"/>
        <v>0</v>
      </c>
      <c r="Q51" s="61" t="e">
        <f t="shared" si="8"/>
        <v>#DIV/0!</v>
      </c>
      <c r="R51" s="61">
        <f t="shared" si="9"/>
        <v>0</v>
      </c>
      <c r="S51" s="202"/>
      <c r="T51" s="202"/>
      <c r="U51" s="202"/>
      <c r="V51" s="202"/>
      <c r="W51" s="202"/>
    </row>
    <row r="52" s="104" customFormat="1" ht="12.75" spans="1:23">
      <c r="A52" s="25">
        <v>44</v>
      </c>
      <c r="B52" s="109" t="s">
        <v>201</v>
      </c>
      <c r="C52" s="30"/>
      <c r="D52" s="379"/>
      <c r="E52" s="63"/>
      <c r="F52" s="63"/>
      <c r="G52" s="63"/>
      <c r="H52" s="63"/>
      <c r="I52" s="63"/>
      <c r="J52" s="63"/>
      <c r="K52" s="63"/>
      <c r="L52" s="63"/>
      <c r="M52" s="63"/>
      <c r="N52" s="63"/>
      <c r="O52" s="61">
        <f t="shared" si="6"/>
        <v>0</v>
      </c>
      <c r="P52" s="61">
        <f t="shared" si="7"/>
        <v>0</v>
      </c>
      <c r="Q52" s="61" t="e">
        <f t="shared" si="8"/>
        <v>#DIV/0!</v>
      </c>
      <c r="R52" s="61">
        <f t="shared" si="9"/>
        <v>0</v>
      </c>
      <c r="S52" s="202"/>
      <c r="T52" s="202"/>
      <c r="U52" s="202"/>
      <c r="V52" s="202"/>
      <c r="W52" s="202"/>
    </row>
    <row r="53" spans="1:23">
      <c r="A53" s="25">
        <v>45</v>
      </c>
      <c r="B53" s="109" t="s">
        <v>202</v>
      </c>
      <c r="C53" s="30"/>
      <c r="D53" s="379"/>
      <c r="E53" s="63"/>
      <c r="F53" s="63"/>
      <c r="G53" s="63"/>
      <c r="H53" s="63"/>
      <c r="I53" s="63"/>
      <c r="J53" s="63"/>
      <c r="K53" s="63"/>
      <c r="L53" s="63"/>
      <c r="M53" s="63"/>
      <c r="N53" s="63"/>
      <c r="O53" s="61">
        <f t="shared" si="6"/>
        <v>0</v>
      </c>
      <c r="P53" s="61">
        <f t="shared" si="7"/>
        <v>0</v>
      </c>
      <c r="Q53" s="61" t="e">
        <f t="shared" si="8"/>
        <v>#DIV/0!</v>
      </c>
      <c r="R53" s="61">
        <f t="shared" si="9"/>
        <v>0</v>
      </c>
      <c r="S53" s="199"/>
      <c r="T53" s="199"/>
      <c r="U53" s="199"/>
      <c r="V53" s="199"/>
      <c r="W53" s="199"/>
    </row>
    <row r="54" spans="1:23">
      <c r="A54" s="25">
        <v>46</v>
      </c>
      <c r="B54" s="109" t="s">
        <v>203</v>
      </c>
      <c r="C54" s="30"/>
      <c r="D54" s="379"/>
      <c r="E54" s="63"/>
      <c r="F54" s="63"/>
      <c r="G54" s="63"/>
      <c r="H54" s="63"/>
      <c r="I54" s="63"/>
      <c r="J54" s="63"/>
      <c r="K54" s="63"/>
      <c r="L54" s="63"/>
      <c r="M54" s="63"/>
      <c r="N54" s="63"/>
      <c r="O54" s="61">
        <f t="shared" si="6"/>
        <v>0</v>
      </c>
      <c r="P54" s="61">
        <f t="shared" si="7"/>
        <v>0</v>
      </c>
      <c r="Q54" s="61" t="e">
        <f t="shared" si="8"/>
        <v>#DIV/0!</v>
      </c>
      <c r="R54" s="61">
        <f t="shared" si="9"/>
        <v>0</v>
      </c>
      <c r="S54" s="199"/>
      <c r="T54" s="199"/>
      <c r="U54" s="199"/>
      <c r="V54" s="199"/>
      <c r="W54" s="199"/>
    </row>
    <row r="55" spans="1:23">
      <c r="A55" s="25">
        <v>47</v>
      </c>
      <c r="B55" s="109" t="s">
        <v>204</v>
      </c>
      <c r="C55" s="30"/>
      <c r="D55" s="379"/>
      <c r="E55" s="63"/>
      <c r="F55" s="63"/>
      <c r="G55" s="63"/>
      <c r="H55" s="63"/>
      <c r="I55" s="63"/>
      <c r="J55" s="63"/>
      <c r="K55" s="63"/>
      <c r="L55" s="63"/>
      <c r="M55" s="63"/>
      <c r="N55" s="63"/>
      <c r="O55" s="61">
        <f t="shared" si="6"/>
        <v>0</v>
      </c>
      <c r="P55" s="61">
        <f t="shared" si="7"/>
        <v>0</v>
      </c>
      <c r="Q55" s="61" t="e">
        <f t="shared" si="8"/>
        <v>#DIV/0!</v>
      </c>
      <c r="R55" s="61">
        <f t="shared" si="9"/>
        <v>0</v>
      </c>
      <c r="S55" s="199"/>
      <c r="T55" s="199"/>
      <c r="U55" s="199"/>
      <c r="V55" s="199"/>
      <c r="W55" s="199"/>
    </row>
    <row r="56" spans="1:23">
      <c r="A56" s="25">
        <v>48</v>
      </c>
      <c r="B56" s="109" t="s">
        <v>205</v>
      </c>
      <c r="C56" s="30"/>
      <c r="D56" s="379"/>
      <c r="E56" s="63"/>
      <c r="F56" s="63"/>
      <c r="G56" s="63"/>
      <c r="H56" s="63"/>
      <c r="I56" s="63"/>
      <c r="J56" s="63"/>
      <c r="K56" s="63"/>
      <c r="L56" s="63"/>
      <c r="M56" s="63"/>
      <c r="N56" s="63"/>
      <c r="O56" s="61">
        <f t="shared" si="6"/>
        <v>0</v>
      </c>
      <c r="P56" s="61">
        <f t="shared" si="7"/>
        <v>0</v>
      </c>
      <c r="Q56" s="61" t="e">
        <f t="shared" si="8"/>
        <v>#DIV/0!</v>
      </c>
      <c r="R56" s="61">
        <f t="shared" si="9"/>
        <v>0</v>
      </c>
      <c r="S56" s="199"/>
      <c r="T56" s="199"/>
      <c r="U56" s="199"/>
      <c r="V56" s="199"/>
      <c r="W56" s="199"/>
    </row>
    <row r="57" spans="1:23">
      <c r="A57" s="25">
        <v>49</v>
      </c>
      <c r="B57" s="109" t="s">
        <v>206</v>
      </c>
      <c r="C57" s="30"/>
      <c r="D57" s="379"/>
      <c r="E57" s="63"/>
      <c r="F57" s="63"/>
      <c r="G57" s="63"/>
      <c r="H57" s="63"/>
      <c r="I57" s="63"/>
      <c r="J57" s="63"/>
      <c r="K57" s="63"/>
      <c r="L57" s="63"/>
      <c r="M57" s="63"/>
      <c r="N57" s="63"/>
      <c r="O57" s="61">
        <f t="shared" si="6"/>
        <v>0</v>
      </c>
      <c r="P57" s="61">
        <f t="shared" si="7"/>
        <v>0</v>
      </c>
      <c r="Q57" s="61" t="e">
        <f t="shared" si="8"/>
        <v>#DIV/0!</v>
      </c>
      <c r="R57" s="61">
        <f t="shared" si="9"/>
        <v>0</v>
      </c>
      <c r="S57" s="199"/>
      <c r="T57" s="199"/>
      <c r="U57" s="199"/>
      <c r="V57" s="199"/>
      <c r="W57" s="199"/>
    </row>
    <row r="58" spans="1:23">
      <c r="A58" s="25">
        <v>50</v>
      </c>
      <c r="B58" s="109" t="s">
        <v>207</v>
      </c>
      <c r="C58" s="30"/>
      <c r="D58" s="379"/>
      <c r="E58" s="63"/>
      <c r="F58" s="63"/>
      <c r="G58" s="63"/>
      <c r="H58" s="63"/>
      <c r="I58" s="63"/>
      <c r="J58" s="63"/>
      <c r="K58" s="63"/>
      <c r="L58" s="63"/>
      <c r="M58" s="63"/>
      <c r="N58" s="63"/>
      <c r="O58" s="61">
        <f t="shared" si="6"/>
        <v>0</v>
      </c>
      <c r="P58" s="61">
        <f t="shared" si="7"/>
        <v>0</v>
      </c>
      <c r="Q58" s="61" t="e">
        <f t="shared" si="8"/>
        <v>#DIV/0!</v>
      </c>
      <c r="R58" s="61">
        <f t="shared" si="9"/>
        <v>0</v>
      </c>
      <c r="S58" s="199"/>
      <c r="T58" s="199"/>
      <c r="U58" s="199"/>
      <c r="V58" s="199"/>
      <c r="W58" s="199"/>
    </row>
    <row r="59" spans="1:23">
      <c r="A59" s="25">
        <v>51</v>
      </c>
      <c r="B59" s="109" t="s">
        <v>208</v>
      </c>
      <c r="C59" s="30"/>
      <c r="D59" s="379"/>
      <c r="E59" s="63"/>
      <c r="F59" s="63"/>
      <c r="G59" s="63"/>
      <c r="H59" s="63"/>
      <c r="I59" s="63"/>
      <c r="J59" s="63"/>
      <c r="K59" s="63"/>
      <c r="L59" s="63"/>
      <c r="M59" s="63"/>
      <c r="N59" s="63"/>
      <c r="O59" s="61">
        <f t="shared" si="6"/>
        <v>0</v>
      </c>
      <c r="P59" s="61">
        <f t="shared" si="7"/>
        <v>0</v>
      </c>
      <c r="Q59" s="61" t="e">
        <f t="shared" si="8"/>
        <v>#DIV/0!</v>
      </c>
      <c r="R59" s="61">
        <f t="shared" si="9"/>
        <v>0</v>
      </c>
      <c r="S59" s="199"/>
      <c r="T59" s="199"/>
      <c r="U59" s="199"/>
      <c r="V59" s="199"/>
      <c r="W59" s="199"/>
    </row>
    <row r="60" spans="1:23">
      <c r="A60" s="25">
        <v>52</v>
      </c>
      <c r="B60" s="109" t="s">
        <v>209</v>
      </c>
      <c r="C60" s="30"/>
      <c r="D60" s="379"/>
      <c r="E60" s="63"/>
      <c r="F60" s="63"/>
      <c r="G60" s="63"/>
      <c r="H60" s="63"/>
      <c r="I60" s="63"/>
      <c r="J60" s="63"/>
      <c r="K60" s="63"/>
      <c r="L60" s="63"/>
      <c r="M60" s="63"/>
      <c r="N60" s="63"/>
      <c r="O60" s="61">
        <f t="shared" si="6"/>
        <v>0</v>
      </c>
      <c r="P60" s="61">
        <f t="shared" si="7"/>
        <v>0</v>
      </c>
      <c r="Q60" s="61" t="e">
        <f t="shared" si="8"/>
        <v>#DIV/0!</v>
      </c>
      <c r="R60" s="61">
        <f t="shared" si="9"/>
        <v>0</v>
      </c>
      <c r="S60" s="199"/>
      <c r="T60" s="199"/>
      <c r="U60" s="199"/>
      <c r="V60" s="199"/>
      <c r="W60" s="199"/>
    </row>
    <row r="61" spans="1:23">
      <c r="A61" s="25">
        <v>53</v>
      </c>
      <c r="B61" s="109" t="s">
        <v>210</v>
      </c>
      <c r="C61" s="30"/>
      <c r="D61" s="379"/>
      <c r="E61" s="63"/>
      <c r="F61" s="63"/>
      <c r="G61" s="63"/>
      <c r="H61" s="63"/>
      <c r="I61" s="63"/>
      <c r="J61" s="63"/>
      <c r="K61" s="63"/>
      <c r="L61" s="63"/>
      <c r="M61" s="63"/>
      <c r="N61" s="63"/>
      <c r="O61" s="61">
        <f t="shared" si="6"/>
        <v>0</v>
      </c>
      <c r="P61" s="61">
        <f t="shared" si="7"/>
        <v>0</v>
      </c>
      <c r="Q61" s="61" t="e">
        <f t="shared" si="8"/>
        <v>#DIV/0!</v>
      </c>
      <c r="R61" s="61">
        <f t="shared" si="9"/>
        <v>0</v>
      </c>
      <c r="S61" s="199"/>
      <c r="T61" s="199"/>
      <c r="U61" s="199"/>
      <c r="V61" s="199"/>
      <c r="W61" s="199"/>
    </row>
    <row r="62" spans="1:23">
      <c r="A62" s="25">
        <v>54</v>
      </c>
      <c r="B62" s="109" t="s">
        <v>211</v>
      </c>
      <c r="C62" s="30"/>
      <c r="D62" s="379"/>
      <c r="E62" s="63"/>
      <c r="F62" s="63"/>
      <c r="G62" s="63"/>
      <c r="H62" s="63"/>
      <c r="I62" s="63"/>
      <c r="J62" s="63"/>
      <c r="K62" s="63"/>
      <c r="L62" s="63"/>
      <c r="M62" s="63"/>
      <c r="N62" s="63"/>
      <c r="O62" s="61">
        <f t="shared" si="6"/>
        <v>0</v>
      </c>
      <c r="P62" s="61">
        <f t="shared" si="7"/>
        <v>0</v>
      </c>
      <c r="Q62" s="61" t="e">
        <f t="shared" si="8"/>
        <v>#DIV/0!</v>
      </c>
      <c r="R62" s="61">
        <f t="shared" si="9"/>
        <v>0</v>
      </c>
      <c r="S62" s="199"/>
      <c r="T62" s="199"/>
      <c r="U62" s="199"/>
      <c r="V62" s="199"/>
      <c r="W62" s="199"/>
    </row>
    <row r="63" spans="1:23">
      <c r="A63" s="25">
        <v>55</v>
      </c>
      <c r="B63" s="109" t="s">
        <v>212</v>
      </c>
      <c r="C63" s="30"/>
      <c r="D63" s="379"/>
      <c r="E63" s="63"/>
      <c r="F63" s="63"/>
      <c r="G63" s="63"/>
      <c r="H63" s="63"/>
      <c r="I63" s="63"/>
      <c r="J63" s="63"/>
      <c r="K63" s="63"/>
      <c r="L63" s="63"/>
      <c r="M63" s="63"/>
      <c r="N63" s="63"/>
      <c r="O63" s="61">
        <f t="shared" si="6"/>
        <v>0</v>
      </c>
      <c r="P63" s="61">
        <f t="shared" si="7"/>
        <v>0</v>
      </c>
      <c r="Q63" s="61" t="e">
        <f t="shared" si="8"/>
        <v>#DIV/0!</v>
      </c>
      <c r="R63" s="61">
        <f t="shared" si="9"/>
        <v>0</v>
      </c>
      <c r="S63" s="199"/>
      <c r="T63" s="199"/>
      <c r="U63" s="199"/>
      <c r="V63" s="199"/>
      <c r="W63" s="199"/>
    </row>
    <row r="64" spans="1:23">
      <c r="A64" s="25">
        <v>56</v>
      </c>
      <c r="B64" s="109" t="s">
        <v>213</v>
      </c>
      <c r="C64" s="30"/>
      <c r="D64" s="379"/>
      <c r="E64" s="63"/>
      <c r="F64" s="63"/>
      <c r="G64" s="63"/>
      <c r="H64" s="63"/>
      <c r="I64" s="63"/>
      <c r="J64" s="63"/>
      <c r="K64" s="63"/>
      <c r="L64" s="63"/>
      <c r="M64" s="63"/>
      <c r="N64" s="63"/>
      <c r="O64" s="61">
        <f t="shared" si="6"/>
        <v>0</v>
      </c>
      <c r="P64" s="61">
        <f t="shared" si="7"/>
        <v>0</v>
      </c>
      <c r="Q64" s="61" t="e">
        <f t="shared" si="8"/>
        <v>#DIV/0!</v>
      </c>
      <c r="R64" s="61">
        <f t="shared" si="9"/>
        <v>0</v>
      </c>
      <c r="S64" s="199"/>
      <c r="T64" s="199"/>
      <c r="U64" s="199"/>
      <c r="V64" s="199"/>
      <c r="W64" s="199"/>
    </row>
    <row r="65" s="3" customFormat="1" ht="12.75" spans="1:23">
      <c r="A65" s="395" t="s">
        <v>214</v>
      </c>
      <c r="B65" s="189"/>
      <c r="C65" s="396"/>
      <c r="D65" s="396"/>
      <c r="E65" s="396"/>
      <c r="F65" s="396"/>
      <c r="G65" s="396"/>
      <c r="H65" s="396"/>
      <c r="I65" s="396"/>
      <c r="J65" s="396"/>
      <c r="K65" s="396"/>
      <c r="L65" s="396"/>
      <c r="M65" s="396"/>
      <c r="N65" s="396"/>
      <c r="O65" s="396"/>
      <c r="P65" s="399"/>
      <c r="Q65" s="399"/>
      <c r="R65" s="396"/>
      <c r="S65" s="396"/>
      <c r="T65" s="396"/>
      <c r="U65" s="396"/>
      <c r="V65" s="396"/>
      <c r="W65" s="396"/>
    </row>
    <row r="66" s="5" customFormat="1" ht="15" customHeight="1" spans="1:23">
      <c r="A66" s="25">
        <v>57</v>
      </c>
      <c r="B66" s="26" t="s">
        <v>111</v>
      </c>
      <c r="C66" s="61">
        <f>SUM(C67:C69)</f>
        <v>0</v>
      </c>
      <c r="D66" s="61">
        <f t="shared" ref="C66:N66" si="10">SUM(D67:D69)</f>
        <v>0</v>
      </c>
      <c r="E66" s="61">
        <f t="shared" si="10"/>
        <v>0</v>
      </c>
      <c r="F66" s="61">
        <f t="shared" si="10"/>
        <v>0</v>
      </c>
      <c r="G66" s="61">
        <f t="shared" si="10"/>
        <v>0</v>
      </c>
      <c r="H66" s="61">
        <f t="shared" si="10"/>
        <v>0</v>
      </c>
      <c r="I66" s="61">
        <f t="shared" si="10"/>
        <v>0</v>
      </c>
      <c r="J66" s="61">
        <f t="shared" si="10"/>
        <v>0</v>
      </c>
      <c r="K66" s="61">
        <f t="shared" si="10"/>
        <v>0</v>
      </c>
      <c r="L66" s="61">
        <f t="shared" si="10"/>
        <v>0</v>
      </c>
      <c r="M66" s="61">
        <f t="shared" si="10"/>
        <v>0</v>
      </c>
      <c r="N66" s="61">
        <f t="shared" si="10"/>
        <v>0</v>
      </c>
      <c r="O66" s="61">
        <f t="shared" ref="O66:O71" si="11">D66+H66+L66</f>
        <v>0</v>
      </c>
      <c r="P66" s="61">
        <f t="shared" ref="P66:P71" si="12">E66+I66+M66</f>
        <v>0</v>
      </c>
      <c r="Q66" s="61" t="e">
        <f t="shared" ref="Q66:Q71" si="13">P66/O66</f>
        <v>#DIV/0!</v>
      </c>
      <c r="R66" s="61">
        <f t="shared" ref="R66:R71" si="14">F66+J66+N66</f>
        <v>0</v>
      </c>
      <c r="S66" s="61">
        <f>SUM(S67:S69)</f>
        <v>0</v>
      </c>
      <c r="T66" s="61">
        <f>SUM(T67:T69)</f>
        <v>0</v>
      </c>
      <c r="U66" s="61">
        <f>SUM(U67:U69)</f>
        <v>0</v>
      </c>
      <c r="V66" s="61">
        <f>SUM(V67:V69)</f>
        <v>0</v>
      </c>
      <c r="W66" s="61">
        <f>SUM(W67:W69)</f>
        <v>0</v>
      </c>
    </row>
    <row r="67" spans="1:252">
      <c r="A67" s="25">
        <v>58</v>
      </c>
      <c r="B67" s="397" t="s">
        <v>215</v>
      </c>
      <c r="C67" s="30"/>
      <c r="D67" s="379"/>
      <c r="E67" s="63"/>
      <c r="F67" s="63"/>
      <c r="G67" s="63"/>
      <c r="H67" s="63"/>
      <c r="I67" s="63"/>
      <c r="J67" s="63"/>
      <c r="K67" s="63"/>
      <c r="L67" s="63"/>
      <c r="M67" s="63"/>
      <c r="N67" s="63"/>
      <c r="O67" s="61">
        <f t="shared" si="11"/>
        <v>0</v>
      </c>
      <c r="P67" s="61">
        <f t="shared" si="12"/>
        <v>0</v>
      </c>
      <c r="Q67" s="61" t="e">
        <f t="shared" si="13"/>
        <v>#DIV/0!</v>
      </c>
      <c r="R67" s="61">
        <f t="shared" si="14"/>
        <v>0</v>
      </c>
      <c r="S67" s="199"/>
      <c r="T67" s="199"/>
      <c r="U67" s="199"/>
      <c r="V67" s="199"/>
      <c r="W67" s="199"/>
      <c r="IO67" s="9"/>
      <c r="IP67" s="9"/>
      <c r="IQ67" s="9"/>
      <c r="IR67" s="9"/>
    </row>
    <row r="68" spans="1:252">
      <c r="A68" s="25">
        <v>59</v>
      </c>
      <c r="B68" s="397" t="s">
        <v>216</v>
      </c>
      <c r="C68" s="30"/>
      <c r="D68" s="379"/>
      <c r="E68" s="63"/>
      <c r="F68" s="63"/>
      <c r="G68" s="63"/>
      <c r="H68" s="63"/>
      <c r="I68" s="63"/>
      <c r="J68" s="63"/>
      <c r="K68" s="63"/>
      <c r="L68" s="63"/>
      <c r="M68" s="63"/>
      <c r="N68" s="63"/>
      <c r="O68" s="61">
        <f t="shared" si="11"/>
        <v>0</v>
      </c>
      <c r="P68" s="61">
        <f t="shared" si="12"/>
        <v>0</v>
      </c>
      <c r="Q68" s="61" t="e">
        <f t="shared" si="13"/>
        <v>#DIV/0!</v>
      </c>
      <c r="R68" s="61">
        <f t="shared" si="14"/>
        <v>0</v>
      </c>
      <c r="S68" s="199"/>
      <c r="T68" s="199"/>
      <c r="U68" s="199"/>
      <c r="V68" s="199"/>
      <c r="W68" s="199"/>
      <c r="IO68" s="9"/>
      <c r="IP68" s="9"/>
      <c r="IQ68" s="9"/>
      <c r="IR68" s="9"/>
    </row>
    <row r="69" spans="1:252">
      <c r="A69" s="25">
        <v>60</v>
      </c>
      <c r="B69" s="397" t="s">
        <v>217</v>
      </c>
      <c r="C69" s="30"/>
      <c r="D69" s="379"/>
      <c r="E69" s="63"/>
      <c r="F69" s="63"/>
      <c r="G69" s="63"/>
      <c r="H69" s="63"/>
      <c r="I69" s="63"/>
      <c r="J69" s="63"/>
      <c r="K69" s="63"/>
      <c r="L69" s="63"/>
      <c r="M69" s="63"/>
      <c r="N69" s="63"/>
      <c r="O69" s="61">
        <f t="shared" si="11"/>
        <v>0</v>
      </c>
      <c r="P69" s="61">
        <f t="shared" si="12"/>
        <v>0</v>
      </c>
      <c r="Q69" s="61" t="e">
        <f t="shared" si="13"/>
        <v>#DIV/0!</v>
      </c>
      <c r="R69" s="61">
        <f t="shared" si="14"/>
        <v>0</v>
      </c>
      <c r="S69" s="199"/>
      <c r="T69" s="199"/>
      <c r="U69" s="199"/>
      <c r="V69" s="199"/>
      <c r="W69" s="199"/>
      <c r="IO69" s="9"/>
      <c r="IP69" s="9"/>
      <c r="IQ69" s="9"/>
      <c r="IR69" s="9"/>
    </row>
    <row r="70" spans="1:252">
      <c r="A70" s="25">
        <v>61</v>
      </c>
      <c r="B70" s="109" t="s">
        <v>218</v>
      </c>
      <c r="C70" s="30"/>
      <c r="D70" s="379"/>
      <c r="E70" s="63"/>
      <c r="F70" s="63"/>
      <c r="G70" s="63"/>
      <c r="H70" s="63"/>
      <c r="I70" s="63"/>
      <c r="J70" s="63"/>
      <c r="K70" s="63"/>
      <c r="L70" s="63"/>
      <c r="M70" s="63"/>
      <c r="N70" s="63"/>
      <c r="O70" s="61">
        <f t="shared" si="11"/>
        <v>0</v>
      </c>
      <c r="P70" s="61">
        <f t="shared" si="12"/>
        <v>0</v>
      </c>
      <c r="Q70" s="61" t="e">
        <f t="shared" si="13"/>
        <v>#DIV/0!</v>
      </c>
      <c r="R70" s="61">
        <f t="shared" si="14"/>
        <v>0</v>
      </c>
      <c r="S70" s="199"/>
      <c r="T70" s="199"/>
      <c r="U70" s="199"/>
      <c r="V70" s="199"/>
      <c r="W70" s="199"/>
      <c r="IO70" s="9"/>
      <c r="IP70" s="9"/>
      <c r="IQ70" s="9"/>
      <c r="IR70" s="9"/>
    </row>
    <row r="71" spans="1:252">
      <c r="A71" s="25">
        <v>62</v>
      </c>
      <c r="B71" s="109" t="s">
        <v>219</v>
      </c>
      <c r="C71" s="30"/>
      <c r="D71" s="379"/>
      <c r="E71" s="63"/>
      <c r="F71" s="63"/>
      <c r="G71" s="63"/>
      <c r="H71" s="63"/>
      <c r="I71" s="63"/>
      <c r="J71" s="63"/>
      <c r="K71" s="63"/>
      <c r="L71" s="63"/>
      <c r="M71" s="63"/>
      <c r="N71" s="63"/>
      <c r="O71" s="61">
        <f t="shared" si="11"/>
        <v>0</v>
      </c>
      <c r="P71" s="61">
        <f t="shared" si="12"/>
        <v>0</v>
      </c>
      <c r="Q71" s="61" t="e">
        <f t="shared" si="13"/>
        <v>#DIV/0!</v>
      </c>
      <c r="R71" s="61">
        <f t="shared" si="14"/>
        <v>0</v>
      </c>
      <c r="S71" s="199"/>
      <c r="T71" s="199"/>
      <c r="U71" s="199"/>
      <c r="V71" s="199"/>
      <c r="W71" s="199"/>
      <c r="IO71" s="9"/>
      <c r="IP71" s="9"/>
      <c r="IQ71" s="9"/>
      <c r="IR71" s="9"/>
    </row>
    <row r="72" s="3" customFormat="1" ht="12.75" spans="1:23">
      <c r="A72" s="394" t="s">
        <v>220</v>
      </c>
      <c r="B72" s="394"/>
      <c r="C72" s="396"/>
      <c r="D72" s="396"/>
      <c r="E72" s="396"/>
      <c r="F72" s="396"/>
      <c r="G72" s="396"/>
      <c r="H72" s="396"/>
      <c r="I72" s="396"/>
      <c r="J72" s="396"/>
      <c r="K72" s="396"/>
      <c r="L72" s="396"/>
      <c r="M72" s="396"/>
      <c r="N72" s="396"/>
      <c r="O72" s="396"/>
      <c r="P72" s="399"/>
      <c r="Q72" s="399"/>
      <c r="R72" s="396"/>
      <c r="S72" s="396"/>
      <c r="T72" s="396"/>
      <c r="U72" s="396"/>
      <c r="V72" s="396"/>
      <c r="W72" s="396"/>
    </row>
    <row r="73" s="5" customFormat="1" ht="15" customHeight="1" spans="1:23">
      <c r="A73" s="25">
        <v>63</v>
      </c>
      <c r="B73" s="26" t="s">
        <v>111</v>
      </c>
      <c r="C73" s="61">
        <f>SUM(C74:C78)</f>
        <v>0</v>
      </c>
      <c r="D73" s="61">
        <f t="shared" ref="C73:N73" si="15">SUM(D74:D78)</f>
        <v>0</v>
      </c>
      <c r="E73" s="61">
        <f t="shared" si="15"/>
        <v>0</v>
      </c>
      <c r="F73" s="61">
        <f t="shared" si="15"/>
        <v>0</v>
      </c>
      <c r="G73" s="61">
        <f t="shared" si="15"/>
        <v>0</v>
      </c>
      <c r="H73" s="61">
        <f t="shared" si="15"/>
        <v>0</v>
      </c>
      <c r="I73" s="61">
        <f t="shared" si="15"/>
        <v>0</v>
      </c>
      <c r="J73" s="61">
        <f t="shared" si="15"/>
        <v>0</v>
      </c>
      <c r="K73" s="61">
        <f t="shared" si="15"/>
        <v>0</v>
      </c>
      <c r="L73" s="61">
        <f t="shared" si="15"/>
        <v>0</v>
      </c>
      <c r="M73" s="61">
        <f t="shared" si="15"/>
        <v>0</v>
      </c>
      <c r="N73" s="61">
        <f t="shared" si="15"/>
        <v>0</v>
      </c>
      <c r="O73" s="61">
        <f t="shared" ref="O73:O78" si="16">D73+H73+L73</f>
        <v>0</v>
      </c>
      <c r="P73" s="61">
        <f t="shared" ref="P73:P78" si="17">E73+I73+M73</f>
        <v>0</v>
      </c>
      <c r="Q73" s="61" t="e">
        <f t="shared" ref="Q73:Q78" si="18">P73/O73</f>
        <v>#DIV/0!</v>
      </c>
      <c r="R73" s="61">
        <f t="shared" ref="R73:R78" si="19">F73+J73+N73</f>
        <v>0</v>
      </c>
      <c r="S73" s="164"/>
      <c r="T73" s="164"/>
      <c r="U73" s="164"/>
      <c r="V73" s="164"/>
      <c r="W73" s="164"/>
    </row>
    <row r="74" spans="1:252">
      <c r="A74" s="25">
        <v>64</v>
      </c>
      <c r="B74" s="398" t="s">
        <v>221</v>
      </c>
      <c r="C74" s="30"/>
      <c r="D74" s="379"/>
      <c r="E74" s="63"/>
      <c r="F74" s="63"/>
      <c r="G74" s="63"/>
      <c r="H74" s="63"/>
      <c r="I74" s="63"/>
      <c r="J74" s="63"/>
      <c r="K74" s="63"/>
      <c r="L74" s="63"/>
      <c r="M74" s="63"/>
      <c r="N74" s="63"/>
      <c r="O74" s="61">
        <f t="shared" si="16"/>
        <v>0</v>
      </c>
      <c r="P74" s="61">
        <f t="shared" si="17"/>
        <v>0</v>
      </c>
      <c r="Q74" s="61" t="e">
        <f t="shared" si="18"/>
        <v>#DIV/0!</v>
      </c>
      <c r="R74" s="61">
        <f t="shared" si="19"/>
        <v>0</v>
      </c>
      <c r="S74" s="110"/>
      <c r="T74" s="110"/>
      <c r="U74" s="110"/>
      <c r="V74" s="110"/>
      <c r="W74" s="110"/>
      <c r="IO74" s="9"/>
      <c r="IP74" s="9"/>
      <c r="IQ74" s="9"/>
      <c r="IR74" s="9"/>
    </row>
    <row r="75" spans="1:252">
      <c r="A75" s="25">
        <v>65</v>
      </c>
      <c r="B75" s="398" t="s">
        <v>222</v>
      </c>
      <c r="C75" s="30"/>
      <c r="D75" s="379"/>
      <c r="E75" s="63"/>
      <c r="F75" s="63"/>
      <c r="G75" s="63"/>
      <c r="H75" s="63"/>
      <c r="I75" s="63"/>
      <c r="J75" s="63"/>
      <c r="K75" s="63"/>
      <c r="L75" s="63"/>
      <c r="M75" s="63"/>
      <c r="N75" s="63"/>
      <c r="O75" s="61">
        <f t="shared" si="16"/>
        <v>0</v>
      </c>
      <c r="P75" s="61">
        <f t="shared" si="17"/>
        <v>0</v>
      </c>
      <c r="Q75" s="61" t="e">
        <f t="shared" si="18"/>
        <v>#DIV/0!</v>
      </c>
      <c r="R75" s="61">
        <f t="shared" si="19"/>
        <v>0</v>
      </c>
      <c r="S75" s="110"/>
      <c r="T75" s="110"/>
      <c r="U75" s="110"/>
      <c r="V75" s="110"/>
      <c r="W75" s="110"/>
      <c r="IO75" s="9"/>
      <c r="IP75" s="9"/>
      <c r="IQ75" s="9"/>
      <c r="IR75" s="9"/>
    </row>
    <row r="76" spans="1:252">
      <c r="A76" s="25">
        <v>66</v>
      </c>
      <c r="B76" s="398" t="s">
        <v>223</v>
      </c>
      <c r="C76" s="30"/>
      <c r="D76" s="379"/>
      <c r="E76" s="63"/>
      <c r="F76" s="63"/>
      <c r="G76" s="63"/>
      <c r="H76" s="63"/>
      <c r="I76" s="63"/>
      <c r="J76" s="63"/>
      <c r="K76" s="63"/>
      <c r="L76" s="63"/>
      <c r="M76" s="63"/>
      <c r="N76" s="63"/>
      <c r="O76" s="61">
        <f t="shared" si="16"/>
        <v>0</v>
      </c>
      <c r="P76" s="61">
        <f t="shared" si="17"/>
        <v>0</v>
      </c>
      <c r="Q76" s="61" t="e">
        <f t="shared" si="18"/>
        <v>#DIV/0!</v>
      </c>
      <c r="R76" s="61">
        <f t="shared" si="19"/>
        <v>0</v>
      </c>
      <c r="S76" s="110"/>
      <c r="T76" s="110"/>
      <c r="U76" s="110"/>
      <c r="V76" s="110"/>
      <c r="W76" s="110"/>
      <c r="IO76" s="9"/>
      <c r="IP76" s="9"/>
      <c r="IQ76" s="9"/>
      <c r="IR76" s="9"/>
    </row>
    <row r="77" spans="1:252">
      <c r="A77" s="25">
        <v>67</v>
      </c>
      <c r="B77" s="398" t="s">
        <v>224</v>
      </c>
      <c r="C77" s="30"/>
      <c r="D77" s="379"/>
      <c r="E77" s="63"/>
      <c r="F77" s="63"/>
      <c r="G77" s="63"/>
      <c r="H77" s="63"/>
      <c r="I77" s="63"/>
      <c r="J77" s="63"/>
      <c r="K77" s="63"/>
      <c r="L77" s="63"/>
      <c r="M77" s="63"/>
      <c r="N77" s="63"/>
      <c r="O77" s="61">
        <f t="shared" si="16"/>
        <v>0</v>
      </c>
      <c r="P77" s="61">
        <f t="shared" si="17"/>
        <v>0</v>
      </c>
      <c r="Q77" s="61" t="e">
        <f t="shared" si="18"/>
        <v>#DIV/0!</v>
      </c>
      <c r="R77" s="61">
        <f t="shared" si="19"/>
        <v>0</v>
      </c>
      <c r="S77" s="110"/>
      <c r="T77" s="110"/>
      <c r="U77" s="110"/>
      <c r="V77" s="110"/>
      <c r="W77" s="110"/>
      <c r="IO77" s="9"/>
      <c r="IP77" s="9"/>
      <c r="IQ77" s="9"/>
      <c r="IR77" s="9"/>
    </row>
    <row r="78" spans="1:252">
      <c r="A78" s="25">
        <v>68</v>
      </c>
      <c r="B78" s="398" t="s">
        <v>225</v>
      </c>
      <c r="C78" s="30"/>
      <c r="D78" s="379"/>
      <c r="E78" s="63"/>
      <c r="F78" s="63"/>
      <c r="G78" s="63"/>
      <c r="H78" s="63"/>
      <c r="I78" s="63"/>
      <c r="J78" s="63"/>
      <c r="K78" s="63"/>
      <c r="L78" s="63"/>
      <c r="M78" s="63"/>
      <c r="N78" s="63"/>
      <c r="O78" s="61">
        <f t="shared" si="16"/>
        <v>0</v>
      </c>
      <c r="P78" s="61">
        <f t="shared" si="17"/>
        <v>0</v>
      </c>
      <c r="Q78" s="61" t="e">
        <f t="shared" si="18"/>
        <v>#DIV/0!</v>
      </c>
      <c r="R78" s="61">
        <f t="shared" si="19"/>
        <v>0</v>
      </c>
      <c r="S78" s="110"/>
      <c r="T78" s="110"/>
      <c r="U78" s="110"/>
      <c r="V78" s="110"/>
      <c r="W78" s="110"/>
      <c r="IO78" s="9"/>
      <c r="IP78" s="9"/>
      <c r="IQ78" s="9"/>
      <c r="IR78" s="9"/>
    </row>
    <row r="79" s="104" customFormat="1" ht="17.25" customHeight="1" spans="1:16">
      <c r="A79" s="104" t="s">
        <v>155</v>
      </c>
      <c r="I79" s="103" t="s">
        <v>87</v>
      </c>
      <c r="P79" s="103" t="s">
        <v>88</v>
      </c>
    </row>
    <row r="80" s="104" customFormat="1" ht="12.75" spans="1:2">
      <c r="A80" s="33"/>
      <c r="B80" s="34" t="s">
        <v>89</v>
      </c>
    </row>
    <row r="81" spans="1:2">
      <c r="A81" s="35"/>
      <c r="B81" s="36" t="s">
        <v>90</v>
      </c>
    </row>
    <row r="82" spans="1:2">
      <c r="A82" s="40" t="s">
        <v>91</v>
      </c>
      <c r="B82" s="41">
        <v>241</v>
      </c>
    </row>
  </sheetData>
  <sheetProtection sort="0" autoFilter="0" pivotTables="0"/>
  <mergeCells count="8">
    <mergeCell ref="A1:W1"/>
    <mergeCell ref="A3:A6"/>
    <mergeCell ref="B3:B6"/>
    <mergeCell ref="S4:W5"/>
    <mergeCell ref="C4:F5"/>
    <mergeCell ref="G4:J5"/>
    <mergeCell ref="K4:N5"/>
    <mergeCell ref="O4:R5"/>
  </mergeCells>
  <conditionalFormatting sqref="C67:N71 C9:N28 C31:N64 C74:N78">
    <cfRule type="cellIs" dxfId="0" priority="1" stopIfTrue="1" operator="lessThan">
      <formula>0</formula>
    </cfRule>
  </conditionalFormatting>
  <pageMargins left="0.75" right="0.75" top="1" bottom="1" header="0.509027777777778" footer="0.509027777777778"/>
  <pageSetup paperSize="9" scale="86" fitToHeight="0" orientation="landscape"/>
  <headerFooter alignWithMargins="0" scaleWithDoc="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IR23"/>
  <sheetViews>
    <sheetView workbookViewId="0">
      <selection activeCell="A21" sqref="A21:B21"/>
    </sheetView>
  </sheetViews>
  <sheetFormatPr defaultColWidth="9" defaultRowHeight="13.5"/>
  <cols>
    <col min="1" max="1" width="7.125" style="178" customWidth="1"/>
    <col min="2" max="2" width="10.6666666666667" style="9" customWidth="1"/>
    <col min="3" max="3" width="7.66666666666667" style="9"/>
    <col min="4" max="4" width="8.83333333333333" style="9"/>
    <col min="5" max="5" width="6.66666666666667" style="9" customWidth="1"/>
    <col min="6" max="6" width="5.5" style="9" customWidth="1"/>
    <col min="7" max="7" width="6.16666666666667" style="9"/>
    <col min="8" max="8" width="6.16666666666667" style="9" customWidth="1"/>
    <col min="9" max="9" width="5.83333333333333" style="9" customWidth="1"/>
    <col min="10" max="10" width="6.33333333333333" style="9" customWidth="1"/>
    <col min="11" max="11" width="6.16666666666667" style="9" customWidth="1"/>
    <col min="12" max="12" width="6" style="9" customWidth="1"/>
    <col min="13" max="13" width="6.5" style="9" customWidth="1"/>
    <col min="14" max="14" width="6.33333333333333" style="9" customWidth="1"/>
    <col min="15" max="15" width="6.66666666666667" style="9" customWidth="1"/>
    <col min="16" max="16" width="6" style="9" customWidth="1"/>
    <col min="17" max="17" width="6.5" style="9" customWidth="1"/>
    <col min="18" max="18" width="7.16666666666667" style="9" customWidth="1"/>
    <col min="19" max="251" width="9" style="9"/>
    <col min="252" max="16384" width="9" style="12"/>
  </cols>
  <sheetData>
    <row r="1" s="1" customFormat="1" ht="20.25" spans="1:21">
      <c r="A1" s="13" t="s">
        <v>226</v>
      </c>
      <c r="B1" s="13"/>
      <c r="C1" s="13"/>
      <c r="D1" s="13"/>
      <c r="E1" s="13"/>
      <c r="F1" s="13"/>
      <c r="G1" s="13"/>
      <c r="H1" s="13"/>
      <c r="I1" s="13"/>
      <c r="J1" s="13"/>
      <c r="K1" s="13"/>
      <c r="L1" s="13"/>
      <c r="M1" s="13"/>
      <c r="N1" s="13"/>
      <c r="O1" s="13"/>
      <c r="P1" s="13"/>
      <c r="Q1" s="13"/>
      <c r="R1" s="13"/>
      <c r="S1" s="13"/>
      <c r="T1" s="13"/>
      <c r="U1" s="13"/>
    </row>
    <row r="2" s="2" customFormat="1" ht="17" customHeight="1" spans="1:250">
      <c r="A2" s="16" t="s">
        <v>1</v>
      </c>
      <c r="B2" s="17"/>
      <c r="C2" s="5"/>
      <c r="D2" s="5"/>
      <c r="E2" s="391"/>
      <c r="F2" s="5"/>
      <c r="G2" s="5"/>
      <c r="H2" s="120"/>
      <c r="J2" s="120"/>
      <c r="K2" s="120"/>
      <c r="L2" s="120" t="s">
        <v>93</v>
      </c>
      <c r="M2" s="5"/>
      <c r="N2" s="5"/>
      <c r="O2" s="5"/>
      <c r="Q2" s="5"/>
      <c r="R2" s="5"/>
      <c r="S2" s="120" t="s">
        <v>227</v>
      </c>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row>
    <row r="3" s="3" customFormat="1" ht="12.75" spans="1:21">
      <c r="A3" s="19" t="s">
        <v>4</v>
      </c>
      <c r="B3" s="20" t="s">
        <v>228</v>
      </c>
      <c r="C3" s="21" t="s">
        <v>6</v>
      </c>
      <c r="D3" s="21" t="s">
        <v>7</v>
      </c>
      <c r="E3" s="21" t="s">
        <v>8</v>
      </c>
      <c r="F3" s="21" t="s">
        <v>9</v>
      </c>
      <c r="G3" s="21" t="s">
        <v>10</v>
      </c>
      <c r="H3" s="21" t="s">
        <v>11</v>
      </c>
      <c r="I3" s="21" t="s">
        <v>12</v>
      </c>
      <c r="J3" s="21" t="s">
        <v>13</v>
      </c>
      <c r="K3" s="21" t="s">
        <v>96</v>
      </c>
      <c r="L3" s="21" t="s">
        <v>97</v>
      </c>
      <c r="M3" s="21" t="s">
        <v>98</v>
      </c>
      <c r="N3" s="21" t="s">
        <v>99</v>
      </c>
      <c r="O3" s="21" t="s">
        <v>100</v>
      </c>
      <c r="P3" s="60" t="s">
        <v>101</v>
      </c>
      <c r="Q3" s="60" t="s">
        <v>102</v>
      </c>
      <c r="R3" s="60" t="s">
        <v>103</v>
      </c>
      <c r="S3" s="60" t="s">
        <v>104</v>
      </c>
      <c r="T3" s="60" t="s">
        <v>105</v>
      </c>
      <c r="U3" s="21" t="s">
        <v>106</v>
      </c>
    </row>
    <row r="4" s="4" customFormat="1" ht="12.75" spans="1:21">
      <c r="A4" s="389"/>
      <c r="B4" s="20"/>
      <c r="C4" s="20" t="s">
        <v>229</v>
      </c>
      <c r="D4" s="20"/>
      <c r="E4" s="20"/>
      <c r="F4" s="20" t="s">
        <v>109</v>
      </c>
      <c r="G4" s="20"/>
      <c r="H4" s="20"/>
      <c r="I4" s="20"/>
      <c r="J4" s="20" t="s">
        <v>110</v>
      </c>
      <c r="K4" s="20"/>
      <c r="L4" s="20"/>
      <c r="M4" s="20"/>
      <c r="N4" s="20" t="s">
        <v>61</v>
      </c>
      <c r="O4" s="20"/>
      <c r="P4" s="20"/>
      <c r="Q4" s="20"/>
      <c r="R4" s="249" t="s">
        <v>111</v>
      </c>
      <c r="S4" s="249"/>
      <c r="T4" s="249"/>
      <c r="U4" s="249"/>
    </row>
    <row r="5" s="4" customFormat="1" ht="12.75" spans="1:21">
      <c r="A5" s="389"/>
      <c r="B5" s="20"/>
      <c r="C5" s="20"/>
      <c r="D5" s="20"/>
      <c r="E5" s="20"/>
      <c r="F5" s="20"/>
      <c r="G5" s="20"/>
      <c r="H5" s="20"/>
      <c r="I5" s="20"/>
      <c r="J5" s="20"/>
      <c r="K5" s="20"/>
      <c r="L5" s="20"/>
      <c r="M5" s="20"/>
      <c r="N5" s="20"/>
      <c r="O5" s="20"/>
      <c r="P5" s="20"/>
      <c r="Q5" s="20"/>
      <c r="R5" s="249"/>
      <c r="S5" s="249"/>
      <c r="T5" s="249"/>
      <c r="U5" s="249"/>
    </row>
    <row r="6" s="4" customFormat="1" ht="24" spans="1:21">
      <c r="A6" s="389"/>
      <c r="B6" s="20"/>
      <c r="C6" s="20" t="s">
        <v>230</v>
      </c>
      <c r="D6" s="20" t="s">
        <v>231</v>
      </c>
      <c r="E6" s="20" t="s">
        <v>232</v>
      </c>
      <c r="F6" s="20" t="s">
        <v>113</v>
      </c>
      <c r="G6" s="20" t="s">
        <v>17</v>
      </c>
      <c r="H6" s="20" t="s">
        <v>18</v>
      </c>
      <c r="I6" s="20" t="s">
        <v>19</v>
      </c>
      <c r="J6" s="20" t="s">
        <v>114</v>
      </c>
      <c r="K6" s="20" t="s">
        <v>17</v>
      </c>
      <c r="L6" s="20" t="s">
        <v>18</v>
      </c>
      <c r="M6" s="20" t="s">
        <v>19</v>
      </c>
      <c r="N6" s="20" t="s">
        <v>115</v>
      </c>
      <c r="O6" s="20" t="s">
        <v>17</v>
      </c>
      <c r="P6" s="20" t="s">
        <v>18</v>
      </c>
      <c r="Q6" s="20" t="s">
        <v>19</v>
      </c>
      <c r="R6" s="20" t="s">
        <v>17</v>
      </c>
      <c r="S6" s="20" t="s">
        <v>18</v>
      </c>
      <c r="T6" s="20" t="s">
        <v>116</v>
      </c>
      <c r="U6" s="20" t="s">
        <v>19</v>
      </c>
    </row>
    <row r="7" s="5" customFormat="1" ht="12.75" spans="1:21">
      <c r="A7" s="25">
        <v>1</v>
      </c>
      <c r="B7" s="26" t="s">
        <v>111</v>
      </c>
      <c r="C7" s="108"/>
      <c r="D7" s="108"/>
      <c r="E7" s="159">
        <f>SUM(E8:E17)</f>
        <v>0</v>
      </c>
      <c r="F7" s="61">
        <f t="shared" ref="E7:Q7" si="0">SUM(F8:F17)</f>
        <v>0</v>
      </c>
      <c r="G7" s="61">
        <f t="shared" si="0"/>
        <v>0</v>
      </c>
      <c r="H7" s="61">
        <f t="shared" si="0"/>
        <v>0</v>
      </c>
      <c r="I7" s="61">
        <f t="shared" si="0"/>
        <v>0</v>
      </c>
      <c r="J7" s="61">
        <f t="shared" si="0"/>
        <v>0</v>
      </c>
      <c r="K7" s="61">
        <f t="shared" si="0"/>
        <v>0</v>
      </c>
      <c r="L7" s="61">
        <f t="shared" si="0"/>
        <v>0</v>
      </c>
      <c r="M7" s="61">
        <f t="shared" si="0"/>
        <v>0</v>
      </c>
      <c r="N7" s="61">
        <f t="shared" si="0"/>
        <v>0</v>
      </c>
      <c r="O7" s="61">
        <f t="shared" si="0"/>
        <v>0</v>
      </c>
      <c r="P7" s="61">
        <f t="shared" si="0"/>
        <v>0</v>
      </c>
      <c r="Q7" s="61">
        <f t="shared" si="0"/>
        <v>0</v>
      </c>
      <c r="R7" s="61">
        <f>G7+K7+O7</f>
        <v>0</v>
      </c>
      <c r="S7" s="61">
        <f>H7+L7+P7</f>
        <v>0</v>
      </c>
      <c r="T7" s="61" t="e">
        <f>S7/R7</f>
        <v>#DIV/0!</v>
      </c>
      <c r="U7" s="61">
        <f>I7+M7+Q7</f>
        <v>0</v>
      </c>
    </row>
    <row r="8" spans="1:252">
      <c r="A8" s="25">
        <v>2</v>
      </c>
      <c r="B8" s="187" t="s">
        <v>233</v>
      </c>
      <c r="C8" s="390">
        <v>0.5</v>
      </c>
      <c r="D8" s="390">
        <v>0</v>
      </c>
      <c r="E8" s="160"/>
      <c r="F8" s="30"/>
      <c r="G8" s="379"/>
      <c r="H8" s="63"/>
      <c r="I8" s="63"/>
      <c r="J8" s="63"/>
      <c r="K8" s="63"/>
      <c r="L8" s="63"/>
      <c r="M8" s="63"/>
      <c r="N8" s="63"/>
      <c r="O8" s="63"/>
      <c r="P8" s="63"/>
      <c r="Q8" s="63"/>
      <c r="R8" s="61">
        <f t="shared" ref="R8:R17" si="1">G8+K8+O8</f>
        <v>0</v>
      </c>
      <c r="S8" s="61">
        <f t="shared" ref="S8:S17" si="2">H8+L8+P8</f>
        <v>0</v>
      </c>
      <c r="T8" s="61" t="e">
        <f t="shared" ref="T8:T17" si="3">S8/R8</f>
        <v>#DIV/0!</v>
      </c>
      <c r="U8" s="61">
        <f t="shared" ref="U8:U17" si="4">I8+M8+Q8</f>
        <v>0</v>
      </c>
      <c r="IR8" s="9"/>
    </row>
    <row r="9" spans="1:252">
      <c r="A9" s="25">
        <v>3</v>
      </c>
      <c r="B9" s="187" t="s">
        <v>234</v>
      </c>
      <c r="C9" s="390">
        <v>0.7</v>
      </c>
      <c r="D9" s="390">
        <v>0.004</v>
      </c>
      <c r="E9" s="160"/>
      <c r="F9" s="30"/>
      <c r="G9" s="379"/>
      <c r="H9" s="63"/>
      <c r="I9" s="63"/>
      <c r="J9" s="63"/>
      <c r="K9" s="63"/>
      <c r="L9" s="63"/>
      <c r="M9" s="63"/>
      <c r="N9" s="63"/>
      <c r="O9" s="63"/>
      <c r="P9" s="63"/>
      <c r="Q9" s="63"/>
      <c r="R9" s="61">
        <f t="shared" si="1"/>
        <v>0</v>
      </c>
      <c r="S9" s="61">
        <f t="shared" si="2"/>
        <v>0</v>
      </c>
      <c r="T9" s="61" t="e">
        <f t="shared" si="3"/>
        <v>#DIV/0!</v>
      </c>
      <c r="U9" s="61">
        <f t="shared" si="4"/>
        <v>0</v>
      </c>
      <c r="IR9" s="9"/>
    </row>
    <row r="10" spans="1:252">
      <c r="A10" s="25">
        <v>4</v>
      </c>
      <c r="B10" s="187" t="s">
        <v>235</v>
      </c>
      <c r="C10" s="390">
        <v>0.95</v>
      </c>
      <c r="D10" s="390">
        <v>0.004</v>
      </c>
      <c r="E10" s="160"/>
      <c r="F10" s="30"/>
      <c r="G10" s="379"/>
      <c r="H10" s="63"/>
      <c r="I10" s="63"/>
      <c r="J10" s="63"/>
      <c r="K10" s="63"/>
      <c r="L10" s="63"/>
      <c r="M10" s="63"/>
      <c r="N10" s="63"/>
      <c r="O10" s="63"/>
      <c r="P10" s="63"/>
      <c r="Q10" s="63"/>
      <c r="R10" s="61">
        <f t="shared" si="1"/>
        <v>0</v>
      </c>
      <c r="S10" s="61">
        <f t="shared" si="2"/>
        <v>0</v>
      </c>
      <c r="T10" s="61" t="e">
        <f t="shared" si="3"/>
        <v>#DIV/0!</v>
      </c>
      <c r="U10" s="61">
        <f t="shared" si="4"/>
        <v>0</v>
      </c>
      <c r="IR10" s="9"/>
    </row>
    <row r="11" spans="1:252">
      <c r="A11" s="25">
        <v>5</v>
      </c>
      <c r="B11" s="187" t="s">
        <v>236</v>
      </c>
      <c r="C11" s="390">
        <v>0.7</v>
      </c>
      <c r="D11" s="390">
        <v>0.004</v>
      </c>
      <c r="E11" s="160"/>
      <c r="F11" s="30"/>
      <c r="G11" s="379"/>
      <c r="H11" s="63"/>
      <c r="I11" s="63"/>
      <c r="J11" s="63"/>
      <c r="K11" s="63"/>
      <c r="L11" s="63"/>
      <c r="M11" s="63"/>
      <c r="N11" s="63"/>
      <c r="O11" s="63"/>
      <c r="P11" s="63"/>
      <c r="Q11" s="63"/>
      <c r="R11" s="61">
        <f t="shared" si="1"/>
        <v>0</v>
      </c>
      <c r="S11" s="61">
        <f t="shared" si="2"/>
        <v>0</v>
      </c>
      <c r="T11" s="61" t="e">
        <f t="shared" si="3"/>
        <v>#DIV/0!</v>
      </c>
      <c r="U11" s="61">
        <f t="shared" si="4"/>
        <v>0</v>
      </c>
      <c r="IR11" s="9"/>
    </row>
    <row r="12" spans="1:252">
      <c r="A12" s="25">
        <v>6</v>
      </c>
      <c r="B12" s="187" t="s">
        <v>237</v>
      </c>
      <c r="C12" s="390">
        <v>0.9</v>
      </c>
      <c r="D12" s="390">
        <v>0.008</v>
      </c>
      <c r="E12" s="160"/>
      <c r="F12" s="30"/>
      <c r="G12" s="379"/>
      <c r="H12" s="63"/>
      <c r="I12" s="63"/>
      <c r="J12" s="63"/>
      <c r="K12" s="63"/>
      <c r="L12" s="63"/>
      <c r="M12" s="63"/>
      <c r="N12" s="63"/>
      <c r="O12" s="63"/>
      <c r="P12" s="63"/>
      <c r="Q12" s="63"/>
      <c r="R12" s="61">
        <f t="shared" si="1"/>
        <v>0</v>
      </c>
      <c r="S12" s="61">
        <f t="shared" si="2"/>
        <v>0</v>
      </c>
      <c r="T12" s="61" t="e">
        <f t="shared" si="3"/>
        <v>#DIV/0!</v>
      </c>
      <c r="U12" s="61">
        <f t="shared" si="4"/>
        <v>0</v>
      </c>
      <c r="IR12" s="9"/>
    </row>
    <row r="13" spans="1:252">
      <c r="A13" s="25">
        <v>7</v>
      </c>
      <c r="B13" s="187" t="s">
        <v>238</v>
      </c>
      <c r="C13" s="390">
        <v>1.2</v>
      </c>
      <c r="D13" s="390">
        <v>0.008</v>
      </c>
      <c r="E13" s="160"/>
      <c r="F13" s="30"/>
      <c r="G13" s="379"/>
      <c r="H13" s="63"/>
      <c r="I13" s="63"/>
      <c r="J13" s="63"/>
      <c r="K13" s="63"/>
      <c r="L13" s="63"/>
      <c r="M13" s="63"/>
      <c r="N13" s="63"/>
      <c r="O13" s="63"/>
      <c r="P13" s="63"/>
      <c r="Q13" s="63"/>
      <c r="R13" s="61">
        <f t="shared" si="1"/>
        <v>0</v>
      </c>
      <c r="S13" s="61">
        <f t="shared" si="2"/>
        <v>0</v>
      </c>
      <c r="T13" s="61" t="e">
        <f t="shared" si="3"/>
        <v>#DIV/0!</v>
      </c>
      <c r="U13" s="61">
        <f t="shared" si="4"/>
        <v>0</v>
      </c>
      <c r="IR13" s="9"/>
    </row>
    <row r="14" spans="1:252">
      <c r="A14" s="25">
        <v>8</v>
      </c>
      <c r="B14" s="187" t="s">
        <v>239</v>
      </c>
      <c r="C14" s="390">
        <v>1.15</v>
      </c>
      <c r="D14" s="390">
        <v>0.028</v>
      </c>
      <c r="E14" s="160"/>
      <c r="F14" s="30"/>
      <c r="G14" s="379"/>
      <c r="H14" s="63"/>
      <c r="I14" s="63"/>
      <c r="J14" s="63"/>
      <c r="K14" s="63"/>
      <c r="L14" s="63"/>
      <c r="M14" s="63"/>
      <c r="N14" s="63"/>
      <c r="O14" s="63"/>
      <c r="P14" s="63"/>
      <c r="Q14" s="63"/>
      <c r="R14" s="61">
        <f t="shared" si="1"/>
        <v>0</v>
      </c>
      <c r="S14" s="61">
        <f t="shared" si="2"/>
        <v>0</v>
      </c>
      <c r="T14" s="61" t="e">
        <f t="shared" si="3"/>
        <v>#DIV/0!</v>
      </c>
      <c r="U14" s="61">
        <f t="shared" si="4"/>
        <v>0</v>
      </c>
      <c r="IR14" s="9"/>
    </row>
    <row r="15" spans="1:252">
      <c r="A15" s="25">
        <v>9</v>
      </c>
      <c r="B15" s="187" t="s">
        <v>240</v>
      </c>
      <c r="C15" s="390">
        <v>1.4</v>
      </c>
      <c r="D15" s="390">
        <v>0.028</v>
      </c>
      <c r="E15" s="160"/>
      <c r="F15" s="30"/>
      <c r="G15" s="379"/>
      <c r="H15" s="63"/>
      <c r="I15" s="63"/>
      <c r="J15" s="63"/>
      <c r="K15" s="63"/>
      <c r="L15" s="63"/>
      <c r="M15" s="63"/>
      <c r="N15" s="63"/>
      <c r="O15" s="63"/>
      <c r="P15" s="63"/>
      <c r="Q15" s="63"/>
      <c r="R15" s="61">
        <f t="shared" si="1"/>
        <v>0</v>
      </c>
      <c r="S15" s="61">
        <f t="shared" si="2"/>
        <v>0</v>
      </c>
      <c r="T15" s="61" t="e">
        <f t="shared" si="3"/>
        <v>#DIV/0!</v>
      </c>
      <c r="U15" s="61">
        <f t="shared" si="4"/>
        <v>0</v>
      </c>
      <c r="IR15" s="9"/>
    </row>
    <row r="16" spans="1:252">
      <c r="A16" s="25">
        <v>10</v>
      </c>
      <c r="B16" s="187" t="s">
        <v>241</v>
      </c>
      <c r="C16" s="390">
        <v>2.5</v>
      </c>
      <c r="D16" s="390">
        <v>0.08</v>
      </c>
      <c r="E16" s="160"/>
      <c r="F16" s="30"/>
      <c r="G16" s="379"/>
      <c r="H16" s="63"/>
      <c r="I16" s="63"/>
      <c r="J16" s="63"/>
      <c r="K16" s="63"/>
      <c r="L16" s="63"/>
      <c r="M16" s="63"/>
      <c r="N16" s="63"/>
      <c r="O16" s="63"/>
      <c r="P16" s="63"/>
      <c r="Q16" s="63"/>
      <c r="R16" s="61">
        <f t="shared" si="1"/>
        <v>0</v>
      </c>
      <c r="S16" s="61">
        <f t="shared" si="2"/>
        <v>0</v>
      </c>
      <c r="T16" s="61" t="e">
        <f t="shared" si="3"/>
        <v>#DIV/0!</v>
      </c>
      <c r="U16" s="61">
        <f t="shared" si="4"/>
        <v>0</v>
      </c>
      <c r="IR16" s="9"/>
    </row>
    <row r="17" spans="1:252">
      <c r="A17" s="25">
        <v>11</v>
      </c>
      <c r="B17" s="187" t="s">
        <v>242</v>
      </c>
      <c r="C17" s="390">
        <v>0</v>
      </c>
      <c r="D17" s="390">
        <v>0.5</v>
      </c>
      <c r="E17" s="160"/>
      <c r="F17" s="30"/>
      <c r="G17" s="379"/>
      <c r="H17" s="63"/>
      <c r="I17" s="63"/>
      <c r="J17" s="63"/>
      <c r="K17" s="63"/>
      <c r="L17" s="63"/>
      <c r="M17" s="63"/>
      <c r="N17" s="63"/>
      <c r="O17" s="63"/>
      <c r="P17" s="63"/>
      <c r="Q17" s="63"/>
      <c r="R17" s="61">
        <f t="shared" si="1"/>
        <v>0</v>
      </c>
      <c r="S17" s="61">
        <f t="shared" si="2"/>
        <v>0</v>
      </c>
      <c r="T17" s="61" t="e">
        <f t="shared" si="3"/>
        <v>#DIV/0!</v>
      </c>
      <c r="U17" s="61">
        <f t="shared" si="4"/>
        <v>0</v>
      </c>
      <c r="IR17" s="9"/>
    </row>
    <row r="18" s="6" customFormat="1" ht="17.25" customHeight="1" spans="1:16">
      <c r="A18" s="6" t="s">
        <v>155</v>
      </c>
      <c r="I18" s="177" t="s">
        <v>87</v>
      </c>
      <c r="P18" s="177" t="s">
        <v>88</v>
      </c>
    </row>
    <row r="19" s="104" customFormat="1" ht="12.75" spans="1:2">
      <c r="A19" s="33"/>
      <c r="B19" s="34" t="s">
        <v>89</v>
      </c>
    </row>
    <row r="20" spans="1:2">
      <c r="A20" s="35"/>
      <c r="B20" s="36" t="s">
        <v>90</v>
      </c>
    </row>
    <row r="21" spans="1:5">
      <c r="A21" s="40" t="s">
        <v>91</v>
      </c>
      <c r="B21" s="41">
        <v>241</v>
      </c>
      <c r="C21" s="180"/>
      <c r="D21" s="180"/>
      <c r="E21" s="180"/>
    </row>
    <row r="22" spans="3:5">
      <c r="C22" s="180"/>
      <c r="D22" s="180"/>
      <c r="E22" s="180"/>
    </row>
    <row r="23" spans="3:5">
      <c r="C23" s="180"/>
      <c r="D23" s="180"/>
      <c r="E23" s="180"/>
    </row>
  </sheetData>
  <sheetProtection sort="0" autoFilter="0" pivotTables="0"/>
  <mergeCells count="8">
    <mergeCell ref="A1:U1"/>
    <mergeCell ref="A3:A6"/>
    <mergeCell ref="B3:B6"/>
    <mergeCell ref="C4:E5"/>
    <mergeCell ref="F4:I5"/>
    <mergeCell ref="J4:M5"/>
    <mergeCell ref="N4:Q5"/>
    <mergeCell ref="R4:U5"/>
  </mergeCells>
  <conditionalFormatting sqref="E8:Q17">
    <cfRule type="cellIs" dxfId="0" priority="1" stopIfTrue="1" operator="lessThan">
      <formula>0</formula>
    </cfRule>
  </conditionalFormatting>
  <pageMargins left="0.75" right="0.75" top="1" bottom="1" header="0.509027777777778" footer="0.509027777777778"/>
  <pageSetup paperSize="9" scale="75" fitToHeight="0" orientation="landscape"/>
  <headerFooter alignWithMargins="0" scaleWithDoc="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IV81"/>
  <sheetViews>
    <sheetView zoomScale="90" zoomScaleNormal="90" workbookViewId="0">
      <selection activeCell="G83" sqref="G83"/>
    </sheetView>
  </sheetViews>
  <sheetFormatPr defaultColWidth="9" defaultRowHeight="14.25"/>
  <cols>
    <col min="1" max="1" width="6.93333333333333" style="129" customWidth="1"/>
    <col min="2" max="2" width="9" style="130"/>
    <col min="3" max="3" width="9" style="129"/>
    <col min="4" max="4" width="5.5" style="9" customWidth="1"/>
    <col min="5" max="5" width="6.16666666666667" style="9"/>
    <col min="6" max="7" width="6.16666666666667" style="9" customWidth="1"/>
    <col min="8" max="8" width="5.83333333333333" style="9" customWidth="1"/>
    <col min="9" max="9" width="6.33333333333333" style="9" customWidth="1"/>
    <col min="10" max="10" width="6.5" style="9" customWidth="1"/>
    <col min="11" max="11" width="6.16666666666667" style="9" customWidth="1"/>
    <col min="12" max="12" width="6" style="9" customWidth="1"/>
    <col min="13" max="13" width="6.5" style="9" customWidth="1"/>
    <col min="14" max="14" width="6.66666666666667" style="9" customWidth="1"/>
    <col min="15" max="15" width="6.16666666666667" style="9" customWidth="1"/>
    <col min="16" max="16" width="5.66666666666667" style="129" customWidth="1"/>
    <col min="17" max="17" width="7.16666666666667" style="129" customWidth="1"/>
    <col min="18" max="18" width="8" style="129" customWidth="1"/>
    <col min="19" max="19" width="5.66666666666667" style="129" customWidth="1"/>
    <col min="20" max="20" width="10.1666666666667" style="129" customWidth="1"/>
    <col min="21" max="25" width="12.1666666666667" style="129" customWidth="1"/>
    <col min="26" max="26" width="9.16666666666667" style="129" customWidth="1"/>
    <col min="27" max="27" width="7.83333333333333" style="129" customWidth="1"/>
    <col min="28" max="31" width="9" style="129"/>
    <col min="32" max="32" width="7" style="129" customWidth="1"/>
    <col min="33" max="33" width="8.16666666666667" style="129" customWidth="1"/>
    <col min="34" max="252" width="9" style="129"/>
    <col min="253" max="16384" width="9" style="12"/>
  </cols>
  <sheetData>
    <row r="1" s="129" customFormat="1" ht="24" customHeight="1" spans="1:256">
      <c r="A1" s="132" t="s">
        <v>243</v>
      </c>
      <c r="B1" s="133"/>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IS1" s="12"/>
      <c r="IT1" s="12"/>
      <c r="IU1" s="12"/>
      <c r="IV1" s="12"/>
    </row>
    <row r="2" s="103" customFormat="1" ht="12.75" spans="1:33">
      <c r="A2" s="34" t="s">
        <v>1</v>
      </c>
      <c r="B2" s="134"/>
      <c r="C2" s="34"/>
      <c r="D2" s="9"/>
      <c r="E2" s="378"/>
      <c r="F2" s="123"/>
      <c r="G2" s="123"/>
      <c r="H2" s="123"/>
      <c r="I2" s="123"/>
      <c r="K2" s="123"/>
      <c r="L2" s="9"/>
      <c r="M2" s="9"/>
      <c r="O2" s="123"/>
      <c r="P2" s="34"/>
      <c r="Q2" s="380" t="s">
        <v>244</v>
      </c>
      <c r="R2" s="380"/>
      <c r="S2" s="380"/>
      <c r="T2" s="380"/>
      <c r="U2" s="123"/>
      <c r="V2" s="123"/>
      <c r="W2" s="123"/>
      <c r="X2" s="123"/>
      <c r="Y2" s="123"/>
      <c r="Z2" s="123"/>
      <c r="AA2" s="123"/>
      <c r="AB2" s="123"/>
      <c r="AC2" s="123"/>
      <c r="AD2" s="123"/>
      <c r="AE2" s="123" t="s">
        <v>3</v>
      </c>
      <c r="AF2" s="123"/>
      <c r="AG2" s="123"/>
    </row>
    <row r="3" s="103" customFormat="1" ht="12" spans="1:33">
      <c r="A3" s="121" t="s">
        <v>4</v>
      </c>
      <c r="B3" s="135" t="s">
        <v>6</v>
      </c>
      <c r="C3" s="21" t="s">
        <v>7</v>
      </c>
      <c r="D3" s="21" t="s">
        <v>8</v>
      </c>
      <c r="E3" s="21" t="s">
        <v>9</v>
      </c>
      <c r="F3" s="21" t="s">
        <v>10</v>
      </c>
      <c r="G3" s="21" t="s">
        <v>11</v>
      </c>
      <c r="H3" s="21" t="s">
        <v>12</v>
      </c>
      <c r="I3" s="21" t="s">
        <v>13</v>
      </c>
      <c r="J3" s="21" t="s">
        <v>96</v>
      </c>
      <c r="K3" s="21" t="s">
        <v>97</v>
      </c>
      <c r="L3" s="21" t="s">
        <v>98</v>
      </c>
      <c r="M3" s="21" t="s">
        <v>99</v>
      </c>
      <c r="N3" s="21" t="s">
        <v>100</v>
      </c>
      <c r="O3" s="60" t="s">
        <v>101</v>
      </c>
      <c r="P3" s="60" t="s">
        <v>102</v>
      </c>
      <c r="Q3" s="21" t="s">
        <v>103</v>
      </c>
      <c r="R3" s="21" t="s">
        <v>104</v>
      </c>
      <c r="S3" s="21" t="s">
        <v>105</v>
      </c>
      <c r="T3" s="21" t="s">
        <v>106</v>
      </c>
      <c r="U3" s="21" t="s">
        <v>107</v>
      </c>
      <c r="V3" s="21" t="s">
        <v>108</v>
      </c>
      <c r="W3" s="26" t="s">
        <v>245</v>
      </c>
      <c r="X3" s="26" t="s">
        <v>246</v>
      </c>
      <c r="Y3" s="26" t="s">
        <v>247</v>
      </c>
      <c r="Z3" s="26" t="s">
        <v>248</v>
      </c>
      <c r="AA3" s="26" t="s">
        <v>249</v>
      </c>
      <c r="AB3" s="26" t="s">
        <v>250</v>
      </c>
      <c r="AC3" s="26" t="s">
        <v>251</v>
      </c>
      <c r="AD3" s="26" t="s">
        <v>252</v>
      </c>
      <c r="AE3" s="26" t="s">
        <v>253</v>
      </c>
      <c r="AF3" s="26" t="s">
        <v>254</v>
      </c>
      <c r="AG3" s="26" t="s">
        <v>255</v>
      </c>
    </row>
    <row r="4" s="103" customFormat="1" ht="12" customHeight="1" spans="1:33">
      <c r="A4" s="121"/>
      <c r="B4" s="136" t="s">
        <v>256</v>
      </c>
      <c r="C4" s="121" t="s">
        <v>257</v>
      </c>
      <c r="D4" s="20" t="s">
        <v>109</v>
      </c>
      <c r="E4" s="20"/>
      <c r="F4" s="20"/>
      <c r="G4" s="20"/>
      <c r="H4" s="20" t="s">
        <v>110</v>
      </c>
      <c r="I4" s="20"/>
      <c r="J4" s="20"/>
      <c r="K4" s="20"/>
      <c r="L4" s="20" t="s">
        <v>61</v>
      </c>
      <c r="M4" s="20"/>
      <c r="N4" s="20"/>
      <c r="O4" s="20"/>
      <c r="P4" s="121" t="s">
        <v>111</v>
      </c>
      <c r="Q4" s="121"/>
      <c r="R4" s="121"/>
      <c r="S4" s="121"/>
      <c r="T4" s="121" t="s">
        <v>258</v>
      </c>
      <c r="U4" s="121"/>
      <c r="V4" s="121"/>
      <c r="W4" s="121"/>
      <c r="X4" s="121"/>
      <c r="Y4" s="121"/>
      <c r="Z4" s="121"/>
      <c r="AA4" s="121" t="s">
        <v>259</v>
      </c>
      <c r="AB4" s="121"/>
      <c r="AC4" s="121"/>
      <c r="AD4" s="121"/>
      <c r="AE4" s="121"/>
      <c r="AF4" s="121"/>
      <c r="AG4" s="121" t="s">
        <v>260</v>
      </c>
    </row>
    <row r="5" s="103" customFormat="1" ht="24" spans="1:33">
      <c r="A5" s="121"/>
      <c r="B5" s="367"/>
      <c r="C5" s="368"/>
      <c r="D5" s="20" t="s">
        <v>113</v>
      </c>
      <c r="E5" s="20" t="s">
        <v>17</v>
      </c>
      <c r="F5" s="20" t="s">
        <v>18</v>
      </c>
      <c r="G5" s="20" t="s">
        <v>19</v>
      </c>
      <c r="H5" s="20" t="s">
        <v>114</v>
      </c>
      <c r="I5" s="20" t="s">
        <v>17</v>
      </c>
      <c r="J5" s="20" t="s">
        <v>18</v>
      </c>
      <c r="K5" s="20" t="s">
        <v>19</v>
      </c>
      <c r="L5" s="20" t="s">
        <v>115</v>
      </c>
      <c r="M5" s="20" t="s">
        <v>17</v>
      </c>
      <c r="N5" s="20" t="s">
        <v>18</v>
      </c>
      <c r="O5" s="20" t="s">
        <v>19</v>
      </c>
      <c r="P5" s="20" t="s">
        <v>17</v>
      </c>
      <c r="Q5" s="121" t="s">
        <v>18</v>
      </c>
      <c r="R5" s="121" t="s">
        <v>116</v>
      </c>
      <c r="S5" s="121" t="s">
        <v>19</v>
      </c>
      <c r="T5" s="381" t="s">
        <v>261</v>
      </c>
      <c r="U5" s="383" t="s">
        <v>262</v>
      </c>
      <c r="V5" s="383" t="s">
        <v>263</v>
      </c>
      <c r="W5" s="383" t="s">
        <v>264</v>
      </c>
      <c r="X5" s="383" t="s">
        <v>265</v>
      </c>
      <c r="Y5" s="383" t="s">
        <v>266</v>
      </c>
      <c r="Z5" s="383" t="s">
        <v>267</v>
      </c>
      <c r="AA5" s="121" t="s">
        <v>268</v>
      </c>
      <c r="AB5" s="121" t="s">
        <v>269</v>
      </c>
      <c r="AC5" s="121" t="s">
        <v>270</v>
      </c>
      <c r="AD5" s="121" t="s">
        <v>271</v>
      </c>
      <c r="AE5" s="121" t="s">
        <v>272</v>
      </c>
      <c r="AF5" s="121" t="s">
        <v>273</v>
      </c>
      <c r="AG5" s="121"/>
    </row>
    <row r="6" s="103" customFormat="1" ht="16" customHeight="1" spans="1:33">
      <c r="A6" s="139" t="s">
        <v>274</v>
      </c>
      <c r="B6" s="369"/>
      <c r="C6" s="27"/>
      <c r="D6" s="110"/>
      <c r="E6" s="118"/>
      <c r="F6" s="27"/>
      <c r="G6" s="27"/>
      <c r="H6" s="27"/>
      <c r="I6" s="27"/>
      <c r="J6" s="27"/>
      <c r="K6" s="27"/>
      <c r="L6" s="110"/>
      <c r="M6" s="110"/>
      <c r="N6" s="110"/>
      <c r="O6" s="27"/>
      <c r="P6" s="364"/>
      <c r="Q6" s="364"/>
      <c r="R6" s="364"/>
      <c r="S6" s="364"/>
      <c r="T6" s="27"/>
      <c r="U6" s="27"/>
      <c r="V6" s="27"/>
      <c r="W6" s="27"/>
      <c r="X6" s="27"/>
      <c r="Y6" s="27"/>
      <c r="Z6" s="27"/>
      <c r="AA6" s="27"/>
      <c r="AB6" s="27"/>
      <c r="AC6" s="27"/>
      <c r="AD6" s="27"/>
      <c r="AE6" s="27"/>
      <c r="AF6" s="27"/>
      <c r="AG6" s="27"/>
    </row>
    <row r="7" s="103" customFormat="1" ht="12.75" spans="1:33">
      <c r="A7" s="370">
        <v>1</v>
      </c>
      <c r="B7" s="371" t="s">
        <v>111</v>
      </c>
      <c r="C7" s="372"/>
      <c r="D7" s="61">
        <f>SUM(D8:D23)</f>
        <v>0</v>
      </c>
      <c r="E7" s="61">
        <f t="shared" ref="E7:O7" si="0">SUM(E8:E23)</f>
        <v>0</v>
      </c>
      <c r="F7" s="61">
        <f t="shared" si="0"/>
        <v>0</v>
      </c>
      <c r="G7" s="61">
        <f t="shared" si="0"/>
        <v>0</v>
      </c>
      <c r="H7" s="61">
        <f t="shared" si="0"/>
        <v>0</v>
      </c>
      <c r="I7" s="61">
        <f t="shared" si="0"/>
        <v>0</v>
      </c>
      <c r="J7" s="61">
        <f t="shared" si="0"/>
        <v>0</v>
      </c>
      <c r="K7" s="61">
        <f t="shared" si="0"/>
        <v>0</v>
      </c>
      <c r="L7" s="61">
        <f t="shared" si="0"/>
        <v>0</v>
      </c>
      <c r="M7" s="61">
        <f t="shared" si="0"/>
        <v>0</v>
      </c>
      <c r="N7" s="61">
        <f t="shared" si="0"/>
        <v>0</v>
      </c>
      <c r="O7" s="61">
        <f t="shared" si="0"/>
        <v>0</v>
      </c>
      <c r="P7" s="61">
        <f>E7+I7+M7</f>
        <v>0</v>
      </c>
      <c r="Q7" s="61">
        <f>F7+J7+N7</f>
        <v>0</v>
      </c>
      <c r="R7" s="61" t="e">
        <f>Q7/P7</f>
        <v>#DIV/0!</v>
      </c>
      <c r="S7" s="61">
        <f>G7+K7+O7</f>
        <v>0</v>
      </c>
      <c r="T7" s="61">
        <f t="shared" ref="T7:Z7" si="1">SUM(T8:T23)</f>
        <v>0</v>
      </c>
      <c r="U7" s="61">
        <f t="shared" si="1"/>
        <v>0</v>
      </c>
      <c r="V7" s="61">
        <f t="shared" si="1"/>
        <v>0</v>
      </c>
      <c r="W7" s="61">
        <f t="shared" si="1"/>
        <v>0</v>
      </c>
      <c r="X7" s="61">
        <f t="shared" si="1"/>
        <v>0</v>
      </c>
      <c r="Y7" s="61">
        <f t="shared" si="1"/>
        <v>0</v>
      </c>
      <c r="Z7" s="61">
        <f t="shared" si="1"/>
        <v>0</v>
      </c>
      <c r="AA7" s="164"/>
      <c r="AB7" s="164"/>
      <c r="AC7" s="164"/>
      <c r="AD7" s="164"/>
      <c r="AE7" s="164"/>
      <c r="AF7" s="164"/>
      <c r="AG7" s="384"/>
    </row>
    <row r="8" s="103" customFormat="1" ht="12.75" spans="1:33">
      <c r="A8" s="370">
        <v>2</v>
      </c>
      <c r="B8" s="373">
        <v>0.0005</v>
      </c>
      <c r="C8" s="374">
        <v>0.0013</v>
      </c>
      <c r="D8" s="30"/>
      <c r="E8" s="379"/>
      <c r="F8" s="63"/>
      <c r="G8" s="63"/>
      <c r="H8" s="63"/>
      <c r="I8" s="63"/>
      <c r="J8" s="63"/>
      <c r="K8" s="63"/>
      <c r="L8" s="63"/>
      <c r="M8" s="63"/>
      <c r="N8" s="63"/>
      <c r="O8" s="63"/>
      <c r="P8" s="61">
        <f t="shared" ref="P8:P23" si="2">E8+I8+M8</f>
        <v>0</v>
      </c>
      <c r="Q8" s="61">
        <f t="shared" ref="Q8:Q23" si="3">F8+J8+N8</f>
        <v>0</v>
      </c>
      <c r="R8" s="61" t="e">
        <f t="shared" ref="R8:R23" si="4">Q8/P8</f>
        <v>#DIV/0!</v>
      </c>
      <c r="S8" s="61">
        <f>G8+K8+O8</f>
        <v>0</v>
      </c>
      <c r="T8" s="145"/>
      <c r="U8" s="145"/>
      <c r="V8" s="145"/>
      <c r="W8" s="145"/>
      <c r="X8" s="145"/>
      <c r="Y8" s="145"/>
      <c r="Z8" s="145"/>
      <c r="AA8" s="384"/>
      <c r="AB8" s="384"/>
      <c r="AC8" s="384"/>
      <c r="AD8" s="384"/>
      <c r="AE8" s="384"/>
      <c r="AF8" s="384"/>
      <c r="AG8" s="384"/>
    </row>
    <row r="9" s="103" customFormat="1" ht="12.75" spans="1:33">
      <c r="A9" s="370">
        <v>3</v>
      </c>
      <c r="B9" s="373">
        <v>0.0013</v>
      </c>
      <c r="C9" s="375">
        <v>0.002</v>
      </c>
      <c r="D9" s="30"/>
      <c r="E9" s="379"/>
      <c r="F9" s="63"/>
      <c r="G9" s="63"/>
      <c r="H9" s="63"/>
      <c r="I9" s="63"/>
      <c r="J9" s="63"/>
      <c r="K9" s="63"/>
      <c r="L9" s="63"/>
      <c r="M9" s="63"/>
      <c r="N9" s="63"/>
      <c r="O9" s="63"/>
      <c r="P9" s="61">
        <f t="shared" si="2"/>
        <v>0</v>
      </c>
      <c r="Q9" s="61">
        <f t="shared" si="3"/>
        <v>0</v>
      </c>
      <c r="R9" s="61" t="e">
        <f t="shared" si="4"/>
        <v>#DIV/0!</v>
      </c>
      <c r="S9" s="61">
        <f t="shared" ref="S9:S23" si="5">G9+K9+O9</f>
        <v>0</v>
      </c>
      <c r="T9" s="145"/>
      <c r="U9" s="145"/>
      <c r="V9" s="145"/>
      <c r="W9" s="145"/>
      <c r="X9" s="145"/>
      <c r="Y9" s="145"/>
      <c r="Z9" s="145"/>
      <c r="AA9" s="384"/>
      <c r="AB9" s="384"/>
      <c r="AC9" s="384"/>
      <c r="AD9" s="384"/>
      <c r="AE9" s="384"/>
      <c r="AF9" s="384"/>
      <c r="AG9" s="384"/>
    </row>
    <row r="10" s="103" customFormat="1" ht="12.75" spans="1:33">
      <c r="A10" s="370">
        <v>4</v>
      </c>
      <c r="B10" s="373">
        <v>0.002</v>
      </c>
      <c r="C10" s="375">
        <v>0.0033</v>
      </c>
      <c r="D10" s="30"/>
      <c r="E10" s="379"/>
      <c r="F10" s="63"/>
      <c r="G10" s="63"/>
      <c r="H10" s="63"/>
      <c r="I10" s="63"/>
      <c r="J10" s="63"/>
      <c r="K10" s="63"/>
      <c r="L10" s="63"/>
      <c r="M10" s="63"/>
      <c r="N10" s="63"/>
      <c r="O10" s="63"/>
      <c r="P10" s="61">
        <f t="shared" si="2"/>
        <v>0</v>
      </c>
      <c r="Q10" s="61">
        <f t="shared" si="3"/>
        <v>0</v>
      </c>
      <c r="R10" s="61" t="e">
        <f t="shared" si="4"/>
        <v>#DIV/0!</v>
      </c>
      <c r="S10" s="61">
        <f t="shared" si="5"/>
        <v>0</v>
      </c>
      <c r="T10" s="145"/>
      <c r="U10" s="145"/>
      <c r="V10" s="145"/>
      <c r="W10" s="145"/>
      <c r="X10" s="145"/>
      <c r="Y10" s="145"/>
      <c r="Z10" s="145"/>
      <c r="AA10" s="384"/>
      <c r="AB10" s="384"/>
      <c r="AC10" s="384"/>
      <c r="AD10" s="384"/>
      <c r="AE10" s="384"/>
      <c r="AF10" s="384"/>
      <c r="AG10" s="384"/>
    </row>
    <row r="11" s="103" customFormat="1" ht="12.75" spans="1:33">
      <c r="A11" s="370">
        <v>5</v>
      </c>
      <c r="B11" s="373">
        <v>0.0033</v>
      </c>
      <c r="C11" s="375">
        <v>0.0053</v>
      </c>
      <c r="D11" s="30"/>
      <c r="E11" s="379"/>
      <c r="F11" s="63"/>
      <c r="G11" s="63"/>
      <c r="H11" s="63"/>
      <c r="I11" s="63"/>
      <c r="J11" s="63"/>
      <c r="K11" s="63"/>
      <c r="L11" s="63"/>
      <c r="M11" s="63"/>
      <c r="N11" s="63"/>
      <c r="O11" s="63"/>
      <c r="P11" s="61">
        <f t="shared" si="2"/>
        <v>0</v>
      </c>
      <c r="Q11" s="61">
        <f t="shared" si="3"/>
        <v>0</v>
      </c>
      <c r="R11" s="61" t="e">
        <f t="shared" si="4"/>
        <v>#DIV/0!</v>
      </c>
      <c r="S11" s="61">
        <f t="shared" si="5"/>
        <v>0</v>
      </c>
      <c r="T11" s="145"/>
      <c r="U11" s="145"/>
      <c r="V11" s="145"/>
      <c r="W11" s="145"/>
      <c r="X11" s="145"/>
      <c r="Y11" s="145"/>
      <c r="Z11" s="145"/>
      <c r="AA11" s="384"/>
      <c r="AB11" s="384"/>
      <c r="AC11" s="384"/>
      <c r="AD11" s="384"/>
      <c r="AE11" s="384"/>
      <c r="AF11" s="384"/>
      <c r="AG11" s="384"/>
    </row>
    <row r="12" s="103" customFormat="1" ht="12.75" spans="1:33">
      <c r="A12" s="370">
        <v>6</v>
      </c>
      <c r="B12" s="373">
        <v>0.0053</v>
      </c>
      <c r="C12" s="375">
        <v>0.0086</v>
      </c>
      <c r="D12" s="30"/>
      <c r="E12" s="379"/>
      <c r="F12" s="63"/>
      <c r="G12" s="63"/>
      <c r="H12" s="63"/>
      <c r="I12" s="63"/>
      <c r="J12" s="63"/>
      <c r="K12" s="63"/>
      <c r="L12" s="63"/>
      <c r="M12" s="63"/>
      <c r="N12" s="63"/>
      <c r="O12" s="63"/>
      <c r="P12" s="61">
        <f t="shared" si="2"/>
        <v>0</v>
      </c>
      <c r="Q12" s="61">
        <f t="shared" si="3"/>
        <v>0</v>
      </c>
      <c r="R12" s="61" t="e">
        <f t="shared" si="4"/>
        <v>#DIV/0!</v>
      </c>
      <c r="S12" s="61">
        <f t="shared" si="5"/>
        <v>0</v>
      </c>
      <c r="T12" s="145"/>
      <c r="U12" s="145"/>
      <c r="V12" s="145"/>
      <c r="W12" s="145"/>
      <c r="X12" s="145"/>
      <c r="Y12" s="145"/>
      <c r="Z12" s="145"/>
      <c r="AA12" s="384"/>
      <c r="AB12" s="384"/>
      <c r="AC12" s="384"/>
      <c r="AD12" s="384"/>
      <c r="AE12" s="384"/>
      <c r="AF12" s="384"/>
      <c r="AG12" s="384"/>
    </row>
    <row r="13" s="103" customFormat="1" ht="12.75" spans="1:33">
      <c r="A13" s="370">
        <v>7</v>
      </c>
      <c r="B13" s="373">
        <v>0.0086</v>
      </c>
      <c r="C13" s="375">
        <v>0.0137</v>
      </c>
      <c r="D13" s="30"/>
      <c r="E13" s="379"/>
      <c r="F13" s="63"/>
      <c r="G13" s="63"/>
      <c r="H13" s="63"/>
      <c r="I13" s="63"/>
      <c r="J13" s="63"/>
      <c r="K13" s="63"/>
      <c r="L13" s="63"/>
      <c r="M13" s="63"/>
      <c r="N13" s="63"/>
      <c r="O13" s="63"/>
      <c r="P13" s="61">
        <f t="shared" si="2"/>
        <v>0</v>
      </c>
      <c r="Q13" s="61">
        <f t="shared" si="3"/>
        <v>0</v>
      </c>
      <c r="R13" s="61" t="e">
        <f t="shared" si="4"/>
        <v>#DIV/0!</v>
      </c>
      <c r="S13" s="61">
        <f t="shared" si="5"/>
        <v>0</v>
      </c>
      <c r="T13" s="145"/>
      <c r="U13" s="145"/>
      <c r="V13" s="145"/>
      <c r="W13" s="145"/>
      <c r="X13" s="145"/>
      <c r="Y13" s="145"/>
      <c r="Z13" s="145"/>
      <c r="AA13" s="384"/>
      <c r="AB13" s="384"/>
      <c r="AC13" s="384"/>
      <c r="AD13" s="384"/>
      <c r="AE13" s="384"/>
      <c r="AF13" s="384"/>
      <c r="AG13" s="384"/>
    </row>
    <row r="14" s="103" customFormat="1" ht="12.75" spans="1:33">
      <c r="A14" s="370">
        <v>8</v>
      </c>
      <c r="B14" s="373">
        <v>0.0137</v>
      </c>
      <c r="C14" s="375">
        <v>0.0214</v>
      </c>
      <c r="D14" s="30"/>
      <c r="E14" s="379"/>
      <c r="F14" s="63"/>
      <c r="G14" s="63"/>
      <c r="H14" s="63"/>
      <c r="I14" s="63"/>
      <c r="J14" s="63"/>
      <c r="K14" s="63"/>
      <c r="L14" s="63"/>
      <c r="M14" s="63"/>
      <c r="N14" s="63"/>
      <c r="O14" s="63"/>
      <c r="P14" s="61">
        <f t="shared" si="2"/>
        <v>0</v>
      </c>
      <c r="Q14" s="61">
        <f t="shared" si="3"/>
        <v>0</v>
      </c>
      <c r="R14" s="61" t="e">
        <f t="shared" si="4"/>
        <v>#DIV/0!</v>
      </c>
      <c r="S14" s="61">
        <f t="shared" si="5"/>
        <v>0</v>
      </c>
      <c r="T14" s="145"/>
      <c r="U14" s="145"/>
      <c r="V14" s="145"/>
      <c r="W14" s="145"/>
      <c r="X14" s="145"/>
      <c r="Y14" s="145"/>
      <c r="Z14" s="145"/>
      <c r="AA14" s="384"/>
      <c r="AB14" s="384"/>
      <c r="AC14" s="384"/>
      <c r="AD14" s="384"/>
      <c r="AE14" s="384"/>
      <c r="AF14" s="384"/>
      <c r="AG14" s="384"/>
    </row>
    <row r="15" s="103" customFormat="1" ht="12.75" spans="1:33">
      <c r="A15" s="370">
        <v>9</v>
      </c>
      <c r="B15" s="373">
        <v>0.0214</v>
      </c>
      <c r="C15" s="375">
        <v>0.0341</v>
      </c>
      <c r="D15" s="30"/>
      <c r="E15" s="379"/>
      <c r="F15" s="63"/>
      <c r="G15" s="63"/>
      <c r="H15" s="63"/>
      <c r="I15" s="63"/>
      <c r="J15" s="63"/>
      <c r="K15" s="63"/>
      <c r="L15" s="63"/>
      <c r="M15" s="63"/>
      <c r="N15" s="63"/>
      <c r="O15" s="63"/>
      <c r="P15" s="61">
        <f t="shared" si="2"/>
        <v>0</v>
      </c>
      <c r="Q15" s="61">
        <f t="shared" si="3"/>
        <v>0</v>
      </c>
      <c r="R15" s="61" t="e">
        <f t="shared" si="4"/>
        <v>#DIV/0!</v>
      </c>
      <c r="S15" s="61">
        <f t="shared" si="5"/>
        <v>0</v>
      </c>
      <c r="T15" s="145"/>
      <c r="U15" s="145"/>
      <c r="V15" s="145"/>
      <c r="W15" s="145"/>
      <c r="X15" s="145"/>
      <c r="Y15" s="145"/>
      <c r="Z15" s="145"/>
      <c r="AA15" s="384"/>
      <c r="AB15" s="384"/>
      <c r="AC15" s="384"/>
      <c r="AD15" s="384"/>
      <c r="AE15" s="384"/>
      <c r="AF15" s="384"/>
      <c r="AG15" s="384"/>
    </row>
    <row r="16" s="103" customFormat="1" ht="12.75" spans="1:33">
      <c r="A16" s="370">
        <v>10</v>
      </c>
      <c r="B16" s="373">
        <v>0.0341</v>
      </c>
      <c r="C16" s="375">
        <v>0.0549</v>
      </c>
      <c r="D16" s="30"/>
      <c r="E16" s="379"/>
      <c r="F16" s="63"/>
      <c r="G16" s="63"/>
      <c r="H16" s="63"/>
      <c r="I16" s="63"/>
      <c r="J16" s="63"/>
      <c r="K16" s="63"/>
      <c r="L16" s="63"/>
      <c r="M16" s="63"/>
      <c r="N16" s="63"/>
      <c r="O16" s="63"/>
      <c r="P16" s="61">
        <f t="shared" si="2"/>
        <v>0</v>
      </c>
      <c r="Q16" s="61">
        <f t="shared" si="3"/>
        <v>0</v>
      </c>
      <c r="R16" s="61" t="e">
        <f t="shared" si="4"/>
        <v>#DIV/0!</v>
      </c>
      <c r="S16" s="61">
        <f t="shared" si="5"/>
        <v>0</v>
      </c>
      <c r="T16" s="145"/>
      <c r="U16" s="145"/>
      <c r="V16" s="145"/>
      <c r="W16" s="145"/>
      <c r="X16" s="145"/>
      <c r="Y16" s="145"/>
      <c r="Z16" s="145"/>
      <c r="AA16" s="384"/>
      <c r="AB16" s="384"/>
      <c r="AC16" s="384"/>
      <c r="AD16" s="384"/>
      <c r="AE16" s="384"/>
      <c r="AF16" s="384"/>
      <c r="AG16" s="384"/>
    </row>
    <row r="17" s="103" customFormat="1" ht="12.75" spans="1:33">
      <c r="A17" s="370">
        <v>11</v>
      </c>
      <c r="B17" s="373">
        <v>0.0549</v>
      </c>
      <c r="C17" s="375">
        <v>0.0877</v>
      </c>
      <c r="D17" s="30"/>
      <c r="E17" s="379"/>
      <c r="F17" s="63"/>
      <c r="G17" s="63"/>
      <c r="H17" s="63"/>
      <c r="I17" s="63"/>
      <c r="J17" s="63"/>
      <c r="K17" s="63"/>
      <c r="L17" s="63"/>
      <c r="M17" s="63"/>
      <c r="N17" s="63"/>
      <c r="O17" s="63"/>
      <c r="P17" s="61">
        <f t="shared" si="2"/>
        <v>0</v>
      </c>
      <c r="Q17" s="61">
        <f t="shared" si="3"/>
        <v>0</v>
      </c>
      <c r="R17" s="61" t="e">
        <f t="shared" si="4"/>
        <v>#DIV/0!</v>
      </c>
      <c r="S17" s="61">
        <f t="shared" si="5"/>
        <v>0</v>
      </c>
      <c r="T17" s="145"/>
      <c r="U17" s="145"/>
      <c r="V17" s="145"/>
      <c r="W17" s="145"/>
      <c r="X17" s="145"/>
      <c r="Y17" s="145"/>
      <c r="Z17" s="145"/>
      <c r="AA17" s="384"/>
      <c r="AB17" s="384"/>
      <c r="AC17" s="384"/>
      <c r="AD17" s="384"/>
      <c r="AE17" s="384"/>
      <c r="AF17" s="384"/>
      <c r="AG17" s="384"/>
    </row>
    <row r="18" s="103" customFormat="1" ht="12.75" spans="1:33">
      <c r="A18" s="370">
        <v>12</v>
      </c>
      <c r="B18" s="373">
        <v>0.0877</v>
      </c>
      <c r="C18" s="375">
        <v>0.1407</v>
      </c>
      <c r="D18" s="30"/>
      <c r="E18" s="379"/>
      <c r="F18" s="63"/>
      <c r="G18" s="63"/>
      <c r="H18" s="63"/>
      <c r="I18" s="63"/>
      <c r="J18" s="63"/>
      <c r="K18" s="63"/>
      <c r="L18" s="63"/>
      <c r="M18" s="63"/>
      <c r="N18" s="63"/>
      <c r="O18" s="63"/>
      <c r="P18" s="61">
        <f t="shared" si="2"/>
        <v>0</v>
      </c>
      <c r="Q18" s="61">
        <f t="shared" si="3"/>
        <v>0</v>
      </c>
      <c r="R18" s="61" t="e">
        <f t="shared" si="4"/>
        <v>#DIV/0!</v>
      </c>
      <c r="S18" s="61">
        <f t="shared" si="5"/>
        <v>0</v>
      </c>
      <c r="T18" s="145"/>
      <c r="U18" s="145"/>
      <c r="V18" s="145"/>
      <c r="W18" s="145"/>
      <c r="X18" s="145"/>
      <c r="Y18" s="145"/>
      <c r="Z18" s="145"/>
      <c r="AA18" s="384"/>
      <c r="AB18" s="384"/>
      <c r="AC18" s="384"/>
      <c r="AD18" s="384"/>
      <c r="AE18" s="384"/>
      <c r="AF18" s="384"/>
      <c r="AG18" s="384"/>
    </row>
    <row r="19" s="103" customFormat="1" ht="12.75" spans="1:33">
      <c r="A19" s="370">
        <v>13</v>
      </c>
      <c r="B19" s="373">
        <v>0.1407</v>
      </c>
      <c r="C19" s="375">
        <v>0.2324</v>
      </c>
      <c r="D19" s="30"/>
      <c r="E19" s="379"/>
      <c r="F19" s="63"/>
      <c r="G19" s="63"/>
      <c r="H19" s="63"/>
      <c r="I19" s="63"/>
      <c r="J19" s="63"/>
      <c r="K19" s="63"/>
      <c r="L19" s="63"/>
      <c r="M19" s="63"/>
      <c r="N19" s="63"/>
      <c r="O19" s="63"/>
      <c r="P19" s="61">
        <f t="shared" si="2"/>
        <v>0</v>
      </c>
      <c r="Q19" s="61">
        <f t="shared" si="3"/>
        <v>0</v>
      </c>
      <c r="R19" s="61" t="e">
        <f t="shared" si="4"/>
        <v>#DIV/0!</v>
      </c>
      <c r="S19" s="61">
        <f t="shared" si="5"/>
        <v>0</v>
      </c>
      <c r="T19" s="145"/>
      <c r="U19" s="145"/>
      <c r="V19" s="145"/>
      <c r="W19" s="145"/>
      <c r="X19" s="145"/>
      <c r="Y19" s="145"/>
      <c r="Z19" s="145"/>
      <c r="AA19" s="384"/>
      <c r="AB19" s="384"/>
      <c r="AC19" s="384"/>
      <c r="AD19" s="384"/>
      <c r="AE19" s="384"/>
      <c r="AF19" s="384"/>
      <c r="AG19" s="384"/>
    </row>
    <row r="20" s="103" customFormat="1" ht="12.75" spans="1:33">
      <c r="A20" s="370">
        <v>14</v>
      </c>
      <c r="B20" s="373">
        <v>0.2324</v>
      </c>
      <c r="C20" s="375">
        <v>0.3873</v>
      </c>
      <c r="D20" s="30"/>
      <c r="E20" s="379"/>
      <c r="F20" s="63"/>
      <c r="G20" s="63"/>
      <c r="H20" s="63"/>
      <c r="I20" s="63"/>
      <c r="J20" s="63"/>
      <c r="K20" s="63"/>
      <c r="L20" s="63"/>
      <c r="M20" s="63"/>
      <c r="N20" s="63"/>
      <c r="O20" s="63"/>
      <c r="P20" s="61">
        <f t="shared" si="2"/>
        <v>0</v>
      </c>
      <c r="Q20" s="61">
        <f t="shared" si="3"/>
        <v>0</v>
      </c>
      <c r="R20" s="61" t="e">
        <f t="shared" si="4"/>
        <v>#DIV/0!</v>
      </c>
      <c r="S20" s="61">
        <f t="shared" si="5"/>
        <v>0</v>
      </c>
      <c r="T20" s="145"/>
      <c r="U20" s="145"/>
      <c r="V20" s="145"/>
      <c r="W20" s="145"/>
      <c r="X20" s="145"/>
      <c r="Y20" s="145"/>
      <c r="Z20" s="145"/>
      <c r="AA20" s="384"/>
      <c r="AB20" s="384"/>
      <c r="AC20" s="384"/>
      <c r="AD20" s="384"/>
      <c r="AE20" s="384"/>
      <c r="AF20" s="384"/>
      <c r="AG20" s="384"/>
    </row>
    <row r="21" s="103" customFormat="1" ht="12.75" spans="1:33">
      <c r="A21" s="370">
        <v>15</v>
      </c>
      <c r="B21" s="373">
        <v>0.3873</v>
      </c>
      <c r="C21" s="375">
        <v>0.6519</v>
      </c>
      <c r="D21" s="30"/>
      <c r="E21" s="379"/>
      <c r="F21" s="63"/>
      <c r="G21" s="63"/>
      <c r="H21" s="63"/>
      <c r="I21" s="63"/>
      <c r="J21" s="63"/>
      <c r="K21" s="63"/>
      <c r="L21" s="63"/>
      <c r="M21" s="63"/>
      <c r="N21" s="63"/>
      <c r="O21" s="63"/>
      <c r="P21" s="61">
        <f t="shared" si="2"/>
        <v>0</v>
      </c>
      <c r="Q21" s="61">
        <f t="shared" si="3"/>
        <v>0</v>
      </c>
      <c r="R21" s="61" t="e">
        <f t="shared" si="4"/>
        <v>#DIV/0!</v>
      </c>
      <c r="S21" s="61">
        <f t="shared" si="5"/>
        <v>0</v>
      </c>
      <c r="T21" s="145"/>
      <c r="U21" s="145"/>
      <c r="V21" s="145"/>
      <c r="W21" s="145"/>
      <c r="X21" s="145"/>
      <c r="Y21" s="145"/>
      <c r="Z21" s="145"/>
      <c r="AA21" s="384"/>
      <c r="AB21" s="384"/>
      <c r="AC21" s="384"/>
      <c r="AD21" s="384"/>
      <c r="AE21" s="384"/>
      <c r="AF21" s="384"/>
      <c r="AG21" s="384"/>
    </row>
    <row r="22" s="103" customFormat="1" ht="12.75" spans="1:33">
      <c r="A22" s="370">
        <v>16</v>
      </c>
      <c r="B22" s="373">
        <v>0.6519</v>
      </c>
      <c r="C22" s="376">
        <v>1</v>
      </c>
      <c r="D22" s="30"/>
      <c r="E22" s="379"/>
      <c r="F22" s="63"/>
      <c r="G22" s="63"/>
      <c r="H22" s="63"/>
      <c r="I22" s="63"/>
      <c r="J22" s="63"/>
      <c r="K22" s="63"/>
      <c r="L22" s="63"/>
      <c r="M22" s="63"/>
      <c r="N22" s="63"/>
      <c r="O22" s="63"/>
      <c r="P22" s="61">
        <f t="shared" si="2"/>
        <v>0</v>
      </c>
      <c r="Q22" s="61">
        <f t="shared" si="3"/>
        <v>0</v>
      </c>
      <c r="R22" s="61" t="e">
        <f t="shared" si="4"/>
        <v>#DIV/0!</v>
      </c>
      <c r="S22" s="61">
        <f t="shared" si="5"/>
        <v>0</v>
      </c>
      <c r="T22" s="149"/>
      <c r="U22" s="149"/>
      <c r="V22" s="149"/>
      <c r="W22" s="149"/>
      <c r="X22" s="149"/>
      <c r="Y22" s="149"/>
      <c r="Z22" s="149"/>
      <c r="AA22" s="385"/>
      <c r="AB22" s="385"/>
      <c r="AC22" s="385"/>
      <c r="AD22" s="385"/>
      <c r="AE22" s="385"/>
      <c r="AF22" s="385"/>
      <c r="AG22" s="385"/>
    </row>
    <row r="23" s="103" customFormat="1" ht="12.75" spans="1:33">
      <c r="A23" s="370">
        <v>17</v>
      </c>
      <c r="B23" s="377">
        <v>1</v>
      </c>
      <c r="C23" s="376">
        <v>1</v>
      </c>
      <c r="D23" s="30"/>
      <c r="E23" s="379"/>
      <c r="F23" s="63"/>
      <c r="G23" s="63"/>
      <c r="H23" s="63"/>
      <c r="I23" s="63"/>
      <c r="J23" s="63"/>
      <c r="K23" s="63"/>
      <c r="L23" s="63"/>
      <c r="M23" s="63"/>
      <c r="N23" s="63"/>
      <c r="O23" s="63"/>
      <c r="P23" s="61">
        <f t="shared" si="2"/>
        <v>0</v>
      </c>
      <c r="Q23" s="61">
        <f t="shared" si="3"/>
        <v>0</v>
      </c>
      <c r="R23" s="61" t="e">
        <f t="shared" si="4"/>
        <v>#DIV/0!</v>
      </c>
      <c r="S23" s="61">
        <f t="shared" si="5"/>
        <v>0</v>
      </c>
      <c r="T23" s="382"/>
      <c r="U23" s="382"/>
      <c r="V23" s="382"/>
      <c r="W23" s="382"/>
      <c r="X23" s="382"/>
      <c r="Y23" s="382"/>
      <c r="Z23" s="382"/>
      <c r="AA23" s="386"/>
      <c r="AB23" s="386"/>
      <c r="AC23" s="386"/>
      <c r="AD23" s="386"/>
      <c r="AE23" s="386"/>
      <c r="AF23" s="386"/>
      <c r="AG23" s="386"/>
    </row>
    <row r="24" s="103" customFormat="1" ht="16" customHeight="1" spans="1:33">
      <c r="A24" s="139" t="s">
        <v>275</v>
      </c>
      <c r="B24" s="369"/>
      <c r="C24" s="27"/>
      <c r="D24" s="110"/>
      <c r="E24" s="118"/>
      <c r="F24" s="27"/>
      <c r="G24" s="27"/>
      <c r="H24" s="27"/>
      <c r="I24" s="27"/>
      <c r="J24" s="27"/>
      <c r="K24" s="27"/>
      <c r="L24" s="110"/>
      <c r="M24" s="110"/>
      <c r="N24" s="110"/>
      <c r="O24" s="27"/>
      <c r="P24" s="364"/>
      <c r="Q24" s="364"/>
      <c r="R24" s="364"/>
      <c r="S24" s="364"/>
      <c r="T24" s="27"/>
      <c r="U24" s="27"/>
      <c r="V24" s="27"/>
      <c r="W24" s="27"/>
      <c r="X24" s="27"/>
      <c r="Y24" s="27"/>
      <c r="Z24" s="27"/>
      <c r="AA24" s="27"/>
      <c r="AB24" s="27"/>
      <c r="AC24" s="27"/>
      <c r="AD24" s="27"/>
      <c r="AE24" s="27"/>
      <c r="AF24" s="27"/>
      <c r="AG24" s="27"/>
    </row>
    <row r="25" s="103" customFormat="1" ht="12.75" spans="1:33">
      <c r="A25" s="370">
        <v>18</v>
      </c>
      <c r="B25" s="371" t="s">
        <v>111</v>
      </c>
      <c r="C25" s="372"/>
      <c r="D25" s="61">
        <f>SUM(D26:D41)</f>
        <v>0</v>
      </c>
      <c r="E25" s="61">
        <f t="shared" ref="D25:O25" si="6">SUM(E26:E41)</f>
        <v>0</v>
      </c>
      <c r="F25" s="61">
        <f t="shared" si="6"/>
        <v>0</v>
      </c>
      <c r="G25" s="61">
        <f t="shared" si="6"/>
        <v>0</v>
      </c>
      <c r="H25" s="61">
        <f t="shared" si="6"/>
        <v>0</v>
      </c>
      <c r="I25" s="61">
        <f t="shared" si="6"/>
        <v>0</v>
      </c>
      <c r="J25" s="61">
        <f t="shared" si="6"/>
        <v>0</v>
      </c>
      <c r="K25" s="61">
        <f t="shared" si="6"/>
        <v>0</v>
      </c>
      <c r="L25" s="61">
        <f t="shared" si="6"/>
        <v>0</v>
      </c>
      <c r="M25" s="61">
        <f t="shared" si="6"/>
        <v>0</v>
      </c>
      <c r="N25" s="61">
        <f t="shared" si="6"/>
        <v>0</v>
      </c>
      <c r="O25" s="61">
        <f t="shared" si="6"/>
        <v>0</v>
      </c>
      <c r="P25" s="61">
        <f t="shared" ref="P25:P41" si="7">E25+I25+M25</f>
        <v>0</v>
      </c>
      <c r="Q25" s="61">
        <f t="shared" ref="Q25:Q41" si="8">F25+J25+N25</f>
        <v>0</v>
      </c>
      <c r="R25" s="61" t="e">
        <f t="shared" ref="R25:R41" si="9">Q25/P25</f>
        <v>#DIV/0!</v>
      </c>
      <c r="S25" s="61">
        <f t="shared" ref="S25:S41" si="10">G25+K25+O25</f>
        <v>0</v>
      </c>
      <c r="T25" s="61">
        <f t="shared" ref="T25:AF25" si="11">SUM(T26:T41)</f>
        <v>0</v>
      </c>
      <c r="U25" s="61">
        <f t="shared" si="11"/>
        <v>0</v>
      </c>
      <c r="V25" s="61">
        <f t="shared" si="11"/>
        <v>0</v>
      </c>
      <c r="W25" s="61">
        <f t="shared" si="11"/>
        <v>0</v>
      </c>
      <c r="X25" s="61">
        <f t="shared" si="11"/>
        <v>0</v>
      </c>
      <c r="Y25" s="61">
        <f t="shared" si="11"/>
        <v>0</v>
      </c>
      <c r="Z25" s="61">
        <f t="shared" si="11"/>
        <v>0</v>
      </c>
      <c r="AA25" s="61">
        <f t="shared" si="11"/>
        <v>0</v>
      </c>
      <c r="AB25" s="61">
        <f t="shared" si="11"/>
        <v>0</v>
      </c>
      <c r="AC25" s="61">
        <f t="shared" si="11"/>
        <v>0</v>
      </c>
      <c r="AD25" s="61">
        <f t="shared" si="11"/>
        <v>0</v>
      </c>
      <c r="AE25" s="61">
        <f t="shared" si="11"/>
        <v>0</v>
      </c>
      <c r="AF25" s="61">
        <f t="shared" si="11"/>
        <v>0</v>
      </c>
      <c r="AG25" s="145"/>
    </row>
    <row r="26" s="103" customFormat="1" ht="12.75" spans="1:33">
      <c r="A26" s="370">
        <v>19</v>
      </c>
      <c r="B26" s="373">
        <v>0.0005</v>
      </c>
      <c r="C26" s="374">
        <v>0.0013</v>
      </c>
      <c r="D26" s="30"/>
      <c r="E26" s="379"/>
      <c r="F26" s="63"/>
      <c r="G26" s="63"/>
      <c r="H26" s="63"/>
      <c r="I26" s="63"/>
      <c r="J26" s="63"/>
      <c r="K26" s="63"/>
      <c r="L26" s="63"/>
      <c r="M26" s="63"/>
      <c r="N26" s="63"/>
      <c r="O26" s="63"/>
      <c r="P26" s="61">
        <f t="shared" si="7"/>
        <v>0</v>
      </c>
      <c r="Q26" s="61">
        <f t="shared" si="8"/>
        <v>0</v>
      </c>
      <c r="R26" s="61" t="e">
        <f t="shared" si="9"/>
        <v>#DIV/0!</v>
      </c>
      <c r="S26" s="61">
        <f t="shared" si="10"/>
        <v>0</v>
      </c>
      <c r="T26" s="145"/>
      <c r="U26" s="145"/>
      <c r="V26" s="145"/>
      <c r="W26" s="145"/>
      <c r="X26" s="145"/>
      <c r="Y26" s="145"/>
      <c r="Z26" s="145"/>
      <c r="AA26" s="145"/>
      <c r="AB26" s="145"/>
      <c r="AC26" s="145"/>
      <c r="AD26" s="145"/>
      <c r="AE26" s="145"/>
      <c r="AF26" s="145"/>
      <c r="AG26" s="384"/>
    </row>
    <row r="27" s="103" customFormat="1" ht="12.75" spans="1:33">
      <c r="A27" s="370">
        <v>20</v>
      </c>
      <c r="B27" s="373">
        <v>0.0013</v>
      </c>
      <c r="C27" s="375">
        <v>0.002</v>
      </c>
      <c r="D27" s="30"/>
      <c r="E27" s="379"/>
      <c r="F27" s="63"/>
      <c r="G27" s="63"/>
      <c r="H27" s="63"/>
      <c r="I27" s="63"/>
      <c r="J27" s="63"/>
      <c r="K27" s="63"/>
      <c r="L27" s="63"/>
      <c r="M27" s="63"/>
      <c r="N27" s="63"/>
      <c r="O27" s="63"/>
      <c r="P27" s="61">
        <f t="shared" si="7"/>
        <v>0</v>
      </c>
      <c r="Q27" s="61">
        <f t="shared" si="8"/>
        <v>0</v>
      </c>
      <c r="R27" s="61" t="e">
        <f t="shared" si="9"/>
        <v>#DIV/0!</v>
      </c>
      <c r="S27" s="61">
        <f t="shared" si="10"/>
        <v>0</v>
      </c>
      <c r="T27" s="145"/>
      <c r="U27" s="145"/>
      <c r="V27" s="145"/>
      <c r="W27" s="145"/>
      <c r="X27" s="145"/>
      <c r="Y27" s="145"/>
      <c r="Z27" s="145"/>
      <c r="AA27" s="145"/>
      <c r="AB27" s="145"/>
      <c r="AC27" s="145"/>
      <c r="AD27" s="145"/>
      <c r="AE27" s="145"/>
      <c r="AF27" s="145"/>
      <c r="AG27" s="384"/>
    </row>
    <row r="28" s="103" customFormat="1" ht="12.75" spans="1:33">
      <c r="A28" s="370">
        <v>21</v>
      </c>
      <c r="B28" s="373">
        <v>0.002</v>
      </c>
      <c r="C28" s="375">
        <v>0.0033</v>
      </c>
      <c r="D28" s="30"/>
      <c r="E28" s="379"/>
      <c r="F28" s="63"/>
      <c r="G28" s="63"/>
      <c r="H28" s="63"/>
      <c r="I28" s="63"/>
      <c r="J28" s="63"/>
      <c r="K28" s="63"/>
      <c r="L28" s="63"/>
      <c r="M28" s="63"/>
      <c r="N28" s="63"/>
      <c r="O28" s="63"/>
      <c r="P28" s="61">
        <f t="shared" si="7"/>
        <v>0</v>
      </c>
      <c r="Q28" s="61">
        <f t="shared" si="8"/>
        <v>0</v>
      </c>
      <c r="R28" s="61" t="e">
        <f t="shared" si="9"/>
        <v>#DIV/0!</v>
      </c>
      <c r="S28" s="61">
        <f t="shared" si="10"/>
        <v>0</v>
      </c>
      <c r="T28" s="145"/>
      <c r="U28" s="145"/>
      <c r="V28" s="145"/>
      <c r="W28" s="145"/>
      <c r="X28" s="145"/>
      <c r="Y28" s="145"/>
      <c r="Z28" s="145"/>
      <c r="AA28" s="145"/>
      <c r="AB28" s="145"/>
      <c r="AC28" s="145"/>
      <c r="AD28" s="145"/>
      <c r="AE28" s="145"/>
      <c r="AF28" s="145"/>
      <c r="AG28" s="384"/>
    </row>
    <row r="29" s="103" customFormat="1" ht="12.75" spans="1:33">
      <c r="A29" s="370">
        <v>22</v>
      </c>
      <c r="B29" s="373">
        <v>0.0033</v>
      </c>
      <c r="C29" s="375">
        <v>0.0053</v>
      </c>
      <c r="D29" s="30"/>
      <c r="E29" s="379"/>
      <c r="F29" s="63"/>
      <c r="G29" s="63"/>
      <c r="H29" s="63"/>
      <c r="I29" s="63"/>
      <c r="J29" s="63"/>
      <c r="K29" s="63"/>
      <c r="L29" s="63"/>
      <c r="M29" s="63"/>
      <c r="N29" s="63"/>
      <c r="O29" s="63"/>
      <c r="P29" s="61">
        <f t="shared" si="7"/>
        <v>0</v>
      </c>
      <c r="Q29" s="61">
        <f t="shared" si="8"/>
        <v>0</v>
      </c>
      <c r="R29" s="61" t="e">
        <f t="shared" si="9"/>
        <v>#DIV/0!</v>
      </c>
      <c r="S29" s="61">
        <f t="shared" si="10"/>
        <v>0</v>
      </c>
      <c r="T29" s="145"/>
      <c r="U29" s="145"/>
      <c r="V29" s="145"/>
      <c r="W29" s="145"/>
      <c r="X29" s="145"/>
      <c r="Y29" s="145"/>
      <c r="Z29" s="145"/>
      <c r="AA29" s="145"/>
      <c r="AB29" s="145"/>
      <c r="AC29" s="145"/>
      <c r="AD29" s="145"/>
      <c r="AE29" s="145"/>
      <c r="AF29" s="145"/>
      <c r="AG29" s="384"/>
    </row>
    <row r="30" s="103" customFormat="1" ht="12.75" spans="1:33">
      <c r="A30" s="370">
        <v>23</v>
      </c>
      <c r="B30" s="373">
        <v>0.0053</v>
      </c>
      <c r="C30" s="375">
        <v>0.0086</v>
      </c>
      <c r="D30" s="30"/>
      <c r="E30" s="379"/>
      <c r="F30" s="63"/>
      <c r="G30" s="63"/>
      <c r="H30" s="63"/>
      <c r="I30" s="63"/>
      <c r="J30" s="63"/>
      <c r="K30" s="63"/>
      <c r="L30" s="63"/>
      <c r="M30" s="63"/>
      <c r="N30" s="63"/>
      <c r="O30" s="63"/>
      <c r="P30" s="61">
        <f t="shared" si="7"/>
        <v>0</v>
      </c>
      <c r="Q30" s="61">
        <f t="shared" si="8"/>
        <v>0</v>
      </c>
      <c r="R30" s="61" t="e">
        <f t="shared" si="9"/>
        <v>#DIV/0!</v>
      </c>
      <c r="S30" s="61">
        <f t="shared" si="10"/>
        <v>0</v>
      </c>
      <c r="T30" s="145"/>
      <c r="U30" s="145"/>
      <c r="V30" s="145"/>
      <c r="W30" s="145"/>
      <c r="X30" s="145"/>
      <c r="Y30" s="145"/>
      <c r="Z30" s="145"/>
      <c r="AA30" s="145"/>
      <c r="AB30" s="145"/>
      <c r="AC30" s="145"/>
      <c r="AD30" s="145"/>
      <c r="AE30" s="145"/>
      <c r="AF30" s="145"/>
      <c r="AG30" s="384"/>
    </row>
    <row r="31" s="103" customFormat="1" ht="12.75" spans="1:33">
      <c r="A31" s="370">
        <v>24</v>
      </c>
      <c r="B31" s="373">
        <v>0.0086</v>
      </c>
      <c r="C31" s="375">
        <v>0.0137</v>
      </c>
      <c r="D31" s="30"/>
      <c r="E31" s="379"/>
      <c r="F31" s="63"/>
      <c r="G31" s="63"/>
      <c r="H31" s="63"/>
      <c r="I31" s="63"/>
      <c r="J31" s="63"/>
      <c r="K31" s="63"/>
      <c r="L31" s="63"/>
      <c r="M31" s="63"/>
      <c r="N31" s="63"/>
      <c r="O31" s="63"/>
      <c r="P31" s="61">
        <f t="shared" si="7"/>
        <v>0</v>
      </c>
      <c r="Q31" s="61">
        <f t="shared" si="8"/>
        <v>0</v>
      </c>
      <c r="R31" s="61" t="e">
        <f t="shared" si="9"/>
        <v>#DIV/0!</v>
      </c>
      <c r="S31" s="61">
        <f t="shared" si="10"/>
        <v>0</v>
      </c>
      <c r="T31" s="145"/>
      <c r="U31" s="145"/>
      <c r="V31" s="145"/>
      <c r="W31" s="145"/>
      <c r="X31" s="145"/>
      <c r="Y31" s="145"/>
      <c r="Z31" s="145"/>
      <c r="AA31" s="145"/>
      <c r="AB31" s="145"/>
      <c r="AC31" s="145"/>
      <c r="AD31" s="145"/>
      <c r="AE31" s="145"/>
      <c r="AF31" s="145"/>
      <c r="AG31" s="384"/>
    </row>
    <row r="32" s="103" customFormat="1" ht="12.75" spans="1:33">
      <c r="A32" s="370">
        <v>25</v>
      </c>
      <c r="B32" s="373">
        <v>0.0137</v>
      </c>
      <c r="C32" s="375">
        <v>0.0214</v>
      </c>
      <c r="D32" s="30"/>
      <c r="E32" s="379"/>
      <c r="F32" s="63"/>
      <c r="G32" s="63"/>
      <c r="H32" s="63"/>
      <c r="I32" s="63"/>
      <c r="J32" s="63"/>
      <c r="K32" s="63"/>
      <c r="L32" s="63"/>
      <c r="M32" s="63"/>
      <c r="N32" s="63"/>
      <c r="O32" s="63"/>
      <c r="P32" s="61">
        <f t="shared" si="7"/>
        <v>0</v>
      </c>
      <c r="Q32" s="61">
        <f t="shared" si="8"/>
        <v>0</v>
      </c>
      <c r="R32" s="61" t="e">
        <f t="shared" si="9"/>
        <v>#DIV/0!</v>
      </c>
      <c r="S32" s="61">
        <f t="shared" si="10"/>
        <v>0</v>
      </c>
      <c r="T32" s="145"/>
      <c r="U32" s="145"/>
      <c r="V32" s="145"/>
      <c r="W32" s="145"/>
      <c r="X32" s="145"/>
      <c r="Y32" s="145"/>
      <c r="Z32" s="145"/>
      <c r="AA32" s="145"/>
      <c r="AB32" s="145"/>
      <c r="AC32" s="145"/>
      <c r="AD32" s="145"/>
      <c r="AE32" s="145"/>
      <c r="AF32" s="145"/>
      <c r="AG32" s="384"/>
    </row>
    <row r="33" s="103" customFormat="1" ht="12.75" spans="1:33">
      <c r="A33" s="370">
        <v>26</v>
      </c>
      <c r="B33" s="373">
        <v>0.0214</v>
      </c>
      <c r="C33" s="375">
        <v>0.0341</v>
      </c>
      <c r="D33" s="30"/>
      <c r="E33" s="379"/>
      <c r="F33" s="63"/>
      <c r="G33" s="63"/>
      <c r="H33" s="63"/>
      <c r="I33" s="63"/>
      <c r="J33" s="63"/>
      <c r="K33" s="63"/>
      <c r="L33" s="63"/>
      <c r="M33" s="63"/>
      <c r="N33" s="63"/>
      <c r="O33" s="63"/>
      <c r="P33" s="61">
        <f t="shared" si="7"/>
        <v>0</v>
      </c>
      <c r="Q33" s="61">
        <f t="shared" si="8"/>
        <v>0</v>
      </c>
      <c r="R33" s="61" t="e">
        <f t="shared" si="9"/>
        <v>#DIV/0!</v>
      </c>
      <c r="S33" s="61">
        <f t="shared" si="10"/>
        <v>0</v>
      </c>
      <c r="T33" s="145"/>
      <c r="U33" s="145"/>
      <c r="V33" s="145"/>
      <c r="W33" s="145"/>
      <c r="X33" s="145"/>
      <c r="Y33" s="145"/>
      <c r="Z33" s="145"/>
      <c r="AA33" s="145"/>
      <c r="AB33" s="145"/>
      <c r="AC33" s="145"/>
      <c r="AD33" s="145"/>
      <c r="AE33" s="145"/>
      <c r="AF33" s="145"/>
      <c r="AG33" s="384"/>
    </row>
    <row r="34" s="103" customFormat="1" ht="12.75" spans="1:33">
      <c r="A34" s="370">
        <v>27</v>
      </c>
      <c r="B34" s="373">
        <v>0.0341</v>
      </c>
      <c r="C34" s="375">
        <v>0.0549</v>
      </c>
      <c r="D34" s="30"/>
      <c r="E34" s="379"/>
      <c r="F34" s="63"/>
      <c r="G34" s="63"/>
      <c r="H34" s="63"/>
      <c r="I34" s="63"/>
      <c r="J34" s="63"/>
      <c r="K34" s="63"/>
      <c r="L34" s="63"/>
      <c r="M34" s="63"/>
      <c r="N34" s="63"/>
      <c r="O34" s="63"/>
      <c r="P34" s="61">
        <f t="shared" si="7"/>
        <v>0</v>
      </c>
      <c r="Q34" s="61">
        <f t="shared" si="8"/>
        <v>0</v>
      </c>
      <c r="R34" s="61" t="e">
        <f t="shared" si="9"/>
        <v>#DIV/0!</v>
      </c>
      <c r="S34" s="61">
        <f t="shared" si="10"/>
        <v>0</v>
      </c>
      <c r="T34" s="145"/>
      <c r="U34" s="145"/>
      <c r="V34" s="145"/>
      <c r="W34" s="145"/>
      <c r="X34" s="145"/>
      <c r="Y34" s="145"/>
      <c r="Z34" s="145"/>
      <c r="AA34" s="145"/>
      <c r="AB34" s="145"/>
      <c r="AC34" s="145"/>
      <c r="AD34" s="145"/>
      <c r="AE34" s="145"/>
      <c r="AF34" s="145"/>
      <c r="AG34" s="384"/>
    </row>
    <row r="35" s="103" customFormat="1" ht="12.75" spans="1:33">
      <c r="A35" s="370">
        <v>28</v>
      </c>
      <c r="B35" s="373">
        <v>0.0549</v>
      </c>
      <c r="C35" s="375">
        <v>0.0877</v>
      </c>
      <c r="D35" s="30"/>
      <c r="E35" s="379"/>
      <c r="F35" s="63"/>
      <c r="G35" s="63"/>
      <c r="H35" s="63"/>
      <c r="I35" s="63"/>
      <c r="J35" s="63"/>
      <c r="K35" s="63"/>
      <c r="L35" s="63"/>
      <c r="M35" s="63"/>
      <c r="N35" s="63"/>
      <c r="O35" s="63"/>
      <c r="P35" s="61">
        <f t="shared" si="7"/>
        <v>0</v>
      </c>
      <c r="Q35" s="61">
        <f t="shared" si="8"/>
        <v>0</v>
      </c>
      <c r="R35" s="61" t="e">
        <f t="shared" si="9"/>
        <v>#DIV/0!</v>
      </c>
      <c r="S35" s="61">
        <f t="shared" si="10"/>
        <v>0</v>
      </c>
      <c r="T35" s="145"/>
      <c r="U35" s="145"/>
      <c r="V35" s="145"/>
      <c r="W35" s="145"/>
      <c r="X35" s="145"/>
      <c r="Y35" s="145"/>
      <c r="Z35" s="145"/>
      <c r="AA35" s="145"/>
      <c r="AB35" s="145"/>
      <c r="AC35" s="145"/>
      <c r="AD35" s="145"/>
      <c r="AE35" s="145"/>
      <c r="AF35" s="145"/>
      <c r="AG35" s="384"/>
    </row>
    <row r="36" s="103" customFormat="1" ht="12.75" spans="1:33">
      <c r="A36" s="370">
        <v>29</v>
      </c>
      <c r="B36" s="373">
        <v>0.0877</v>
      </c>
      <c r="C36" s="375">
        <v>0.1407</v>
      </c>
      <c r="D36" s="30"/>
      <c r="E36" s="379"/>
      <c r="F36" s="63"/>
      <c r="G36" s="63"/>
      <c r="H36" s="63"/>
      <c r="I36" s="63"/>
      <c r="J36" s="63"/>
      <c r="K36" s="63"/>
      <c r="L36" s="63"/>
      <c r="M36" s="63"/>
      <c r="N36" s="63"/>
      <c r="O36" s="63"/>
      <c r="P36" s="61">
        <f t="shared" si="7"/>
        <v>0</v>
      </c>
      <c r="Q36" s="61">
        <f t="shared" si="8"/>
        <v>0</v>
      </c>
      <c r="R36" s="61" t="e">
        <f t="shared" si="9"/>
        <v>#DIV/0!</v>
      </c>
      <c r="S36" s="61">
        <f t="shared" si="10"/>
        <v>0</v>
      </c>
      <c r="T36" s="145"/>
      <c r="U36" s="145"/>
      <c r="V36" s="145"/>
      <c r="W36" s="145"/>
      <c r="X36" s="145"/>
      <c r="Y36" s="145"/>
      <c r="Z36" s="145"/>
      <c r="AA36" s="145"/>
      <c r="AB36" s="145"/>
      <c r="AC36" s="145"/>
      <c r="AD36" s="145"/>
      <c r="AE36" s="145"/>
      <c r="AF36" s="145"/>
      <c r="AG36" s="384"/>
    </row>
    <row r="37" s="103" customFormat="1" ht="12.75" spans="1:33">
      <c r="A37" s="370">
        <v>30</v>
      </c>
      <c r="B37" s="373">
        <v>0.1407</v>
      </c>
      <c r="C37" s="375">
        <v>0.2324</v>
      </c>
      <c r="D37" s="30"/>
      <c r="E37" s="379"/>
      <c r="F37" s="63"/>
      <c r="G37" s="63"/>
      <c r="H37" s="63"/>
      <c r="I37" s="63"/>
      <c r="J37" s="63"/>
      <c r="K37" s="63"/>
      <c r="L37" s="63"/>
      <c r="M37" s="63"/>
      <c r="N37" s="63"/>
      <c r="O37" s="63"/>
      <c r="P37" s="61">
        <f t="shared" si="7"/>
        <v>0</v>
      </c>
      <c r="Q37" s="61">
        <f t="shared" si="8"/>
        <v>0</v>
      </c>
      <c r="R37" s="61" t="e">
        <f t="shared" si="9"/>
        <v>#DIV/0!</v>
      </c>
      <c r="S37" s="61">
        <f t="shared" si="10"/>
        <v>0</v>
      </c>
      <c r="T37" s="145"/>
      <c r="U37" s="145"/>
      <c r="V37" s="145"/>
      <c r="W37" s="145"/>
      <c r="X37" s="145"/>
      <c r="Y37" s="145"/>
      <c r="Z37" s="145"/>
      <c r="AA37" s="145"/>
      <c r="AB37" s="145"/>
      <c r="AC37" s="145"/>
      <c r="AD37" s="145"/>
      <c r="AE37" s="145"/>
      <c r="AF37" s="145"/>
      <c r="AG37" s="384"/>
    </row>
    <row r="38" s="103" customFormat="1" ht="12.75" spans="1:33">
      <c r="A38" s="370">
        <v>31</v>
      </c>
      <c r="B38" s="373">
        <v>0.2324</v>
      </c>
      <c r="C38" s="375">
        <v>0.3873</v>
      </c>
      <c r="D38" s="30"/>
      <c r="E38" s="379"/>
      <c r="F38" s="63"/>
      <c r="G38" s="63"/>
      <c r="H38" s="63"/>
      <c r="I38" s="63"/>
      <c r="J38" s="63"/>
      <c r="K38" s="63"/>
      <c r="L38" s="63"/>
      <c r="M38" s="63"/>
      <c r="N38" s="63"/>
      <c r="O38" s="63"/>
      <c r="P38" s="61">
        <f t="shared" si="7"/>
        <v>0</v>
      </c>
      <c r="Q38" s="61">
        <f t="shared" si="8"/>
        <v>0</v>
      </c>
      <c r="R38" s="61" t="e">
        <f t="shared" si="9"/>
        <v>#DIV/0!</v>
      </c>
      <c r="S38" s="61">
        <f t="shared" si="10"/>
        <v>0</v>
      </c>
      <c r="T38" s="145"/>
      <c r="U38" s="145"/>
      <c r="V38" s="145"/>
      <c r="W38" s="145"/>
      <c r="X38" s="145"/>
      <c r="Y38" s="145"/>
      <c r="Z38" s="145"/>
      <c r="AA38" s="145"/>
      <c r="AB38" s="145"/>
      <c r="AC38" s="145"/>
      <c r="AD38" s="145"/>
      <c r="AE38" s="145"/>
      <c r="AF38" s="145"/>
      <c r="AG38" s="384"/>
    </row>
    <row r="39" s="103" customFormat="1" ht="12.75" spans="1:33">
      <c r="A39" s="370">
        <v>32</v>
      </c>
      <c r="B39" s="373">
        <v>0.3873</v>
      </c>
      <c r="C39" s="375">
        <v>0.6519</v>
      </c>
      <c r="D39" s="30"/>
      <c r="E39" s="379"/>
      <c r="F39" s="63"/>
      <c r="G39" s="63"/>
      <c r="H39" s="63"/>
      <c r="I39" s="63"/>
      <c r="J39" s="63"/>
      <c r="K39" s="63"/>
      <c r="L39" s="63"/>
      <c r="M39" s="63"/>
      <c r="N39" s="63"/>
      <c r="O39" s="63"/>
      <c r="P39" s="61">
        <f t="shared" si="7"/>
        <v>0</v>
      </c>
      <c r="Q39" s="61">
        <f t="shared" si="8"/>
        <v>0</v>
      </c>
      <c r="R39" s="61" t="e">
        <f t="shared" si="9"/>
        <v>#DIV/0!</v>
      </c>
      <c r="S39" s="61">
        <f t="shared" si="10"/>
        <v>0</v>
      </c>
      <c r="T39" s="145"/>
      <c r="U39" s="145"/>
      <c r="V39" s="145"/>
      <c r="W39" s="145"/>
      <c r="X39" s="145"/>
      <c r="Y39" s="145"/>
      <c r="Z39" s="145"/>
      <c r="AA39" s="145"/>
      <c r="AB39" s="145"/>
      <c r="AC39" s="145"/>
      <c r="AD39" s="145"/>
      <c r="AE39" s="145"/>
      <c r="AF39" s="145"/>
      <c r="AG39" s="384"/>
    </row>
    <row r="40" s="103" customFormat="1" ht="12.75" spans="1:33">
      <c r="A40" s="370">
        <v>33</v>
      </c>
      <c r="B40" s="373">
        <v>0.6519</v>
      </c>
      <c r="C40" s="376">
        <v>1</v>
      </c>
      <c r="D40" s="30"/>
      <c r="E40" s="379"/>
      <c r="F40" s="63"/>
      <c r="G40" s="63"/>
      <c r="H40" s="63"/>
      <c r="I40" s="63"/>
      <c r="J40" s="63"/>
      <c r="K40" s="63"/>
      <c r="L40" s="63"/>
      <c r="M40" s="63"/>
      <c r="N40" s="63"/>
      <c r="O40" s="63"/>
      <c r="P40" s="61">
        <f t="shared" si="7"/>
        <v>0</v>
      </c>
      <c r="Q40" s="61">
        <f t="shared" si="8"/>
        <v>0</v>
      </c>
      <c r="R40" s="61" t="e">
        <f t="shared" si="9"/>
        <v>#DIV/0!</v>
      </c>
      <c r="S40" s="61">
        <f t="shared" si="10"/>
        <v>0</v>
      </c>
      <c r="T40" s="149"/>
      <c r="U40" s="149"/>
      <c r="V40" s="149"/>
      <c r="W40" s="149"/>
      <c r="X40" s="149"/>
      <c r="Y40" s="149"/>
      <c r="Z40" s="149"/>
      <c r="AA40" s="149"/>
      <c r="AB40" s="149"/>
      <c r="AC40" s="149"/>
      <c r="AD40" s="149"/>
      <c r="AE40" s="149"/>
      <c r="AF40" s="149"/>
      <c r="AG40" s="385"/>
    </row>
    <row r="41" s="103" customFormat="1" ht="12.75" spans="1:33">
      <c r="A41" s="370">
        <v>34</v>
      </c>
      <c r="B41" s="377">
        <v>1</v>
      </c>
      <c r="C41" s="376">
        <v>1</v>
      </c>
      <c r="D41" s="30"/>
      <c r="E41" s="379"/>
      <c r="F41" s="63"/>
      <c r="G41" s="63"/>
      <c r="H41" s="63"/>
      <c r="I41" s="63"/>
      <c r="J41" s="63"/>
      <c r="K41" s="63"/>
      <c r="L41" s="63"/>
      <c r="M41" s="63"/>
      <c r="N41" s="63"/>
      <c r="O41" s="63"/>
      <c r="P41" s="61">
        <f t="shared" si="7"/>
        <v>0</v>
      </c>
      <c r="Q41" s="61">
        <f t="shared" si="8"/>
        <v>0</v>
      </c>
      <c r="R41" s="61" t="e">
        <f t="shared" si="9"/>
        <v>#DIV/0!</v>
      </c>
      <c r="S41" s="61">
        <f t="shared" si="10"/>
        <v>0</v>
      </c>
      <c r="T41" s="382"/>
      <c r="U41" s="382"/>
      <c r="V41" s="382"/>
      <c r="W41" s="382"/>
      <c r="X41" s="382"/>
      <c r="Y41" s="382"/>
      <c r="Z41" s="382"/>
      <c r="AA41" s="382"/>
      <c r="AB41" s="382"/>
      <c r="AC41" s="382"/>
      <c r="AD41" s="382"/>
      <c r="AE41" s="382"/>
      <c r="AF41" s="382"/>
      <c r="AG41" s="386"/>
    </row>
    <row r="42" s="103" customFormat="1" ht="16" customHeight="1" spans="1:33">
      <c r="A42" s="139" t="s">
        <v>276</v>
      </c>
      <c r="B42" s="369"/>
      <c r="C42" s="27"/>
      <c r="D42" s="110"/>
      <c r="E42" s="118"/>
      <c r="F42" s="27"/>
      <c r="G42" s="27"/>
      <c r="H42" s="27"/>
      <c r="I42" s="27"/>
      <c r="J42" s="27"/>
      <c r="K42" s="27"/>
      <c r="L42" s="110"/>
      <c r="M42" s="110"/>
      <c r="N42" s="110"/>
      <c r="O42" s="27"/>
      <c r="P42" s="364"/>
      <c r="Q42" s="364"/>
      <c r="R42" s="364"/>
      <c r="S42" s="364"/>
      <c r="T42" s="27"/>
      <c r="U42" s="27"/>
      <c r="V42" s="27"/>
      <c r="W42" s="27"/>
      <c r="X42" s="27"/>
      <c r="Y42" s="27"/>
      <c r="Z42" s="27"/>
      <c r="AA42" s="27"/>
      <c r="AB42" s="27"/>
      <c r="AC42" s="27"/>
      <c r="AD42" s="27"/>
      <c r="AE42" s="27"/>
      <c r="AF42" s="27"/>
      <c r="AG42" s="27"/>
    </row>
    <row r="43" s="103" customFormat="1" ht="12.75" spans="1:33">
      <c r="A43" s="370">
        <v>35</v>
      </c>
      <c r="B43" s="371" t="s">
        <v>111</v>
      </c>
      <c r="C43" s="372"/>
      <c r="D43" s="61">
        <f>SUM(D44:D59)</f>
        <v>0</v>
      </c>
      <c r="E43" s="61">
        <f t="shared" ref="E43:O43" si="12">SUM(E44:E59)</f>
        <v>0</v>
      </c>
      <c r="F43" s="61">
        <f t="shared" si="12"/>
        <v>0</v>
      </c>
      <c r="G43" s="61">
        <f t="shared" si="12"/>
        <v>0</v>
      </c>
      <c r="H43" s="61">
        <f t="shared" si="12"/>
        <v>0</v>
      </c>
      <c r="I43" s="61">
        <f t="shared" si="12"/>
        <v>0</v>
      </c>
      <c r="J43" s="61">
        <f t="shared" si="12"/>
        <v>0</v>
      </c>
      <c r="K43" s="61">
        <f t="shared" si="12"/>
        <v>0</v>
      </c>
      <c r="L43" s="61">
        <f t="shared" si="12"/>
        <v>0</v>
      </c>
      <c r="M43" s="61">
        <f t="shared" si="12"/>
        <v>0</v>
      </c>
      <c r="N43" s="61">
        <f t="shared" si="12"/>
        <v>0</v>
      </c>
      <c r="O43" s="61">
        <f t="shared" si="12"/>
        <v>0</v>
      </c>
      <c r="P43" s="61">
        <f t="shared" ref="P43:P59" si="13">E43+I43+M43</f>
        <v>0</v>
      </c>
      <c r="Q43" s="61">
        <f t="shared" ref="Q43:Q59" si="14">F43+J43+N43</f>
        <v>0</v>
      </c>
      <c r="R43" s="61" t="e">
        <f t="shared" ref="R43:R59" si="15">Q43/P43</f>
        <v>#DIV/0!</v>
      </c>
      <c r="S43" s="61">
        <f t="shared" ref="S43:S59" si="16">G43+K43+O43</f>
        <v>0</v>
      </c>
      <c r="T43" s="61">
        <f t="shared" ref="T43:Z43" si="17">SUM(T44:T59)</f>
        <v>0</v>
      </c>
      <c r="U43" s="61">
        <f t="shared" si="17"/>
        <v>0</v>
      </c>
      <c r="V43" s="61">
        <f t="shared" si="17"/>
        <v>0</v>
      </c>
      <c r="W43" s="61">
        <f t="shared" si="17"/>
        <v>0</v>
      </c>
      <c r="X43" s="61">
        <f t="shared" si="17"/>
        <v>0</v>
      </c>
      <c r="Y43" s="61">
        <f t="shared" si="17"/>
        <v>0</v>
      </c>
      <c r="Z43" s="61">
        <f t="shared" si="17"/>
        <v>0</v>
      </c>
      <c r="AA43" s="164"/>
      <c r="AB43" s="164"/>
      <c r="AC43" s="164"/>
      <c r="AD43" s="164"/>
      <c r="AE43" s="164"/>
      <c r="AF43" s="164"/>
      <c r="AG43" s="384"/>
    </row>
    <row r="44" s="103" customFormat="1" ht="12.75" spans="1:33">
      <c r="A44" s="370">
        <v>36</v>
      </c>
      <c r="B44" s="373">
        <v>0.0005</v>
      </c>
      <c r="C44" s="374">
        <v>0.0013</v>
      </c>
      <c r="D44" s="30"/>
      <c r="E44" s="379"/>
      <c r="F44" s="63"/>
      <c r="G44" s="63"/>
      <c r="H44" s="63"/>
      <c r="I44" s="63"/>
      <c r="J44" s="63"/>
      <c r="K44" s="63"/>
      <c r="L44" s="63"/>
      <c r="M44" s="63"/>
      <c r="N44" s="63"/>
      <c r="O44" s="63"/>
      <c r="P44" s="61">
        <f t="shared" si="13"/>
        <v>0</v>
      </c>
      <c r="Q44" s="61">
        <f t="shared" si="14"/>
        <v>0</v>
      </c>
      <c r="R44" s="61" t="e">
        <f t="shared" si="15"/>
        <v>#DIV/0!</v>
      </c>
      <c r="S44" s="61">
        <f t="shared" si="16"/>
        <v>0</v>
      </c>
      <c r="T44" s="145"/>
      <c r="U44" s="145"/>
      <c r="V44" s="145"/>
      <c r="W44" s="145"/>
      <c r="X44" s="145"/>
      <c r="Y44" s="145"/>
      <c r="Z44" s="145"/>
      <c r="AA44" s="384"/>
      <c r="AB44" s="384"/>
      <c r="AC44" s="384"/>
      <c r="AD44" s="384"/>
      <c r="AE44" s="384"/>
      <c r="AF44" s="384"/>
      <c r="AG44" s="384"/>
    </row>
    <row r="45" s="103" customFormat="1" ht="12.75" spans="1:33">
      <c r="A45" s="370">
        <v>37</v>
      </c>
      <c r="B45" s="373">
        <v>0.0013</v>
      </c>
      <c r="C45" s="375">
        <v>0.002</v>
      </c>
      <c r="D45" s="30"/>
      <c r="E45" s="379"/>
      <c r="F45" s="63"/>
      <c r="G45" s="63"/>
      <c r="H45" s="63"/>
      <c r="I45" s="63"/>
      <c r="J45" s="63"/>
      <c r="K45" s="63"/>
      <c r="L45" s="63"/>
      <c r="M45" s="63"/>
      <c r="N45" s="63"/>
      <c r="O45" s="63"/>
      <c r="P45" s="61">
        <f t="shared" si="13"/>
        <v>0</v>
      </c>
      <c r="Q45" s="61">
        <f t="shared" si="14"/>
        <v>0</v>
      </c>
      <c r="R45" s="61" t="e">
        <f t="shared" si="15"/>
        <v>#DIV/0!</v>
      </c>
      <c r="S45" s="61">
        <f t="shared" si="16"/>
        <v>0</v>
      </c>
      <c r="T45" s="145"/>
      <c r="U45" s="145"/>
      <c r="V45" s="145"/>
      <c r="W45" s="145"/>
      <c r="X45" s="145"/>
      <c r="Y45" s="145"/>
      <c r="Z45" s="145"/>
      <c r="AA45" s="384"/>
      <c r="AB45" s="384"/>
      <c r="AC45" s="384"/>
      <c r="AD45" s="384"/>
      <c r="AE45" s="384"/>
      <c r="AF45" s="384"/>
      <c r="AG45" s="384"/>
    </row>
    <row r="46" s="103" customFormat="1" ht="12.75" spans="1:33">
      <c r="A46" s="370">
        <v>38</v>
      </c>
      <c r="B46" s="373">
        <v>0.002</v>
      </c>
      <c r="C46" s="375">
        <v>0.0033</v>
      </c>
      <c r="D46" s="30"/>
      <c r="E46" s="379"/>
      <c r="F46" s="63"/>
      <c r="G46" s="63"/>
      <c r="H46" s="63"/>
      <c r="I46" s="63"/>
      <c r="J46" s="63"/>
      <c r="K46" s="63"/>
      <c r="L46" s="63"/>
      <c r="M46" s="63"/>
      <c r="N46" s="63"/>
      <c r="O46" s="63"/>
      <c r="P46" s="61">
        <f t="shared" si="13"/>
        <v>0</v>
      </c>
      <c r="Q46" s="61">
        <f t="shared" si="14"/>
        <v>0</v>
      </c>
      <c r="R46" s="61" t="e">
        <f t="shared" si="15"/>
        <v>#DIV/0!</v>
      </c>
      <c r="S46" s="61">
        <f t="shared" si="16"/>
        <v>0</v>
      </c>
      <c r="T46" s="145"/>
      <c r="U46" s="145"/>
      <c r="V46" s="145"/>
      <c r="W46" s="145"/>
      <c r="X46" s="145"/>
      <c r="Y46" s="145"/>
      <c r="Z46" s="145"/>
      <c r="AA46" s="384"/>
      <c r="AB46" s="384"/>
      <c r="AC46" s="384"/>
      <c r="AD46" s="384"/>
      <c r="AE46" s="384"/>
      <c r="AF46" s="384"/>
      <c r="AG46" s="384"/>
    </row>
    <row r="47" s="103" customFormat="1" ht="12.75" spans="1:33">
      <c r="A47" s="370">
        <v>39</v>
      </c>
      <c r="B47" s="373">
        <v>0.0033</v>
      </c>
      <c r="C47" s="375">
        <v>0.0053</v>
      </c>
      <c r="D47" s="30"/>
      <c r="E47" s="379"/>
      <c r="F47" s="63"/>
      <c r="G47" s="63"/>
      <c r="H47" s="63"/>
      <c r="I47" s="63"/>
      <c r="J47" s="63"/>
      <c r="K47" s="63"/>
      <c r="L47" s="63"/>
      <c r="M47" s="63"/>
      <c r="N47" s="63"/>
      <c r="O47" s="63"/>
      <c r="P47" s="61">
        <f t="shared" si="13"/>
        <v>0</v>
      </c>
      <c r="Q47" s="61">
        <f t="shared" si="14"/>
        <v>0</v>
      </c>
      <c r="R47" s="61" t="e">
        <f t="shared" si="15"/>
        <v>#DIV/0!</v>
      </c>
      <c r="S47" s="61">
        <f t="shared" si="16"/>
        <v>0</v>
      </c>
      <c r="T47" s="145"/>
      <c r="U47" s="145"/>
      <c r="V47" s="145"/>
      <c r="W47" s="145"/>
      <c r="X47" s="145"/>
      <c r="Y47" s="145"/>
      <c r="Z47" s="145"/>
      <c r="AA47" s="384"/>
      <c r="AB47" s="384"/>
      <c r="AC47" s="384"/>
      <c r="AD47" s="384"/>
      <c r="AE47" s="384"/>
      <c r="AF47" s="384"/>
      <c r="AG47" s="384"/>
    </row>
    <row r="48" s="103" customFormat="1" ht="12.75" spans="1:33">
      <c r="A48" s="370">
        <v>40</v>
      </c>
      <c r="B48" s="373">
        <v>0.0053</v>
      </c>
      <c r="C48" s="375">
        <v>0.0086</v>
      </c>
      <c r="D48" s="30"/>
      <c r="E48" s="379"/>
      <c r="F48" s="63"/>
      <c r="G48" s="63"/>
      <c r="H48" s="63"/>
      <c r="I48" s="63"/>
      <c r="J48" s="63"/>
      <c r="K48" s="63"/>
      <c r="L48" s="63"/>
      <c r="M48" s="63"/>
      <c r="N48" s="63"/>
      <c r="O48" s="63"/>
      <c r="P48" s="61">
        <f t="shared" si="13"/>
        <v>0</v>
      </c>
      <c r="Q48" s="61">
        <f t="shared" si="14"/>
        <v>0</v>
      </c>
      <c r="R48" s="61" t="e">
        <f t="shared" si="15"/>
        <v>#DIV/0!</v>
      </c>
      <c r="S48" s="61">
        <f t="shared" si="16"/>
        <v>0</v>
      </c>
      <c r="T48" s="145"/>
      <c r="U48" s="145"/>
      <c r="V48" s="145"/>
      <c r="W48" s="145"/>
      <c r="X48" s="145"/>
      <c r="Y48" s="145"/>
      <c r="Z48" s="145"/>
      <c r="AA48" s="384"/>
      <c r="AB48" s="384"/>
      <c r="AC48" s="384"/>
      <c r="AD48" s="384"/>
      <c r="AE48" s="384"/>
      <c r="AF48" s="384"/>
      <c r="AG48" s="384"/>
    </row>
    <row r="49" s="103" customFormat="1" ht="12.75" spans="1:33">
      <c r="A49" s="370">
        <v>41</v>
      </c>
      <c r="B49" s="373">
        <v>0.0086</v>
      </c>
      <c r="C49" s="375">
        <v>0.0137</v>
      </c>
      <c r="D49" s="30"/>
      <c r="E49" s="379"/>
      <c r="F49" s="63"/>
      <c r="G49" s="63"/>
      <c r="H49" s="63"/>
      <c r="I49" s="63"/>
      <c r="J49" s="63"/>
      <c r="K49" s="63"/>
      <c r="L49" s="63"/>
      <c r="M49" s="63"/>
      <c r="N49" s="63"/>
      <c r="O49" s="63"/>
      <c r="P49" s="61">
        <f t="shared" si="13"/>
        <v>0</v>
      </c>
      <c r="Q49" s="61">
        <f t="shared" si="14"/>
        <v>0</v>
      </c>
      <c r="R49" s="61" t="e">
        <f t="shared" si="15"/>
        <v>#DIV/0!</v>
      </c>
      <c r="S49" s="61">
        <f t="shared" si="16"/>
        <v>0</v>
      </c>
      <c r="T49" s="145"/>
      <c r="U49" s="145"/>
      <c r="V49" s="145"/>
      <c r="W49" s="145"/>
      <c r="X49" s="145"/>
      <c r="Y49" s="145"/>
      <c r="Z49" s="145"/>
      <c r="AA49" s="384"/>
      <c r="AB49" s="384"/>
      <c r="AC49" s="384"/>
      <c r="AD49" s="384"/>
      <c r="AE49" s="384"/>
      <c r="AF49" s="384"/>
      <c r="AG49" s="384"/>
    </row>
    <row r="50" s="103" customFormat="1" ht="12.75" spans="1:33">
      <c r="A50" s="370">
        <v>42</v>
      </c>
      <c r="B50" s="373">
        <v>0.0137</v>
      </c>
      <c r="C50" s="375">
        <v>0.0214</v>
      </c>
      <c r="D50" s="30"/>
      <c r="E50" s="379"/>
      <c r="F50" s="63"/>
      <c r="G50" s="63"/>
      <c r="H50" s="63"/>
      <c r="I50" s="63"/>
      <c r="J50" s="63"/>
      <c r="K50" s="63"/>
      <c r="L50" s="63"/>
      <c r="M50" s="63"/>
      <c r="N50" s="63"/>
      <c r="O50" s="63"/>
      <c r="P50" s="61">
        <f t="shared" si="13"/>
        <v>0</v>
      </c>
      <c r="Q50" s="61">
        <f t="shared" si="14"/>
        <v>0</v>
      </c>
      <c r="R50" s="61" t="e">
        <f t="shared" si="15"/>
        <v>#DIV/0!</v>
      </c>
      <c r="S50" s="61">
        <f t="shared" si="16"/>
        <v>0</v>
      </c>
      <c r="T50" s="145"/>
      <c r="U50" s="145"/>
      <c r="V50" s="145"/>
      <c r="W50" s="145"/>
      <c r="X50" s="145"/>
      <c r="Y50" s="145"/>
      <c r="Z50" s="145"/>
      <c r="AA50" s="384"/>
      <c r="AB50" s="384"/>
      <c r="AC50" s="384"/>
      <c r="AD50" s="384"/>
      <c r="AE50" s="384"/>
      <c r="AF50" s="384"/>
      <c r="AG50" s="384"/>
    </row>
    <row r="51" s="103" customFormat="1" ht="12.75" spans="1:33">
      <c r="A51" s="370">
        <v>43</v>
      </c>
      <c r="B51" s="373">
        <v>0.0214</v>
      </c>
      <c r="C51" s="375">
        <v>0.0341</v>
      </c>
      <c r="D51" s="30"/>
      <c r="E51" s="379"/>
      <c r="F51" s="63"/>
      <c r="G51" s="63"/>
      <c r="H51" s="63"/>
      <c r="I51" s="63"/>
      <c r="J51" s="63"/>
      <c r="K51" s="63"/>
      <c r="L51" s="63"/>
      <c r="M51" s="63"/>
      <c r="N51" s="63"/>
      <c r="O51" s="63"/>
      <c r="P51" s="61">
        <f t="shared" si="13"/>
        <v>0</v>
      </c>
      <c r="Q51" s="61">
        <f t="shared" si="14"/>
        <v>0</v>
      </c>
      <c r="R51" s="61" t="e">
        <f t="shared" si="15"/>
        <v>#DIV/0!</v>
      </c>
      <c r="S51" s="61">
        <f t="shared" si="16"/>
        <v>0</v>
      </c>
      <c r="T51" s="145"/>
      <c r="U51" s="145"/>
      <c r="V51" s="145"/>
      <c r="W51" s="145"/>
      <c r="X51" s="145"/>
      <c r="Y51" s="145"/>
      <c r="Z51" s="145"/>
      <c r="AA51" s="384"/>
      <c r="AB51" s="384"/>
      <c r="AC51" s="384"/>
      <c r="AD51" s="384"/>
      <c r="AE51" s="384"/>
      <c r="AF51" s="384"/>
      <c r="AG51" s="384"/>
    </row>
    <row r="52" s="103" customFormat="1" ht="12.75" spans="1:33">
      <c r="A52" s="370">
        <v>44</v>
      </c>
      <c r="B52" s="373">
        <v>0.0341</v>
      </c>
      <c r="C52" s="375">
        <v>0.0549</v>
      </c>
      <c r="D52" s="30"/>
      <c r="E52" s="379"/>
      <c r="F52" s="63"/>
      <c r="G52" s="63"/>
      <c r="H52" s="63"/>
      <c r="I52" s="63"/>
      <c r="J52" s="63"/>
      <c r="K52" s="63"/>
      <c r="L52" s="63"/>
      <c r="M52" s="63"/>
      <c r="N52" s="63"/>
      <c r="O52" s="63"/>
      <c r="P52" s="61">
        <f t="shared" si="13"/>
        <v>0</v>
      </c>
      <c r="Q52" s="61">
        <f t="shared" si="14"/>
        <v>0</v>
      </c>
      <c r="R52" s="61" t="e">
        <f t="shared" si="15"/>
        <v>#DIV/0!</v>
      </c>
      <c r="S52" s="61">
        <f t="shared" si="16"/>
        <v>0</v>
      </c>
      <c r="T52" s="145"/>
      <c r="U52" s="145"/>
      <c r="V52" s="145"/>
      <c r="W52" s="145"/>
      <c r="X52" s="145"/>
      <c r="Y52" s="145"/>
      <c r="Z52" s="145"/>
      <c r="AA52" s="384"/>
      <c r="AB52" s="384"/>
      <c r="AC52" s="384"/>
      <c r="AD52" s="384"/>
      <c r="AE52" s="384"/>
      <c r="AF52" s="384"/>
      <c r="AG52" s="384"/>
    </row>
    <row r="53" s="103" customFormat="1" ht="12.75" spans="1:33">
      <c r="A53" s="370">
        <v>45</v>
      </c>
      <c r="B53" s="373">
        <v>0.0549</v>
      </c>
      <c r="C53" s="375">
        <v>0.0877</v>
      </c>
      <c r="D53" s="30"/>
      <c r="E53" s="379"/>
      <c r="F53" s="63"/>
      <c r="G53" s="63"/>
      <c r="H53" s="63"/>
      <c r="I53" s="63"/>
      <c r="J53" s="63"/>
      <c r="K53" s="63"/>
      <c r="L53" s="63"/>
      <c r="M53" s="63"/>
      <c r="N53" s="63"/>
      <c r="O53" s="63"/>
      <c r="P53" s="61">
        <f t="shared" si="13"/>
        <v>0</v>
      </c>
      <c r="Q53" s="61">
        <f t="shared" si="14"/>
        <v>0</v>
      </c>
      <c r="R53" s="61" t="e">
        <f t="shared" si="15"/>
        <v>#DIV/0!</v>
      </c>
      <c r="S53" s="61">
        <f t="shared" si="16"/>
        <v>0</v>
      </c>
      <c r="T53" s="145"/>
      <c r="U53" s="145"/>
      <c r="V53" s="145"/>
      <c r="W53" s="145"/>
      <c r="X53" s="145"/>
      <c r="Y53" s="145"/>
      <c r="Z53" s="145"/>
      <c r="AA53" s="384"/>
      <c r="AB53" s="384"/>
      <c r="AC53" s="384"/>
      <c r="AD53" s="384"/>
      <c r="AE53" s="384"/>
      <c r="AF53" s="384"/>
      <c r="AG53" s="384"/>
    </row>
    <row r="54" s="103" customFormat="1" ht="12.75" spans="1:33">
      <c r="A54" s="370">
        <v>46</v>
      </c>
      <c r="B54" s="373">
        <v>0.0877</v>
      </c>
      <c r="C54" s="375">
        <v>0.1407</v>
      </c>
      <c r="D54" s="30"/>
      <c r="E54" s="379"/>
      <c r="F54" s="63"/>
      <c r="G54" s="63"/>
      <c r="H54" s="63"/>
      <c r="I54" s="63"/>
      <c r="J54" s="63"/>
      <c r="K54" s="63"/>
      <c r="L54" s="63"/>
      <c r="M54" s="63"/>
      <c r="N54" s="63"/>
      <c r="O54" s="63"/>
      <c r="P54" s="61">
        <f t="shared" si="13"/>
        <v>0</v>
      </c>
      <c r="Q54" s="61">
        <f t="shared" si="14"/>
        <v>0</v>
      </c>
      <c r="R54" s="61" t="e">
        <f t="shared" si="15"/>
        <v>#DIV/0!</v>
      </c>
      <c r="S54" s="61">
        <f t="shared" si="16"/>
        <v>0</v>
      </c>
      <c r="T54" s="145"/>
      <c r="U54" s="145"/>
      <c r="V54" s="145"/>
      <c r="W54" s="145"/>
      <c r="X54" s="145"/>
      <c r="Y54" s="145"/>
      <c r="Z54" s="145"/>
      <c r="AA54" s="384"/>
      <c r="AB54" s="384"/>
      <c r="AC54" s="384"/>
      <c r="AD54" s="384"/>
      <c r="AE54" s="384"/>
      <c r="AF54" s="384"/>
      <c r="AG54" s="384"/>
    </row>
    <row r="55" s="103" customFormat="1" ht="12.75" spans="1:33">
      <c r="A55" s="370">
        <v>47</v>
      </c>
      <c r="B55" s="373">
        <v>0.1407</v>
      </c>
      <c r="C55" s="375">
        <v>0.2324</v>
      </c>
      <c r="D55" s="30"/>
      <c r="E55" s="379"/>
      <c r="F55" s="63"/>
      <c r="G55" s="63"/>
      <c r="H55" s="63"/>
      <c r="I55" s="63"/>
      <c r="J55" s="63"/>
      <c r="K55" s="63"/>
      <c r="L55" s="63"/>
      <c r="M55" s="63"/>
      <c r="N55" s="63"/>
      <c r="O55" s="63"/>
      <c r="P55" s="61">
        <f t="shared" si="13"/>
        <v>0</v>
      </c>
      <c r="Q55" s="61">
        <f t="shared" si="14"/>
        <v>0</v>
      </c>
      <c r="R55" s="61" t="e">
        <f t="shared" si="15"/>
        <v>#DIV/0!</v>
      </c>
      <c r="S55" s="61">
        <f t="shared" si="16"/>
        <v>0</v>
      </c>
      <c r="T55" s="145"/>
      <c r="U55" s="145"/>
      <c r="V55" s="145"/>
      <c r="W55" s="145"/>
      <c r="X55" s="145"/>
      <c r="Y55" s="145"/>
      <c r="Z55" s="145"/>
      <c r="AA55" s="384"/>
      <c r="AB55" s="384"/>
      <c r="AC55" s="384"/>
      <c r="AD55" s="384"/>
      <c r="AE55" s="384"/>
      <c r="AF55" s="384"/>
      <c r="AG55" s="384"/>
    </row>
    <row r="56" s="103" customFormat="1" ht="12.75" spans="1:33">
      <c r="A56" s="370">
        <v>48</v>
      </c>
      <c r="B56" s="373">
        <v>0.2324</v>
      </c>
      <c r="C56" s="375">
        <v>0.3873</v>
      </c>
      <c r="D56" s="30"/>
      <c r="E56" s="379"/>
      <c r="F56" s="63"/>
      <c r="G56" s="63"/>
      <c r="H56" s="63"/>
      <c r="I56" s="63"/>
      <c r="J56" s="63"/>
      <c r="K56" s="63"/>
      <c r="L56" s="63"/>
      <c r="M56" s="63"/>
      <c r="N56" s="63"/>
      <c r="O56" s="63"/>
      <c r="P56" s="61">
        <f t="shared" si="13"/>
        <v>0</v>
      </c>
      <c r="Q56" s="61">
        <f t="shared" si="14"/>
        <v>0</v>
      </c>
      <c r="R56" s="61" t="e">
        <f t="shared" si="15"/>
        <v>#DIV/0!</v>
      </c>
      <c r="S56" s="61">
        <f t="shared" si="16"/>
        <v>0</v>
      </c>
      <c r="T56" s="145"/>
      <c r="U56" s="145"/>
      <c r="V56" s="145"/>
      <c r="W56" s="145"/>
      <c r="X56" s="145"/>
      <c r="Y56" s="145"/>
      <c r="Z56" s="145"/>
      <c r="AA56" s="384"/>
      <c r="AB56" s="384"/>
      <c r="AC56" s="384"/>
      <c r="AD56" s="384"/>
      <c r="AE56" s="384"/>
      <c r="AF56" s="384"/>
      <c r="AG56" s="384"/>
    </row>
    <row r="57" s="103" customFormat="1" ht="12.75" spans="1:33">
      <c r="A57" s="370">
        <v>49</v>
      </c>
      <c r="B57" s="373">
        <v>0.3873</v>
      </c>
      <c r="C57" s="375">
        <v>0.6519</v>
      </c>
      <c r="D57" s="30"/>
      <c r="E57" s="379"/>
      <c r="F57" s="63"/>
      <c r="G57" s="63"/>
      <c r="H57" s="63"/>
      <c r="I57" s="63"/>
      <c r="J57" s="63"/>
      <c r="K57" s="63"/>
      <c r="L57" s="63"/>
      <c r="M57" s="63"/>
      <c r="N57" s="63"/>
      <c r="O57" s="63"/>
      <c r="P57" s="61">
        <f t="shared" si="13"/>
        <v>0</v>
      </c>
      <c r="Q57" s="61">
        <f t="shared" si="14"/>
        <v>0</v>
      </c>
      <c r="R57" s="61" t="e">
        <f t="shared" si="15"/>
        <v>#DIV/0!</v>
      </c>
      <c r="S57" s="61">
        <f t="shared" si="16"/>
        <v>0</v>
      </c>
      <c r="T57" s="145"/>
      <c r="U57" s="145"/>
      <c r="V57" s="145"/>
      <c r="W57" s="145"/>
      <c r="X57" s="145"/>
      <c r="Y57" s="145"/>
      <c r="Z57" s="145"/>
      <c r="AA57" s="384"/>
      <c r="AB57" s="384"/>
      <c r="AC57" s="384"/>
      <c r="AD57" s="384"/>
      <c r="AE57" s="384"/>
      <c r="AF57" s="384"/>
      <c r="AG57" s="384"/>
    </row>
    <row r="58" s="103" customFormat="1" ht="12.75" spans="1:33">
      <c r="A58" s="370">
        <v>50</v>
      </c>
      <c r="B58" s="373">
        <v>0.6519</v>
      </c>
      <c r="C58" s="376">
        <v>1</v>
      </c>
      <c r="D58" s="30"/>
      <c r="E58" s="379"/>
      <c r="F58" s="63"/>
      <c r="G58" s="63"/>
      <c r="H58" s="63"/>
      <c r="I58" s="63"/>
      <c r="J58" s="63"/>
      <c r="K58" s="63"/>
      <c r="L58" s="63"/>
      <c r="M58" s="63"/>
      <c r="N58" s="63"/>
      <c r="O58" s="63"/>
      <c r="P58" s="61">
        <f t="shared" si="13"/>
        <v>0</v>
      </c>
      <c r="Q58" s="61">
        <f t="shared" si="14"/>
        <v>0</v>
      </c>
      <c r="R58" s="61" t="e">
        <f t="shared" si="15"/>
        <v>#DIV/0!</v>
      </c>
      <c r="S58" s="61">
        <f t="shared" si="16"/>
        <v>0</v>
      </c>
      <c r="T58" s="149"/>
      <c r="U58" s="149"/>
      <c r="V58" s="149"/>
      <c r="W58" s="149"/>
      <c r="X58" s="149"/>
      <c r="Y58" s="149"/>
      <c r="Z58" s="149"/>
      <c r="AA58" s="385"/>
      <c r="AB58" s="385"/>
      <c r="AC58" s="385"/>
      <c r="AD58" s="385"/>
      <c r="AE58" s="385"/>
      <c r="AF58" s="385"/>
      <c r="AG58" s="385"/>
    </row>
    <row r="59" s="103" customFormat="1" ht="12.75" spans="1:33">
      <c r="A59" s="370">
        <v>51</v>
      </c>
      <c r="B59" s="377">
        <v>1</v>
      </c>
      <c r="C59" s="376">
        <v>1</v>
      </c>
      <c r="D59" s="30"/>
      <c r="E59" s="379"/>
      <c r="F59" s="63"/>
      <c r="G59" s="63"/>
      <c r="H59" s="63"/>
      <c r="I59" s="63"/>
      <c r="J59" s="63"/>
      <c r="K59" s="63"/>
      <c r="L59" s="63"/>
      <c r="M59" s="63"/>
      <c r="N59" s="63"/>
      <c r="O59" s="63"/>
      <c r="P59" s="61">
        <f t="shared" si="13"/>
        <v>0</v>
      </c>
      <c r="Q59" s="61">
        <f t="shared" si="14"/>
        <v>0</v>
      </c>
      <c r="R59" s="61" t="e">
        <f t="shared" si="15"/>
        <v>#DIV/0!</v>
      </c>
      <c r="S59" s="61">
        <f t="shared" si="16"/>
        <v>0</v>
      </c>
      <c r="T59" s="382"/>
      <c r="U59" s="382"/>
      <c r="V59" s="382"/>
      <c r="W59" s="382"/>
      <c r="X59" s="382"/>
      <c r="Y59" s="382"/>
      <c r="Z59" s="382"/>
      <c r="AA59" s="386"/>
      <c r="AB59" s="386"/>
      <c r="AC59" s="386"/>
      <c r="AD59" s="386"/>
      <c r="AE59" s="386"/>
      <c r="AF59" s="386"/>
      <c r="AG59" s="386"/>
    </row>
    <row r="60" s="103" customFormat="1" ht="16" customHeight="1" spans="1:33">
      <c r="A60" s="139" t="s">
        <v>277</v>
      </c>
      <c r="B60" s="369"/>
      <c r="C60" s="27"/>
      <c r="D60" s="110"/>
      <c r="E60" s="118"/>
      <c r="F60" s="27"/>
      <c r="G60" s="27"/>
      <c r="H60" s="27"/>
      <c r="I60" s="27"/>
      <c r="J60" s="27"/>
      <c r="K60" s="27"/>
      <c r="L60" s="110"/>
      <c r="M60" s="110"/>
      <c r="N60" s="110"/>
      <c r="O60" s="27"/>
      <c r="P60" s="364"/>
      <c r="Q60" s="364"/>
      <c r="R60" s="364"/>
      <c r="S60" s="364"/>
      <c r="T60" s="27"/>
      <c r="U60" s="27"/>
      <c r="V60" s="27"/>
      <c r="W60" s="27"/>
      <c r="X60" s="27"/>
      <c r="Y60" s="27"/>
      <c r="Z60" s="27"/>
      <c r="AA60" s="27"/>
      <c r="AB60" s="27"/>
      <c r="AC60" s="27"/>
      <c r="AD60" s="27"/>
      <c r="AE60" s="27"/>
      <c r="AF60" s="27"/>
      <c r="AG60" s="27"/>
    </row>
    <row r="61" s="103" customFormat="1" ht="12.75" spans="1:33">
      <c r="A61" s="370">
        <v>52</v>
      </c>
      <c r="B61" s="371" t="s">
        <v>111</v>
      </c>
      <c r="C61" s="372"/>
      <c r="D61" s="61">
        <f>SUM(D62:D77)</f>
        <v>0</v>
      </c>
      <c r="E61" s="61">
        <f t="shared" ref="E61:O61" si="18">SUM(E62:E77)</f>
        <v>0</v>
      </c>
      <c r="F61" s="61">
        <f t="shared" si="18"/>
        <v>0</v>
      </c>
      <c r="G61" s="61">
        <f t="shared" si="18"/>
        <v>0</v>
      </c>
      <c r="H61" s="61">
        <f t="shared" si="18"/>
        <v>0</v>
      </c>
      <c r="I61" s="61">
        <f t="shared" si="18"/>
        <v>0</v>
      </c>
      <c r="J61" s="61">
        <f t="shared" si="18"/>
        <v>0</v>
      </c>
      <c r="K61" s="61">
        <f t="shared" si="18"/>
        <v>0</v>
      </c>
      <c r="L61" s="61">
        <f t="shared" si="18"/>
        <v>0</v>
      </c>
      <c r="M61" s="61">
        <f t="shared" si="18"/>
        <v>0</v>
      </c>
      <c r="N61" s="61">
        <f t="shared" si="18"/>
        <v>0</v>
      </c>
      <c r="O61" s="61">
        <f t="shared" si="18"/>
        <v>0</v>
      </c>
      <c r="P61" s="61">
        <f t="shared" ref="P61:P77" si="19">E61+I61+M61</f>
        <v>0</v>
      </c>
      <c r="Q61" s="61">
        <f t="shared" ref="Q61:Q77" si="20">F61+J61+N61</f>
        <v>0</v>
      </c>
      <c r="R61" s="61" t="e">
        <f t="shared" ref="R61:R77" si="21">Q61/P61</f>
        <v>#DIV/0!</v>
      </c>
      <c r="S61" s="61">
        <f t="shared" ref="S61:S77" si="22">G61+K61+O61</f>
        <v>0</v>
      </c>
      <c r="T61" s="61">
        <f t="shared" ref="T61:Z61" si="23">SUM(T62:T77)</f>
        <v>0</v>
      </c>
      <c r="U61" s="61">
        <f t="shared" si="23"/>
        <v>0</v>
      </c>
      <c r="V61" s="61">
        <f t="shared" si="23"/>
        <v>0</v>
      </c>
      <c r="W61" s="61">
        <f t="shared" si="23"/>
        <v>0</v>
      </c>
      <c r="X61" s="61">
        <f t="shared" si="23"/>
        <v>0</v>
      </c>
      <c r="Y61" s="61">
        <f t="shared" si="23"/>
        <v>0</v>
      </c>
      <c r="Z61" s="61">
        <f t="shared" si="23"/>
        <v>0</v>
      </c>
      <c r="AA61" s="164"/>
      <c r="AB61" s="164"/>
      <c r="AC61" s="164"/>
      <c r="AD61" s="164"/>
      <c r="AE61" s="164"/>
      <c r="AF61" s="164"/>
      <c r="AG61" s="384"/>
    </row>
    <row r="62" s="103" customFormat="1" ht="12.75" spans="1:33">
      <c r="A62" s="370">
        <v>53</v>
      </c>
      <c r="B62" s="373">
        <v>0.0005</v>
      </c>
      <c r="C62" s="374">
        <v>0.0013</v>
      </c>
      <c r="D62" s="30"/>
      <c r="E62" s="379"/>
      <c r="F62" s="63"/>
      <c r="G62" s="63"/>
      <c r="H62" s="63"/>
      <c r="I62" s="63"/>
      <c r="J62" s="63"/>
      <c r="K62" s="63"/>
      <c r="L62" s="63"/>
      <c r="M62" s="63"/>
      <c r="N62" s="63"/>
      <c r="O62" s="63"/>
      <c r="P62" s="61">
        <f t="shared" si="19"/>
        <v>0</v>
      </c>
      <c r="Q62" s="61">
        <f t="shared" si="20"/>
        <v>0</v>
      </c>
      <c r="R62" s="61" t="e">
        <f t="shared" si="21"/>
        <v>#DIV/0!</v>
      </c>
      <c r="S62" s="61">
        <f t="shared" si="22"/>
        <v>0</v>
      </c>
      <c r="T62" s="145"/>
      <c r="U62" s="145"/>
      <c r="V62" s="145"/>
      <c r="W62" s="145"/>
      <c r="X62" s="145"/>
      <c r="Y62" s="145"/>
      <c r="Z62" s="145"/>
      <c r="AA62" s="384"/>
      <c r="AB62" s="384"/>
      <c r="AC62" s="384"/>
      <c r="AD62" s="384"/>
      <c r="AE62" s="384"/>
      <c r="AF62" s="384"/>
      <c r="AG62" s="384"/>
    </row>
    <row r="63" s="103" customFormat="1" ht="12.75" spans="1:33">
      <c r="A63" s="370">
        <v>54</v>
      </c>
      <c r="B63" s="373">
        <v>0.0013</v>
      </c>
      <c r="C63" s="375">
        <v>0.002</v>
      </c>
      <c r="D63" s="30"/>
      <c r="E63" s="379"/>
      <c r="F63" s="63"/>
      <c r="G63" s="63"/>
      <c r="H63" s="63"/>
      <c r="I63" s="63"/>
      <c r="J63" s="63"/>
      <c r="K63" s="63"/>
      <c r="L63" s="63"/>
      <c r="M63" s="63"/>
      <c r="N63" s="63"/>
      <c r="O63" s="63"/>
      <c r="P63" s="61">
        <f t="shared" si="19"/>
        <v>0</v>
      </c>
      <c r="Q63" s="61">
        <f t="shared" si="20"/>
        <v>0</v>
      </c>
      <c r="R63" s="61" t="e">
        <f t="shared" si="21"/>
        <v>#DIV/0!</v>
      </c>
      <c r="S63" s="61">
        <f t="shared" si="22"/>
        <v>0</v>
      </c>
      <c r="T63" s="145"/>
      <c r="U63" s="145"/>
      <c r="V63" s="145"/>
      <c r="W63" s="145"/>
      <c r="X63" s="145"/>
      <c r="Y63" s="145"/>
      <c r="Z63" s="145"/>
      <c r="AA63" s="384"/>
      <c r="AB63" s="384"/>
      <c r="AC63" s="384"/>
      <c r="AD63" s="384"/>
      <c r="AE63" s="384"/>
      <c r="AF63" s="384"/>
      <c r="AG63" s="384"/>
    </row>
    <row r="64" s="103" customFormat="1" ht="12.75" spans="1:33">
      <c r="A64" s="370">
        <v>55</v>
      </c>
      <c r="B64" s="373">
        <v>0.002</v>
      </c>
      <c r="C64" s="375">
        <v>0.0033</v>
      </c>
      <c r="D64" s="30"/>
      <c r="E64" s="379"/>
      <c r="F64" s="63"/>
      <c r="G64" s="63"/>
      <c r="H64" s="63"/>
      <c r="I64" s="63"/>
      <c r="J64" s="63"/>
      <c r="K64" s="63"/>
      <c r="L64" s="63"/>
      <c r="M64" s="63"/>
      <c r="N64" s="63"/>
      <c r="O64" s="63"/>
      <c r="P64" s="61">
        <f t="shared" si="19"/>
        <v>0</v>
      </c>
      <c r="Q64" s="61">
        <f t="shared" si="20"/>
        <v>0</v>
      </c>
      <c r="R64" s="61" t="e">
        <f t="shared" si="21"/>
        <v>#DIV/0!</v>
      </c>
      <c r="S64" s="61">
        <f t="shared" si="22"/>
        <v>0</v>
      </c>
      <c r="T64" s="145"/>
      <c r="U64" s="145"/>
      <c r="V64" s="145"/>
      <c r="W64" s="145"/>
      <c r="X64" s="145"/>
      <c r="Y64" s="145"/>
      <c r="Z64" s="145"/>
      <c r="AA64" s="384"/>
      <c r="AB64" s="384"/>
      <c r="AC64" s="384"/>
      <c r="AD64" s="384"/>
      <c r="AE64" s="384"/>
      <c r="AF64" s="384"/>
      <c r="AG64" s="384"/>
    </row>
    <row r="65" s="103" customFormat="1" ht="12.75" spans="1:33">
      <c r="A65" s="370">
        <v>56</v>
      </c>
      <c r="B65" s="373">
        <v>0.0033</v>
      </c>
      <c r="C65" s="375">
        <v>0.0053</v>
      </c>
      <c r="D65" s="30"/>
      <c r="E65" s="379"/>
      <c r="F65" s="63"/>
      <c r="G65" s="63"/>
      <c r="H65" s="63"/>
      <c r="I65" s="63"/>
      <c r="J65" s="63"/>
      <c r="K65" s="63"/>
      <c r="L65" s="63"/>
      <c r="M65" s="63"/>
      <c r="N65" s="63"/>
      <c r="O65" s="63"/>
      <c r="P65" s="61">
        <f t="shared" si="19"/>
        <v>0</v>
      </c>
      <c r="Q65" s="61">
        <f t="shared" si="20"/>
        <v>0</v>
      </c>
      <c r="R65" s="61" t="e">
        <f t="shared" si="21"/>
        <v>#DIV/0!</v>
      </c>
      <c r="S65" s="61">
        <f t="shared" si="22"/>
        <v>0</v>
      </c>
      <c r="T65" s="145"/>
      <c r="U65" s="145"/>
      <c r="V65" s="145"/>
      <c r="W65" s="145"/>
      <c r="X65" s="145"/>
      <c r="Y65" s="145"/>
      <c r="Z65" s="145"/>
      <c r="AA65" s="384"/>
      <c r="AB65" s="384"/>
      <c r="AC65" s="384"/>
      <c r="AD65" s="384"/>
      <c r="AE65" s="384"/>
      <c r="AF65" s="384"/>
      <c r="AG65" s="384"/>
    </row>
    <row r="66" s="103" customFormat="1" ht="12.75" spans="1:33">
      <c r="A66" s="370">
        <v>57</v>
      </c>
      <c r="B66" s="373">
        <v>0.0053</v>
      </c>
      <c r="C66" s="375">
        <v>0.0086</v>
      </c>
      <c r="D66" s="30"/>
      <c r="E66" s="379"/>
      <c r="F66" s="63"/>
      <c r="G66" s="63"/>
      <c r="H66" s="63"/>
      <c r="I66" s="63"/>
      <c r="J66" s="63"/>
      <c r="K66" s="63"/>
      <c r="L66" s="63"/>
      <c r="M66" s="63"/>
      <c r="N66" s="63"/>
      <c r="O66" s="63"/>
      <c r="P66" s="61">
        <f t="shared" si="19"/>
        <v>0</v>
      </c>
      <c r="Q66" s="61">
        <f t="shared" si="20"/>
        <v>0</v>
      </c>
      <c r="R66" s="61" t="e">
        <f t="shared" si="21"/>
        <v>#DIV/0!</v>
      </c>
      <c r="S66" s="61">
        <f t="shared" si="22"/>
        <v>0</v>
      </c>
      <c r="T66" s="145"/>
      <c r="U66" s="145"/>
      <c r="V66" s="145"/>
      <c r="W66" s="145"/>
      <c r="X66" s="145"/>
      <c r="Y66" s="145"/>
      <c r="Z66" s="145"/>
      <c r="AA66" s="384"/>
      <c r="AB66" s="384"/>
      <c r="AC66" s="384"/>
      <c r="AD66" s="384"/>
      <c r="AE66" s="384"/>
      <c r="AF66" s="384"/>
      <c r="AG66" s="384"/>
    </row>
    <row r="67" s="103" customFormat="1" ht="12.75" spans="1:33">
      <c r="A67" s="370">
        <v>58</v>
      </c>
      <c r="B67" s="373">
        <v>0.0086</v>
      </c>
      <c r="C67" s="375">
        <v>0.0137</v>
      </c>
      <c r="D67" s="30"/>
      <c r="E67" s="379"/>
      <c r="F67" s="63"/>
      <c r="G67" s="63"/>
      <c r="H67" s="63"/>
      <c r="I67" s="63"/>
      <c r="J67" s="63"/>
      <c r="K67" s="63"/>
      <c r="L67" s="63"/>
      <c r="M67" s="63"/>
      <c r="N67" s="63"/>
      <c r="O67" s="63"/>
      <c r="P67" s="61">
        <f t="shared" si="19"/>
        <v>0</v>
      </c>
      <c r="Q67" s="61">
        <f t="shared" si="20"/>
        <v>0</v>
      </c>
      <c r="R67" s="61" t="e">
        <f t="shared" si="21"/>
        <v>#DIV/0!</v>
      </c>
      <c r="S67" s="61">
        <f t="shared" si="22"/>
        <v>0</v>
      </c>
      <c r="T67" s="145"/>
      <c r="U67" s="145"/>
      <c r="V67" s="145"/>
      <c r="W67" s="145"/>
      <c r="X67" s="145"/>
      <c r="Y67" s="145"/>
      <c r="Z67" s="145"/>
      <c r="AA67" s="384"/>
      <c r="AB67" s="384"/>
      <c r="AC67" s="384"/>
      <c r="AD67" s="384"/>
      <c r="AE67" s="384"/>
      <c r="AF67" s="384"/>
      <c r="AG67" s="384"/>
    </row>
    <row r="68" s="103" customFormat="1" ht="12.75" spans="1:33">
      <c r="A68" s="370">
        <v>59</v>
      </c>
      <c r="B68" s="373">
        <v>0.0137</v>
      </c>
      <c r="C68" s="375">
        <v>0.0214</v>
      </c>
      <c r="D68" s="30"/>
      <c r="E68" s="379"/>
      <c r="F68" s="63"/>
      <c r="G68" s="63"/>
      <c r="H68" s="63"/>
      <c r="I68" s="63"/>
      <c r="J68" s="63"/>
      <c r="K68" s="63"/>
      <c r="L68" s="63"/>
      <c r="M68" s="63"/>
      <c r="N68" s="63"/>
      <c r="O68" s="63"/>
      <c r="P68" s="61">
        <f t="shared" si="19"/>
        <v>0</v>
      </c>
      <c r="Q68" s="61">
        <f t="shared" si="20"/>
        <v>0</v>
      </c>
      <c r="R68" s="61" t="e">
        <f t="shared" si="21"/>
        <v>#DIV/0!</v>
      </c>
      <c r="S68" s="61">
        <f t="shared" si="22"/>
        <v>0</v>
      </c>
      <c r="T68" s="145"/>
      <c r="U68" s="145"/>
      <c r="V68" s="145"/>
      <c r="W68" s="145"/>
      <c r="X68" s="145"/>
      <c r="Y68" s="145"/>
      <c r="Z68" s="145"/>
      <c r="AA68" s="384"/>
      <c r="AB68" s="384"/>
      <c r="AC68" s="384"/>
      <c r="AD68" s="384"/>
      <c r="AE68" s="384"/>
      <c r="AF68" s="384"/>
      <c r="AG68" s="384"/>
    </row>
    <row r="69" s="103" customFormat="1" ht="12.75" spans="1:33">
      <c r="A69" s="370">
        <v>60</v>
      </c>
      <c r="B69" s="373">
        <v>0.0214</v>
      </c>
      <c r="C69" s="375">
        <v>0.0341</v>
      </c>
      <c r="D69" s="30"/>
      <c r="E69" s="379"/>
      <c r="F69" s="63"/>
      <c r="G69" s="63"/>
      <c r="H69" s="63"/>
      <c r="I69" s="63"/>
      <c r="J69" s="63"/>
      <c r="K69" s="63"/>
      <c r="L69" s="63"/>
      <c r="M69" s="63"/>
      <c r="N69" s="63"/>
      <c r="O69" s="63"/>
      <c r="P69" s="61">
        <f t="shared" si="19"/>
        <v>0</v>
      </c>
      <c r="Q69" s="61">
        <f t="shared" si="20"/>
        <v>0</v>
      </c>
      <c r="R69" s="61" t="e">
        <f t="shared" si="21"/>
        <v>#DIV/0!</v>
      </c>
      <c r="S69" s="61">
        <f t="shared" si="22"/>
        <v>0</v>
      </c>
      <c r="T69" s="145"/>
      <c r="U69" s="145"/>
      <c r="V69" s="145"/>
      <c r="W69" s="145"/>
      <c r="X69" s="145"/>
      <c r="Y69" s="145"/>
      <c r="Z69" s="145"/>
      <c r="AA69" s="384"/>
      <c r="AB69" s="384"/>
      <c r="AC69" s="384"/>
      <c r="AD69" s="384"/>
      <c r="AE69" s="384"/>
      <c r="AF69" s="384"/>
      <c r="AG69" s="384"/>
    </row>
    <row r="70" s="103" customFormat="1" ht="12.75" spans="1:33">
      <c r="A70" s="370">
        <v>61</v>
      </c>
      <c r="B70" s="373">
        <v>0.0341</v>
      </c>
      <c r="C70" s="375">
        <v>0.0549</v>
      </c>
      <c r="D70" s="30"/>
      <c r="E70" s="379"/>
      <c r="F70" s="63"/>
      <c r="G70" s="63"/>
      <c r="H70" s="63"/>
      <c r="I70" s="63"/>
      <c r="J70" s="63"/>
      <c r="K70" s="63"/>
      <c r="L70" s="63"/>
      <c r="M70" s="63"/>
      <c r="N70" s="63"/>
      <c r="O70" s="63"/>
      <c r="P70" s="61">
        <f t="shared" si="19"/>
        <v>0</v>
      </c>
      <c r="Q70" s="61">
        <f t="shared" si="20"/>
        <v>0</v>
      </c>
      <c r="R70" s="61" t="e">
        <f t="shared" si="21"/>
        <v>#DIV/0!</v>
      </c>
      <c r="S70" s="61">
        <f t="shared" si="22"/>
        <v>0</v>
      </c>
      <c r="T70" s="145"/>
      <c r="U70" s="145"/>
      <c r="V70" s="145"/>
      <c r="W70" s="145"/>
      <c r="X70" s="145"/>
      <c r="Y70" s="145"/>
      <c r="Z70" s="145"/>
      <c r="AA70" s="384"/>
      <c r="AB70" s="384"/>
      <c r="AC70" s="384"/>
      <c r="AD70" s="384"/>
      <c r="AE70" s="384"/>
      <c r="AF70" s="384"/>
      <c r="AG70" s="384"/>
    </row>
    <row r="71" s="103" customFormat="1" ht="12.75" spans="1:33">
      <c r="A71" s="370">
        <v>62</v>
      </c>
      <c r="B71" s="373">
        <v>0.0549</v>
      </c>
      <c r="C71" s="375">
        <v>0.0877</v>
      </c>
      <c r="D71" s="30"/>
      <c r="E71" s="379"/>
      <c r="F71" s="63"/>
      <c r="G71" s="63"/>
      <c r="H71" s="63"/>
      <c r="I71" s="63"/>
      <c r="J71" s="63"/>
      <c r="K71" s="63"/>
      <c r="L71" s="63"/>
      <c r="M71" s="63"/>
      <c r="N71" s="63"/>
      <c r="O71" s="63"/>
      <c r="P71" s="61">
        <f t="shared" si="19"/>
        <v>0</v>
      </c>
      <c r="Q71" s="61">
        <f t="shared" si="20"/>
        <v>0</v>
      </c>
      <c r="R71" s="61" t="e">
        <f t="shared" si="21"/>
        <v>#DIV/0!</v>
      </c>
      <c r="S71" s="61">
        <f t="shared" si="22"/>
        <v>0</v>
      </c>
      <c r="T71" s="145"/>
      <c r="U71" s="145"/>
      <c r="V71" s="145"/>
      <c r="W71" s="145"/>
      <c r="X71" s="145"/>
      <c r="Y71" s="145"/>
      <c r="Z71" s="145"/>
      <c r="AA71" s="384"/>
      <c r="AB71" s="384"/>
      <c r="AC71" s="384"/>
      <c r="AD71" s="384"/>
      <c r="AE71" s="384"/>
      <c r="AF71" s="384"/>
      <c r="AG71" s="384"/>
    </row>
    <row r="72" s="103" customFormat="1" ht="12.75" spans="1:33">
      <c r="A72" s="370">
        <v>63</v>
      </c>
      <c r="B72" s="373">
        <v>0.0877</v>
      </c>
      <c r="C72" s="375">
        <v>0.1407</v>
      </c>
      <c r="D72" s="30"/>
      <c r="E72" s="379"/>
      <c r="F72" s="63"/>
      <c r="G72" s="63"/>
      <c r="H72" s="63"/>
      <c r="I72" s="63"/>
      <c r="J72" s="63"/>
      <c r="K72" s="63"/>
      <c r="L72" s="63"/>
      <c r="M72" s="63"/>
      <c r="N72" s="63"/>
      <c r="O72" s="63"/>
      <c r="P72" s="61">
        <f t="shared" si="19"/>
        <v>0</v>
      </c>
      <c r="Q72" s="61">
        <f t="shared" si="20"/>
        <v>0</v>
      </c>
      <c r="R72" s="61" t="e">
        <f t="shared" si="21"/>
        <v>#DIV/0!</v>
      </c>
      <c r="S72" s="61">
        <f t="shared" si="22"/>
        <v>0</v>
      </c>
      <c r="T72" s="145"/>
      <c r="U72" s="145"/>
      <c r="V72" s="145"/>
      <c r="W72" s="145"/>
      <c r="X72" s="145"/>
      <c r="Y72" s="145"/>
      <c r="Z72" s="145"/>
      <c r="AA72" s="384"/>
      <c r="AB72" s="384"/>
      <c r="AC72" s="384"/>
      <c r="AD72" s="384"/>
      <c r="AE72" s="384"/>
      <c r="AF72" s="384"/>
      <c r="AG72" s="384"/>
    </row>
    <row r="73" s="103" customFormat="1" ht="12.75" spans="1:33">
      <c r="A73" s="370">
        <v>64</v>
      </c>
      <c r="B73" s="373">
        <v>0.1407</v>
      </c>
      <c r="C73" s="375">
        <v>0.2324</v>
      </c>
      <c r="D73" s="30"/>
      <c r="E73" s="379"/>
      <c r="F73" s="63"/>
      <c r="G73" s="63"/>
      <c r="H73" s="63"/>
      <c r="I73" s="63"/>
      <c r="J73" s="63"/>
      <c r="K73" s="63"/>
      <c r="L73" s="63"/>
      <c r="M73" s="63"/>
      <c r="N73" s="63"/>
      <c r="O73" s="63"/>
      <c r="P73" s="61">
        <f t="shared" si="19"/>
        <v>0</v>
      </c>
      <c r="Q73" s="61">
        <f t="shared" si="20"/>
        <v>0</v>
      </c>
      <c r="R73" s="61" t="e">
        <f t="shared" si="21"/>
        <v>#DIV/0!</v>
      </c>
      <c r="S73" s="61">
        <f t="shared" si="22"/>
        <v>0</v>
      </c>
      <c r="T73" s="145"/>
      <c r="U73" s="145"/>
      <c r="V73" s="145"/>
      <c r="W73" s="145"/>
      <c r="X73" s="145"/>
      <c r="Y73" s="145"/>
      <c r="Z73" s="145"/>
      <c r="AA73" s="384"/>
      <c r="AB73" s="384"/>
      <c r="AC73" s="384"/>
      <c r="AD73" s="384"/>
      <c r="AE73" s="384"/>
      <c r="AF73" s="384"/>
      <c r="AG73" s="384"/>
    </row>
    <row r="74" s="103" customFormat="1" ht="12.75" spans="1:33">
      <c r="A74" s="370">
        <v>65</v>
      </c>
      <c r="B74" s="373">
        <v>0.2324</v>
      </c>
      <c r="C74" s="375">
        <v>0.3873</v>
      </c>
      <c r="D74" s="30"/>
      <c r="E74" s="379"/>
      <c r="F74" s="63"/>
      <c r="G74" s="63"/>
      <c r="H74" s="63"/>
      <c r="I74" s="63"/>
      <c r="J74" s="63"/>
      <c r="K74" s="63"/>
      <c r="L74" s="63"/>
      <c r="M74" s="63"/>
      <c r="N74" s="63"/>
      <c r="O74" s="63"/>
      <c r="P74" s="61">
        <f t="shared" si="19"/>
        <v>0</v>
      </c>
      <c r="Q74" s="61">
        <f t="shared" si="20"/>
        <v>0</v>
      </c>
      <c r="R74" s="61" t="e">
        <f t="shared" si="21"/>
        <v>#DIV/0!</v>
      </c>
      <c r="S74" s="61">
        <f t="shared" si="22"/>
        <v>0</v>
      </c>
      <c r="T74" s="145"/>
      <c r="U74" s="145"/>
      <c r="V74" s="145"/>
      <c r="W74" s="145"/>
      <c r="X74" s="145"/>
      <c r="Y74" s="145"/>
      <c r="Z74" s="145"/>
      <c r="AA74" s="384"/>
      <c r="AB74" s="384"/>
      <c r="AC74" s="384"/>
      <c r="AD74" s="384"/>
      <c r="AE74" s="384"/>
      <c r="AF74" s="384"/>
      <c r="AG74" s="384"/>
    </row>
    <row r="75" s="103" customFormat="1" ht="12.75" spans="1:33">
      <c r="A75" s="370">
        <v>66</v>
      </c>
      <c r="B75" s="373">
        <v>0.3873</v>
      </c>
      <c r="C75" s="375">
        <v>0.6519</v>
      </c>
      <c r="D75" s="30"/>
      <c r="E75" s="379"/>
      <c r="F75" s="63"/>
      <c r="G75" s="63"/>
      <c r="H75" s="63"/>
      <c r="I75" s="63"/>
      <c r="J75" s="63"/>
      <c r="K75" s="63"/>
      <c r="L75" s="63"/>
      <c r="M75" s="63"/>
      <c r="N75" s="63"/>
      <c r="O75" s="63"/>
      <c r="P75" s="61">
        <f t="shared" si="19"/>
        <v>0</v>
      </c>
      <c r="Q75" s="61">
        <f t="shared" si="20"/>
        <v>0</v>
      </c>
      <c r="R75" s="61" t="e">
        <f t="shared" si="21"/>
        <v>#DIV/0!</v>
      </c>
      <c r="S75" s="61">
        <f t="shared" si="22"/>
        <v>0</v>
      </c>
      <c r="T75" s="145"/>
      <c r="U75" s="145"/>
      <c r="V75" s="145"/>
      <c r="W75" s="145"/>
      <c r="X75" s="145"/>
      <c r="Y75" s="145"/>
      <c r="Z75" s="145"/>
      <c r="AA75" s="384"/>
      <c r="AB75" s="384"/>
      <c r="AC75" s="384"/>
      <c r="AD75" s="384"/>
      <c r="AE75" s="384"/>
      <c r="AF75" s="384"/>
      <c r="AG75" s="384"/>
    </row>
    <row r="76" s="103" customFormat="1" ht="12.75" spans="1:33">
      <c r="A76" s="370">
        <v>67</v>
      </c>
      <c r="B76" s="373">
        <v>0.6519</v>
      </c>
      <c r="C76" s="376">
        <v>1</v>
      </c>
      <c r="D76" s="30"/>
      <c r="E76" s="379"/>
      <c r="F76" s="63"/>
      <c r="G76" s="63"/>
      <c r="H76" s="63"/>
      <c r="I76" s="63"/>
      <c r="J76" s="63"/>
      <c r="K76" s="63"/>
      <c r="L76" s="63"/>
      <c r="M76" s="63"/>
      <c r="N76" s="63"/>
      <c r="O76" s="63"/>
      <c r="P76" s="61">
        <f t="shared" si="19"/>
        <v>0</v>
      </c>
      <c r="Q76" s="61">
        <f t="shared" si="20"/>
        <v>0</v>
      </c>
      <c r="R76" s="61" t="e">
        <f t="shared" si="21"/>
        <v>#DIV/0!</v>
      </c>
      <c r="S76" s="61">
        <f t="shared" si="22"/>
        <v>0</v>
      </c>
      <c r="T76" s="149"/>
      <c r="U76" s="149"/>
      <c r="V76" s="149"/>
      <c r="W76" s="149"/>
      <c r="X76" s="149"/>
      <c r="Y76" s="149"/>
      <c r="Z76" s="149"/>
      <c r="AA76" s="385"/>
      <c r="AB76" s="385"/>
      <c r="AC76" s="385"/>
      <c r="AD76" s="385"/>
      <c r="AE76" s="385"/>
      <c r="AF76" s="385"/>
      <c r="AG76" s="385"/>
    </row>
    <row r="77" s="103" customFormat="1" ht="12.75" spans="1:33">
      <c r="A77" s="370">
        <v>68</v>
      </c>
      <c r="B77" s="377">
        <v>1</v>
      </c>
      <c r="C77" s="376">
        <v>1</v>
      </c>
      <c r="D77" s="387"/>
      <c r="E77" s="388"/>
      <c r="F77" s="365"/>
      <c r="G77" s="365"/>
      <c r="H77" s="365"/>
      <c r="I77" s="365"/>
      <c r="J77" s="365"/>
      <c r="K77" s="365"/>
      <c r="L77" s="365"/>
      <c r="M77" s="63"/>
      <c r="N77" s="63"/>
      <c r="O77" s="63"/>
      <c r="P77" s="61">
        <f t="shared" si="19"/>
        <v>0</v>
      </c>
      <c r="Q77" s="61">
        <f t="shared" si="20"/>
        <v>0</v>
      </c>
      <c r="R77" s="61" t="e">
        <f t="shared" si="21"/>
        <v>#DIV/0!</v>
      </c>
      <c r="S77" s="61">
        <f t="shared" si="22"/>
        <v>0</v>
      </c>
      <c r="T77" s="382"/>
      <c r="U77" s="382"/>
      <c r="V77" s="382"/>
      <c r="W77" s="382"/>
      <c r="X77" s="382"/>
      <c r="Y77" s="382"/>
      <c r="Z77" s="382"/>
      <c r="AA77" s="386"/>
      <c r="AB77" s="386"/>
      <c r="AC77" s="386"/>
      <c r="AD77" s="386"/>
      <c r="AE77" s="386"/>
      <c r="AF77" s="386"/>
      <c r="AG77" s="386"/>
    </row>
    <row r="78" s="104" customFormat="1" ht="17.25" customHeight="1" spans="1:31">
      <c r="A78" s="103" t="s">
        <v>155</v>
      </c>
      <c r="B78" s="173"/>
      <c r="Q78" s="103" t="s">
        <v>87</v>
      </c>
      <c r="AE78" s="103" t="s">
        <v>88</v>
      </c>
    </row>
    <row r="79" s="104" customFormat="1" ht="12.75" spans="1:2">
      <c r="A79" s="33"/>
      <c r="B79" s="134" t="s">
        <v>89</v>
      </c>
    </row>
    <row r="80" ht="13.5" spans="1:6">
      <c r="A80" s="35"/>
      <c r="B80" s="174" t="s">
        <v>90</v>
      </c>
      <c r="F80" s="104"/>
    </row>
    <row r="81" ht="13.5" spans="1:2">
      <c r="A81" s="40" t="s">
        <v>91</v>
      </c>
      <c r="B81" s="41">
        <v>241</v>
      </c>
    </row>
  </sheetData>
  <sheetProtection sort="0" autoFilter="0" pivotTables="0"/>
  <mergeCells count="19">
    <mergeCell ref="A1:AG1"/>
    <mergeCell ref="A2:B2"/>
    <mergeCell ref="Q2:T2"/>
    <mergeCell ref="X2:Y2"/>
    <mergeCell ref="AE2:AF2"/>
    <mergeCell ref="D4:G4"/>
    <mergeCell ref="H4:K4"/>
    <mergeCell ref="L4:O4"/>
    <mergeCell ref="P4:S4"/>
    <mergeCell ref="T4:Z4"/>
    <mergeCell ref="AA4:AF4"/>
    <mergeCell ref="B7:C7"/>
    <mergeCell ref="B25:C25"/>
    <mergeCell ref="B43:C43"/>
    <mergeCell ref="B61:C61"/>
    <mergeCell ref="A3:A5"/>
    <mergeCell ref="B4:B5"/>
    <mergeCell ref="C4:C5"/>
    <mergeCell ref="AG4:AG5"/>
  </mergeCells>
  <conditionalFormatting sqref="T44:AF59 T62:AF77 T8:AF23 AG43:AG59 AG61:AG77 B26:O41 AG7:AG23 B44:O59 B62:O77 AG25:AG41 B8:O23 T26:AF41">
    <cfRule type="cellIs" dxfId="0" priority="1" stopIfTrue="1" operator="lessThan">
      <formula>0</formula>
    </cfRule>
  </conditionalFormatting>
  <pageMargins left="0.75" right="0.75" top="1" bottom="1" header="0.509027777777778" footer="0.509027777777778"/>
  <pageSetup paperSize="9" scale="47" fitToHeight="0" orientation="landscape"/>
  <headerFooter alignWithMargins="0" scaleWithDoc="0"/>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IK153"/>
  <sheetViews>
    <sheetView workbookViewId="0">
      <selection activeCell="A153" sqref="A153:B153"/>
    </sheetView>
  </sheetViews>
  <sheetFormatPr defaultColWidth="9" defaultRowHeight="13.5"/>
  <cols>
    <col min="1" max="1" width="7.125" style="8" customWidth="1"/>
    <col min="2" max="8" width="8.33333333333333" style="9" customWidth="1"/>
    <col min="9" max="9" width="10.6666666666667" style="9" customWidth="1"/>
    <col min="10" max="10" width="8.33333333333333" style="9" customWidth="1"/>
    <col min="11" max="11" width="9.33333333333333" style="9" customWidth="1"/>
    <col min="12" max="245" width="9" style="9"/>
    <col min="246" max="16384" width="9" style="12"/>
  </cols>
  <sheetData>
    <row r="1" s="1" customFormat="1" ht="24" customHeight="1" spans="1:11">
      <c r="A1" s="13" t="s">
        <v>278</v>
      </c>
      <c r="B1" s="14"/>
      <c r="C1" s="14"/>
      <c r="D1" s="14"/>
      <c r="E1" s="361"/>
      <c r="F1" s="361"/>
      <c r="G1" s="361"/>
      <c r="H1" s="361"/>
      <c r="I1" s="361"/>
      <c r="J1" s="361"/>
      <c r="K1" s="361"/>
    </row>
    <row r="2" s="2" customFormat="1" ht="20.25" customHeight="1" spans="1:245">
      <c r="A2" s="16" t="s">
        <v>1</v>
      </c>
      <c r="B2" s="17"/>
      <c r="C2" s="17"/>
      <c r="D2" s="17"/>
      <c r="E2" s="120"/>
      <c r="F2" s="120" t="s">
        <v>279</v>
      </c>
      <c r="G2" s="120"/>
      <c r="H2" s="120"/>
      <c r="J2" s="120" t="s">
        <v>280</v>
      </c>
      <c r="K2" s="120"/>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row>
    <row r="3" s="3" customFormat="1" ht="20.25" customHeight="1" spans="1:11">
      <c r="A3" s="19" t="s">
        <v>4</v>
      </c>
      <c r="B3" s="20" t="s">
        <v>95</v>
      </c>
      <c r="C3" s="21" t="s">
        <v>6</v>
      </c>
      <c r="D3" s="21" t="s">
        <v>7</v>
      </c>
      <c r="E3" s="21" t="s">
        <v>8</v>
      </c>
      <c r="F3" s="21" t="s">
        <v>9</v>
      </c>
      <c r="G3" s="21" t="s">
        <v>10</v>
      </c>
      <c r="H3" s="21" t="s">
        <v>11</v>
      </c>
      <c r="I3" s="21" t="s">
        <v>12</v>
      </c>
      <c r="J3" s="21" t="s">
        <v>13</v>
      </c>
      <c r="K3" s="21" t="s">
        <v>96</v>
      </c>
    </row>
    <row r="4" s="4" customFormat="1" ht="24.75" customHeight="1" spans="1:11">
      <c r="A4" s="106"/>
      <c r="B4" s="20"/>
      <c r="C4" s="20" t="s">
        <v>17</v>
      </c>
      <c r="D4" s="20"/>
      <c r="E4" s="20" t="s">
        <v>18</v>
      </c>
      <c r="F4" s="20" t="s">
        <v>116</v>
      </c>
      <c r="G4" s="20" t="s">
        <v>19</v>
      </c>
      <c r="H4" s="20" t="s">
        <v>281</v>
      </c>
      <c r="I4" s="20" t="s">
        <v>282</v>
      </c>
      <c r="J4" s="20" t="s">
        <v>260</v>
      </c>
      <c r="K4" s="362"/>
    </row>
    <row r="5" s="4" customFormat="1" ht="24" spans="1:11">
      <c r="A5" s="106"/>
      <c r="B5" s="20"/>
      <c r="C5" s="20" t="s">
        <v>17</v>
      </c>
      <c r="D5" s="20" t="s">
        <v>283</v>
      </c>
      <c r="E5" s="20"/>
      <c r="F5" s="20"/>
      <c r="G5" s="20"/>
      <c r="H5" s="20"/>
      <c r="I5" s="20"/>
      <c r="J5" s="20" t="s">
        <v>284</v>
      </c>
      <c r="K5" s="20" t="s">
        <v>285</v>
      </c>
    </row>
    <row r="6" s="4" customFormat="1" ht="12.75" spans="1:11">
      <c r="A6" s="107" t="s">
        <v>286</v>
      </c>
      <c r="B6" s="108"/>
      <c r="C6" s="108"/>
      <c r="D6" s="108"/>
      <c r="E6" s="108"/>
      <c r="F6" s="108"/>
      <c r="G6" s="108"/>
      <c r="H6" s="108"/>
      <c r="I6" s="108"/>
      <c r="J6" s="108"/>
      <c r="K6" s="108"/>
    </row>
    <row r="7" s="5" customFormat="1" ht="15" customHeight="1" spans="1:11">
      <c r="A7" s="25">
        <v>1</v>
      </c>
      <c r="B7" s="26" t="s">
        <v>111</v>
      </c>
      <c r="C7" s="61">
        <f>SUM(C8:C41)</f>
        <v>0</v>
      </c>
      <c r="D7" s="61">
        <f>SUM(D8:D41)</f>
        <v>0</v>
      </c>
      <c r="E7" s="61">
        <f>SUM(E8:E41)</f>
        <v>0</v>
      </c>
      <c r="F7" s="61" t="e">
        <f>E7/C7</f>
        <v>#DIV/0!</v>
      </c>
      <c r="G7" s="61">
        <f>SUM(G8:G41)</f>
        <v>0</v>
      </c>
      <c r="H7" s="61" t="e">
        <f>G7/C7</f>
        <v>#DIV/0!</v>
      </c>
      <c r="I7" s="62"/>
      <c r="J7" s="164"/>
      <c r="K7" s="164"/>
    </row>
    <row r="8" spans="1:11">
      <c r="A8" s="29">
        <v>2</v>
      </c>
      <c r="B8" s="109" t="s">
        <v>180</v>
      </c>
      <c r="C8" s="63"/>
      <c r="D8" s="63"/>
      <c r="E8" s="63"/>
      <c r="F8" s="61" t="e">
        <f t="shared" ref="F8:F41" si="0">E8/C8</f>
        <v>#DIV/0!</v>
      </c>
      <c r="G8" s="63"/>
      <c r="H8" s="61" t="e">
        <f t="shared" ref="H8:H41" si="1">G8/C8</f>
        <v>#DIV/0!</v>
      </c>
      <c r="I8" s="63"/>
      <c r="J8" s="363"/>
      <c r="K8" s="363"/>
    </row>
    <row r="9" spans="1:11">
      <c r="A9" s="25">
        <v>3</v>
      </c>
      <c r="B9" s="109" t="s">
        <v>181</v>
      </c>
      <c r="C9" s="63"/>
      <c r="D9" s="63"/>
      <c r="E9" s="63"/>
      <c r="F9" s="61" t="e">
        <f t="shared" si="0"/>
        <v>#DIV/0!</v>
      </c>
      <c r="G9" s="63"/>
      <c r="H9" s="61" t="e">
        <f t="shared" si="1"/>
        <v>#DIV/0!</v>
      </c>
      <c r="I9" s="63"/>
      <c r="J9" s="363"/>
      <c r="K9" s="363"/>
    </row>
    <row r="10" spans="1:11">
      <c r="A10" s="29">
        <v>4</v>
      </c>
      <c r="B10" s="109" t="s">
        <v>182</v>
      </c>
      <c r="C10" s="63"/>
      <c r="D10" s="63"/>
      <c r="E10" s="63"/>
      <c r="F10" s="61" t="e">
        <f t="shared" si="0"/>
        <v>#DIV/0!</v>
      </c>
      <c r="G10" s="63"/>
      <c r="H10" s="61" t="e">
        <f t="shared" si="1"/>
        <v>#DIV/0!</v>
      </c>
      <c r="I10" s="63"/>
      <c r="J10" s="363"/>
      <c r="K10" s="363"/>
    </row>
    <row r="11" spans="1:11">
      <c r="A11" s="25">
        <v>5</v>
      </c>
      <c r="B11" s="109" t="s">
        <v>183</v>
      </c>
      <c r="C11" s="63"/>
      <c r="D11" s="63"/>
      <c r="E11" s="63"/>
      <c r="F11" s="61" t="e">
        <f t="shared" si="0"/>
        <v>#DIV/0!</v>
      </c>
      <c r="G11" s="63"/>
      <c r="H11" s="61" t="e">
        <f t="shared" si="1"/>
        <v>#DIV/0!</v>
      </c>
      <c r="I11" s="63"/>
      <c r="J11" s="363"/>
      <c r="K11" s="363"/>
    </row>
    <row r="12" spans="1:11">
      <c r="A12" s="29">
        <v>6</v>
      </c>
      <c r="B12" s="109" t="s">
        <v>184</v>
      </c>
      <c r="C12" s="63"/>
      <c r="D12" s="63"/>
      <c r="E12" s="63"/>
      <c r="F12" s="61" t="e">
        <f t="shared" si="0"/>
        <v>#DIV/0!</v>
      </c>
      <c r="G12" s="63"/>
      <c r="H12" s="61" t="e">
        <f t="shared" si="1"/>
        <v>#DIV/0!</v>
      </c>
      <c r="I12" s="63"/>
      <c r="J12" s="363"/>
      <c r="K12" s="363"/>
    </row>
    <row r="13" spans="1:11">
      <c r="A13" s="25">
        <v>7</v>
      </c>
      <c r="B13" s="109" t="s">
        <v>185</v>
      </c>
      <c r="C13" s="63"/>
      <c r="D13" s="63"/>
      <c r="E13" s="63"/>
      <c r="F13" s="61" t="e">
        <f t="shared" si="0"/>
        <v>#DIV/0!</v>
      </c>
      <c r="G13" s="63"/>
      <c r="H13" s="61" t="e">
        <f t="shared" si="1"/>
        <v>#DIV/0!</v>
      </c>
      <c r="I13" s="63"/>
      <c r="J13" s="363"/>
      <c r="K13" s="363"/>
    </row>
    <row r="14" spans="1:11">
      <c r="A14" s="29">
        <v>8</v>
      </c>
      <c r="B14" s="109" t="s">
        <v>186</v>
      </c>
      <c r="C14" s="63"/>
      <c r="D14" s="63"/>
      <c r="E14" s="63"/>
      <c r="F14" s="61" t="e">
        <f t="shared" si="0"/>
        <v>#DIV/0!</v>
      </c>
      <c r="G14" s="63"/>
      <c r="H14" s="61" t="e">
        <f t="shared" si="1"/>
        <v>#DIV/0!</v>
      </c>
      <c r="I14" s="63"/>
      <c r="J14" s="363"/>
      <c r="K14" s="363"/>
    </row>
    <row r="15" spans="1:11">
      <c r="A15" s="25">
        <v>9</v>
      </c>
      <c r="B15" s="109" t="s">
        <v>187</v>
      </c>
      <c r="C15" s="63"/>
      <c r="D15" s="63"/>
      <c r="E15" s="63"/>
      <c r="F15" s="61" t="e">
        <f t="shared" si="0"/>
        <v>#DIV/0!</v>
      </c>
      <c r="G15" s="63"/>
      <c r="H15" s="61" t="e">
        <f t="shared" si="1"/>
        <v>#DIV/0!</v>
      </c>
      <c r="I15" s="63"/>
      <c r="J15" s="363"/>
      <c r="K15" s="363"/>
    </row>
    <row r="16" spans="1:11">
      <c r="A16" s="29">
        <v>10</v>
      </c>
      <c r="B16" s="109" t="s">
        <v>188</v>
      </c>
      <c r="C16" s="63"/>
      <c r="D16" s="63"/>
      <c r="E16" s="63"/>
      <c r="F16" s="61" t="e">
        <f t="shared" si="0"/>
        <v>#DIV/0!</v>
      </c>
      <c r="G16" s="63"/>
      <c r="H16" s="61" t="e">
        <f t="shared" si="1"/>
        <v>#DIV/0!</v>
      </c>
      <c r="I16" s="63"/>
      <c r="J16" s="363"/>
      <c r="K16" s="363"/>
    </row>
    <row r="17" spans="1:11">
      <c r="A17" s="25">
        <v>11</v>
      </c>
      <c r="B17" s="109" t="s">
        <v>189</v>
      </c>
      <c r="C17" s="63"/>
      <c r="D17" s="63"/>
      <c r="E17" s="63"/>
      <c r="F17" s="61" t="e">
        <f t="shared" si="0"/>
        <v>#DIV/0!</v>
      </c>
      <c r="G17" s="63"/>
      <c r="H17" s="61" t="e">
        <f t="shared" si="1"/>
        <v>#DIV/0!</v>
      </c>
      <c r="I17" s="63"/>
      <c r="J17" s="363"/>
      <c r="K17" s="363"/>
    </row>
    <row r="18" spans="1:11">
      <c r="A18" s="29">
        <v>12</v>
      </c>
      <c r="B18" s="109" t="s">
        <v>190</v>
      </c>
      <c r="C18" s="63"/>
      <c r="D18" s="63"/>
      <c r="E18" s="63"/>
      <c r="F18" s="61" t="e">
        <f t="shared" si="0"/>
        <v>#DIV/0!</v>
      </c>
      <c r="G18" s="63"/>
      <c r="H18" s="61" t="e">
        <f t="shared" si="1"/>
        <v>#DIV/0!</v>
      </c>
      <c r="I18" s="63"/>
      <c r="J18" s="363"/>
      <c r="K18" s="363"/>
    </row>
    <row r="19" spans="1:11">
      <c r="A19" s="25">
        <v>13</v>
      </c>
      <c r="B19" s="109" t="s">
        <v>191</v>
      </c>
      <c r="C19" s="63"/>
      <c r="D19" s="63"/>
      <c r="E19" s="63"/>
      <c r="F19" s="61" t="e">
        <f t="shared" si="0"/>
        <v>#DIV/0!</v>
      </c>
      <c r="G19" s="63"/>
      <c r="H19" s="61" t="e">
        <f t="shared" si="1"/>
        <v>#DIV/0!</v>
      </c>
      <c r="I19" s="63"/>
      <c r="J19" s="363"/>
      <c r="K19" s="363"/>
    </row>
    <row r="20" spans="1:11">
      <c r="A20" s="29">
        <v>14</v>
      </c>
      <c r="B20" s="109" t="s">
        <v>192</v>
      </c>
      <c r="C20" s="63"/>
      <c r="D20" s="63"/>
      <c r="E20" s="63"/>
      <c r="F20" s="61" t="e">
        <f t="shared" si="0"/>
        <v>#DIV/0!</v>
      </c>
      <c r="G20" s="63"/>
      <c r="H20" s="61" t="e">
        <f t="shared" si="1"/>
        <v>#DIV/0!</v>
      </c>
      <c r="I20" s="63"/>
      <c r="J20" s="363"/>
      <c r="K20" s="363"/>
    </row>
    <row r="21" spans="1:11">
      <c r="A21" s="25">
        <v>15</v>
      </c>
      <c r="B21" s="109" t="s">
        <v>193</v>
      </c>
      <c r="C21" s="63"/>
      <c r="D21" s="63"/>
      <c r="E21" s="63"/>
      <c r="F21" s="61" t="e">
        <f t="shared" si="0"/>
        <v>#DIV/0!</v>
      </c>
      <c r="G21" s="63"/>
      <c r="H21" s="61" t="e">
        <f t="shared" si="1"/>
        <v>#DIV/0!</v>
      </c>
      <c r="I21" s="63"/>
      <c r="J21" s="363"/>
      <c r="K21" s="363"/>
    </row>
    <row r="22" spans="1:11">
      <c r="A22" s="29">
        <v>16</v>
      </c>
      <c r="B22" s="109" t="s">
        <v>194</v>
      </c>
      <c r="C22" s="63"/>
      <c r="D22" s="63"/>
      <c r="E22" s="63"/>
      <c r="F22" s="61" t="e">
        <f t="shared" si="0"/>
        <v>#DIV/0!</v>
      </c>
      <c r="G22" s="63"/>
      <c r="H22" s="61" t="e">
        <f t="shared" si="1"/>
        <v>#DIV/0!</v>
      </c>
      <c r="I22" s="63"/>
      <c r="J22" s="363"/>
      <c r="K22" s="363"/>
    </row>
    <row r="23" spans="1:11">
      <c r="A23" s="29">
        <v>17</v>
      </c>
      <c r="B23" s="109" t="s">
        <v>195</v>
      </c>
      <c r="C23" s="63"/>
      <c r="D23" s="63"/>
      <c r="E23" s="63"/>
      <c r="F23" s="61" t="e">
        <f t="shared" si="0"/>
        <v>#DIV/0!</v>
      </c>
      <c r="G23" s="63"/>
      <c r="H23" s="61" t="e">
        <f t="shared" si="1"/>
        <v>#DIV/0!</v>
      </c>
      <c r="I23" s="63"/>
      <c r="J23" s="363"/>
      <c r="K23" s="363"/>
    </row>
    <row r="24" spans="1:11">
      <c r="A24" s="25">
        <v>18</v>
      </c>
      <c r="B24" s="109" t="s">
        <v>196</v>
      </c>
      <c r="C24" s="63"/>
      <c r="D24" s="63"/>
      <c r="E24" s="63"/>
      <c r="F24" s="61" t="e">
        <f t="shared" si="0"/>
        <v>#DIV/0!</v>
      </c>
      <c r="G24" s="63"/>
      <c r="H24" s="61" t="e">
        <f t="shared" si="1"/>
        <v>#DIV/0!</v>
      </c>
      <c r="I24" s="63"/>
      <c r="J24" s="363"/>
      <c r="K24" s="363"/>
    </row>
    <row r="25" spans="1:11">
      <c r="A25" s="29">
        <v>19</v>
      </c>
      <c r="B25" s="109" t="s">
        <v>197</v>
      </c>
      <c r="C25" s="63"/>
      <c r="D25" s="63"/>
      <c r="E25" s="63"/>
      <c r="F25" s="61" t="e">
        <f t="shared" si="0"/>
        <v>#DIV/0!</v>
      </c>
      <c r="G25" s="63"/>
      <c r="H25" s="61" t="e">
        <f t="shared" si="1"/>
        <v>#DIV/0!</v>
      </c>
      <c r="I25" s="63"/>
      <c r="J25" s="363"/>
      <c r="K25" s="363"/>
    </row>
    <row r="26" spans="1:11">
      <c r="A26" s="29">
        <v>20</v>
      </c>
      <c r="B26" s="109" t="s">
        <v>198</v>
      </c>
      <c r="C26" s="63"/>
      <c r="D26" s="63"/>
      <c r="E26" s="63"/>
      <c r="F26" s="61" t="e">
        <f t="shared" si="0"/>
        <v>#DIV/0!</v>
      </c>
      <c r="G26" s="63"/>
      <c r="H26" s="61" t="e">
        <f t="shared" si="1"/>
        <v>#DIV/0!</v>
      </c>
      <c r="I26" s="63"/>
      <c r="J26" s="363"/>
      <c r="K26" s="363"/>
    </row>
    <row r="27" spans="1:11">
      <c r="A27" s="25">
        <v>21</v>
      </c>
      <c r="B27" s="109" t="s">
        <v>199</v>
      </c>
      <c r="C27" s="63"/>
      <c r="D27" s="63"/>
      <c r="E27" s="63"/>
      <c r="F27" s="61" t="e">
        <f t="shared" si="0"/>
        <v>#DIV/0!</v>
      </c>
      <c r="G27" s="63"/>
      <c r="H27" s="61" t="e">
        <f t="shared" si="1"/>
        <v>#DIV/0!</v>
      </c>
      <c r="I27" s="63"/>
      <c r="J27" s="363"/>
      <c r="K27" s="363"/>
    </row>
    <row r="28" spans="1:11">
      <c r="A28" s="29">
        <v>22</v>
      </c>
      <c r="B28" s="109" t="s">
        <v>200</v>
      </c>
      <c r="C28" s="63"/>
      <c r="D28" s="63"/>
      <c r="E28" s="63"/>
      <c r="F28" s="61" t="e">
        <f t="shared" si="0"/>
        <v>#DIV/0!</v>
      </c>
      <c r="G28" s="63"/>
      <c r="H28" s="61" t="e">
        <f t="shared" si="1"/>
        <v>#DIV/0!</v>
      </c>
      <c r="I28" s="63"/>
      <c r="J28" s="363"/>
      <c r="K28" s="363"/>
    </row>
    <row r="29" spans="1:11">
      <c r="A29" s="29">
        <v>23</v>
      </c>
      <c r="B29" s="109" t="s">
        <v>201</v>
      </c>
      <c r="C29" s="63"/>
      <c r="D29" s="63"/>
      <c r="E29" s="63"/>
      <c r="F29" s="61" t="e">
        <f t="shared" si="0"/>
        <v>#DIV/0!</v>
      </c>
      <c r="G29" s="63"/>
      <c r="H29" s="61" t="e">
        <f t="shared" si="1"/>
        <v>#DIV/0!</v>
      </c>
      <c r="I29" s="63"/>
      <c r="J29" s="363"/>
      <c r="K29" s="363"/>
    </row>
    <row r="30" spans="1:11">
      <c r="A30" s="29">
        <v>24</v>
      </c>
      <c r="B30" s="109" t="s">
        <v>202</v>
      </c>
      <c r="C30" s="63"/>
      <c r="D30" s="63"/>
      <c r="E30" s="63"/>
      <c r="F30" s="61" t="e">
        <f t="shared" si="0"/>
        <v>#DIV/0!</v>
      </c>
      <c r="G30" s="63"/>
      <c r="H30" s="61" t="e">
        <f t="shared" si="1"/>
        <v>#DIV/0!</v>
      </c>
      <c r="I30" s="63"/>
      <c r="J30" s="363"/>
      <c r="K30" s="363"/>
    </row>
    <row r="31" spans="1:11">
      <c r="A31" s="29">
        <v>25</v>
      </c>
      <c r="B31" s="109" t="s">
        <v>203</v>
      </c>
      <c r="C31" s="63"/>
      <c r="D31" s="63"/>
      <c r="E31" s="63"/>
      <c r="F31" s="61" t="e">
        <f t="shared" si="0"/>
        <v>#DIV/0!</v>
      </c>
      <c r="G31" s="63"/>
      <c r="H31" s="61" t="e">
        <f t="shared" si="1"/>
        <v>#DIV/0!</v>
      </c>
      <c r="I31" s="63"/>
      <c r="J31" s="363"/>
      <c r="K31" s="363"/>
    </row>
    <row r="32" spans="1:11">
      <c r="A32" s="29">
        <v>26</v>
      </c>
      <c r="B32" s="109" t="s">
        <v>204</v>
      </c>
      <c r="C32" s="63"/>
      <c r="D32" s="63"/>
      <c r="E32" s="63"/>
      <c r="F32" s="61" t="e">
        <f t="shared" si="0"/>
        <v>#DIV/0!</v>
      </c>
      <c r="G32" s="63"/>
      <c r="H32" s="61" t="e">
        <f t="shared" si="1"/>
        <v>#DIV/0!</v>
      </c>
      <c r="I32" s="63"/>
      <c r="J32" s="363"/>
      <c r="K32" s="363"/>
    </row>
    <row r="33" spans="1:11">
      <c r="A33" s="29">
        <v>27</v>
      </c>
      <c r="B33" s="109" t="s">
        <v>205</v>
      </c>
      <c r="C33" s="63"/>
      <c r="D33" s="63"/>
      <c r="E33" s="63"/>
      <c r="F33" s="61" t="e">
        <f t="shared" si="0"/>
        <v>#DIV/0!</v>
      </c>
      <c r="G33" s="63"/>
      <c r="H33" s="61" t="e">
        <f t="shared" si="1"/>
        <v>#DIV/0!</v>
      </c>
      <c r="I33" s="63"/>
      <c r="J33" s="363"/>
      <c r="K33" s="363"/>
    </row>
    <row r="34" spans="1:11">
      <c r="A34" s="29">
        <v>28</v>
      </c>
      <c r="B34" s="109" t="s">
        <v>206</v>
      </c>
      <c r="C34" s="63"/>
      <c r="D34" s="63"/>
      <c r="E34" s="63"/>
      <c r="F34" s="61" t="e">
        <f t="shared" si="0"/>
        <v>#DIV/0!</v>
      </c>
      <c r="G34" s="63"/>
      <c r="H34" s="61" t="e">
        <f t="shared" si="1"/>
        <v>#DIV/0!</v>
      </c>
      <c r="I34" s="63"/>
      <c r="J34" s="363"/>
      <c r="K34" s="363"/>
    </row>
    <row r="35" spans="1:11">
      <c r="A35" s="29">
        <v>29</v>
      </c>
      <c r="B35" s="109" t="s">
        <v>207</v>
      </c>
      <c r="C35" s="63"/>
      <c r="D35" s="63"/>
      <c r="E35" s="63"/>
      <c r="F35" s="61" t="e">
        <f t="shared" si="0"/>
        <v>#DIV/0!</v>
      </c>
      <c r="G35" s="63"/>
      <c r="H35" s="61" t="e">
        <f t="shared" si="1"/>
        <v>#DIV/0!</v>
      </c>
      <c r="I35" s="63"/>
      <c r="J35" s="363"/>
      <c r="K35" s="363"/>
    </row>
    <row r="36" spans="1:11">
      <c r="A36" s="29">
        <v>30</v>
      </c>
      <c r="B36" s="109" t="s">
        <v>208</v>
      </c>
      <c r="C36" s="63"/>
      <c r="D36" s="63"/>
      <c r="E36" s="63"/>
      <c r="F36" s="61" t="e">
        <f t="shared" si="0"/>
        <v>#DIV/0!</v>
      </c>
      <c r="G36" s="63"/>
      <c r="H36" s="61" t="e">
        <f t="shared" si="1"/>
        <v>#DIV/0!</v>
      </c>
      <c r="I36" s="63"/>
      <c r="J36" s="363"/>
      <c r="K36" s="363"/>
    </row>
    <row r="37" spans="1:11">
      <c r="A37" s="29">
        <v>31</v>
      </c>
      <c r="B37" s="109" t="s">
        <v>209</v>
      </c>
      <c r="C37" s="63"/>
      <c r="D37" s="63"/>
      <c r="E37" s="63"/>
      <c r="F37" s="61" t="e">
        <f t="shared" si="0"/>
        <v>#DIV/0!</v>
      </c>
      <c r="G37" s="63"/>
      <c r="H37" s="61" t="e">
        <f t="shared" si="1"/>
        <v>#DIV/0!</v>
      </c>
      <c r="I37" s="63"/>
      <c r="J37" s="363"/>
      <c r="K37" s="363"/>
    </row>
    <row r="38" spans="1:11">
      <c r="A38" s="29">
        <v>32</v>
      </c>
      <c r="B38" s="109" t="s">
        <v>210</v>
      </c>
      <c r="C38" s="63"/>
      <c r="D38" s="63"/>
      <c r="E38" s="63"/>
      <c r="F38" s="61" t="e">
        <f t="shared" si="0"/>
        <v>#DIV/0!</v>
      </c>
      <c r="G38" s="63"/>
      <c r="H38" s="61" t="e">
        <f t="shared" si="1"/>
        <v>#DIV/0!</v>
      </c>
      <c r="I38" s="63"/>
      <c r="J38" s="363"/>
      <c r="K38" s="363"/>
    </row>
    <row r="39" spans="1:11">
      <c r="A39" s="29">
        <v>33</v>
      </c>
      <c r="B39" s="109" t="s">
        <v>211</v>
      </c>
      <c r="C39" s="63"/>
      <c r="D39" s="63"/>
      <c r="E39" s="63"/>
      <c r="F39" s="61" t="e">
        <f t="shared" si="0"/>
        <v>#DIV/0!</v>
      </c>
      <c r="G39" s="63"/>
      <c r="H39" s="61" t="e">
        <f t="shared" si="1"/>
        <v>#DIV/0!</v>
      </c>
      <c r="I39" s="63"/>
      <c r="J39" s="363"/>
      <c r="K39" s="363"/>
    </row>
    <row r="40" spans="1:11">
      <c r="A40" s="29">
        <v>34</v>
      </c>
      <c r="B40" s="109" t="s">
        <v>212</v>
      </c>
      <c r="C40" s="63"/>
      <c r="D40" s="63"/>
      <c r="E40" s="63"/>
      <c r="F40" s="61" t="e">
        <f t="shared" si="0"/>
        <v>#DIV/0!</v>
      </c>
      <c r="G40" s="63"/>
      <c r="H40" s="61" t="e">
        <f t="shared" si="1"/>
        <v>#DIV/0!</v>
      </c>
      <c r="I40" s="63"/>
      <c r="J40" s="363"/>
      <c r="K40" s="363"/>
    </row>
    <row r="41" spans="1:11">
      <c r="A41" s="29">
        <v>35</v>
      </c>
      <c r="B41" s="109" t="s">
        <v>213</v>
      </c>
      <c r="C41" s="63"/>
      <c r="D41" s="63"/>
      <c r="E41" s="63"/>
      <c r="F41" s="61" t="e">
        <f t="shared" si="0"/>
        <v>#DIV/0!</v>
      </c>
      <c r="G41" s="63"/>
      <c r="H41" s="61" t="e">
        <f t="shared" si="1"/>
        <v>#DIV/0!</v>
      </c>
      <c r="I41" s="63"/>
      <c r="J41" s="363"/>
      <c r="K41" s="363"/>
    </row>
    <row r="42" s="103" customFormat="1" ht="16" customHeight="1" spans="1:36">
      <c r="A42" s="107" t="s">
        <v>287</v>
      </c>
      <c r="B42" s="27"/>
      <c r="C42" s="110"/>
      <c r="D42" s="110"/>
      <c r="E42" s="27"/>
      <c r="F42" s="27"/>
      <c r="G42" s="27"/>
      <c r="H42" s="27"/>
      <c r="I42" s="27"/>
      <c r="J42" s="27"/>
      <c r="K42" s="27"/>
      <c r="L42" s="123"/>
      <c r="M42" s="9"/>
      <c r="N42" s="9"/>
      <c r="O42" s="9"/>
      <c r="P42" s="9"/>
      <c r="Q42" s="123"/>
      <c r="R42" s="34"/>
      <c r="S42" s="34"/>
      <c r="T42" s="34"/>
      <c r="U42" s="34"/>
      <c r="V42" s="34"/>
      <c r="W42" s="123"/>
      <c r="X42" s="123"/>
      <c r="Y42" s="123"/>
      <c r="Z42" s="123"/>
      <c r="AA42" s="123"/>
      <c r="AB42" s="123"/>
      <c r="AC42" s="123"/>
      <c r="AD42" s="123"/>
      <c r="AE42" s="123"/>
      <c r="AF42" s="123"/>
      <c r="AG42" s="123"/>
      <c r="AH42" s="123"/>
      <c r="AI42" s="123"/>
      <c r="AJ42" s="123"/>
    </row>
    <row r="43" s="5" customFormat="1" ht="15" customHeight="1" spans="1:11">
      <c r="A43" s="25">
        <v>36</v>
      </c>
      <c r="B43" s="26" t="s">
        <v>111</v>
      </c>
      <c r="C43" s="61">
        <f>SUM(C44:C77)</f>
        <v>0</v>
      </c>
      <c r="D43" s="61">
        <f>SUM(D44:D77)</f>
        <v>0</v>
      </c>
      <c r="E43" s="61">
        <f>SUM(E44:E77)</f>
        <v>0</v>
      </c>
      <c r="F43" s="61" t="e">
        <f t="shared" ref="F43:F77" si="2">E43/C43</f>
        <v>#DIV/0!</v>
      </c>
      <c r="G43" s="61">
        <f>SUM(G44:G77)</f>
        <v>0</v>
      </c>
      <c r="H43" s="61" t="e">
        <f t="shared" ref="H43:H77" si="3">G43/C43</f>
        <v>#DIV/0!</v>
      </c>
      <c r="I43" s="62"/>
      <c r="J43" s="62"/>
      <c r="K43" s="62"/>
    </row>
    <row r="44" spans="1:11">
      <c r="A44" s="29">
        <v>37</v>
      </c>
      <c r="B44" s="109" t="s">
        <v>180</v>
      </c>
      <c r="C44" s="63"/>
      <c r="D44" s="63"/>
      <c r="E44" s="63"/>
      <c r="F44" s="61" t="e">
        <f t="shared" si="2"/>
        <v>#DIV/0!</v>
      </c>
      <c r="G44" s="63"/>
      <c r="H44" s="61" t="e">
        <f t="shared" si="3"/>
        <v>#DIV/0!</v>
      </c>
      <c r="I44" s="63"/>
      <c r="J44" s="63"/>
      <c r="K44" s="63"/>
    </row>
    <row r="45" spans="1:11">
      <c r="A45" s="25">
        <v>38</v>
      </c>
      <c r="B45" s="109" t="s">
        <v>181</v>
      </c>
      <c r="C45" s="63"/>
      <c r="D45" s="63"/>
      <c r="E45" s="63"/>
      <c r="F45" s="61" t="e">
        <f t="shared" si="2"/>
        <v>#DIV/0!</v>
      </c>
      <c r="G45" s="63"/>
      <c r="H45" s="61" t="e">
        <f t="shared" si="3"/>
        <v>#DIV/0!</v>
      </c>
      <c r="I45" s="63"/>
      <c r="J45" s="63"/>
      <c r="K45" s="63"/>
    </row>
    <row r="46" spans="1:11">
      <c r="A46" s="29">
        <v>39</v>
      </c>
      <c r="B46" s="109" t="s">
        <v>182</v>
      </c>
      <c r="C46" s="63"/>
      <c r="D46" s="63"/>
      <c r="E46" s="63"/>
      <c r="F46" s="61" t="e">
        <f t="shared" si="2"/>
        <v>#DIV/0!</v>
      </c>
      <c r="G46" s="63"/>
      <c r="H46" s="61" t="e">
        <f t="shared" si="3"/>
        <v>#DIV/0!</v>
      </c>
      <c r="I46" s="63"/>
      <c r="J46" s="63"/>
      <c r="K46" s="63"/>
    </row>
    <row r="47" spans="1:11">
      <c r="A47" s="25">
        <v>40</v>
      </c>
      <c r="B47" s="109" t="s">
        <v>183</v>
      </c>
      <c r="C47" s="63"/>
      <c r="D47" s="63"/>
      <c r="E47" s="63"/>
      <c r="F47" s="61" t="e">
        <f t="shared" si="2"/>
        <v>#DIV/0!</v>
      </c>
      <c r="G47" s="63"/>
      <c r="H47" s="61" t="e">
        <f t="shared" si="3"/>
        <v>#DIV/0!</v>
      </c>
      <c r="I47" s="63"/>
      <c r="J47" s="63"/>
      <c r="K47" s="63"/>
    </row>
    <row r="48" spans="1:11">
      <c r="A48" s="29">
        <v>41</v>
      </c>
      <c r="B48" s="109" t="s">
        <v>184</v>
      </c>
      <c r="C48" s="63"/>
      <c r="D48" s="63"/>
      <c r="E48" s="63"/>
      <c r="F48" s="61" t="e">
        <f t="shared" si="2"/>
        <v>#DIV/0!</v>
      </c>
      <c r="G48" s="63"/>
      <c r="H48" s="61" t="e">
        <f t="shared" si="3"/>
        <v>#DIV/0!</v>
      </c>
      <c r="I48" s="63"/>
      <c r="J48" s="63"/>
      <c r="K48" s="63"/>
    </row>
    <row r="49" spans="1:11">
      <c r="A49" s="25">
        <v>42</v>
      </c>
      <c r="B49" s="109" t="s">
        <v>185</v>
      </c>
      <c r="C49" s="63"/>
      <c r="D49" s="63"/>
      <c r="E49" s="63"/>
      <c r="F49" s="61" t="e">
        <f t="shared" si="2"/>
        <v>#DIV/0!</v>
      </c>
      <c r="G49" s="63"/>
      <c r="H49" s="61" t="e">
        <f t="shared" si="3"/>
        <v>#DIV/0!</v>
      </c>
      <c r="I49" s="63"/>
      <c r="J49" s="63"/>
      <c r="K49" s="63"/>
    </row>
    <row r="50" spans="1:11">
      <c r="A50" s="29">
        <v>43</v>
      </c>
      <c r="B50" s="109" t="s">
        <v>186</v>
      </c>
      <c r="C50" s="63"/>
      <c r="D50" s="63"/>
      <c r="E50" s="63"/>
      <c r="F50" s="61" t="e">
        <f t="shared" si="2"/>
        <v>#DIV/0!</v>
      </c>
      <c r="G50" s="63"/>
      <c r="H50" s="61" t="e">
        <f t="shared" si="3"/>
        <v>#DIV/0!</v>
      </c>
      <c r="I50" s="63"/>
      <c r="J50" s="63"/>
      <c r="K50" s="63"/>
    </row>
    <row r="51" spans="1:11">
      <c r="A51" s="25">
        <v>44</v>
      </c>
      <c r="B51" s="109" t="s">
        <v>187</v>
      </c>
      <c r="C51" s="63"/>
      <c r="D51" s="63"/>
      <c r="E51" s="63"/>
      <c r="F51" s="61" t="e">
        <f t="shared" si="2"/>
        <v>#DIV/0!</v>
      </c>
      <c r="G51" s="63"/>
      <c r="H51" s="61" t="e">
        <f t="shared" si="3"/>
        <v>#DIV/0!</v>
      </c>
      <c r="I51" s="63"/>
      <c r="J51" s="63"/>
      <c r="K51" s="63"/>
    </row>
    <row r="52" spans="1:11">
      <c r="A52" s="29">
        <v>45</v>
      </c>
      <c r="B52" s="109" t="s">
        <v>188</v>
      </c>
      <c r="C52" s="63"/>
      <c r="D52" s="63"/>
      <c r="E52" s="63"/>
      <c r="F52" s="61" t="e">
        <f t="shared" si="2"/>
        <v>#DIV/0!</v>
      </c>
      <c r="G52" s="63"/>
      <c r="H52" s="61" t="e">
        <f t="shared" si="3"/>
        <v>#DIV/0!</v>
      </c>
      <c r="I52" s="63"/>
      <c r="J52" s="63"/>
      <c r="K52" s="63"/>
    </row>
    <row r="53" spans="1:11">
      <c r="A53" s="25">
        <v>46</v>
      </c>
      <c r="B53" s="109" t="s">
        <v>189</v>
      </c>
      <c r="C53" s="63"/>
      <c r="D53" s="63"/>
      <c r="E53" s="63"/>
      <c r="F53" s="61" t="e">
        <f t="shared" si="2"/>
        <v>#DIV/0!</v>
      </c>
      <c r="G53" s="63"/>
      <c r="H53" s="61" t="e">
        <f t="shared" si="3"/>
        <v>#DIV/0!</v>
      </c>
      <c r="I53" s="63"/>
      <c r="J53" s="63"/>
      <c r="K53" s="63"/>
    </row>
    <row r="54" spans="1:11">
      <c r="A54" s="29">
        <v>47</v>
      </c>
      <c r="B54" s="109" t="s">
        <v>190</v>
      </c>
      <c r="C54" s="63"/>
      <c r="D54" s="63"/>
      <c r="E54" s="63"/>
      <c r="F54" s="61" t="e">
        <f t="shared" si="2"/>
        <v>#DIV/0!</v>
      </c>
      <c r="G54" s="63"/>
      <c r="H54" s="61" t="e">
        <f t="shared" si="3"/>
        <v>#DIV/0!</v>
      </c>
      <c r="I54" s="63"/>
      <c r="J54" s="63"/>
      <c r="K54" s="63"/>
    </row>
    <row r="55" spans="1:11">
      <c r="A55" s="25">
        <v>48</v>
      </c>
      <c r="B55" s="109" t="s">
        <v>191</v>
      </c>
      <c r="C55" s="63"/>
      <c r="D55" s="63"/>
      <c r="E55" s="63"/>
      <c r="F55" s="61" t="e">
        <f t="shared" si="2"/>
        <v>#DIV/0!</v>
      </c>
      <c r="G55" s="63"/>
      <c r="H55" s="61" t="e">
        <f t="shared" si="3"/>
        <v>#DIV/0!</v>
      </c>
      <c r="I55" s="63"/>
      <c r="J55" s="63"/>
      <c r="K55" s="63"/>
    </row>
    <row r="56" spans="1:11">
      <c r="A56" s="29">
        <v>49</v>
      </c>
      <c r="B56" s="109" t="s">
        <v>192</v>
      </c>
      <c r="C56" s="63"/>
      <c r="D56" s="63"/>
      <c r="E56" s="63"/>
      <c r="F56" s="61" t="e">
        <f t="shared" si="2"/>
        <v>#DIV/0!</v>
      </c>
      <c r="G56" s="63"/>
      <c r="H56" s="61" t="e">
        <f t="shared" si="3"/>
        <v>#DIV/0!</v>
      </c>
      <c r="I56" s="63"/>
      <c r="J56" s="63"/>
      <c r="K56" s="63"/>
    </row>
    <row r="57" spans="1:11">
      <c r="A57" s="25">
        <v>50</v>
      </c>
      <c r="B57" s="109" t="s">
        <v>193</v>
      </c>
      <c r="C57" s="63"/>
      <c r="D57" s="63"/>
      <c r="E57" s="63"/>
      <c r="F57" s="61" t="e">
        <f t="shared" si="2"/>
        <v>#DIV/0!</v>
      </c>
      <c r="G57" s="63"/>
      <c r="H57" s="61" t="e">
        <f t="shared" si="3"/>
        <v>#DIV/0!</v>
      </c>
      <c r="I57" s="63"/>
      <c r="J57" s="63"/>
      <c r="K57" s="63"/>
    </row>
    <row r="58" spans="1:11">
      <c r="A58" s="29">
        <v>51</v>
      </c>
      <c r="B58" s="109" t="s">
        <v>194</v>
      </c>
      <c r="C58" s="63"/>
      <c r="D58" s="63"/>
      <c r="E58" s="63"/>
      <c r="F58" s="61" t="e">
        <f t="shared" si="2"/>
        <v>#DIV/0!</v>
      </c>
      <c r="G58" s="63"/>
      <c r="H58" s="61" t="e">
        <f t="shared" si="3"/>
        <v>#DIV/0!</v>
      </c>
      <c r="I58" s="63"/>
      <c r="J58" s="63"/>
      <c r="K58" s="63"/>
    </row>
    <row r="59" spans="1:11">
      <c r="A59" s="25">
        <v>52</v>
      </c>
      <c r="B59" s="109" t="s">
        <v>195</v>
      </c>
      <c r="C59" s="63"/>
      <c r="D59" s="63"/>
      <c r="E59" s="63"/>
      <c r="F59" s="61" t="e">
        <f t="shared" si="2"/>
        <v>#DIV/0!</v>
      </c>
      <c r="G59" s="63"/>
      <c r="H59" s="61" t="e">
        <f t="shared" si="3"/>
        <v>#DIV/0!</v>
      </c>
      <c r="I59" s="63"/>
      <c r="J59" s="63"/>
      <c r="K59" s="63"/>
    </row>
    <row r="60" spans="1:11">
      <c r="A60" s="29">
        <v>53</v>
      </c>
      <c r="B60" s="109" t="s">
        <v>196</v>
      </c>
      <c r="C60" s="63"/>
      <c r="D60" s="63"/>
      <c r="E60" s="63"/>
      <c r="F60" s="61" t="e">
        <f t="shared" si="2"/>
        <v>#DIV/0!</v>
      </c>
      <c r="G60" s="63"/>
      <c r="H60" s="61" t="e">
        <f t="shared" si="3"/>
        <v>#DIV/0!</v>
      </c>
      <c r="I60" s="63"/>
      <c r="J60" s="63"/>
      <c r="K60" s="63"/>
    </row>
    <row r="61" spans="1:11">
      <c r="A61" s="25">
        <v>54</v>
      </c>
      <c r="B61" s="109" t="s">
        <v>197</v>
      </c>
      <c r="C61" s="63"/>
      <c r="D61" s="63"/>
      <c r="E61" s="63"/>
      <c r="F61" s="61" t="e">
        <f t="shared" si="2"/>
        <v>#DIV/0!</v>
      </c>
      <c r="G61" s="63"/>
      <c r="H61" s="61" t="e">
        <f t="shared" si="3"/>
        <v>#DIV/0!</v>
      </c>
      <c r="I61" s="63"/>
      <c r="J61" s="63"/>
      <c r="K61" s="63"/>
    </row>
    <row r="62" spans="1:11">
      <c r="A62" s="29">
        <v>55</v>
      </c>
      <c r="B62" s="109" t="s">
        <v>198</v>
      </c>
      <c r="C62" s="63"/>
      <c r="D62" s="63"/>
      <c r="E62" s="63"/>
      <c r="F62" s="61" t="e">
        <f t="shared" si="2"/>
        <v>#DIV/0!</v>
      </c>
      <c r="G62" s="63"/>
      <c r="H62" s="61" t="e">
        <f t="shared" si="3"/>
        <v>#DIV/0!</v>
      </c>
      <c r="I62" s="63"/>
      <c r="J62" s="63"/>
      <c r="K62" s="63"/>
    </row>
    <row r="63" spans="1:11">
      <c r="A63" s="25">
        <v>56</v>
      </c>
      <c r="B63" s="109" t="s">
        <v>199</v>
      </c>
      <c r="C63" s="63"/>
      <c r="D63" s="63"/>
      <c r="E63" s="63"/>
      <c r="F63" s="61" t="e">
        <f t="shared" si="2"/>
        <v>#DIV/0!</v>
      </c>
      <c r="G63" s="63"/>
      <c r="H63" s="61" t="e">
        <f t="shared" si="3"/>
        <v>#DIV/0!</v>
      </c>
      <c r="I63" s="63"/>
      <c r="J63" s="63"/>
      <c r="K63" s="63"/>
    </row>
    <row r="64" spans="1:11">
      <c r="A64" s="29">
        <v>57</v>
      </c>
      <c r="B64" s="109" t="s">
        <v>200</v>
      </c>
      <c r="C64" s="63"/>
      <c r="D64" s="63"/>
      <c r="E64" s="63"/>
      <c r="F64" s="61" t="e">
        <f t="shared" si="2"/>
        <v>#DIV/0!</v>
      </c>
      <c r="G64" s="63"/>
      <c r="H64" s="61" t="e">
        <f t="shared" si="3"/>
        <v>#DIV/0!</v>
      </c>
      <c r="I64" s="63"/>
      <c r="J64" s="63"/>
      <c r="K64" s="63"/>
    </row>
    <row r="65" spans="1:11">
      <c r="A65" s="25">
        <v>58</v>
      </c>
      <c r="B65" s="109" t="s">
        <v>201</v>
      </c>
      <c r="C65" s="63"/>
      <c r="D65" s="63"/>
      <c r="E65" s="63"/>
      <c r="F65" s="61" t="e">
        <f t="shared" si="2"/>
        <v>#DIV/0!</v>
      </c>
      <c r="G65" s="63"/>
      <c r="H65" s="61" t="e">
        <f t="shared" si="3"/>
        <v>#DIV/0!</v>
      </c>
      <c r="I65" s="63"/>
      <c r="J65" s="63"/>
      <c r="K65" s="63"/>
    </row>
    <row r="66" spans="1:11">
      <c r="A66" s="29">
        <v>59</v>
      </c>
      <c r="B66" s="109" t="s">
        <v>202</v>
      </c>
      <c r="C66" s="63"/>
      <c r="D66" s="63"/>
      <c r="E66" s="63"/>
      <c r="F66" s="61" t="e">
        <f t="shared" si="2"/>
        <v>#DIV/0!</v>
      </c>
      <c r="G66" s="63"/>
      <c r="H66" s="61" t="e">
        <f t="shared" si="3"/>
        <v>#DIV/0!</v>
      </c>
      <c r="I66" s="63"/>
      <c r="J66" s="63"/>
      <c r="K66" s="63"/>
    </row>
    <row r="67" spans="1:11">
      <c r="A67" s="25">
        <v>60</v>
      </c>
      <c r="B67" s="109" t="s">
        <v>203</v>
      </c>
      <c r="C67" s="63"/>
      <c r="D67" s="63"/>
      <c r="E67" s="63"/>
      <c r="F67" s="61" t="e">
        <f t="shared" si="2"/>
        <v>#DIV/0!</v>
      </c>
      <c r="G67" s="63"/>
      <c r="H67" s="61" t="e">
        <f t="shared" si="3"/>
        <v>#DIV/0!</v>
      </c>
      <c r="I67" s="63"/>
      <c r="J67" s="63"/>
      <c r="K67" s="63"/>
    </row>
    <row r="68" spans="1:11">
      <c r="A68" s="29">
        <v>61</v>
      </c>
      <c r="B68" s="109" t="s">
        <v>204</v>
      </c>
      <c r="C68" s="63"/>
      <c r="D68" s="63"/>
      <c r="E68" s="63"/>
      <c r="F68" s="61" t="e">
        <f t="shared" si="2"/>
        <v>#DIV/0!</v>
      </c>
      <c r="G68" s="63"/>
      <c r="H68" s="61" t="e">
        <f t="shared" si="3"/>
        <v>#DIV/0!</v>
      </c>
      <c r="I68" s="63"/>
      <c r="J68" s="63"/>
      <c r="K68" s="63"/>
    </row>
    <row r="69" spans="1:11">
      <c r="A69" s="25">
        <v>62</v>
      </c>
      <c r="B69" s="109" t="s">
        <v>205</v>
      </c>
      <c r="C69" s="63"/>
      <c r="D69" s="63"/>
      <c r="E69" s="63"/>
      <c r="F69" s="61" t="e">
        <f t="shared" si="2"/>
        <v>#DIV/0!</v>
      </c>
      <c r="G69" s="63"/>
      <c r="H69" s="61" t="e">
        <f t="shared" si="3"/>
        <v>#DIV/0!</v>
      </c>
      <c r="I69" s="63"/>
      <c r="J69" s="63"/>
      <c r="K69" s="63"/>
    </row>
    <row r="70" spans="1:11">
      <c r="A70" s="29">
        <v>63</v>
      </c>
      <c r="B70" s="109" t="s">
        <v>206</v>
      </c>
      <c r="C70" s="63"/>
      <c r="D70" s="63"/>
      <c r="E70" s="63"/>
      <c r="F70" s="61" t="e">
        <f t="shared" si="2"/>
        <v>#DIV/0!</v>
      </c>
      <c r="G70" s="63"/>
      <c r="H70" s="61" t="e">
        <f t="shared" si="3"/>
        <v>#DIV/0!</v>
      </c>
      <c r="I70" s="63"/>
      <c r="J70" s="63"/>
      <c r="K70" s="63"/>
    </row>
    <row r="71" spans="1:11">
      <c r="A71" s="25">
        <v>64</v>
      </c>
      <c r="B71" s="109" t="s">
        <v>207</v>
      </c>
      <c r="C71" s="63"/>
      <c r="D71" s="63"/>
      <c r="E71" s="63"/>
      <c r="F71" s="61" t="e">
        <f t="shared" si="2"/>
        <v>#DIV/0!</v>
      </c>
      <c r="G71" s="63"/>
      <c r="H71" s="61" t="e">
        <f t="shared" si="3"/>
        <v>#DIV/0!</v>
      </c>
      <c r="I71" s="63"/>
      <c r="J71" s="63"/>
      <c r="K71" s="63"/>
    </row>
    <row r="72" spans="1:11">
      <c r="A72" s="29">
        <v>65</v>
      </c>
      <c r="B72" s="109" t="s">
        <v>208</v>
      </c>
      <c r="C72" s="63"/>
      <c r="D72" s="63"/>
      <c r="E72" s="63"/>
      <c r="F72" s="61" t="e">
        <f t="shared" si="2"/>
        <v>#DIV/0!</v>
      </c>
      <c r="G72" s="63"/>
      <c r="H72" s="61" t="e">
        <f t="shared" si="3"/>
        <v>#DIV/0!</v>
      </c>
      <c r="I72" s="63"/>
      <c r="J72" s="63"/>
      <c r="K72" s="63"/>
    </row>
    <row r="73" spans="1:11">
      <c r="A73" s="25">
        <v>66</v>
      </c>
      <c r="B73" s="109" t="s">
        <v>209</v>
      </c>
      <c r="C73" s="63"/>
      <c r="D73" s="63"/>
      <c r="E73" s="63"/>
      <c r="F73" s="61" t="e">
        <f t="shared" si="2"/>
        <v>#DIV/0!</v>
      </c>
      <c r="G73" s="63"/>
      <c r="H73" s="61" t="e">
        <f t="shared" si="3"/>
        <v>#DIV/0!</v>
      </c>
      <c r="I73" s="63"/>
      <c r="J73" s="63"/>
      <c r="K73" s="63"/>
    </row>
    <row r="74" spans="1:11">
      <c r="A74" s="29">
        <v>67</v>
      </c>
      <c r="B74" s="109" t="s">
        <v>210</v>
      </c>
      <c r="C74" s="63"/>
      <c r="D74" s="63"/>
      <c r="E74" s="63"/>
      <c r="F74" s="61" t="e">
        <f t="shared" si="2"/>
        <v>#DIV/0!</v>
      </c>
      <c r="G74" s="63"/>
      <c r="H74" s="61" t="e">
        <f t="shared" si="3"/>
        <v>#DIV/0!</v>
      </c>
      <c r="I74" s="63"/>
      <c r="J74" s="63"/>
      <c r="K74" s="63"/>
    </row>
    <row r="75" spans="1:11">
      <c r="A75" s="25">
        <v>68</v>
      </c>
      <c r="B75" s="109" t="s">
        <v>211</v>
      </c>
      <c r="C75" s="63"/>
      <c r="D75" s="63"/>
      <c r="E75" s="63"/>
      <c r="F75" s="61" t="e">
        <f t="shared" si="2"/>
        <v>#DIV/0!</v>
      </c>
      <c r="G75" s="63"/>
      <c r="H75" s="61" t="e">
        <f t="shared" si="3"/>
        <v>#DIV/0!</v>
      </c>
      <c r="I75" s="63"/>
      <c r="J75" s="63"/>
      <c r="K75" s="63"/>
    </row>
    <row r="76" spans="1:11">
      <c r="A76" s="29">
        <v>69</v>
      </c>
      <c r="B76" s="109" t="s">
        <v>212</v>
      </c>
      <c r="C76" s="63"/>
      <c r="D76" s="63"/>
      <c r="E76" s="63"/>
      <c r="F76" s="61" t="e">
        <f t="shared" si="2"/>
        <v>#DIV/0!</v>
      </c>
      <c r="G76" s="63"/>
      <c r="H76" s="61" t="e">
        <f t="shared" si="3"/>
        <v>#DIV/0!</v>
      </c>
      <c r="I76" s="63"/>
      <c r="J76" s="63"/>
      <c r="K76" s="63"/>
    </row>
    <row r="77" spans="1:11">
      <c r="A77" s="25">
        <v>70</v>
      </c>
      <c r="B77" s="109" t="s">
        <v>213</v>
      </c>
      <c r="C77" s="63"/>
      <c r="D77" s="63"/>
      <c r="E77" s="63"/>
      <c r="F77" s="61" t="e">
        <f t="shared" si="2"/>
        <v>#DIV/0!</v>
      </c>
      <c r="G77" s="63"/>
      <c r="H77" s="61" t="e">
        <f t="shared" si="3"/>
        <v>#DIV/0!</v>
      </c>
      <c r="I77" s="63"/>
      <c r="J77" s="63"/>
      <c r="K77" s="63"/>
    </row>
    <row r="78" s="103" customFormat="1" ht="16" customHeight="1" spans="1:36">
      <c r="A78" s="107" t="s">
        <v>288</v>
      </c>
      <c r="B78" s="27"/>
      <c r="C78" s="110"/>
      <c r="D78" s="110"/>
      <c r="E78" s="27"/>
      <c r="F78" s="27"/>
      <c r="G78" s="27"/>
      <c r="H78" s="27"/>
      <c r="I78" s="27"/>
      <c r="J78" s="27"/>
      <c r="K78" s="27"/>
      <c r="L78" s="123"/>
      <c r="M78" s="9"/>
      <c r="N78" s="9"/>
      <c r="O78" s="9"/>
      <c r="P78" s="9"/>
      <c r="Q78" s="123"/>
      <c r="R78" s="34"/>
      <c r="S78" s="34"/>
      <c r="T78" s="34"/>
      <c r="U78" s="34"/>
      <c r="V78" s="34"/>
      <c r="W78" s="123"/>
      <c r="X78" s="123"/>
      <c r="Y78" s="123"/>
      <c r="Z78" s="123"/>
      <c r="AA78" s="123"/>
      <c r="AB78" s="123"/>
      <c r="AC78" s="123"/>
      <c r="AD78" s="123"/>
      <c r="AE78" s="123"/>
      <c r="AF78" s="123"/>
      <c r="AG78" s="123"/>
      <c r="AH78" s="123"/>
      <c r="AI78" s="123"/>
      <c r="AJ78" s="123"/>
    </row>
    <row r="79" s="5" customFormat="1" ht="15" customHeight="1" spans="1:11">
      <c r="A79" s="25">
        <v>71</v>
      </c>
      <c r="B79" s="26" t="s">
        <v>111</v>
      </c>
      <c r="C79" s="61">
        <f>SUM(C80:C113)</f>
        <v>0</v>
      </c>
      <c r="D79" s="61">
        <f>SUM(D80:D113)</f>
        <v>0</v>
      </c>
      <c r="E79" s="61">
        <f>SUM(E80:E113)</f>
        <v>0</v>
      </c>
      <c r="F79" s="61" t="e">
        <f t="shared" ref="F79:F113" si="4">E79/C79</f>
        <v>#DIV/0!</v>
      </c>
      <c r="G79" s="61">
        <f>SUM(G80:G113)</f>
        <v>0</v>
      </c>
      <c r="H79" s="61" t="e">
        <f t="shared" ref="H79:H113" si="5">G79/C79</f>
        <v>#DIV/0!</v>
      </c>
      <c r="I79" s="62"/>
      <c r="J79" s="164"/>
      <c r="K79" s="164"/>
    </row>
    <row r="80" spans="1:11">
      <c r="A80" s="29">
        <v>72</v>
      </c>
      <c r="B80" s="109" t="s">
        <v>180</v>
      </c>
      <c r="C80" s="63"/>
      <c r="D80" s="63"/>
      <c r="E80" s="63"/>
      <c r="F80" s="61" t="e">
        <f t="shared" si="4"/>
        <v>#DIV/0!</v>
      </c>
      <c r="G80" s="63"/>
      <c r="H80" s="61" t="e">
        <f t="shared" si="5"/>
        <v>#DIV/0!</v>
      </c>
      <c r="I80" s="63"/>
      <c r="J80" s="363"/>
      <c r="K80" s="363"/>
    </row>
    <row r="81" spans="1:11">
      <c r="A81" s="25">
        <v>73</v>
      </c>
      <c r="B81" s="109" t="s">
        <v>181</v>
      </c>
      <c r="C81" s="63"/>
      <c r="D81" s="63"/>
      <c r="E81" s="63"/>
      <c r="F81" s="61" t="e">
        <f t="shared" si="4"/>
        <v>#DIV/0!</v>
      </c>
      <c r="G81" s="63"/>
      <c r="H81" s="61" t="e">
        <f t="shared" si="5"/>
        <v>#DIV/0!</v>
      </c>
      <c r="I81" s="63"/>
      <c r="J81" s="363"/>
      <c r="K81" s="363"/>
    </row>
    <row r="82" spans="1:11">
      <c r="A82" s="29">
        <v>74</v>
      </c>
      <c r="B82" s="109" t="s">
        <v>182</v>
      </c>
      <c r="C82" s="63"/>
      <c r="D82" s="63"/>
      <c r="E82" s="63"/>
      <c r="F82" s="61" t="e">
        <f t="shared" si="4"/>
        <v>#DIV/0!</v>
      </c>
      <c r="G82" s="63"/>
      <c r="H82" s="61" t="e">
        <f t="shared" si="5"/>
        <v>#DIV/0!</v>
      </c>
      <c r="I82" s="63"/>
      <c r="J82" s="363"/>
      <c r="K82" s="363"/>
    </row>
    <row r="83" spans="1:11">
      <c r="A83" s="25">
        <v>75</v>
      </c>
      <c r="B83" s="109" t="s">
        <v>183</v>
      </c>
      <c r="C83" s="63"/>
      <c r="D83" s="63"/>
      <c r="E83" s="63"/>
      <c r="F83" s="61" t="e">
        <f t="shared" si="4"/>
        <v>#DIV/0!</v>
      </c>
      <c r="G83" s="63"/>
      <c r="H83" s="61" t="e">
        <f t="shared" si="5"/>
        <v>#DIV/0!</v>
      </c>
      <c r="I83" s="63"/>
      <c r="J83" s="363"/>
      <c r="K83" s="363"/>
    </row>
    <row r="84" spans="1:11">
      <c r="A84" s="29">
        <v>76</v>
      </c>
      <c r="B84" s="109" t="s">
        <v>184</v>
      </c>
      <c r="C84" s="63"/>
      <c r="D84" s="63"/>
      <c r="E84" s="63"/>
      <c r="F84" s="61" t="e">
        <f t="shared" si="4"/>
        <v>#DIV/0!</v>
      </c>
      <c r="G84" s="63"/>
      <c r="H84" s="61" t="e">
        <f t="shared" si="5"/>
        <v>#DIV/0!</v>
      </c>
      <c r="I84" s="63"/>
      <c r="J84" s="363"/>
      <c r="K84" s="363"/>
    </row>
    <row r="85" spans="1:11">
      <c r="A85" s="25">
        <v>77</v>
      </c>
      <c r="B85" s="109" t="s">
        <v>185</v>
      </c>
      <c r="C85" s="63"/>
      <c r="D85" s="63"/>
      <c r="E85" s="63"/>
      <c r="F85" s="61" t="e">
        <f t="shared" si="4"/>
        <v>#DIV/0!</v>
      </c>
      <c r="G85" s="63"/>
      <c r="H85" s="61" t="e">
        <f t="shared" si="5"/>
        <v>#DIV/0!</v>
      </c>
      <c r="I85" s="63"/>
      <c r="J85" s="363"/>
      <c r="K85" s="363"/>
    </row>
    <row r="86" spans="1:11">
      <c r="A86" s="29">
        <v>78</v>
      </c>
      <c r="B86" s="109" t="s">
        <v>186</v>
      </c>
      <c r="C86" s="63"/>
      <c r="D86" s="63"/>
      <c r="E86" s="63"/>
      <c r="F86" s="61" t="e">
        <f t="shared" si="4"/>
        <v>#DIV/0!</v>
      </c>
      <c r="G86" s="63"/>
      <c r="H86" s="61" t="e">
        <f t="shared" si="5"/>
        <v>#DIV/0!</v>
      </c>
      <c r="I86" s="63"/>
      <c r="J86" s="363"/>
      <c r="K86" s="363"/>
    </row>
    <row r="87" spans="1:11">
      <c r="A87" s="25">
        <v>79</v>
      </c>
      <c r="B87" s="109" t="s">
        <v>187</v>
      </c>
      <c r="C87" s="63"/>
      <c r="D87" s="63"/>
      <c r="E87" s="63"/>
      <c r="F87" s="61" t="e">
        <f t="shared" si="4"/>
        <v>#DIV/0!</v>
      </c>
      <c r="G87" s="63"/>
      <c r="H87" s="61" t="e">
        <f t="shared" si="5"/>
        <v>#DIV/0!</v>
      </c>
      <c r="I87" s="63"/>
      <c r="J87" s="363"/>
      <c r="K87" s="363"/>
    </row>
    <row r="88" spans="1:11">
      <c r="A88" s="29">
        <v>80</v>
      </c>
      <c r="B88" s="109" t="s">
        <v>188</v>
      </c>
      <c r="C88" s="63"/>
      <c r="D88" s="63"/>
      <c r="E88" s="63"/>
      <c r="F88" s="61" t="e">
        <f t="shared" si="4"/>
        <v>#DIV/0!</v>
      </c>
      <c r="G88" s="63"/>
      <c r="H88" s="61" t="e">
        <f t="shared" si="5"/>
        <v>#DIV/0!</v>
      </c>
      <c r="I88" s="63"/>
      <c r="J88" s="363"/>
      <c r="K88" s="363"/>
    </row>
    <row r="89" spans="1:11">
      <c r="A89" s="25">
        <v>81</v>
      </c>
      <c r="B89" s="109" t="s">
        <v>189</v>
      </c>
      <c r="C89" s="63"/>
      <c r="D89" s="63"/>
      <c r="E89" s="63"/>
      <c r="F89" s="61" t="e">
        <f t="shared" si="4"/>
        <v>#DIV/0!</v>
      </c>
      <c r="G89" s="63"/>
      <c r="H89" s="61" t="e">
        <f t="shared" si="5"/>
        <v>#DIV/0!</v>
      </c>
      <c r="I89" s="63"/>
      <c r="J89" s="363"/>
      <c r="K89" s="363"/>
    </row>
    <row r="90" spans="1:11">
      <c r="A90" s="29">
        <v>82</v>
      </c>
      <c r="B90" s="109" t="s">
        <v>190</v>
      </c>
      <c r="C90" s="63"/>
      <c r="D90" s="63"/>
      <c r="E90" s="63"/>
      <c r="F90" s="61" t="e">
        <f t="shared" si="4"/>
        <v>#DIV/0!</v>
      </c>
      <c r="G90" s="63"/>
      <c r="H90" s="61" t="e">
        <f t="shared" si="5"/>
        <v>#DIV/0!</v>
      </c>
      <c r="I90" s="63"/>
      <c r="J90" s="363"/>
      <c r="K90" s="363"/>
    </row>
    <row r="91" spans="1:11">
      <c r="A91" s="25">
        <v>83</v>
      </c>
      <c r="B91" s="109" t="s">
        <v>191</v>
      </c>
      <c r="C91" s="63"/>
      <c r="D91" s="63"/>
      <c r="E91" s="63"/>
      <c r="F91" s="61" t="e">
        <f t="shared" si="4"/>
        <v>#DIV/0!</v>
      </c>
      <c r="G91" s="63"/>
      <c r="H91" s="61" t="e">
        <f t="shared" si="5"/>
        <v>#DIV/0!</v>
      </c>
      <c r="I91" s="63"/>
      <c r="J91" s="363"/>
      <c r="K91" s="363"/>
    </row>
    <row r="92" spans="1:11">
      <c r="A92" s="29">
        <v>84</v>
      </c>
      <c r="B92" s="109" t="s">
        <v>192</v>
      </c>
      <c r="C92" s="63"/>
      <c r="D92" s="63"/>
      <c r="E92" s="63"/>
      <c r="F92" s="61" t="e">
        <f t="shared" si="4"/>
        <v>#DIV/0!</v>
      </c>
      <c r="G92" s="63"/>
      <c r="H92" s="61" t="e">
        <f t="shared" si="5"/>
        <v>#DIV/0!</v>
      </c>
      <c r="I92" s="63"/>
      <c r="J92" s="363"/>
      <c r="K92" s="363"/>
    </row>
    <row r="93" spans="1:11">
      <c r="A93" s="25">
        <v>85</v>
      </c>
      <c r="B93" s="109" t="s">
        <v>193</v>
      </c>
      <c r="C93" s="63"/>
      <c r="D93" s="63"/>
      <c r="E93" s="63"/>
      <c r="F93" s="61" t="e">
        <f t="shared" si="4"/>
        <v>#DIV/0!</v>
      </c>
      <c r="G93" s="63"/>
      <c r="H93" s="61" t="e">
        <f t="shared" si="5"/>
        <v>#DIV/0!</v>
      </c>
      <c r="I93" s="63"/>
      <c r="J93" s="363"/>
      <c r="K93" s="363"/>
    </row>
    <row r="94" spans="1:11">
      <c r="A94" s="29">
        <v>86</v>
      </c>
      <c r="B94" s="109" t="s">
        <v>194</v>
      </c>
      <c r="C94" s="63"/>
      <c r="D94" s="63"/>
      <c r="E94" s="63"/>
      <c r="F94" s="61" t="e">
        <f t="shared" si="4"/>
        <v>#DIV/0!</v>
      </c>
      <c r="G94" s="63"/>
      <c r="H94" s="61" t="e">
        <f t="shared" si="5"/>
        <v>#DIV/0!</v>
      </c>
      <c r="I94" s="63"/>
      <c r="J94" s="363"/>
      <c r="K94" s="363"/>
    </row>
    <row r="95" spans="1:11">
      <c r="A95" s="25">
        <v>87</v>
      </c>
      <c r="B95" s="109" t="s">
        <v>195</v>
      </c>
      <c r="C95" s="63"/>
      <c r="D95" s="63"/>
      <c r="E95" s="63"/>
      <c r="F95" s="61" t="e">
        <f t="shared" si="4"/>
        <v>#DIV/0!</v>
      </c>
      <c r="G95" s="63"/>
      <c r="H95" s="61" t="e">
        <f t="shared" si="5"/>
        <v>#DIV/0!</v>
      </c>
      <c r="I95" s="63"/>
      <c r="J95" s="363"/>
      <c r="K95" s="363"/>
    </row>
    <row r="96" spans="1:11">
      <c r="A96" s="29">
        <v>88</v>
      </c>
      <c r="B96" s="109" t="s">
        <v>196</v>
      </c>
      <c r="C96" s="63"/>
      <c r="D96" s="63"/>
      <c r="E96" s="63"/>
      <c r="F96" s="61" t="e">
        <f t="shared" si="4"/>
        <v>#DIV/0!</v>
      </c>
      <c r="G96" s="63"/>
      <c r="H96" s="61" t="e">
        <f t="shared" si="5"/>
        <v>#DIV/0!</v>
      </c>
      <c r="I96" s="63"/>
      <c r="J96" s="363"/>
      <c r="K96" s="363"/>
    </row>
    <row r="97" spans="1:11">
      <c r="A97" s="25">
        <v>89</v>
      </c>
      <c r="B97" s="109" t="s">
        <v>197</v>
      </c>
      <c r="C97" s="63"/>
      <c r="D97" s="63"/>
      <c r="E97" s="63"/>
      <c r="F97" s="61" t="e">
        <f t="shared" si="4"/>
        <v>#DIV/0!</v>
      </c>
      <c r="G97" s="63"/>
      <c r="H97" s="61" t="e">
        <f t="shared" si="5"/>
        <v>#DIV/0!</v>
      </c>
      <c r="I97" s="63"/>
      <c r="J97" s="363"/>
      <c r="K97" s="363"/>
    </row>
    <row r="98" spans="1:11">
      <c r="A98" s="29">
        <v>90</v>
      </c>
      <c r="B98" s="109" t="s">
        <v>198</v>
      </c>
      <c r="C98" s="63"/>
      <c r="D98" s="63"/>
      <c r="E98" s="63"/>
      <c r="F98" s="61" t="e">
        <f t="shared" si="4"/>
        <v>#DIV/0!</v>
      </c>
      <c r="G98" s="63"/>
      <c r="H98" s="61" t="e">
        <f t="shared" si="5"/>
        <v>#DIV/0!</v>
      </c>
      <c r="I98" s="63"/>
      <c r="J98" s="363"/>
      <c r="K98" s="363"/>
    </row>
    <row r="99" spans="1:11">
      <c r="A99" s="25">
        <v>91</v>
      </c>
      <c r="B99" s="109" t="s">
        <v>199</v>
      </c>
      <c r="C99" s="63"/>
      <c r="D99" s="63"/>
      <c r="E99" s="63"/>
      <c r="F99" s="61" t="e">
        <f t="shared" si="4"/>
        <v>#DIV/0!</v>
      </c>
      <c r="G99" s="63"/>
      <c r="H99" s="61" t="e">
        <f t="shared" si="5"/>
        <v>#DIV/0!</v>
      </c>
      <c r="I99" s="63"/>
      <c r="J99" s="363"/>
      <c r="K99" s="363"/>
    </row>
    <row r="100" spans="1:11">
      <c r="A100" s="29">
        <v>92</v>
      </c>
      <c r="B100" s="109" t="s">
        <v>200</v>
      </c>
      <c r="C100" s="63"/>
      <c r="D100" s="63"/>
      <c r="E100" s="63"/>
      <c r="F100" s="61" t="e">
        <f t="shared" si="4"/>
        <v>#DIV/0!</v>
      </c>
      <c r="G100" s="63"/>
      <c r="H100" s="61" t="e">
        <f t="shared" si="5"/>
        <v>#DIV/0!</v>
      </c>
      <c r="I100" s="63"/>
      <c r="J100" s="363"/>
      <c r="K100" s="363"/>
    </row>
    <row r="101" spans="1:11">
      <c r="A101" s="25">
        <v>93</v>
      </c>
      <c r="B101" s="109" t="s">
        <v>201</v>
      </c>
      <c r="C101" s="63"/>
      <c r="D101" s="63"/>
      <c r="E101" s="63"/>
      <c r="F101" s="61" t="e">
        <f t="shared" si="4"/>
        <v>#DIV/0!</v>
      </c>
      <c r="G101" s="63"/>
      <c r="H101" s="61" t="e">
        <f t="shared" si="5"/>
        <v>#DIV/0!</v>
      </c>
      <c r="I101" s="63"/>
      <c r="J101" s="363"/>
      <c r="K101" s="363"/>
    </row>
    <row r="102" spans="1:11">
      <c r="A102" s="29">
        <v>94</v>
      </c>
      <c r="B102" s="109" t="s">
        <v>202</v>
      </c>
      <c r="C102" s="63"/>
      <c r="D102" s="63"/>
      <c r="E102" s="63"/>
      <c r="F102" s="61" t="e">
        <f t="shared" si="4"/>
        <v>#DIV/0!</v>
      </c>
      <c r="G102" s="63"/>
      <c r="H102" s="61" t="e">
        <f t="shared" si="5"/>
        <v>#DIV/0!</v>
      </c>
      <c r="I102" s="63"/>
      <c r="J102" s="363"/>
      <c r="K102" s="363"/>
    </row>
    <row r="103" spans="1:11">
      <c r="A103" s="25">
        <v>95</v>
      </c>
      <c r="B103" s="109" t="s">
        <v>203</v>
      </c>
      <c r="C103" s="63"/>
      <c r="D103" s="63"/>
      <c r="E103" s="63"/>
      <c r="F103" s="61" t="e">
        <f t="shared" si="4"/>
        <v>#DIV/0!</v>
      </c>
      <c r="G103" s="63"/>
      <c r="H103" s="61" t="e">
        <f t="shared" si="5"/>
        <v>#DIV/0!</v>
      </c>
      <c r="I103" s="63"/>
      <c r="J103" s="363"/>
      <c r="K103" s="363"/>
    </row>
    <row r="104" spans="1:11">
      <c r="A104" s="29">
        <v>96</v>
      </c>
      <c r="B104" s="109" t="s">
        <v>204</v>
      </c>
      <c r="C104" s="63"/>
      <c r="D104" s="63"/>
      <c r="E104" s="63"/>
      <c r="F104" s="61" t="e">
        <f t="shared" si="4"/>
        <v>#DIV/0!</v>
      </c>
      <c r="G104" s="63"/>
      <c r="H104" s="61" t="e">
        <f t="shared" si="5"/>
        <v>#DIV/0!</v>
      </c>
      <c r="I104" s="63"/>
      <c r="J104" s="363"/>
      <c r="K104" s="363"/>
    </row>
    <row r="105" spans="1:11">
      <c r="A105" s="25">
        <v>97</v>
      </c>
      <c r="B105" s="109" t="s">
        <v>205</v>
      </c>
      <c r="C105" s="63"/>
      <c r="D105" s="63"/>
      <c r="E105" s="63"/>
      <c r="F105" s="61" t="e">
        <f t="shared" si="4"/>
        <v>#DIV/0!</v>
      </c>
      <c r="G105" s="63"/>
      <c r="H105" s="61" t="e">
        <f t="shared" si="5"/>
        <v>#DIV/0!</v>
      </c>
      <c r="I105" s="63"/>
      <c r="J105" s="363"/>
      <c r="K105" s="363"/>
    </row>
    <row r="106" spans="1:11">
      <c r="A106" s="29">
        <v>98</v>
      </c>
      <c r="B106" s="109" t="s">
        <v>206</v>
      </c>
      <c r="C106" s="63"/>
      <c r="D106" s="63"/>
      <c r="E106" s="63"/>
      <c r="F106" s="61" t="e">
        <f t="shared" si="4"/>
        <v>#DIV/0!</v>
      </c>
      <c r="G106" s="63"/>
      <c r="H106" s="61" t="e">
        <f t="shared" si="5"/>
        <v>#DIV/0!</v>
      </c>
      <c r="I106" s="63"/>
      <c r="J106" s="363"/>
      <c r="K106" s="363"/>
    </row>
    <row r="107" spans="1:11">
      <c r="A107" s="25">
        <v>99</v>
      </c>
      <c r="B107" s="109" t="s">
        <v>207</v>
      </c>
      <c r="C107" s="63"/>
      <c r="D107" s="63"/>
      <c r="E107" s="63"/>
      <c r="F107" s="61" t="e">
        <f t="shared" si="4"/>
        <v>#DIV/0!</v>
      </c>
      <c r="G107" s="63"/>
      <c r="H107" s="61" t="e">
        <f t="shared" si="5"/>
        <v>#DIV/0!</v>
      </c>
      <c r="I107" s="63"/>
      <c r="J107" s="363"/>
      <c r="K107" s="363"/>
    </row>
    <row r="108" spans="1:11">
      <c r="A108" s="29">
        <v>100</v>
      </c>
      <c r="B108" s="109" t="s">
        <v>208</v>
      </c>
      <c r="C108" s="63"/>
      <c r="D108" s="63"/>
      <c r="E108" s="63"/>
      <c r="F108" s="61" t="e">
        <f t="shared" si="4"/>
        <v>#DIV/0!</v>
      </c>
      <c r="G108" s="63"/>
      <c r="H108" s="61" t="e">
        <f t="shared" si="5"/>
        <v>#DIV/0!</v>
      </c>
      <c r="I108" s="63"/>
      <c r="J108" s="363"/>
      <c r="K108" s="363"/>
    </row>
    <row r="109" spans="1:11">
      <c r="A109" s="25">
        <v>101</v>
      </c>
      <c r="B109" s="109" t="s">
        <v>209</v>
      </c>
      <c r="C109" s="63"/>
      <c r="D109" s="63"/>
      <c r="E109" s="63"/>
      <c r="F109" s="61" t="e">
        <f t="shared" si="4"/>
        <v>#DIV/0!</v>
      </c>
      <c r="G109" s="63"/>
      <c r="H109" s="61" t="e">
        <f t="shared" si="5"/>
        <v>#DIV/0!</v>
      </c>
      <c r="I109" s="63"/>
      <c r="J109" s="363"/>
      <c r="K109" s="363"/>
    </row>
    <row r="110" spans="1:11">
      <c r="A110" s="29">
        <v>102</v>
      </c>
      <c r="B110" s="109" t="s">
        <v>210</v>
      </c>
      <c r="C110" s="63"/>
      <c r="D110" s="63"/>
      <c r="E110" s="63"/>
      <c r="F110" s="61" t="e">
        <f t="shared" si="4"/>
        <v>#DIV/0!</v>
      </c>
      <c r="G110" s="63"/>
      <c r="H110" s="61" t="e">
        <f t="shared" si="5"/>
        <v>#DIV/0!</v>
      </c>
      <c r="I110" s="63"/>
      <c r="J110" s="363"/>
      <c r="K110" s="363"/>
    </row>
    <row r="111" spans="1:11">
      <c r="A111" s="25">
        <v>103</v>
      </c>
      <c r="B111" s="109" t="s">
        <v>211</v>
      </c>
      <c r="C111" s="63"/>
      <c r="D111" s="63"/>
      <c r="E111" s="63"/>
      <c r="F111" s="61" t="e">
        <f t="shared" si="4"/>
        <v>#DIV/0!</v>
      </c>
      <c r="G111" s="63"/>
      <c r="H111" s="61" t="e">
        <f t="shared" si="5"/>
        <v>#DIV/0!</v>
      </c>
      <c r="I111" s="63"/>
      <c r="J111" s="363"/>
      <c r="K111" s="363"/>
    </row>
    <row r="112" spans="1:11">
      <c r="A112" s="29">
        <v>104</v>
      </c>
      <c r="B112" s="109" t="s">
        <v>212</v>
      </c>
      <c r="C112" s="63"/>
      <c r="D112" s="63"/>
      <c r="E112" s="63"/>
      <c r="F112" s="61" t="e">
        <f t="shared" si="4"/>
        <v>#DIV/0!</v>
      </c>
      <c r="G112" s="63"/>
      <c r="H112" s="61" t="e">
        <f t="shared" si="5"/>
        <v>#DIV/0!</v>
      </c>
      <c r="I112" s="63"/>
      <c r="J112" s="363"/>
      <c r="K112" s="363"/>
    </row>
    <row r="113" spans="1:11">
      <c r="A113" s="25">
        <v>105</v>
      </c>
      <c r="B113" s="109" t="s">
        <v>213</v>
      </c>
      <c r="C113" s="63"/>
      <c r="D113" s="63"/>
      <c r="E113" s="63"/>
      <c r="F113" s="61" t="e">
        <f t="shared" si="4"/>
        <v>#DIV/0!</v>
      </c>
      <c r="G113" s="63"/>
      <c r="H113" s="61" t="e">
        <f t="shared" si="5"/>
        <v>#DIV/0!</v>
      </c>
      <c r="I113" s="63"/>
      <c r="J113" s="363"/>
      <c r="K113" s="363"/>
    </row>
    <row r="114" s="103" customFormat="1" ht="16" customHeight="1" spans="1:17">
      <c r="A114" s="107" t="s">
        <v>289</v>
      </c>
      <c r="B114" s="27"/>
      <c r="C114" s="27"/>
      <c r="D114" s="27"/>
      <c r="E114" s="364"/>
      <c r="F114" s="364"/>
      <c r="G114" s="364"/>
      <c r="H114" s="364"/>
      <c r="I114" s="364"/>
      <c r="J114" s="364"/>
      <c r="K114" s="27"/>
      <c r="L114" s="123"/>
      <c r="M114" s="123"/>
      <c r="N114" s="123"/>
      <c r="O114" s="123"/>
      <c r="P114" s="34"/>
      <c r="Q114" s="34"/>
    </row>
    <row r="115" s="5" customFormat="1" ht="15" customHeight="1" spans="1:11">
      <c r="A115" s="25">
        <v>106</v>
      </c>
      <c r="B115" s="26" t="s">
        <v>111</v>
      </c>
      <c r="C115" s="61">
        <f>SUM(C116:C149)</f>
        <v>0</v>
      </c>
      <c r="D115" s="61">
        <f>SUM(D116:D149)</f>
        <v>0</v>
      </c>
      <c r="E115" s="61">
        <f>SUM(E116:E149)</f>
        <v>0</v>
      </c>
      <c r="F115" s="61" t="e">
        <f t="shared" ref="F115:F149" si="6">E115/C115</f>
        <v>#DIV/0!</v>
      </c>
      <c r="G115" s="61">
        <f>SUM(G116:G149)</f>
        <v>0</v>
      </c>
      <c r="H115" s="61" t="e">
        <f t="shared" ref="H115:H149" si="7">G115/C115</f>
        <v>#DIV/0!</v>
      </c>
      <c r="I115" s="62"/>
      <c r="J115" s="164"/>
      <c r="K115" s="164"/>
    </row>
    <row r="116" spans="1:11">
      <c r="A116" s="29">
        <v>107</v>
      </c>
      <c r="B116" s="109" t="s">
        <v>180</v>
      </c>
      <c r="C116" s="63"/>
      <c r="D116" s="63"/>
      <c r="E116" s="63"/>
      <c r="F116" s="61" t="e">
        <f t="shared" si="6"/>
        <v>#DIV/0!</v>
      </c>
      <c r="G116" s="63"/>
      <c r="H116" s="61" t="e">
        <f t="shared" si="7"/>
        <v>#DIV/0!</v>
      </c>
      <c r="I116" s="63"/>
      <c r="J116" s="363"/>
      <c r="K116" s="363"/>
    </row>
    <row r="117" spans="1:11">
      <c r="A117" s="25">
        <v>108</v>
      </c>
      <c r="B117" s="109" t="s">
        <v>181</v>
      </c>
      <c r="C117" s="63"/>
      <c r="D117" s="63"/>
      <c r="E117" s="63"/>
      <c r="F117" s="61" t="e">
        <f t="shared" si="6"/>
        <v>#DIV/0!</v>
      </c>
      <c r="G117" s="63"/>
      <c r="H117" s="61" t="e">
        <f t="shared" si="7"/>
        <v>#DIV/0!</v>
      </c>
      <c r="I117" s="63"/>
      <c r="J117" s="363"/>
      <c r="K117" s="363"/>
    </row>
    <row r="118" spans="1:11">
      <c r="A118" s="29">
        <v>109</v>
      </c>
      <c r="B118" s="109" t="s">
        <v>182</v>
      </c>
      <c r="C118" s="63"/>
      <c r="D118" s="63"/>
      <c r="E118" s="63"/>
      <c r="F118" s="61" t="e">
        <f t="shared" si="6"/>
        <v>#DIV/0!</v>
      </c>
      <c r="G118" s="63"/>
      <c r="H118" s="61" t="e">
        <f t="shared" si="7"/>
        <v>#DIV/0!</v>
      </c>
      <c r="I118" s="63"/>
      <c r="J118" s="363"/>
      <c r="K118" s="363"/>
    </row>
    <row r="119" spans="1:11">
      <c r="A119" s="25">
        <v>110</v>
      </c>
      <c r="B119" s="109" t="s">
        <v>183</v>
      </c>
      <c r="C119" s="63"/>
      <c r="D119" s="63"/>
      <c r="E119" s="63"/>
      <c r="F119" s="61" t="e">
        <f t="shared" si="6"/>
        <v>#DIV/0!</v>
      </c>
      <c r="G119" s="63"/>
      <c r="H119" s="61" t="e">
        <f t="shared" si="7"/>
        <v>#DIV/0!</v>
      </c>
      <c r="I119" s="63"/>
      <c r="J119" s="363"/>
      <c r="K119" s="363"/>
    </row>
    <row r="120" spans="1:11">
      <c r="A120" s="29">
        <v>111</v>
      </c>
      <c r="B120" s="109" t="s">
        <v>184</v>
      </c>
      <c r="C120" s="63"/>
      <c r="D120" s="63"/>
      <c r="E120" s="63"/>
      <c r="F120" s="61" t="e">
        <f t="shared" si="6"/>
        <v>#DIV/0!</v>
      </c>
      <c r="G120" s="63"/>
      <c r="H120" s="61" t="e">
        <f t="shared" si="7"/>
        <v>#DIV/0!</v>
      </c>
      <c r="I120" s="63"/>
      <c r="J120" s="363"/>
      <c r="K120" s="363"/>
    </row>
    <row r="121" spans="1:11">
      <c r="A121" s="25">
        <v>112</v>
      </c>
      <c r="B121" s="109" t="s">
        <v>185</v>
      </c>
      <c r="C121" s="63"/>
      <c r="D121" s="63"/>
      <c r="E121" s="63"/>
      <c r="F121" s="61" t="e">
        <f t="shared" si="6"/>
        <v>#DIV/0!</v>
      </c>
      <c r="G121" s="63"/>
      <c r="H121" s="61" t="e">
        <f t="shared" si="7"/>
        <v>#DIV/0!</v>
      </c>
      <c r="I121" s="63"/>
      <c r="J121" s="363"/>
      <c r="K121" s="363"/>
    </row>
    <row r="122" spans="1:11">
      <c r="A122" s="29">
        <v>113</v>
      </c>
      <c r="B122" s="109" t="s">
        <v>186</v>
      </c>
      <c r="C122" s="63"/>
      <c r="D122" s="63"/>
      <c r="E122" s="63"/>
      <c r="F122" s="61" t="e">
        <f t="shared" si="6"/>
        <v>#DIV/0!</v>
      </c>
      <c r="G122" s="63"/>
      <c r="H122" s="61" t="e">
        <f t="shared" si="7"/>
        <v>#DIV/0!</v>
      </c>
      <c r="I122" s="63"/>
      <c r="J122" s="363"/>
      <c r="K122" s="363"/>
    </row>
    <row r="123" spans="1:11">
      <c r="A123" s="25">
        <v>114</v>
      </c>
      <c r="B123" s="109" t="s">
        <v>187</v>
      </c>
      <c r="C123" s="63"/>
      <c r="D123" s="63"/>
      <c r="E123" s="63"/>
      <c r="F123" s="61" t="e">
        <f t="shared" si="6"/>
        <v>#DIV/0!</v>
      </c>
      <c r="G123" s="63"/>
      <c r="H123" s="61" t="e">
        <f t="shared" si="7"/>
        <v>#DIV/0!</v>
      </c>
      <c r="I123" s="63"/>
      <c r="J123" s="363"/>
      <c r="K123" s="363"/>
    </row>
    <row r="124" spans="1:11">
      <c r="A124" s="29">
        <v>115</v>
      </c>
      <c r="B124" s="109" t="s">
        <v>188</v>
      </c>
      <c r="C124" s="63"/>
      <c r="D124" s="63"/>
      <c r="E124" s="63"/>
      <c r="F124" s="61" t="e">
        <f t="shared" si="6"/>
        <v>#DIV/0!</v>
      </c>
      <c r="G124" s="63"/>
      <c r="H124" s="61" t="e">
        <f t="shared" si="7"/>
        <v>#DIV/0!</v>
      </c>
      <c r="I124" s="63"/>
      <c r="J124" s="363"/>
      <c r="K124" s="363"/>
    </row>
    <row r="125" spans="1:11">
      <c r="A125" s="25">
        <v>116</v>
      </c>
      <c r="B125" s="109" t="s">
        <v>189</v>
      </c>
      <c r="C125" s="63"/>
      <c r="D125" s="63"/>
      <c r="E125" s="63"/>
      <c r="F125" s="61" t="e">
        <f t="shared" si="6"/>
        <v>#DIV/0!</v>
      </c>
      <c r="G125" s="63"/>
      <c r="H125" s="61" t="e">
        <f t="shared" si="7"/>
        <v>#DIV/0!</v>
      </c>
      <c r="I125" s="63"/>
      <c r="J125" s="363"/>
      <c r="K125" s="363"/>
    </row>
    <row r="126" spans="1:11">
      <c r="A126" s="29">
        <v>117</v>
      </c>
      <c r="B126" s="109" t="s">
        <v>190</v>
      </c>
      <c r="C126" s="63"/>
      <c r="D126" s="63"/>
      <c r="E126" s="63"/>
      <c r="F126" s="61" t="e">
        <f t="shared" si="6"/>
        <v>#DIV/0!</v>
      </c>
      <c r="G126" s="63"/>
      <c r="H126" s="61" t="e">
        <f t="shared" si="7"/>
        <v>#DIV/0!</v>
      </c>
      <c r="I126" s="63"/>
      <c r="J126" s="363"/>
      <c r="K126" s="363"/>
    </row>
    <row r="127" spans="1:11">
      <c r="A127" s="25">
        <v>118</v>
      </c>
      <c r="B127" s="109" t="s">
        <v>191</v>
      </c>
      <c r="C127" s="63"/>
      <c r="D127" s="63"/>
      <c r="E127" s="63"/>
      <c r="F127" s="61" t="e">
        <f t="shared" si="6"/>
        <v>#DIV/0!</v>
      </c>
      <c r="G127" s="63"/>
      <c r="H127" s="61" t="e">
        <f t="shared" si="7"/>
        <v>#DIV/0!</v>
      </c>
      <c r="I127" s="63"/>
      <c r="J127" s="363"/>
      <c r="K127" s="363"/>
    </row>
    <row r="128" spans="1:11">
      <c r="A128" s="29">
        <v>119</v>
      </c>
      <c r="B128" s="109" t="s">
        <v>192</v>
      </c>
      <c r="C128" s="63"/>
      <c r="D128" s="63"/>
      <c r="E128" s="63"/>
      <c r="F128" s="61" t="e">
        <f t="shared" si="6"/>
        <v>#DIV/0!</v>
      </c>
      <c r="G128" s="63"/>
      <c r="H128" s="61" t="e">
        <f t="shared" si="7"/>
        <v>#DIV/0!</v>
      </c>
      <c r="I128" s="63"/>
      <c r="J128" s="363"/>
      <c r="K128" s="363"/>
    </row>
    <row r="129" spans="1:11">
      <c r="A129" s="25">
        <v>120</v>
      </c>
      <c r="B129" s="109" t="s">
        <v>193</v>
      </c>
      <c r="C129" s="63"/>
      <c r="D129" s="63"/>
      <c r="E129" s="63"/>
      <c r="F129" s="61" t="e">
        <f t="shared" si="6"/>
        <v>#DIV/0!</v>
      </c>
      <c r="G129" s="63"/>
      <c r="H129" s="61" t="e">
        <f t="shared" si="7"/>
        <v>#DIV/0!</v>
      </c>
      <c r="I129" s="63"/>
      <c r="J129" s="363"/>
      <c r="K129" s="363"/>
    </row>
    <row r="130" spans="1:11">
      <c r="A130" s="29">
        <v>121</v>
      </c>
      <c r="B130" s="109" t="s">
        <v>194</v>
      </c>
      <c r="C130" s="63"/>
      <c r="D130" s="63"/>
      <c r="E130" s="63"/>
      <c r="F130" s="61" t="e">
        <f t="shared" si="6"/>
        <v>#DIV/0!</v>
      </c>
      <c r="G130" s="63"/>
      <c r="H130" s="61" t="e">
        <f t="shared" si="7"/>
        <v>#DIV/0!</v>
      </c>
      <c r="I130" s="63"/>
      <c r="J130" s="363"/>
      <c r="K130" s="363"/>
    </row>
    <row r="131" spans="1:11">
      <c r="A131" s="25">
        <v>122</v>
      </c>
      <c r="B131" s="109" t="s">
        <v>195</v>
      </c>
      <c r="C131" s="63"/>
      <c r="D131" s="63"/>
      <c r="E131" s="63"/>
      <c r="F131" s="61" t="e">
        <f t="shared" si="6"/>
        <v>#DIV/0!</v>
      </c>
      <c r="G131" s="63"/>
      <c r="H131" s="61" t="e">
        <f t="shared" si="7"/>
        <v>#DIV/0!</v>
      </c>
      <c r="I131" s="63"/>
      <c r="J131" s="363"/>
      <c r="K131" s="363"/>
    </row>
    <row r="132" spans="1:11">
      <c r="A132" s="29">
        <v>123</v>
      </c>
      <c r="B132" s="109" t="s">
        <v>196</v>
      </c>
      <c r="C132" s="63"/>
      <c r="D132" s="63"/>
      <c r="E132" s="63"/>
      <c r="F132" s="61" t="e">
        <f t="shared" si="6"/>
        <v>#DIV/0!</v>
      </c>
      <c r="G132" s="63"/>
      <c r="H132" s="61" t="e">
        <f t="shared" si="7"/>
        <v>#DIV/0!</v>
      </c>
      <c r="I132" s="63"/>
      <c r="J132" s="363"/>
      <c r="K132" s="363"/>
    </row>
    <row r="133" spans="1:11">
      <c r="A133" s="25">
        <v>124</v>
      </c>
      <c r="B133" s="109" t="s">
        <v>197</v>
      </c>
      <c r="C133" s="63"/>
      <c r="D133" s="63"/>
      <c r="E133" s="63"/>
      <c r="F133" s="61" t="e">
        <f t="shared" si="6"/>
        <v>#DIV/0!</v>
      </c>
      <c r="G133" s="63"/>
      <c r="H133" s="61" t="e">
        <f t="shared" si="7"/>
        <v>#DIV/0!</v>
      </c>
      <c r="I133" s="63"/>
      <c r="J133" s="363"/>
      <c r="K133" s="363"/>
    </row>
    <row r="134" spans="1:11">
      <c r="A134" s="29">
        <v>125</v>
      </c>
      <c r="B134" s="109" t="s">
        <v>198</v>
      </c>
      <c r="C134" s="63"/>
      <c r="D134" s="63"/>
      <c r="E134" s="63"/>
      <c r="F134" s="61" t="e">
        <f t="shared" si="6"/>
        <v>#DIV/0!</v>
      </c>
      <c r="G134" s="63"/>
      <c r="H134" s="61" t="e">
        <f t="shared" si="7"/>
        <v>#DIV/0!</v>
      </c>
      <c r="I134" s="63"/>
      <c r="J134" s="363"/>
      <c r="K134" s="363"/>
    </row>
    <row r="135" spans="1:11">
      <c r="A135" s="25">
        <v>126</v>
      </c>
      <c r="B135" s="109" t="s">
        <v>199</v>
      </c>
      <c r="C135" s="63"/>
      <c r="D135" s="63"/>
      <c r="E135" s="63"/>
      <c r="F135" s="61" t="e">
        <f t="shared" si="6"/>
        <v>#DIV/0!</v>
      </c>
      <c r="G135" s="63"/>
      <c r="H135" s="61" t="e">
        <f t="shared" si="7"/>
        <v>#DIV/0!</v>
      </c>
      <c r="I135" s="63"/>
      <c r="J135" s="363"/>
      <c r="K135" s="363"/>
    </row>
    <row r="136" spans="1:11">
      <c r="A136" s="29">
        <v>127</v>
      </c>
      <c r="B136" s="109" t="s">
        <v>200</v>
      </c>
      <c r="C136" s="63"/>
      <c r="D136" s="63"/>
      <c r="E136" s="63"/>
      <c r="F136" s="61" t="e">
        <f t="shared" si="6"/>
        <v>#DIV/0!</v>
      </c>
      <c r="G136" s="63"/>
      <c r="H136" s="61" t="e">
        <f t="shared" si="7"/>
        <v>#DIV/0!</v>
      </c>
      <c r="I136" s="63"/>
      <c r="J136" s="363"/>
      <c r="K136" s="363"/>
    </row>
    <row r="137" spans="1:11">
      <c r="A137" s="25">
        <v>128</v>
      </c>
      <c r="B137" s="109" t="s">
        <v>201</v>
      </c>
      <c r="C137" s="63"/>
      <c r="D137" s="63"/>
      <c r="E137" s="63"/>
      <c r="F137" s="61" t="e">
        <f t="shared" si="6"/>
        <v>#DIV/0!</v>
      </c>
      <c r="G137" s="63"/>
      <c r="H137" s="61" t="e">
        <f t="shared" si="7"/>
        <v>#DIV/0!</v>
      </c>
      <c r="I137" s="63"/>
      <c r="J137" s="363"/>
      <c r="K137" s="363"/>
    </row>
    <row r="138" spans="1:11">
      <c r="A138" s="29">
        <v>129</v>
      </c>
      <c r="B138" s="109" t="s">
        <v>202</v>
      </c>
      <c r="C138" s="63"/>
      <c r="D138" s="63"/>
      <c r="E138" s="63"/>
      <c r="F138" s="61" t="e">
        <f t="shared" si="6"/>
        <v>#DIV/0!</v>
      </c>
      <c r="G138" s="63"/>
      <c r="H138" s="61" t="e">
        <f t="shared" si="7"/>
        <v>#DIV/0!</v>
      </c>
      <c r="I138" s="63"/>
      <c r="J138" s="363"/>
      <c r="K138" s="363"/>
    </row>
    <row r="139" spans="1:11">
      <c r="A139" s="25">
        <v>130</v>
      </c>
      <c r="B139" s="109" t="s">
        <v>203</v>
      </c>
      <c r="C139" s="63"/>
      <c r="D139" s="63"/>
      <c r="E139" s="63"/>
      <c r="F139" s="61" t="e">
        <f t="shared" si="6"/>
        <v>#DIV/0!</v>
      </c>
      <c r="G139" s="63"/>
      <c r="H139" s="61" t="e">
        <f t="shared" si="7"/>
        <v>#DIV/0!</v>
      </c>
      <c r="I139" s="63"/>
      <c r="J139" s="363"/>
      <c r="K139" s="363"/>
    </row>
    <row r="140" spans="1:11">
      <c r="A140" s="29">
        <v>131</v>
      </c>
      <c r="B140" s="109" t="s">
        <v>204</v>
      </c>
      <c r="C140" s="63"/>
      <c r="D140" s="63"/>
      <c r="E140" s="63"/>
      <c r="F140" s="61" t="e">
        <f t="shared" si="6"/>
        <v>#DIV/0!</v>
      </c>
      <c r="G140" s="63"/>
      <c r="H140" s="61" t="e">
        <f t="shared" si="7"/>
        <v>#DIV/0!</v>
      </c>
      <c r="I140" s="63"/>
      <c r="J140" s="363"/>
      <c r="K140" s="363"/>
    </row>
    <row r="141" spans="1:11">
      <c r="A141" s="25">
        <v>132</v>
      </c>
      <c r="B141" s="109" t="s">
        <v>205</v>
      </c>
      <c r="C141" s="63"/>
      <c r="D141" s="63"/>
      <c r="E141" s="63"/>
      <c r="F141" s="61" t="e">
        <f t="shared" si="6"/>
        <v>#DIV/0!</v>
      </c>
      <c r="G141" s="63"/>
      <c r="H141" s="61" t="e">
        <f t="shared" si="7"/>
        <v>#DIV/0!</v>
      </c>
      <c r="I141" s="63"/>
      <c r="J141" s="363"/>
      <c r="K141" s="363"/>
    </row>
    <row r="142" spans="1:11">
      <c r="A142" s="29">
        <v>133</v>
      </c>
      <c r="B142" s="109" t="s">
        <v>206</v>
      </c>
      <c r="C142" s="63"/>
      <c r="D142" s="63"/>
      <c r="E142" s="63"/>
      <c r="F142" s="61" t="e">
        <f t="shared" si="6"/>
        <v>#DIV/0!</v>
      </c>
      <c r="G142" s="63"/>
      <c r="H142" s="61" t="e">
        <f t="shared" si="7"/>
        <v>#DIV/0!</v>
      </c>
      <c r="I142" s="63"/>
      <c r="J142" s="363"/>
      <c r="K142" s="363"/>
    </row>
    <row r="143" spans="1:11">
      <c r="A143" s="25">
        <v>134</v>
      </c>
      <c r="B143" s="109" t="s">
        <v>207</v>
      </c>
      <c r="C143" s="63"/>
      <c r="D143" s="63"/>
      <c r="E143" s="63"/>
      <c r="F143" s="61" t="e">
        <f t="shared" si="6"/>
        <v>#DIV/0!</v>
      </c>
      <c r="G143" s="63"/>
      <c r="H143" s="61" t="e">
        <f t="shared" si="7"/>
        <v>#DIV/0!</v>
      </c>
      <c r="I143" s="63"/>
      <c r="J143" s="363"/>
      <c r="K143" s="363"/>
    </row>
    <row r="144" spans="1:11">
      <c r="A144" s="29">
        <v>135</v>
      </c>
      <c r="B144" s="109" t="s">
        <v>208</v>
      </c>
      <c r="C144" s="63"/>
      <c r="D144" s="63"/>
      <c r="E144" s="63"/>
      <c r="F144" s="61" t="e">
        <f t="shared" si="6"/>
        <v>#DIV/0!</v>
      </c>
      <c r="G144" s="63"/>
      <c r="H144" s="61" t="e">
        <f t="shared" si="7"/>
        <v>#DIV/0!</v>
      </c>
      <c r="I144" s="63"/>
      <c r="J144" s="363"/>
      <c r="K144" s="363"/>
    </row>
    <row r="145" spans="1:11">
      <c r="A145" s="25">
        <v>136</v>
      </c>
      <c r="B145" s="109" t="s">
        <v>209</v>
      </c>
      <c r="C145" s="63"/>
      <c r="D145" s="63"/>
      <c r="E145" s="63"/>
      <c r="F145" s="61" t="e">
        <f t="shared" si="6"/>
        <v>#DIV/0!</v>
      </c>
      <c r="G145" s="63"/>
      <c r="H145" s="61" t="e">
        <f t="shared" si="7"/>
        <v>#DIV/0!</v>
      </c>
      <c r="I145" s="63"/>
      <c r="J145" s="363"/>
      <c r="K145" s="363"/>
    </row>
    <row r="146" spans="1:11">
      <c r="A146" s="29">
        <v>137</v>
      </c>
      <c r="B146" s="109" t="s">
        <v>210</v>
      </c>
      <c r="C146" s="63"/>
      <c r="D146" s="63"/>
      <c r="E146" s="63"/>
      <c r="F146" s="61" t="e">
        <f t="shared" si="6"/>
        <v>#DIV/0!</v>
      </c>
      <c r="G146" s="63"/>
      <c r="H146" s="61" t="e">
        <f t="shared" si="7"/>
        <v>#DIV/0!</v>
      </c>
      <c r="I146" s="63"/>
      <c r="J146" s="363"/>
      <c r="K146" s="363"/>
    </row>
    <row r="147" spans="1:11">
      <c r="A147" s="25">
        <v>138</v>
      </c>
      <c r="B147" s="109" t="s">
        <v>211</v>
      </c>
      <c r="C147" s="63"/>
      <c r="D147" s="63"/>
      <c r="E147" s="63"/>
      <c r="F147" s="61" t="e">
        <f t="shared" si="6"/>
        <v>#DIV/0!</v>
      </c>
      <c r="G147" s="63"/>
      <c r="H147" s="61" t="e">
        <f t="shared" si="7"/>
        <v>#DIV/0!</v>
      </c>
      <c r="I147" s="63"/>
      <c r="J147" s="363"/>
      <c r="K147" s="363"/>
    </row>
    <row r="148" spans="1:11">
      <c r="A148" s="29">
        <v>139</v>
      </c>
      <c r="B148" s="109" t="s">
        <v>212</v>
      </c>
      <c r="C148" s="63"/>
      <c r="D148" s="63"/>
      <c r="E148" s="63"/>
      <c r="F148" s="61" t="e">
        <f t="shared" si="6"/>
        <v>#DIV/0!</v>
      </c>
      <c r="G148" s="63"/>
      <c r="H148" s="61" t="e">
        <f t="shared" si="7"/>
        <v>#DIV/0!</v>
      </c>
      <c r="I148" s="63"/>
      <c r="J148" s="363"/>
      <c r="K148" s="363"/>
    </row>
    <row r="149" spans="1:11">
      <c r="A149" s="25">
        <v>140</v>
      </c>
      <c r="B149" s="109" t="s">
        <v>213</v>
      </c>
      <c r="C149" s="365"/>
      <c r="D149" s="365"/>
      <c r="E149" s="365"/>
      <c r="F149" s="61" t="e">
        <f t="shared" si="6"/>
        <v>#DIV/0!</v>
      </c>
      <c r="G149" s="365"/>
      <c r="H149" s="61" t="e">
        <f t="shared" si="7"/>
        <v>#DIV/0!</v>
      </c>
      <c r="I149" s="365"/>
      <c r="J149" s="366"/>
      <c r="K149" s="366"/>
    </row>
    <row r="150" s="104" customFormat="1" ht="17.25" customHeight="1" spans="1:10">
      <c r="A150" s="104" t="s">
        <v>155</v>
      </c>
      <c r="E150" s="103" t="s">
        <v>87</v>
      </c>
      <c r="J150" s="103" t="s">
        <v>88</v>
      </c>
    </row>
    <row r="151" s="104" customFormat="1" ht="12.75" spans="1:2">
      <c r="A151" s="33"/>
      <c r="B151" s="34" t="s">
        <v>89</v>
      </c>
    </row>
    <row r="152" spans="1:2">
      <c r="A152" s="35"/>
      <c r="B152" s="36" t="s">
        <v>90</v>
      </c>
    </row>
    <row r="153" spans="1:2">
      <c r="A153" s="40" t="s">
        <v>91</v>
      </c>
      <c r="B153" s="41">
        <v>241</v>
      </c>
    </row>
  </sheetData>
  <sheetProtection sort="0" autoFilter="0" pivotTables="0"/>
  <mergeCells count="10">
    <mergeCell ref="A1:K1"/>
    <mergeCell ref="C4:D4"/>
    <mergeCell ref="J4:K4"/>
    <mergeCell ref="A3:A5"/>
    <mergeCell ref="B3:B5"/>
    <mergeCell ref="E4:E5"/>
    <mergeCell ref="F4:F5"/>
    <mergeCell ref="G4:G5"/>
    <mergeCell ref="H4:H5"/>
    <mergeCell ref="I4:I5"/>
  </mergeCells>
  <conditionalFormatting sqref="I116:K149 C8:E41 I8:K41 G8:G41 G80:G113 I80:K113 C80:E113 C116:E149 I44:K77 G44:G77 C44:E77 G116:G149">
    <cfRule type="cellIs" dxfId="0" priority="1" stopIfTrue="1" operator="lessThan">
      <formula>0</formula>
    </cfRule>
  </conditionalFormatting>
  <pageMargins left="0.75" right="0.75" top="1" bottom="1" header="0.509027777777778" footer="0.509027777777778"/>
  <pageSetup paperSize="9" scale="90" fitToHeight="0" orientation="portrait"/>
  <headerFooter alignWithMargins="0" scaleWithDoc="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1"/>
  <sheetViews>
    <sheetView workbookViewId="0">
      <selection activeCell="A21" sqref="A21:B22"/>
    </sheetView>
  </sheetViews>
  <sheetFormatPr defaultColWidth="9" defaultRowHeight="12.75"/>
  <cols>
    <col min="1" max="1" width="13.3333333333333" style="338" customWidth="1"/>
    <col min="2" max="2" width="14.4416666666667" style="339" customWidth="1"/>
    <col min="3" max="3" width="16.775" style="338" customWidth="1"/>
    <col min="4" max="4" width="15.4416666666667" style="338" customWidth="1"/>
    <col min="5" max="5" width="16.1083333333333" style="338" customWidth="1"/>
    <col min="6" max="6" width="16.3333333333333" style="338" customWidth="1"/>
    <col min="7" max="235" width="9" style="338"/>
    <col min="236" max="236" width="8.775" style="338" customWidth="1"/>
    <col min="237" max="237" width="37.1083333333333" style="338" customWidth="1"/>
    <col min="238" max="251" width="9" style="338"/>
    <col min="252" max="252" width="8.775" style="338" customWidth="1"/>
    <col min="253" max="253" width="34.775" style="338" customWidth="1"/>
    <col min="254" max="260" width="10.3333333333333" style="338" customWidth="1"/>
    <col min="261" max="491" width="9" style="338"/>
    <col min="492" max="492" width="8.775" style="338" customWidth="1"/>
    <col min="493" max="493" width="37.1083333333333" style="338" customWidth="1"/>
    <col min="494" max="507" width="9" style="338"/>
    <col min="508" max="508" width="8.775" style="338" customWidth="1"/>
    <col min="509" max="509" width="34.775" style="338" customWidth="1"/>
    <col min="510" max="516" width="10.3333333333333" style="338" customWidth="1"/>
    <col min="517" max="747" width="9" style="338"/>
    <col min="748" max="748" width="8.775" style="338" customWidth="1"/>
    <col min="749" max="749" width="37.1083333333333" style="338" customWidth="1"/>
    <col min="750" max="763" width="9" style="338"/>
    <col min="764" max="764" width="8.775" style="338" customWidth="1"/>
    <col min="765" max="765" width="34.775" style="338" customWidth="1"/>
    <col min="766" max="772" width="10.3333333333333" style="338" customWidth="1"/>
    <col min="773" max="1003" width="9" style="338"/>
    <col min="1004" max="1004" width="8.775" style="338" customWidth="1"/>
    <col min="1005" max="1005" width="37.1083333333333" style="338" customWidth="1"/>
    <col min="1006" max="1019" width="9" style="338"/>
    <col min="1020" max="1020" width="8.775" style="338" customWidth="1"/>
    <col min="1021" max="1021" width="34.775" style="338" customWidth="1"/>
    <col min="1022" max="1028" width="10.3333333333333" style="338" customWidth="1"/>
    <col min="1029" max="1259" width="9" style="338"/>
    <col min="1260" max="1260" width="8.775" style="338" customWidth="1"/>
    <col min="1261" max="1261" width="37.1083333333333" style="338" customWidth="1"/>
    <col min="1262" max="1275" width="9" style="338"/>
    <col min="1276" max="1276" width="8.775" style="338" customWidth="1"/>
    <col min="1277" max="1277" width="34.775" style="338" customWidth="1"/>
    <col min="1278" max="1284" width="10.3333333333333" style="338" customWidth="1"/>
    <col min="1285" max="1515" width="9" style="338"/>
    <col min="1516" max="1516" width="8.775" style="338" customWidth="1"/>
    <col min="1517" max="1517" width="37.1083333333333" style="338" customWidth="1"/>
    <col min="1518" max="1531" width="9" style="338"/>
    <col min="1532" max="1532" width="8.775" style="338" customWidth="1"/>
    <col min="1533" max="1533" width="34.775" style="338" customWidth="1"/>
    <col min="1534" max="1540" width="10.3333333333333" style="338" customWidth="1"/>
    <col min="1541" max="1771" width="9" style="338"/>
    <col min="1772" max="1772" width="8.775" style="338" customWidth="1"/>
    <col min="1773" max="1773" width="37.1083333333333" style="338" customWidth="1"/>
    <col min="1774" max="1787" width="9" style="338"/>
    <col min="1788" max="1788" width="8.775" style="338" customWidth="1"/>
    <col min="1789" max="1789" width="34.775" style="338" customWidth="1"/>
    <col min="1790" max="1796" width="10.3333333333333" style="338" customWidth="1"/>
    <col min="1797" max="2027" width="9" style="338"/>
    <col min="2028" max="2028" width="8.775" style="338" customWidth="1"/>
    <col min="2029" max="2029" width="37.1083333333333" style="338" customWidth="1"/>
    <col min="2030" max="2043" width="9" style="338"/>
    <col min="2044" max="2044" width="8.775" style="338" customWidth="1"/>
    <col min="2045" max="2045" width="34.775" style="338" customWidth="1"/>
    <col min="2046" max="2052" width="10.3333333333333" style="338" customWidth="1"/>
    <col min="2053" max="2283" width="9" style="338"/>
    <col min="2284" max="2284" width="8.775" style="338" customWidth="1"/>
    <col min="2285" max="2285" width="37.1083333333333" style="338" customWidth="1"/>
    <col min="2286" max="2299" width="9" style="338"/>
    <col min="2300" max="2300" width="8.775" style="338" customWidth="1"/>
    <col min="2301" max="2301" width="34.775" style="338" customWidth="1"/>
    <col min="2302" max="2308" width="10.3333333333333" style="338" customWidth="1"/>
    <col min="2309" max="2539" width="9" style="338"/>
    <col min="2540" max="2540" width="8.775" style="338" customWidth="1"/>
    <col min="2541" max="2541" width="37.1083333333333" style="338" customWidth="1"/>
    <col min="2542" max="2555" width="9" style="338"/>
    <col min="2556" max="2556" width="8.775" style="338" customWidth="1"/>
    <col min="2557" max="2557" width="34.775" style="338" customWidth="1"/>
    <col min="2558" max="2564" width="10.3333333333333" style="338" customWidth="1"/>
    <col min="2565" max="2795" width="9" style="338"/>
    <col min="2796" max="2796" width="8.775" style="338" customWidth="1"/>
    <col min="2797" max="2797" width="37.1083333333333" style="338" customWidth="1"/>
    <col min="2798" max="2811" width="9" style="338"/>
    <col min="2812" max="2812" width="8.775" style="338" customWidth="1"/>
    <col min="2813" max="2813" width="34.775" style="338" customWidth="1"/>
    <col min="2814" max="2820" width="10.3333333333333" style="338" customWidth="1"/>
    <col min="2821" max="3051" width="9" style="338"/>
    <col min="3052" max="3052" width="8.775" style="338" customWidth="1"/>
    <col min="3053" max="3053" width="37.1083333333333" style="338" customWidth="1"/>
    <col min="3054" max="3067" width="9" style="338"/>
    <col min="3068" max="3068" width="8.775" style="338" customWidth="1"/>
    <col min="3069" max="3069" width="34.775" style="338" customWidth="1"/>
    <col min="3070" max="3076" width="10.3333333333333" style="338" customWidth="1"/>
    <col min="3077" max="3307" width="9" style="338"/>
    <col min="3308" max="3308" width="8.775" style="338" customWidth="1"/>
    <col min="3309" max="3309" width="37.1083333333333" style="338" customWidth="1"/>
    <col min="3310" max="3323" width="9" style="338"/>
    <col min="3324" max="3324" width="8.775" style="338" customWidth="1"/>
    <col min="3325" max="3325" width="34.775" style="338" customWidth="1"/>
    <col min="3326" max="3332" width="10.3333333333333" style="338" customWidth="1"/>
    <col min="3333" max="3563" width="9" style="338"/>
    <col min="3564" max="3564" width="8.775" style="338" customWidth="1"/>
    <col min="3565" max="3565" width="37.1083333333333" style="338" customWidth="1"/>
    <col min="3566" max="3579" width="9" style="338"/>
    <col min="3580" max="3580" width="8.775" style="338" customWidth="1"/>
    <col min="3581" max="3581" width="34.775" style="338" customWidth="1"/>
    <col min="3582" max="3588" width="10.3333333333333" style="338" customWidth="1"/>
    <col min="3589" max="3819" width="9" style="338"/>
    <col min="3820" max="3820" width="8.775" style="338" customWidth="1"/>
    <col min="3821" max="3821" width="37.1083333333333" style="338" customWidth="1"/>
    <col min="3822" max="3835" width="9" style="338"/>
    <col min="3836" max="3836" width="8.775" style="338" customWidth="1"/>
    <col min="3837" max="3837" width="34.775" style="338" customWidth="1"/>
    <col min="3838" max="3844" width="10.3333333333333" style="338" customWidth="1"/>
    <col min="3845" max="4075" width="9" style="338"/>
    <col min="4076" max="4076" width="8.775" style="338" customWidth="1"/>
    <col min="4077" max="4077" width="37.1083333333333" style="338" customWidth="1"/>
    <col min="4078" max="4091" width="9" style="338"/>
    <col min="4092" max="4092" width="8.775" style="338" customWidth="1"/>
    <col min="4093" max="4093" width="34.775" style="338" customWidth="1"/>
    <col min="4094" max="4100" width="10.3333333333333" style="338" customWidth="1"/>
    <col min="4101" max="4331" width="9" style="338"/>
    <col min="4332" max="4332" width="8.775" style="338" customWidth="1"/>
    <col min="4333" max="4333" width="37.1083333333333" style="338" customWidth="1"/>
    <col min="4334" max="4347" width="9" style="338"/>
    <col min="4348" max="4348" width="8.775" style="338" customWidth="1"/>
    <col min="4349" max="4349" width="34.775" style="338" customWidth="1"/>
    <col min="4350" max="4356" width="10.3333333333333" style="338" customWidth="1"/>
    <col min="4357" max="4587" width="9" style="338"/>
    <col min="4588" max="4588" width="8.775" style="338" customWidth="1"/>
    <col min="4589" max="4589" width="37.1083333333333" style="338" customWidth="1"/>
    <col min="4590" max="4603" width="9" style="338"/>
    <col min="4604" max="4604" width="8.775" style="338" customWidth="1"/>
    <col min="4605" max="4605" width="34.775" style="338" customWidth="1"/>
    <col min="4606" max="4612" width="10.3333333333333" style="338" customWidth="1"/>
    <col min="4613" max="4843" width="9" style="338"/>
    <col min="4844" max="4844" width="8.775" style="338" customWidth="1"/>
    <col min="4845" max="4845" width="37.1083333333333" style="338" customWidth="1"/>
    <col min="4846" max="4859" width="9" style="338"/>
    <col min="4860" max="4860" width="8.775" style="338" customWidth="1"/>
    <col min="4861" max="4861" width="34.775" style="338" customWidth="1"/>
    <col min="4862" max="4868" width="10.3333333333333" style="338" customWidth="1"/>
    <col min="4869" max="5099" width="9" style="338"/>
    <col min="5100" max="5100" width="8.775" style="338" customWidth="1"/>
    <col min="5101" max="5101" width="37.1083333333333" style="338" customWidth="1"/>
    <col min="5102" max="5115" width="9" style="338"/>
    <col min="5116" max="5116" width="8.775" style="338" customWidth="1"/>
    <col min="5117" max="5117" width="34.775" style="338" customWidth="1"/>
    <col min="5118" max="5124" width="10.3333333333333" style="338" customWidth="1"/>
    <col min="5125" max="5355" width="9" style="338"/>
    <col min="5356" max="5356" width="8.775" style="338" customWidth="1"/>
    <col min="5357" max="5357" width="37.1083333333333" style="338" customWidth="1"/>
    <col min="5358" max="5371" width="9" style="338"/>
    <col min="5372" max="5372" width="8.775" style="338" customWidth="1"/>
    <col min="5373" max="5373" width="34.775" style="338" customWidth="1"/>
    <col min="5374" max="5380" width="10.3333333333333" style="338" customWidth="1"/>
    <col min="5381" max="5611" width="9" style="338"/>
    <col min="5612" max="5612" width="8.775" style="338" customWidth="1"/>
    <col min="5613" max="5613" width="37.1083333333333" style="338" customWidth="1"/>
    <col min="5614" max="5627" width="9" style="338"/>
    <col min="5628" max="5628" width="8.775" style="338" customWidth="1"/>
    <col min="5629" max="5629" width="34.775" style="338" customWidth="1"/>
    <col min="5630" max="5636" width="10.3333333333333" style="338" customWidth="1"/>
    <col min="5637" max="5867" width="9" style="338"/>
    <col min="5868" max="5868" width="8.775" style="338" customWidth="1"/>
    <col min="5869" max="5869" width="37.1083333333333" style="338" customWidth="1"/>
    <col min="5870" max="5883" width="9" style="338"/>
    <col min="5884" max="5884" width="8.775" style="338" customWidth="1"/>
    <col min="5885" max="5885" width="34.775" style="338" customWidth="1"/>
    <col min="5886" max="5892" width="10.3333333333333" style="338" customWidth="1"/>
    <col min="5893" max="6123" width="9" style="338"/>
    <col min="6124" max="6124" width="8.775" style="338" customWidth="1"/>
    <col min="6125" max="6125" width="37.1083333333333" style="338" customWidth="1"/>
    <col min="6126" max="6139" width="9" style="338"/>
    <col min="6140" max="6140" width="8.775" style="338" customWidth="1"/>
    <col min="6141" max="6141" width="34.775" style="338" customWidth="1"/>
    <col min="6142" max="6148" width="10.3333333333333" style="338" customWidth="1"/>
    <col min="6149" max="6379" width="9" style="338"/>
    <col min="6380" max="6380" width="8.775" style="338" customWidth="1"/>
    <col min="6381" max="6381" width="37.1083333333333" style="338" customWidth="1"/>
    <col min="6382" max="6395" width="9" style="338"/>
    <col min="6396" max="6396" width="8.775" style="338" customWidth="1"/>
    <col min="6397" max="6397" width="34.775" style="338" customWidth="1"/>
    <col min="6398" max="6404" width="10.3333333333333" style="338" customWidth="1"/>
    <col min="6405" max="6635" width="9" style="338"/>
    <col min="6636" max="6636" width="8.775" style="338" customWidth="1"/>
    <col min="6637" max="6637" width="37.1083333333333" style="338" customWidth="1"/>
    <col min="6638" max="6651" width="9" style="338"/>
    <col min="6652" max="6652" width="8.775" style="338" customWidth="1"/>
    <col min="6653" max="6653" width="34.775" style="338" customWidth="1"/>
    <col min="6654" max="6660" width="10.3333333333333" style="338" customWidth="1"/>
    <col min="6661" max="6891" width="9" style="338"/>
    <col min="6892" max="6892" width="8.775" style="338" customWidth="1"/>
    <col min="6893" max="6893" width="37.1083333333333" style="338" customWidth="1"/>
    <col min="6894" max="6907" width="9" style="338"/>
    <col min="6908" max="6908" width="8.775" style="338" customWidth="1"/>
    <col min="6909" max="6909" width="34.775" style="338" customWidth="1"/>
    <col min="6910" max="6916" width="10.3333333333333" style="338" customWidth="1"/>
    <col min="6917" max="7147" width="9" style="338"/>
    <col min="7148" max="7148" width="8.775" style="338" customWidth="1"/>
    <col min="7149" max="7149" width="37.1083333333333" style="338" customWidth="1"/>
    <col min="7150" max="7163" width="9" style="338"/>
    <col min="7164" max="7164" width="8.775" style="338" customWidth="1"/>
    <col min="7165" max="7165" width="34.775" style="338" customWidth="1"/>
    <col min="7166" max="7172" width="10.3333333333333" style="338" customWidth="1"/>
    <col min="7173" max="7403" width="9" style="338"/>
    <col min="7404" max="7404" width="8.775" style="338" customWidth="1"/>
    <col min="7405" max="7405" width="37.1083333333333" style="338" customWidth="1"/>
    <col min="7406" max="7419" width="9" style="338"/>
    <col min="7420" max="7420" width="8.775" style="338" customWidth="1"/>
    <col min="7421" max="7421" width="34.775" style="338" customWidth="1"/>
    <col min="7422" max="7428" width="10.3333333333333" style="338" customWidth="1"/>
    <col min="7429" max="7659" width="9" style="338"/>
    <col min="7660" max="7660" width="8.775" style="338" customWidth="1"/>
    <col min="7661" max="7661" width="37.1083333333333" style="338" customWidth="1"/>
    <col min="7662" max="7675" width="9" style="338"/>
    <col min="7676" max="7676" width="8.775" style="338" customWidth="1"/>
    <col min="7677" max="7677" width="34.775" style="338" customWidth="1"/>
    <col min="7678" max="7684" width="10.3333333333333" style="338" customWidth="1"/>
    <col min="7685" max="7915" width="9" style="338"/>
    <col min="7916" max="7916" width="8.775" style="338" customWidth="1"/>
    <col min="7917" max="7917" width="37.1083333333333" style="338" customWidth="1"/>
    <col min="7918" max="7931" width="9" style="338"/>
    <col min="7932" max="7932" width="8.775" style="338" customWidth="1"/>
    <col min="7933" max="7933" width="34.775" style="338" customWidth="1"/>
    <col min="7934" max="7940" width="10.3333333333333" style="338" customWidth="1"/>
    <col min="7941" max="8171" width="9" style="338"/>
    <col min="8172" max="8172" width="8.775" style="338" customWidth="1"/>
    <col min="8173" max="8173" width="37.1083333333333" style="338" customWidth="1"/>
    <col min="8174" max="8187" width="9" style="338"/>
    <col min="8188" max="8188" width="8.775" style="338" customWidth="1"/>
    <col min="8189" max="8189" width="34.775" style="338" customWidth="1"/>
    <col min="8190" max="8196" width="10.3333333333333" style="338" customWidth="1"/>
    <col min="8197" max="8427" width="9" style="338"/>
    <col min="8428" max="8428" width="8.775" style="338" customWidth="1"/>
    <col min="8429" max="8429" width="37.1083333333333" style="338" customWidth="1"/>
    <col min="8430" max="8443" width="9" style="338"/>
    <col min="8444" max="8444" width="8.775" style="338" customWidth="1"/>
    <col min="8445" max="8445" width="34.775" style="338" customWidth="1"/>
    <col min="8446" max="8452" width="10.3333333333333" style="338" customWidth="1"/>
    <col min="8453" max="8683" width="9" style="338"/>
    <col min="8684" max="8684" width="8.775" style="338" customWidth="1"/>
    <col min="8685" max="8685" width="37.1083333333333" style="338" customWidth="1"/>
    <col min="8686" max="8699" width="9" style="338"/>
    <col min="8700" max="8700" width="8.775" style="338" customWidth="1"/>
    <col min="8701" max="8701" width="34.775" style="338" customWidth="1"/>
    <col min="8702" max="8708" width="10.3333333333333" style="338" customWidth="1"/>
    <col min="8709" max="8939" width="9" style="338"/>
    <col min="8940" max="8940" width="8.775" style="338" customWidth="1"/>
    <col min="8941" max="8941" width="37.1083333333333" style="338" customWidth="1"/>
    <col min="8942" max="8955" width="9" style="338"/>
    <col min="8956" max="8956" width="8.775" style="338" customWidth="1"/>
    <col min="8957" max="8957" width="34.775" style="338" customWidth="1"/>
    <col min="8958" max="8964" width="10.3333333333333" style="338" customWidth="1"/>
    <col min="8965" max="9195" width="9" style="338"/>
    <col min="9196" max="9196" width="8.775" style="338" customWidth="1"/>
    <col min="9197" max="9197" width="37.1083333333333" style="338" customWidth="1"/>
    <col min="9198" max="9211" width="9" style="338"/>
    <col min="9212" max="9212" width="8.775" style="338" customWidth="1"/>
    <col min="9213" max="9213" width="34.775" style="338" customWidth="1"/>
    <col min="9214" max="9220" width="10.3333333333333" style="338" customWidth="1"/>
    <col min="9221" max="9451" width="9" style="338"/>
    <col min="9452" max="9452" width="8.775" style="338" customWidth="1"/>
    <col min="9453" max="9453" width="37.1083333333333" style="338" customWidth="1"/>
    <col min="9454" max="9467" width="9" style="338"/>
    <col min="9468" max="9468" width="8.775" style="338" customWidth="1"/>
    <col min="9469" max="9469" width="34.775" style="338" customWidth="1"/>
    <col min="9470" max="9476" width="10.3333333333333" style="338" customWidth="1"/>
    <col min="9477" max="9707" width="9" style="338"/>
    <col min="9708" max="9708" width="8.775" style="338" customWidth="1"/>
    <col min="9709" max="9709" width="37.1083333333333" style="338" customWidth="1"/>
    <col min="9710" max="9723" width="9" style="338"/>
    <col min="9724" max="9724" width="8.775" style="338" customWidth="1"/>
    <col min="9725" max="9725" width="34.775" style="338" customWidth="1"/>
    <col min="9726" max="9732" width="10.3333333333333" style="338" customWidth="1"/>
    <col min="9733" max="9963" width="9" style="338"/>
    <col min="9964" max="9964" width="8.775" style="338" customWidth="1"/>
    <col min="9965" max="9965" width="37.1083333333333" style="338" customWidth="1"/>
    <col min="9966" max="9979" width="9" style="338"/>
    <col min="9980" max="9980" width="8.775" style="338" customWidth="1"/>
    <col min="9981" max="9981" width="34.775" style="338" customWidth="1"/>
    <col min="9982" max="9988" width="10.3333333333333" style="338" customWidth="1"/>
    <col min="9989" max="10219" width="9" style="338"/>
    <col min="10220" max="10220" width="8.775" style="338" customWidth="1"/>
    <col min="10221" max="10221" width="37.1083333333333" style="338" customWidth="1"/>
    <col min="10222" max="10235" width="9" style="338"/>
    <col min="10236" max="10236" width="8.775" style="338" customWidth="1"/>
    <col min="10237" max="10237" width="34.775" style="338" customWidth="1"/>
    <col min="10238" max="10244" width="10.3333333333333" style="338" customWidth="1"/>
    <col min="10245" max="10475" width="9" style="338"/>
    <col min="10476" max="10476" width="8.775" style="338" customWidth="1"/>
    <col min="10477" max="10477" width="37.1083333333333" style="338" customWidth="1"/>
    <col min="10478" max="10491" width="9" style="338"/>
    <col min="10492" max="10492" width="8.775" style="338" customWidth="1"/>
    <col min="10493" max="10493" width="34.775" style="338" customWidth="1"/>
    <col min="10494" max="10500" width="10.3333333333333" style="338" customWidth="1"/>
    <col min="10501" max="10731" width="9" style="338"/>
    <col min="10732" max="10732" width="8.775" style="338" customWidth="1"/>
    <col min="10733" max="10733" width="37.1083333333333" style="338" customWidth="1"/>
    <col min="10734" max="10747" width="9" style="338"/>
    <col min="10748" max="10748" width="8.775" style="338" customWidth="1"/>
    <col min="10749" max="10749" width="34.775" style="338" customWidth="1"/>
    <col min="10750" max="10756" width="10.3333333333333" style="338" customWidth="1"/>
    <col min="10757" max="10987" width="9" style="338"/>
    <col min="10988" max="10988" width="8.775" style="338" customWidth="1"/>
    <col min="10989" max="10989" width="37.1083333333333" style="338" customWidth="1"/>
    <col min="10990" max="11003" width="9" style="338"/>
    <col min="11004" max="11004" width="8.775" style="338" customWidth="1"/>
    <col min="11005" max="11005" width="34.775" style="338" customWidth="1"/>
    <col min="11006" max="11012" width="10.3333333333333" style="338" customWidth="1"/>
    <col min="11013" max="11243" width="9" style="338"/>
    <col min="11244" max="11244" width="8.775" style="338" customWidth="1"/>
    <col min="11245" max="11245" width="37.1083333333333" style="338" customWidth="1"/>
    <col min="11246" max="11259" width="9" style="338"/>
    <col min="11260" max="11260" width="8.775" style="338" customWidth="1"/>
    <col min="11261" max="11261" width="34.775" style="338" customWidth="1"/>
    <col min="11262" max="11268" width="10.3333333333333" style="338" customWidth="1"/>
    <col min="11269" max="11499" width="9" style="338"/>
    <col min="11500" max="11500" width="8.775" style="338" customWidth="1"/>
    <col min="11501" max="11501" width="37.1083333333333" style="338" customWidth="1"/>
    <col min="11502" max="11515" width="9" style="338"/>
    <col min="11516" max="11516" width="8.775" style="338" customWidth="1"/>
    <col min="11517" max="11517" width="34.775" style="338" customWidth="1"/>
    <col min="11518" max="11524" width="10.3333333333333" style="338" customWidth="1"/>
    <col min="11525" max="11755" width="9" style="338"/>
    <col min="11756" max="11756" width="8.775" style="338" customWidth="1"/>
    <col min="11757" max="11757" width="37.1083333333333" style="338" customWidth="1"/>
    <col min="11758" max="11771" width="9" style="338"/>
    <col min="11772" max="11772" width="8.775" style="338" customWidth="1"/>
    <col min="11773" max="11773" width="34.775" style="338" customWidth="1"/>
    <col min="11774" max="11780" width="10.3333333333333" style="338" customWidth="1"/>
    <col min="11781" max="12011" width="9" style="338"/>
    <col min="12012" max="12012" width="8.775" style="338" customWidth="1"/>
    <col min="12013" max="12013" width="37.1083333333333" style="338" customWidth="1"/>
    <col min="12014" max="12027" width="9" style="338"/>
    <col min="12028" max="12028" width="8.775" style="338" customWidth="1"/>
    <col min="12029" max="12029" width="34.775" style="338" customWidth="1"/>
    <col min="12030" max="12036" width="10.3333333333333" style="338" customWidth="1"/>
    <col min="12037" max="12267" width="9" style="338"/>
    <col min="12268" max="12268" width="8.775" style="338" customWidth="1"/>
    <col min="12269" max="12269" width="37.1083333333333" style="338" customWidth="1"/>
    <col min="12270" max="12283" width="9" style="338"/>
    <col min="12284" max="12284" width="8.775" style="338" customWidth="1"/>
    <col min="12285" max="12285" width="34.775" style="338" customWidth="1"/>
    <col min="12286" max="12292" width="10.3333333333333" style="338" customWidth="1"/>
    <col min="12293" max="12523" width="9" style="338"/>
    <col min="12524" max="12524" width="8.775" style="338" customWidth="1"/>
    <col min="12525" max="12525" width="37.1083333333333" style="338" customWidth="1"/>
    <col min="12526" max="12539" width="9" style="338"/>
    <col min="12540" max="12540" width="8.775" style="338" customWidth="1"/>
    <col min="12541" max="12541" width="34.775" style="338" customWidth="1"/>
    <col min="12542" max="12548" width="10.3333333333333" style="338" customWidth="1"/>
    <col min="12549" max="12779" width="9" style="338"/>
    <col min="12780" max="12780" width="8.775" style="338" customWidth="1"/>
    <col min="12781" max="12781" width="37.1083333333333" style="338" customWidth="1"/>
    <col min="12782" max="12795" width="9" style="338"/>
    <col min="12796" max="12796" width="8.775" style="338" customWidth="1"/>
    <col min="12797" max="12797" width="34.775" style="338" customWidth="1"/>
    <col min="12798" max="12804" width="10.3333333333333" style="338" customWidth="1"/>
    <col min="12805" max="13035" width="9" style="338"/>
    <col min="13036" max="13036" width="8.775" style="338" customWidth="1"/>
    <col min="13037" max="13037" width="37.1083333333333" style="338" customWidth="1"/>
    <col min="13038" max="13051" width="9" style="338"/>
    <col min="13052" max="13052" width="8.775" style="338" customWidth="1"/>
    <col min="13053" max="13053" width="34.775" style="338" customWidth="1"/>
    <col min="13054" max="13060" width="10.3333333333333" style="338" customWidth="1"/>
    <col min="13061" max="13291" width="9" style="338"/>
    <col min="13292" max="13292" width="8.775" style="338" customWidth="1"/>
    <col min="13293" max="13293" width="37.1083333333333" style="338" customWidth="1"/>
    <col min="13294" max="13307" width="9" style="338"/>
    <col min="13308" max="13308" width="8.775" style="338" customWidth="1"/>
    <col min="13309" max="13309" width="34.775" style="338" customWidth="1"/>
    <col min="13310" max="13316" width="10.3333333333333" style="338" customWidth="1"/>
    <col min="13317" max="13547" width="9" style="338"/>
    <col min="13548" max="13548" width="8.775" style="338" customWidth="1"/>
    <col min="13549" max="13549" width="37.1083333333333" style="338" customWidth="1"/>
    <col min="13550" max="13563" width="9" style="338"/>
    <col min="13564" max="13564" width="8.775" style="338" customWidth="1"/>
    <col min="13565" max="13565" width="34.775" style="338" customWidth="1"/>
    <col min="13566" max="13572" width="10.3333333333333" style="338" customWidth="1"/>
    <col min="13573" max="13803" width="9" style="338"/>
    <col min="13804" max="13804" width="8.775" style="338" customWidth="1"/>
    <col min="13805" max="13805" width="37.1083333333333" style="338" customWidth="1"/>
    <col min="13806" max="13819" width="9" style="338"/>
    <col min="13820" max="13820" width="8.775" style="338" customWidth="1"/>
    <col min="13821" max="13821" width="34.775" style="338" customWidth="1"/>
    <col min="13822" max="13828" width="10.3333333333333" style="338" customWidth="1"/>
    <col min="13829" max="14059" width="9" style="338"/>
    <col min="14060" max="14060" width="8.775" style="338" customWidth="1"/>
    <col min="14061" max="14061" width="37.1083333333333" style="338" customWidth="1"/>
    <col min="14062" max="14075" width="9" style="338"/>
    <col min="14076" max="14076" width="8.775" style="338" customWidth="1"/>
    <col min="14077" max="14077" width="34.775" style="338" customWidth="1"/>
    <col min="14078" max="14084" width="10.3333333333333" style="338" customWidth="1"/>
    <col min="14085" max="14315" width="9" style="338"/>
    <col min="14316" max="14316" width="8.775" style="338" customWidth="1"/>
    <col min="14317" max="14317" width="37.1083333333333" style="338" customWidth="1"/>
    <col min="14318" max="14331" width="9" style="338"/>
    <col min="14332" max="14332" width="8.775" style="338" customWidth="1"/>
    <col min="14333" max="14333" width="34.775" style="338" customWidth="1"/>
    <col min="14334" max="14340" width="10.3333333333333" style="338" customWidth="1"/>
    <col min="14341" max="14571" width="9" style="338"/>
    <col min="14572" max="14572" width="8.775" style="338" customWidth="1"/>
    <col min="14573" max="14573" width="37.1083333333333" style="338" customWidth="1"/>
    <col min="14574" max="14587" width="9" style="338"/>
    <col min="14588" max="14588" width="8.775" style="338" customWidth="1"/>
    <col min="14589" max="14589" width="34.775" style="338" customWidth="1"/>
    <col min="14590" max="14596" width="10.3333333333333" style="338" customWidth="1"/>
    <col min="14597" max="14827" width="9" style="338"/>
    <col min="14828" max="14828" width="8.775" style="338" customWidth="1"/>
    <col min="14829" max="14829" width="37.1083333333333" style="338" customWidth="1"/>
    <col min="14830" max="14843" width="9" style="338"/>
    <col min="14844" max="14844" width="8.775" style="338" customWidth="1"/>
    <col min="14845" max="14845" width="34.775" style="338" customWidth="1"/>
    <col min="14846" max="14852" width="10.3333333333333" style="338" customWidth="1"/>
    <col min="14853" max="15083" width="9" style="338"/>
    <col min="15084" max="15084" width="8.775" style="338" customWidth="1"/>
    <col min="15085" max="15085" width="37.1083333333333" style="338" customWidth="1"/>
    <col min="15086" max="15099" width="9" style="338"/>
    <col min="15100" max="15100" width="8.775" style="338" customWidth="1"/>
    <col min="15101" max="15101" width="34.775" style="338" customWidth="1"/>
    <col min="15102" max="15108" width="10.3333333333333" style="338" customWidth="1"/>
    <col min="15109" max="15339" width="9" style="338"/>
    <col min="15340" max="15340" width="8.775" style="338" customWidth="1"/>
    <col min="15341" max="15341" width="37.1083333333333" style="338" customWidth="1"/>
    <col min="15342" max="15355" width="9" style="338"/>
    <col min="15356" max="15356" width="8.775" style="338" customWidth="1"/>
    <col min="15357" max="15357" width="34.775" style="338" customWidth="1"/>
    <col min="15358" max="15364" width="10.3333333333333" style="338" customWidth="1"/>
    <col min="15365" max="15595" width="9" style="338"/>
    <col min="15596" max="15596" width="8.775" style="338" customWidth="1"/>
    <col min="15597" max="15597" width="37.1083333333333" style="338" customWidth="1"/>
    <col min="15598" max="15611" width="9" style="338"/>
    <col min="15612" max="15612" width="8.775" style="338" customWidth="1"/>
    <col min="15613" max="15613" width="34.775" style="338" customWidth="1"/>
    <col min="15614" max="15620" width="10.3333333333333" style="338" customWidth="1"/>
    <col min="15621" max="15851" width="9" style="338"/>
    <col min="15852" max="15852" width="8.775" style="338" customWidth="1"/>
    <col min="15853" max="15853" width="37.1083333333333" style="338" customWidth="1"/>
    <col min="15854" max="15867" width="9" style="338"/>
    <col min="15868" max="15868" width="8.775" style="338" customWidth="1"/>
    <col min="15869" max="15869" width="34.775" style="338" customWidth="1"/>
    <col min="15870" max="15876" width="10.3333333333333" style="338" customWidth="1"/>
    <col min="15877" max="16107" width="9" style="338"/>
    <col min="16108" max="16108" width="8.775" style="338" customWidth="1"/>
    <col min="16109" max="16109" width="37.1083333333333" style="338" customWidth="1"/>
    <col min="16110" max="16123" width="9" style="338"/>
    <col min="16124" max="16124" width="8.775" style="338" customWidth="1"/>
    <col min="16125" max="16125" width="34.775" style="338" customWidth="1"/>
    <col min="16126" max="16132" width="10.3333333333333" style="338" customWidth="1"/>
    <col min="16133" max="16363" width="9" style="338"/>
    <col min="16364" max="16364" width="8.775" style="338" customWidth="1"/>
    <col min="16365" max="16365" width="37.1083333333333" style="338" customWidth="1"/>
    <col min="16366" max="16384" width="9" style="338"/>
  </cols>
  <sheetData>
    <row r="1" customFormat="1" ht="27" customHeight="1" spans="1:251">
      <c r="A1" s="340" t="s">
        <v>290</v>
      </c>
      <c r="B1" s="340"/>
      <c r="C1" s="340"/>
      <c r="D1" s="340"/>
      <c r="E1" s="340"/>
      <c r="F1" s="340"/>
      <c r="G1" s="338"/>
      <c r="H1" s="338"/>
      <c r="I1" s="338"/>
      <c r="J1" s="338"/>
      <c r="K1" s="338"/>
      <c r="L1" s="338"/>
      <c r="M1" s="338"/>
      <c r="N1" s="338"/>
      <c r="O1" s="338"/>
      <c r="P1" s="338"/>
      <c r="Q1" s="338"/>
      <c r="R1" s="338"/>
      <c r="S1" s="338"/>
      <c r="T1" s="338"/>
      <c r="U1" s="338"/>
      <c r="V1" s="338"/>
      <c r="W1" s="338"/>
      <c r="X1" s="338"/>
      <c r="Y1" s="338"/>
      <c r="Z1" s="338"/>
      <c r="AA1" s="338"/>
      <c r="AB1" s="338"/>
      <c r="AC1" s="338"/>
      <c r="AD1" s="338"/>
      <c r="AE1" s="338"/>
      <c r="AF1" s="338"/>
      <c r="AG1" s="338"/>
      <c r="AH1" s="338"/>
      <c r="AI1" s="338"/>
      <c r="AJ1" s="338"/>
      <c r="AK1" s="338"/>
      <c r="AL1" s="338"/>
      <c r="AM1" s="338"/>
      <c r="AN1" s="338"/>
      <c r="AO1" s="338"/>
      <c r="AP1" s="338"/>
      <c r="AQ1" s="338"/>
      <c r="AR1" s="338"/>
      <c r="AS1" s="338"/>
      <c r="AT1" s="338"/>
      <c r="AU1" s="338"/>
      <c r="AV1" s="338"/>
      <c r="AW1" s="338"/>
      <c r="AX1" s="338"/>
      <c r="AY1" s="338"/>
      <c r="AZ1" s="338"/>
      <c r="BA1" s="338"/>
      <c r="BB1" s="338"/>
      <c r="BC1" s="338"/>
      <c r="BD1" s="338"/>
      <c r="BE1" s="338"/>
      <c r="BF1" s="338"/>
      <c r="BG1" s="338"/>
      <c r="BH1" s="338"/>
      <c r="BI1" s="338"/>
      <c r="BJ1" s="338"/>
      <c r="BK1" s="338"/>
      <c r="BL1" s="338"/>
      <c r="BM1" s="338"/>
      <c r="BN1" s="338"/>
      <c r="BO1" s="338"/>
      <c r="BP1" s="338"/>
      <c r="BQ1" s="338"/>
      <c r="BR1" s="338"/>
      <c r="BS1" s="338"/>
      <c r="BT1" s="338"/>
      <c r="BU1" s="338"/>
      <c r="BV1" s="338"/>
      <c r="BW1" s="338"/>
      <c r="BX1" s="338"/>
      <c r="BY1" s="338"/>
      <c r="BZ1" s="338"/>
      <c r="CA1" s="338"/>
      <c r="CB1" s="338"/>
      <c r="CC1" s="338"/>
      <c r="CD1" s="338"/>
      <c r="CE1" s="338"/>
      <c r="CF1" s="338"/>
      <c r="CG1" s="338"/>
      <c r="CH1" s="338"/>
      <c r="CI1" s="338"/>
      <c r="CJ1" s="338"/>
      <c r="CK1" s="338"/>
      <c r="CL1" s="338"/>
      <c r="CM1" s="338"/>
      <c r="CN1" s="338"/>
      <c r="CO1" s="338"/>
      <c r="CP1" s="338"/>
      <c r="CQ1" s="338"/>
      <c r="CR1" s="338"/>
      <c r="CS1" s="338"/>
      <c r="CT1" s="338"/>
      <c r="CU1" s="338"/>
      <c r="CV1" s="338"/>
      <c r="CW1" s="338"/>
      <c r="CX1" s="338"/>
      <c r="CY1" s="338"/>
      <c r="CZ1" s="338"/>
      <c r="DA1" s="338"/>
      <c r="DB1" s="338"/>
      <c r="DC1" s="338"/>
      <c r="DD1" s="338"/>
      <c r="DE1" s="338"/>
      <c r="DF1" s="338"/>
      <c r="DG1" s="338"/>
      <c r="DH1" s="338"/>
      <c r="DI1" s="338"/>
      <c r="DJ1" s="338"/>
      <c r="DK1" s="338"/>
      <c r="DL1" s="338"/>
      <c r="DM1" s="338"/>
      <c r="DN1" s="338"/>
      <c r="DO1" s="338"/>
      <c r="DP1" s="338"/>
      <c r="DQ1" s="338"/>
      <c r="DR1" s="338"/>
      <c r="DS1" s="338"/>
      <c r="DT1" s="338"/>
      <c r="DU1" s="338"/>
      <c r="DV1" s="338"/>
      <c r="DW1" s="338"/>
      <c r="DX1" s="338"/>
      <c r="DY1" s="338"/>
      <c r="DZ1" s="338"/>
      <c r="EA1" s="338"/>
      <c r="EB1" s="338"/>
      <c r="EC1" s="338"/>
      <c r="ED1" s="338"/>
      <c r="EE1" s="338"/>
      <c r="EF1" s="338"/>
      <c r="EG1" s="338"/>
      <c r="EH1" s="338"/>
      <c r="EI1" s="338"/>
      <c r="EJ1" s="338"/>
      <c r="EK1" s="338"/>
      <c r="EL1" s="338"/>
      <c r="EM1" s="338"/>
      <c r="EN1" s="338"/>
      <c r="EO1" s="338"/>
      <c r="EP1" s="338"/>
      <c r="EQ1" s="338"/>
      <c r="ER1" s="338"/>
      <c r="ES1" s="338"/>
      <c r="ET1" s="338"/>
      <c r="EU1" s="338"/>
      <c r="EV1" s="338"/>
      <c r="EW1" s="338"/>
      <c r="EX1" s="338"/>
      <c r="EY1" s="338"/>
      <c r="EZ1" s="338"/>
      <c r="FA1" s="338"/>
      <c r="FB1" s="338"/>
      <c r="FC1" s="338"/>
      <c r="FD1" s="338"/>
      <c r="FE1" s="338"/>
      <c r="FF1" s="338"/>
      <c r="FG1" s="338"/>
      <c r="FH1" s="338"/>
      <c r="FI1" s="338"/>
      <c r="FJ1" s="338"/>
      <c r="FK1" s="338"/>
      <c r="FL1" s="338"/>
      <c r="FM1" s="338"/>
      <c r="FN1" s="338"/>
      <c r="FO1" s="338"/>
      <c r="FP1" s="338"/>
      <c r="FQ1" s="338"/>
      <c r="FR1" s="338"/>
      <c r="FS1" s="338"/>
      <c r="FT1" s="338"/>
      <c r="FU1" s="338"/>
      <c r="FV1" s="338"/>
      <c r="FW1" s="338"/>
      <c r="FX1" s="338"/>
      <c r="FY1" s="338"/>
      <c r="FZ1" s="338"/>
      <c r="GA1" s="338"/>
      <c r="GB1" s="338"/>
      <c r="GC1" s="338"/>
      <c r="GD1" s="338"/>
      <c r="GE1" s="338"/>
      <c r="GF1" s="338"/>
      <c r="GG1" s="338"/>
      <c r="GH1" s="338"/>
      <c r="GI1" s="338"/>
      <c r="GJ1" s="338"/>
      <c r="GK1" s="338"/>
      <c r="GL1" s="338"/>
      <c r="GM1" s="338"/>
      <c r="GN1" s="338"/>
      <c r="GO1" s="338"/>
      <c r="GP1" s="338"/>
      <c r="GQ1" s="338"/>
      <c r="GR1" s="338"/>
      <c r="GS1" s="338"/>
      <c r="GT1" s="338"/>
      <c r="GU1" s="338"/>
      <c r="GV1" s="338"/>
      <c r="GW1" s="338"/>
      <c r="GX1" s="338"/>
      <c r="GY1" s="338"/>
      <c r="GZ1" s="338"/>
      <c r="HA1" s="338"/>
      <c r="HB1" s="338"/>
      <c r="HC1" s="338"/>
      <c r="HD1" s="338"/>
      <c r="HE1" s="338"/>
      <c r="HF1" s="338"/>
      <c r="HG1" s="338"/>
      <c r="HH1" s="338"/>
      <c r="HI1" s="338"/>
      <c r="HJ1" s="338"/>
      <c r="HK1" s="338"/>
      <c r="HL1" s="338"/>
      <c r="HM1" s="338"/>
      <c r="HN1" s="338"/>
      <c r="HO1" s="338"/>
      <c r="HP1" s="338"/>
      <c r="HQ1" s="338"/>
      <c r="HR1" s="338"/>
      <c r="HS1" s="338"/>
      <c r="HT1" s="338"/>
      <c r="HU1" s="338"/>
      <c r="HV1" s="338"/>
      <c r="HW1" s="338"/>
      <c r="HX1" s="338"/>
      <c r="HY1" s="338"/>
      <c r="HZ1" s="338"/>
      <c r="IA1" s="338"/>
      <c r="IB1" s="338"/>
      <c r="IC1" s="338"/>
      <c r="ID1" s="338"/>
      <c r="IE1" s="338"/>
      <c r="IF1" s="338"/>
      <c r="IG1" s="338"/>
      <c r="IH1" s="338"/>
      <c r="II1" s="338"/>
      <c r="IJ1" s="338"/>
      <c r="IK1" s="338"/>
      <c r="IL1" s="338"/>
      <c r="IM1" s="338"/>
      <c r="IN1" s="338"/>
      <c r="IO1" s="338"/>
      <c r="IP1" s="338"/>
      <c r="IQ1" s="338"/>
    </row>
    <row r="2" customFormat="1" ht="13.5" spans="1:251">
      <c r="A2" s="341" t="s">
        <v>1</v>
      </c>
      <c r="B2" s="338"/>
      <c r="C2" s="338"/>
      <c r="D2" s="342" t="s">
        <v>291</v>
      </c>
      <c r="E2" s="342"/>
      <c r="F2" s="357" t="s">
        <v>292</v>
      </c>
      <c r="G2" s="338"/>
      <c r="H2" s="338"/>
      <c r="I2" s="338"/>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8"/>
      <c r="AI2" s="338"/>
      <c r="AJ2" s="338"/>
      <c r="AK2" s="338"/>
      <c r="AL2" s="338"/>
      <c r="AM2" s="338"/>
      <c r="AN2" s="338"/>
      <c r="AO2" s="338"/>
      <c r="AP2" s="338"/>
      <c r="AQ2" s="338"/>
      <c r="AR2" s="338"/>
      <c r="AS2" s="338"/>
      <c r="AT2" s="338"/>
      <c r="AU2" s="338"/>
      <c r="AV2" s="338"/>
      <c r="AW2" s="338"/>
      <c r="AX2" s="338"/>
      <c r="AY2" s="338"/>
      <c r="AZ2" s="338"/>
      <c r="BA2" s="338"/>
      <c r="BB2" s="338"/>
      <c r="BC2" s="338"/>
      <c r="BD2" s="338"/>
      <c r="BE2" s="338"/>
      <c r="BF2" s="338"/>
      <c r="BG2" s="338"/>
      <c r="BH2" s="338"/>
      <c r="BI2" s="338"/>
      <c r="BJ2" s="338"/>
      <c r="BK2" s="338"/>
      <c r="BL2" s="338"/>
      <c r="BM2" s="338"/>
      <c r="BN2" s="338"/>
      <c r="BO2" s="338"/>
      <c r="BP2" s="338"/>
      <c r="BQ2" s="338"/>
      <c r="BR2" s="338"/>
      <c r="BS2" s="338"/>
      <c r="BT2" s="338"/>
      <c r="BU2" s="338"/>
      <c r="BV2" s="338"/>
      <c r="BW2" s="338"/>
      <c r="BX2" s="338"/>
      <c r="BY2" s="338"/>
      <c r="BZ2" s="338"/>
      <c r="CA2" s="338"/>
      <c r="CB2" s="338"/>
      <c r="CC2" s="338"/>
      <c r="CD2" s="338"/>
      <c r="CE2" s="338"/>
      <c r="CF2" s="338"/>
      <c r="CG2" s="338"/>
      <c r="CH2" s="338"/>
      <c r="CI2" s="338"/>
      <c r="CJ2" s="338"/>
      <c r="CK2" s="338"/>
      <c r="CL2" s="338"/>
      <c r="CM2" s="338"/>
      <c r="CN2" s="338"/>
      <c r="CO2" s="338"/>
      <c r="CP2" s="338"/>
      <c r="CQ2" s="338"/>
      <c r="CR2" s="338"/>
      <c r="CS2" s="338"/>
      <c r="CT2" s="338"/>
      <c r="CU2" s="338"/>
      <c r="CV2" s="338"/>
      <c r="CW2" s="338"/>
      <c r="CX2" s="338"/>
      <c r="CY2" s="338"/>
      <c r="CZ2" s="338"/>
      <c r="DA2" s="338"/>
      <c r="DB2" s="338"/>
      <c r="DC2" s="338"/>
      <c r="DD2" s="338"/>
      <c r="DE2" s="338"/>
      <c r="DF2" s="338"/>
      <c r="DG2" s="338"/>
      <c r="DH2" s="338"/>
      <c r="DI2" s="338"/>
      <c r="DJ2" s="338"/>
      <c r="DK2" s="338"/>
      <c r="DL2" s="338"/>
      <c r="DM2" s="338"/>
      <c r="DN2" s="338"/>
      <c r="DO2" s="338"/>
      <c r="DP2" s="338"/>
      <c r="DQ2" s="338"/>
      <c r="DR2" s="338"/>
      <c r="DS2" s="338"/>
      <c r="DT2" s="338"/>
      <c r="DU2" s="338"/>
      <c r="DV2" s="338"/>
      <c r="DW2" s="338"/>
      <c r="DX2" s="338"/>
      <c r="DY2" s="338"/>
      <c r="DZ2" s="338"/>
      <c r="EA2" s="338"/>
      <c r="EB2" s="338"/>
      <c r="EC2" s="338"/>
      <c r="ED2" s="338"/>
      <c r="EE2" s="338"/>
      <c r="EF2" s="338"/>
      <c r="EG2" s="338"/>
      <c r="EH2" s="338"/>
      <c r="EI2" s="338"/>
      <c r="EJ2" s="338"/>
      <c r="EK2" s="338"/>
      <c r="EL2" s="338"/>
      <c r="EM2" s="338"/>
      <c r="EN2" s="338"/>
      <c r="EO2" s="338"/>
      <c r="EP2" s="338"/>
      <c r="EQ2" s="338"/>
      <c r="ER2" s="338"/>
      <c r="ES2" s="338"/>
      <c r="ET2" s="338"/>
      <c r="EU2" s="338"/>
      <c r="EV2" s="338"/>
      <c r="EW2" s="338"/>
      <c r="EX2" s="338"/>
      <c r="EY2" s="338"/>
      <c r="EZ2" s="338"/>
      <c r="FA2" s="338"/>
      <c r="FB2" s="338"/>
      <c r="FC2" s="338"/>
      <c r="FD2" s="338"/>
      <c r="FE2" s="338"/>
      <c r="FF2" s="338"/>
      <c r="FG2" s="338"/>
      <c r="FH2" s="338"/>
      <c r="FI2" s="338"/>
      <c r="FJ2" s="338"/>
      <c r="FK2" s="338"/>
      <c r="FL2" s="338"/>
      <c r="FM2" s="338"/>
      <c r="FN2" s="338"/>
      <c r="FO2" s="338"/>
      <c r="FP2" s="338"/>
      <c r="FQ2" s="338"/>
      <c r="FR2" s="338"/>
      <c r="FS2" s="338"/>
      <c r="FT2" s="338"/>
      <c r="FU2" s="338"/>
      <c r="FV2" s="338"/>
      <c r="FW2" s="338"/>
      <c r="FX2" s="338"/>
      <c r="FY2" s="338"/>
      <c r="FZ2" s="338"/>
      <c r="GA2" s="338"/>
      <c r="GB2" s="338"/>
      <c r="GC2" s="338"/>
      <c r="GD2" s="338"/>
      <c r="GE2" s="338"/>
      <c r="GF2" s="338"/>
      <c r="GG2" s="338"/>
      <c r="GH2" s="338"/>
      <c r="GI2" s="338"/>
      <c r="GJ2" s="338"/>
      <c r="GK2" s="338"/>
      <c r="GL2" s="338"/>
      <c r="GM2" s="338"/>
      <c r="GN2" s="338"/>
      <c r="GO2" s="338"/>
      <c r="GP2" s="338"/>
      <c r="GQ2" s="338"/>
      <c r="GR2" s="338"/>
      <c r="GS2" s="338"/>
      <c r="GT2" s="338"/>
      <c r="GU2" s="338"/>
      <c r="GV2" s="338"/>
      <c r="GW2" s="338"/>
      <c r="GX2" s="338"/>
      <c r="GY2" s="338"/>
      <c r="GZ2" s="338"/>
      <c r="HA2" s="338"/>
      <c r="HB2" s="338"/>
      <c r="HC2" s="338"/>
      <c r="HD2" s="338"/>
      <c r="HE2" s="338"/>
      <c r="HF2" s="338"/>
      <c r="HG2" s="338"/>
      <c r="HH2" s="338"/>
      <c r="HI2" s="338"/>
      <c r="HJ2" s="338"/>
      <c r="HK2" s="338"/>
      <c r="HL2" s="338"/>
      <c r="HM2" s="338"/>
      <c r="HN2" s="338"/>
      <c r="HO2" s="338"/>
      <c r="HP2" s="338"/>
      <c r="HQ2" s="338"/>
      <c r="HR2" s="338"/>
      <c r="HS2" s="338"/>
      <c r="HT2" s="338"/>
      <c r="HU2" s="338"/>
      <c r="HV2" s="338"/>
      <c r="HW2" s="338"/>
      <c r="HX2" s="338"/>
      <c r="HY2" s="338"/>
      <c r="HZ2" s="338"/>
      <c r="IA2" s="338"/>
      <c r="IB2" s="338"/>
      <c r="IC2" s="338"/>
      <c r="ID2" s="338"/>
      <c r="IE2" s="338"/>
      <c r="IF2" s="338"/>
      <c r="IG2" s="338"/>
      <c r="IH2" s="338"/>
      <c r="II2" s="338"/>
      <c r="IJ2" s="338"/>
      <c r="IK2" s="338"/>
      <c r="IL2" s="338"/>
      <c r="IM2" s="338"/>
      <c r="IN2" s="338"/>
      <c r="IO2" s="338"/>
      <c r="IP2" s="338"/>
      <c r="IQ2" s="338"/>
    </row>
    <row r="3" customFormat="1" ht="14.25" customHeight="1" spans="1:251">
      <c r="A3" s="343" t="s">
        <v>293</v>
      </c>
      <c r="B3" s="344" t="s">
        <v>4</v>
      </c>
      <c r="C3" s="345" t="s">
        <v>6</v>
      </c>
      <c r="D3" s="345" t="s">
        <v>7</v>
      </c>
      <c r="E3" s="345" t="s">
        <v>8</v>
      </c>
      <c r="F3" s="345" t="s">
        <v>9</v>
      </c>
      <c r="G3" s="338"/>
      <c r="H3" s="338"/>
      <c r="I3" s="338"/>
      <c r="J3" s="338"/>
      <c r="K3" s="338"/>
      <c r="L3" s="338"/>
      <c r="M3" s="338"/>
      <c r="N3" s="338"/>
      <c r="O3" s="338"/>
      <c r="P3" s="338"/>
      <c r="Q3" s="338"/>
      <c r="R3" s="338"/>
      <c r="S3" s="338"/>
      <c r="T3" s="338"/>
      <c r="U3" s="338"/>
      <c r="V3" s="338"/>
      <c r="W3" s="338"/>
      <c r="X3" s="338"/>
      <c r="Y3" s="338"/>
      <c r="Z3" s="338"/>
      <c r="AA3" s="338"/>
      <c r="AB3" s="338"/>
      <c r="AC3" s="338"/>
      <c r="AD3" s="338"/>
      <c r="AE3" s="338"/>
      <c r="AF3" s="338"/>
      <c r="AG3" s="338"/>
      <c r="AH3" s="338"/>
      <c r="AI3" s="338"/>
      <c r="AJ3" s="338"/>
      <c r="AK3" s="338"/>
      <c r="AL3" s="338"/>
      <c r="AM3" s="338"/>
      <c r="AN3" s="338"/>
      <c r="AO3" s="338"/>
      <c r="AP3" s="338"/>
      <c r="AQ3" s="338"/>
      <c r="AR3" s="338"/>
      <c r="AS3" s="338"/>
      <c r="AT3" s="338"/>
      <c r="AU3" s="338"/>
      <c r="AV3" s="338"/>
      <c r="AW3" s="338"/>
      <c r="AX3" s="338"/>
      <c r="AY3" s="338"/>
      <c r="AZ3" s="338"/>
      <c r="BA3" s="338"/>
      <c r="BB3" s="338"/>
      <c r="BC3" s="338"/>
      <c r="BD3" s="338"/>
      <c r="BE3" s="338"/>
      <c r="BF3" s="338"/>
      <c r="BG3" s="338"/>
      <c r="BH3" s="338"/>
      <c r="BI3" s="338"/>
      <c r="BJ3" s="338"/>
      <c r="BK3" s="338"/>
      <c r="BL3" s="338"/>
      <c r="BM3" s="338"/>
      <c r="BN3" s="338"/>
      <c r="BO3" s="338"/>
      <c r="BP3" s="338"/>
      <c r="BQ3" s="338"/>
      <c r="BR3" s="338"/>
      <c r="BS3" s="338"/>
      <c r="BT3" s="338"/>
      <c r="BU3" s="338"/>
      <c r="BV3" s="338"/>
      <c r="BW3" s="338"/>
      <c r="BX3" s="338"/>
      <c r="BY3" s="338"/>
      <c r="BZ3" s="338"/>
      <c r="CA3" s="338"/>
      <c r="CB3" s="338"/>
      <c r="CC3" s="338"/>
      <c r="CD3" s="338"/>
      <c r="CE3" s="338"/>
      <c r="CF3" s="338"/>
      <c r="CG3" s="338"/>
      <c r="CH3" s="338"/>
      <c r="CI3" s="338"/>
      <c r="CJ3" s="338"/>
      <c r="CK3" s="338"/>
      <c r="CL3" s="338"/>
      <c r="CM3" s="338"/>
      <c r="CN3" s="338"/>
      <c r="CO3" s="338"/>
      <c r="CP3" s="338"/>
      <c r="CQ3" s="338"/>
      <c r="CR3" s="338"/>
      <c r="CS3" s="338"/>
      <c r="CT3" s="338"/>
      <c r="CU3" s="338"/>
      <c r="CV3" s="338"/>
      <c r="CW3" s="338"/>
      <c r="CX3" s="338"/>
      <c r="CY3" s="338"/>
      <c r="CZ3" s="338"/>
      <c r="DA3" s="338"/>
      <c r="DB3" s="338"/>
      <c r="DC3" s="338"/>
      <c r="DD3" s="338"/>
      <c r="DE3" s="338"/>
      <c r="DF3" s="338"/>
      <c r="DG3" s="338"/>
      <c r="DH3" s="338"/>
      <c r="DI3" s="338"/>
      <c r="DJ3" s="338"/>
      <c r="DK3" s="338"/>
      <c r="DL3" s="338"/>
      <c r="DM3" s="338"/>
      <c r="DN3" s="338"/>
      <c r="DO3" s="338"/>
      <c r="DP3" s="338"/>
      <c r="DQ3" s="338"/>
      <c r="DR3" s="338"/>
      <c r="DS3" s="338"/>
      <c r="DT3" s="338"/>
      <c r="DU3" s="338"/>
      <c r="DV3" s="338"/>
      <c r="DW3" s="338"/>
      <c r="DX3" s="338"/>
      <c r="DY3" s="338"/>
      <c r="DZ3" s="338"/>
      <c r="EA3" s="338"/>
      <c r="EB3" s="338"/>
      <c r="EC3" s="338"/>
      <c r="ED3" s="338"/>
      <c r="EE3" s="338"/>
      <c r="EF3" s="338"/>
      <c r="EG3" s="338"/>
      <c r="EH3" s="338"/>
      <c r="EI3" s="338"/>
      <c r="EJ3" s="338"/>
      <c r="EK3" s="338"/>
      <c r="EL3" s="338"/>
      <c r="EM3" s="338"/>
      <c r="EN3" s="338"/>
      <c r="EO3" s="338"/>
      <c r="EP3" s="338"/>
      <c r="EQ3" s="338"/>
      <c r="ER3" s="338"/>
      <c r="ES3" s="338"/>
      <c r="ET3" s="338"/>
      <c r="EU3" s="338"/>
      <c r="EV3" s="338"/>
      <c r="EW3" s="338"/>
      <c r="EX3" s="338"/>
      <c r="EY3" s="338"/>
      <c r="EZ3" s="338"/>
      <c r="FA3" s="338"/>
      <c r="FB3" s="338"/>
      <c r="FC3" s="338"/>
      <c r="FD3" s="338"/>
      <c r="FE3" s="338"/>
      <c r="FF3" s="338"/>
      <c r="FG3" s="338"/>
      <c r="FH3" s="338"/>
      <c r="FI3" s="338"/>
      <c r="FJ3" s="338"/>
      <c r="FK3" s="338"/>
      <c r="FL3" s="338"/>
      <c r="FM3" s="338"/>
      <c r="FN3" s="338"/>
      <c r="FO3" s="338"/>
      <c r="FP3" s="338"/>
      <c r="FQ3" s="338"/>
      <c r="FR3" s="338"/>
      <c r="FS3" s="338"/>
      <c r="FT3" s="338"/>
      <c r="FU3" s="338"/>
      <c r="FV3" s="338"/>
      <c r="FW3" s="338"/>
      <c r="FX3" s="338"/>
      <c r="FY3" s="338"/>
      <c r="FZ3" s="338"/>
      <c r="GA3" s="338"/>
      <c r="GB3" s="338"/>
      <c r="GC3" s="338"/>
      <c r="GD3" s="338"/>
      <c r="GE3" s="338"/>
      <c r="GF3" s="338"/>
      <c r="GG3" s="338"/>
      <c r="GH3" s="338"/>
      <c r="GI3" s="338"/>
      <c r="GJ3" s="338"/>
      <c r="GK3" s="338"/>
      <c r="GL3" s="338"/>
      <c r="GM3" s="338"/>
      <c r="GN3" s="338"/>
      <c r="GO3" s="338"/>
      <c r="GP3" s="338"/>
      <c r="GQ3" s="338"/>
      <c r="GR3" s="338"/>
      <c r="GS3" s="338"/>
      <c r="GT3" s="338"/>
      <c r="GU3" s="338"/>
      <c r="GV3" s="338"/>
      <c r="GW3" s="338"/>
      <c r="GX3" s="338"/>
      <c r="GY3" s="338"/>
      <c r="GZ3" s="338"/>
      <c r="HA3" s="338"/>
      <c r="HB3" s="338"/>
      <c r="HC3" s="338"/>
      <c r="HD3" s="338"/>
      <c r="HE3" s="338"/>
      <c r="HF3" s="338"/>
      <c r="HG3" s="338"/>
      <c r="HH3" s="338"/>
      <c r="HI3" s="338"/>
      <c r="HJ3" s="338"/>
      <c r="HK3" s="338"/>
      <c r="HL3" s="338"/>
      <c r="HM3" s="338"/>
      <c r="HN3" s="338"/>
      <c r="HO3" s="338"/>
      <c r="HP3" s="338"/>
      <c r="HQ3" s="338"/>
      <c r="HR3" s="338"/>
      <c r="HS3" s="338"/>
      <c r="HT3" s="338"/>
      <c r="HU3" s="338"/>
      <c r="HV3" s="338"/>
      <c r="HW3" s="338"/>
      <c r="HX3" s="338"/>
      <c r="HY3" s="338"/>
      <c r="HZ3" s="338"/>
      <c r="IA3" s="338"/>
      <c r="IB3" s="338"/>
      <c r="IC3" s="338"/>
      <c r="ID3" s="338"/>
      <c r="IE3" s="338"/>
      <c r="IF3" s="338"/>
      <c r="IG3" s="338"/>
      <c r="IH3" s="338"/>
      <c r="II3" s="338"/>
      <c r="IJ3" s="338"/>
      <c r="IK3" s="338"/>
      <c r="IL3" s="338"/>
      <c r="IM3" s="338"/>
      <c r="IN3" s="338"/>
      <c r="IO3" s="338"/>
      <c r="IP3" s="338"/>
      <c r="IQ3" s="338"/>
    </row>
    <row r="4" customFormat="1" ht="50.55" customHeight="1" spans="1:251">
      <c r="A4" s="343"/>
      <c r="B4" s="346"/>
      <c r="C4" s="347" t="s">
        <v>294</v>
      </c>
      <c r="D4" s="347" t="s">
        <v>295</v>
      </c>
      <c r="E4" s="347" t="s">
        <v>18</v>
      </c>
      <c r="F4" s="347" t="s">
        <v>19</v>
      </c>
      <c r="G4" s="338"/>
      <c r="H4" s="338"/>
      <c r="I4" s="338"/>
      <c r="J4" s="338"/>
      <c r="K4" s="338"/>
      <c r="L4" s="338"/>
      <c r="M4" s="338"/>
      <c r="N4" s="338"/>
      <c r="O4" s="338"/>
      <c r="P4" s="338"/>
      <c r="Q4" s="338"/>
      <c r="R4" s="338"/>
      <c r="S4" s="338"/>
      <c r="T4" s="338"/>
      <c r="U4" s="338"/>
      <c r="V4" s="338"/>
      <c r="W4" s="338"/>
      <c r="X4" s="338"/>
      <c r="Y4" s="338"/>
      <c r="Z4" s="338"/>
      <c r="AA4" s="338"/>
      <c r="AB4" s="338"/>
      <c r="AC4" s="338"/>
      <c r="AD4" s="338"/>
      <c r="AE4" s="338"/>
      <c r="AF4" s="338"/>
      <c r="AG4" s="338"/>
      <c r="AH4" s="338"/>
      <c r="AI4" s="338"/>
      <c r="AJ4" s="338"/>
      <c r="AK4" s="338"/>
      <c r="AL4" s="338"/>
      <c r="AM4" s="338"/>
      <c r="AN4" s="338"/>
      <c r="AO4" s="338"/>
      <c r="AP4" s="338"/>
      <c r="AQ4" s="338"/>
      <c r="AR4" s="338"/>
      <c r="AS4" s="338"/>
      <c r="AT4" s="338"/>
      <c r="AU4" s="338"/>
      <c r="AV4" s="338"/>
      <c r="AW4" s="338"/>
      <c r="AX4" s="338"/>
      <c r="AY4" s="338"/>
      <c r="AZ4" s="338"/>
      <c r="BA4" s="338"/>
      <c r="BB4" s="338"/>
      <c r="BC4" s="338"/>
      <c r="BD4" s="338"/>
      <c r="BE4" s="338"/>
      <c r="BF4" s="338"/>
      <c r="BG4" s="338"/>
      <c r="BH4" s="338"/>
      <c r="BI4" s="338"/>
      <c r="BJ4" s="338"/>
      <c r="BK4" s="338"/>
      <c r="BL4" s="338"/>
      <c r="BM4" s="338"/>
      <c r="BN4" s="338"/>
      <c r="BO4" s="338"/>
      <c r="BP4" s="338"/>
      <c r="BQ4" s="338"/>
      <c r="BR4" s="338"/>
      <c r="BS4" s="338"/>
      <c r="BT4" s="338"/>
      <c r="BU4" s="338"/>
      <c r="BV4" s="338"/>
      <c r="BW4" s="338"/>
      <c r="BX4" s="338"/>
      <c r="BY4" s="338"/>
      <c r="BZ4" s="338"/>
      <c r="CA4" s="338"/>
      <c r="CB4" s="338"/>
      <c r="CC4" s="338"/>
      <c r="CD4" s="338"/>
      <c r="CE4" s="338"/>
      <c r="CF4" s="338"/>
      <c r="CG4" s="338"/>
      <c r="CH4" s="338"/>
      <c r="CI4" s="338"/>
      <c r="CJ4" s="338"/>
      <c r="CK4" s="338"/>
      <c r="CL4" s="338"/>
      <c r="CM4" s="338"/>
      <c r="CN4" s="338"/>
      <c r="CO4" s="338"/>
      <c r="CP4" s="338"/>
      <c r="CQ4" s="338"/>
      <c r="CR4" s="338"/>
      <c r="CS4" s="338"/>
      <c r="CT4" s="338"/>
      <c r="CU4" s="338"/>
      <c r="CV4" s="338"/>
      <c r="CW4" s="338"/>
      <c r="CX4" s="338"/>
      <c r="CY4" s="338"/>
      <c r="CZ4" s="338"/>
      <c r="DA4" s="338"/>
      <c r="DB4" s="338"/>
      <c r="DC4" s="338"/>
      <c r="DD4" s="338"/>
      <c r="DE4" s="338"/>
      <c r="DF4" s="338"/>
      <c r="DG4" s="338"/>
      <c r="DH4" s="338"/>
      <c r="DI4" s="338"/>
      <c r="DJ4" s="338"/>
      <c r="DK4" s="338"/>
      <c r="DL4" s="338"/>
      <c r="DM4" s="338"/>
      <c r="DN4" s="338"/>
      <c r="DO4" s="338"/>
      <c r="DP4" s="338"/>
      <c r="DQ4" s="338"/>
      <c r="DR4" s="338"/>
      <c r="DS4" s="338"/>
      <c r="DT4" s="338"/>
      <c r="DU4" s="338"/>
      <c r="DV4" s="338"/>
      <c r="DW4" s="338"/>
      <c r="DX4" s="338"/>
      <c r="DY4" s="338"/>
      <c r="DZ4" s="338"/>
      <c r="EA4" s="338"/>
      <c r="EB4" s="338"/>
      <c r="EC4" s="338"/>
      <c r="ED4" s="338"/>
      <c r="EE4" s="338"/>
      <c r="EF4" s="338"/>
      <c r="EG4" s="338"/>
      <c r="EH4" s="338"/>
      <c r="EI4" s="338"/>
      <c r="EJ4" s="338"/>
      <c r="EK4" s="338"/>
      <c r="EL4" s="338"/>
      <c r="EM4" s="338"/>
      <c r="EN4" s="338"/>
      <c r="EO4" s="338"/>
      <c r="EP4" s="338"/>
      <c r="EQ4" s="338"/>
      <c r="ER4" s="338"/>
      <c r="ES4" s="338"/>
      <c r="ET4" s="338"/>
      <c r="EU4" s="338"/>
      <c r="EV4" s="338"/>
      <c r="EW4" s="338"/>
      <c r="EX4" s="338"/>
      <c r="EY4" s="338"/>
      <c r="EZ4" s="338"/>
      <c r="FA4" s="338"/>
      <c r="FB4" s="338"/>
      <c r="FC4" s="338"/>
      <c r="FD4" s="338"/>
      <c r="FE4" s="338"/>
      <c r="FF4" s="338"/>
      <c r="FG4" s="338"/>
      <c r="FH4" s="338"/>
      <c r="FI4" s="338"/>
      <c r="FJ4" s="338"/>
      <c r="FK4" s="338"/>
      <c r="FL4" s="338"/>
      <c r="FM4" s="338"/>
      <c r="FN4" s="338"/>
      <c r="FO4" s="338"/>
      <c r="FP4" s="338"/>
      <c r="FQ4" s="338"/>
      <c r="FR4" s="338"/>
      <c r="FS4" s="338"/>
      <c r="FT4" s="338"/>
      <c r="FU4" s="338"/>
      <c r="FV4" s="338"/>
      <c r="FW4" s="338"/>
      <c r="FX4" s="338"/>
      <c r="FY4" s="338"/>
      <c r="FZ4" s="338"/>
      <c r="GA4" s="338"/>
      <c r="GB4" s="338"/>
      <c r="GC4" s="338"/>
      <c r="GD4" s="338"/>
      <c r="GE4" s="338"/>
      <c r="GF4" s="338"/>
      <c r="GG4" s="338"/>
      <c r="GH4" s="338"/>
      <c r="GI4" s="338"/>
      <c r="GJ4" s="338"/>
      <c r="GK4" s="338"/>
      <c r="GL4" s="338"/>
      <c r="GM4" s="338"/>
      <c r="GN4" s="338"/>
      <c r="GO4" s="338"/>
      <c r="GP4" s="338"/>
      <c r="GQ4" s="338"/>
      <c r="GR4" s="338"/>
      <c r="GS4" s="338"/>
      <c r="GT4" s="338"/>
      <c r="GU4" s="338"/>
      <c r="GV4" s="338"/>
      <c r="GW4" s="338"/>
      <c r="GX4" s="338"/>
      <c r="GY4" s="338"/>
      <c r="GZ4" s="338"/>
      <c r="HA4" s="338"/>
      <c r="HB4" s="338"/>
      <c r="HC4" s="338"/>
      <c r="HD4" s="338"/>
      <c r="HE4" s="338"/>
      <c r="HF4" s="338"/>
      <c r="HG4" s="338"/>
      <c r="HH4" s="338"/>
      <c r="HI4" s="338"/>
      <c r="HJ4" s="338"/>
      <c r="HK4" s="338"/>
      <c r="HL4" s="338"/>
      <c r="HM4" s="338"/>
      <c r="HN4" s="338"/>
      <c r="HO4" s="338"/>
      <c r="HP4" s="338"/>
      <c r="HQ4" s="338"/>
      <c r="HR4" s="338"/>
      <c r="HS4" s="338"/>
      <c r="HT4" s="338"/>
      <c r="HU4" s="338"/>
      <c r="HV4" s="338"/>
      <c r="HW4" s="338"/>
      <c r="HX4" s="338"/>
      <c r="HY4" s="338"/>
      <c r="HZ4" s="338"/>
      <c r="IA4" s="338"/>
      <c r="IB4" s="338"/>
      <c r="IC4" s="338"/>
      <c r="ID4" s="338"/>
      <c r="IE4" s="338"/>
      <c r="IF4" s="338"/>
      <c r="IG4" s="338"/>
      <c r="IH4" s="338"/>
      <c r="II4" s="338"/>
      <c r="IJ4" s="338"/>
      <c r="IK4" s="338"/>
      <c r="IL4" s="338"/>
      <c r="IM4" s="338"/>
      <c r="IN4" s="338"/>
      <c r="IO4" s="338"/>
      <c r="IP4" s="338"/>
      <c r="IQ4" s="338"/>
    </row>
    <row r="5" customFormat="1" ht="13.5" spans="1:251">
      <c r="A5" s="348" t="s">
        <v>296</v>
      </c>
      <c r="B5" s="344" t="s">
        <v>111</v>
      </c>
      <c r="C5" s="349">
        <f t="shared" ref="C5:F5" si="0">C6+C7+C8+C9+C11</f>
        <v>0</v>
      </c>
      <c r="D5" s="349">
        <f t="shared" si="0"/>
        <v>0</v>
      </c>
      <c r="E5" s="349">
        <f t="shared" si="0"/>
        <v>0</v>
      </c>
      <c r="F5" s="349">
        <f t="shared" si="0"/>
        <v>0</v>
      </c>
      <c r="G5" s="338"/>
      <c r="H5" s="338"/>
      <c r="I5" s="338"/>
      <c r="J5" s="338"/>
      <c r="K5" s="338"/>
      <c r="L5" s="338"/>
      <c r="M5" s="338"/>
      <c r="N5" s="338"/>
      <c r="O5" s="338"/>
      <c r="P5" s="338"/>
      <c r="Q5" s="338"/>
      <c r="R5" s="338"/>
      <c r="S5" s="338"/>
      <c r="T5" s="338"/>
      <c r="U5" s="338"/>
      <c r="V5" s="338"/>
      <c r="W5" s="338"/>
      <c r="X5" s="338"/>
      <c r="Y5" s="338"/>
      <c r="Z5" s="338"/>
      <c r="AA5" s="338"/>
      <c r="AB5" s="338"/>
      <c r="AC5" s="338"/>
      <c r="AD5" s="338"/>
      <c r="AE5" s="338"/>
      <c r="AF5" s="338"/>
      <c r="AG5" s="338"/>
      <c r="AH5" s="338"/>
      <c r="AI5" s="338"/>
      <c r="AJ5" s="338"/>
      <c r="AK5" s="338"/>
      <c r="AL5" s="338"/>
      <c r="AM5" s="338"/>
      <c r="AN5" s="338"/>
      <c r="AO5" s="338"/>
      <c r="AP5" s="338"/>
      <c r="AQ5" s="338"/>
      <c r="AR5" s="338"/>
      <c r="AS5" s="338"/>
      <c r="AT5" s="338"/>
      <c r="AU5" s="338"/>
      <c r="AV5" s="338"/>
      <c r="AW5" s="338"/>
      <c r="AX5" s="338"/>
      <c r="AY5" s="338"/>
      <c r="AZ5" s="338"/>
      <c r="BA5" s="338"/>
      <c r="BB5" s="338"/>
      <c r="BC5" s="338"/>
      <c r="BD5" s="338"/>
      <c r="BE5" s="338"/>
      <c r="BF5" s="338"/>
      <c r="BG5" s="338"/>
      <c r="BH5" s="338"/>
      <c r="BI5" s="338"/>
      <c r="BJ5" s="338"/>
      <c r="BK5" s="338"/>
      <c r="BL5" s="338"/>
      <c r="BM5" s="338"/>
      <c r="BN5" s="338"/>
      <c r="BO5" s="338"/>
      <c r="BP5" s="338"/>
      <c r="BQ5" s="338"/>
      <c r="BR5" s="338"/>
      <c r="BS5" s="338"/>
      <c r="BT5" s="338"/>
      <c r="BU5" s="338"/>
      <c r="BV5" s="338"/>
      <c r="BW5" s="338"/>
      <c r="BX5" s="338"/>
      <c r="BY5" s="338"/>
      <c r="BZ5" s="338"/>
      <c r="CA5" s="338"/>
      <c r="CB5" s="338"/>
      <c r="CC5" s="338"/>
      <c r="CD5" s="338"/>
      <c r="CE5" s="338"/>
      <c r="CF5" s="338"/>
      <c r="CG5" s="338"/>
      <c r="CH5" s="338"/>
      <c r="CI5" s="338"/>
      <c r="CJ5" s="338"/>
      <c r="CK5" s="338"/>
      <c r="CL5" s="338"/>
      <c r="CM5" s="338"/>
      <c r="CN5" s="338"/>
      <c r="CO5" s="338"/>
      <c r="CP5" s="338"/>
      <c r="CQ5" s="338"/>
      <c r="CR5" s="338"/>
      <c r="CS5" s="338"/>
      <c r="CT5" s="338"/>
      <c r="CU5" s="338"/>
      <c r="CV5" s="338"/>
      <c r="CW5" s="338"/>
      <c r="CX5" s="338"/>
      <c r="CY5" s="338"/>
      <c r="CZ5" s="338"/>
      <c r="DA5" s="338"/>
      <c r="DB5" s="338"/>
      <c r="DC5" s="338"/>
      <c r="DD5" s="338"/>
      <c r="DE5" s="338"/>
      <c r="DF5" s="338"/>
      <c r="DG5" s="338"/>
      <c r="DH5" s="338"/>
      <c r="DI5" s="338"/>
      <c r="DJ5" s="338"/>
      <c r="DK5" s="338"/>
      <c r="DL5" s="338"/>
      <c r="DM5" s="338"/>
      <c r="DN5" s="338"/>
      <c r="DO5" s="338"/>
      <c r="DP5" s="338"/>
      <c r="DQ5" s="338"/>
      <c r="DR5" s="338"/>
      <c r="DS5" s="338"/>
      <c r="DT5" s="338"/>
      <c r="DU5" s="338"/>
      <c r="DV5" s="338"/>
      <c r="DW5" s="338"/>
      <c r="DX5" s="338"/>
      <c r="DY5" s="338"/>
      <c r="DZ5" s="338"/>
      <c r="EA5" s="338"/>
      <c r="EB5" s="338"/>
      <c r="EC5" s="338"/>
      <c r="ED5" s="338"/>
      <c r="EE5" s="338"/>
      <c r="EF5" s="338"/>
      <c r="EG5" s="338"/>
      <c r="EH5" s="338"/>
      <c r="EI5" s="338"/>
      <c r="EJ5" s="338"/>
      <c r="EK5" s="338"/>
      <c r="EL5" s="338"/>
      <c r="EM5" s="338"/>
      <c r="EN5" s="338"/>
      <c r="EO5" s="338"/>
      <c r="EP5" s="338"/>
      <c r="EQ5" s="338"/>
      <c r="ER5" s="338"/>
      <c r="ES5" s="338"/>
      <c r="ET5" s="338"/>
      <c r="EU5" s="338"/>
      <c r="EV5" s="338"/>
      <c r="EW5" s="338"/>
      <c r="EX5" s="338"/>
      <c r="EY5" s="338"/>
      <c r="EZ5" s="338"/>
      <c r="FA5" s="338"/>
      <c r="FB5" s="338"/>
      <c r="FC5" s="338"/>
      <c r="FD5" s="338"/>
      <c r="FE5" s="338"/>
      <c r="FF5" s="338"/>
      <c r="FG5" s="338"/>
      <c r="FH5" s="338"/>
      <c r="FI5" s="338"/>
      <c r="FJ5" s="338"/>
      <c r="FK5" s="338"/>
      <c r="FL5" s="338"/>
      <c r="FM5" s="338"/>
      <c r="FN5" s="338"/>
      <c r="FO5" s="338"/>
      <c r="FP5" s="338"/>
      <c r="FQ5" s="338"/>
      <c r="FR5" s="338"/>
      <c r="FS5" s="338"/>
      <c r="FT5" s="338"/>
      <c r="FU5" s="338"/>
      <c r="FV5" s="338"/>
      <c r="FW5" s="338"/>
      <c r="FX5" s="338"/>
      <c r="FY5" s="338"/>
      <c r="FZ5" s="338"/>
      <c r="GA5" s="338"/>
      <c r="GB5" s="338"/>
      <c r="GC5" s="338"/>
      <c r="GD5" s="338"/>
      <c r="GE5" s="338"/>
      <c r="GF5" s="338"/>
      <c r="GG5" s="338"/>
      <c r="GH5" s="338"/>
      <c r="GI5" s="338"/>
      <c r="GJ5" s="338"/>
      <c r="GK5" s="338"/>
      <c r="GL5" s="338"/>
      <c r="GM5" s="338"/>
      <c r="GN5" s="338"/>
      <c r="GO5" s="338"/>
      <c r="GP5" s="338"/>
      <c r="GQ5" s="338"/>
      <c r="GR5" s="338"/>
      <c r="GS5" s="338"/>
      <c r="GT5" s="338"/>
      <c r="GU5" s="338"/>
      <c r="GV5" s="338"/>
      <c r="GW5" s="338"/>
      <c r="GX5" s="338"/>
      <c r="GY5" s="338"/>
      <c r="GZ5" s="338"/>
      <c r="HA5" s="338"/>
      <c r="HB5" s="338"/>
      <c r="HC5" s="338"/>
      <c r="HD5" s="338"/>
      <c r="HE5" s="338"/>
      <c r="HF5" s="338"/>
      <c r="HG5" s="338"/>
      <c r="HH5" s="338"/>
      <c r="HI5" s="338"/>
      <c r="HJ5" s="338"/>
      <c r="HK5" s="338"/>
      <c r="HL5" s="338"/>
      <c r="HM5" s="338"/>
      <c r="HN5" s="338"/>
      <c r="HO5" s="338"/>
      <c r="HP5" s="338"/>
      <c r="HQ5" s="338"/>
      <c r="HR5" s="338"/>
      <c r="HS5" s="338"/>
      <c r="HT5" s="338"/>
      <c r="HU5" s="338"/>
      <c r="HV5" s="338"/>
      <c r="HW5" s="338"/>
      <c r="HX5" s="338"/>
      <c r="HY5" s="338"/>
      <c r="HZ5" s="338"/>
      <c r="IA5" s="338"/>
      <c r="IB5" s="338"/>
      <c r="IC5" s="338"/>
      <c r="ID5" s="338"/>
      <c r="IE5" s="338"/>
      <c r="IF5" s="338"/>
      <c r="IG5" s="338"/>
      <c r="IH5" s="338"/>
      <c r="II5" s="338"/>
      <c r="IJ5" s="338"/>
      <c r="IK5" s="338"/>
      <c r="IL5" s="338"/>
      <c r="IM5" s="338"/>
      <c r="IN5" s="338"/>
      <c r="IO5" s="338"/>
      <c r="IP5" s="338"/>
      <c r="IQ5" s="338"/>
    </row>
    <row r="6" customFormat="1" ht="12" customHeight="1" spans="1:251">
      <c r="A6" s="348"/>
      <c r="B6" s="346" t="s">
        <v>297</v>
      </c>
      <c r="C6" s="350"/>
      <c r="D6" s="350"/>
      <c r="E6" s="350"/>
      <c r="F6" s="350"/>
      <c r="G6" s="338"/>
      <c r="H6" s="338"/>
      <c r="I6" s="338"/>
      <c r="J6" s="338"/>
      <c r="K6" s="338"/>
      <c r="L6" s="338"/>
      <c r="M6" s="338"/>
      <c r="N6" s="338"/>
      <c r="O6" s="338"/>
      <c r="P6" s="338"/>
      <c r="Q6" s="338"/>
      <c r="R6" s="338"/>
      <c r="S6" s="338"/>
      <c r="T6" s="338"/>
      <c r="U6" s="338"/>
      <c r="V6" s="338"/>
      <c r="W6" s="338"/>
      <c r="X6" s="338"/>
      <c r="Y6" s="338"/>
      <c r="Z6" s="338"/>
      <c r="AA6" s="338"/>
      <c r="AB6" s="338"/>
      <c r="AC6" s="338"/>
      <c r="AD6" s="338"/>
      <c r="AE6" s="338"/>
      <c r="AF6" s="338"/>
      <c r="AG6" s="338"/>
      <c r="AH6" s="338"/>
      <c r="AI6" s="338"/>
      <c r="AJ6" s="338"/>
      <c r="AK6" s="338"/>
      <c r="AL6" s="338"/>
      <c r="AM6" s="338"/>
      <c r="AN6" s="338"/>
      <c r="AO6" s="338"/>
      <c r="AP6" s="338"/>
      <c r="AQ6" s="338"/>
      <c r="AR6" s="338"/>
      <c r="AS6" s="338"/>
      <c r="AT6" s="338"/>
      <c r="AU6" s="338"/>
      <c r="AV6" s="338"/>
      <c r="AW6" s="338"/>
      <c r="AX6" s="338"/>
      <c r="AY6" s="338"/>
      <c r="AZ6" s="338"/>
      <c r="BA6" s="338"/>
      <c r="BB6" s="338"/>
      <c r="BC6" s="338"/>
      <c r="BD6" s="338"/>
      <c r="BE6" s="338"/>
      <c r="BF6" s="338"/>
      <c r="BG6" s="338"/>
      <c r="BH6" s="338"/>
      <c r="BI6" s="338"/>
      <c r="BJ6" s="338"/>
      <c r="BK6" s="338"/>
      <c r="BL6" s="338"/>
      <c r="BM6" s="338"/>
      <c r="BN6" s="338"/>
      <c r="BO6" s="338"/>
      <c r="BP6" s="338"/>
      <c r="BQ6" s="338"/>
      <c r="BR6" s="338"/>
      <c r="BS6" s="338"/>
      <c r="BT6" s="338"/>
      <c r="BU6" s="338"/>
      <c r="BV6" s="338"/>
      <c r="BW6" s="338"/>
      <c r="BX6" s="338"/>
      <c r="BY6" s="338"/>
      <c r="BZ6" s="338"/>
      <c r="CA6" s="338"/>
      <c r="CB6" s="338"/>
      <c r="CC6" s="338"/>
      <c r="CD6" s="338"/>
      <c r="CE6" s="338"/>
      <c r="CF6" s="338"/>
      <c r="CG6" s="338"/>
      <c r="CH6" s="338"/>
      <c r="CI6" s="338"/>
      <c r="CJ6" s="338"/>
      <c r="CK6" s="338"/>
      <c r="CL6" s="338"/>
      <c r="CM6" s="338"/>
      <c r="CN6" s="338"/>
      <c r="CO6" s="338"/>
      <c r="CP6" s="338"/>
      <c r="CQ6" s="338"/>
      <c r="CR6" s="338"/>
      <c r="CS6" s="338"/>
      <c r="CT6" s="338"/>
      <c r="CU6" s="338"/>
      <c r="CV6" s="338"/>
      <c r="CW6" s="338"/>
      <c r="CX6" s="338"/>
      <c r="CY6" s="338"/>
      <c r="CZ6" s="338"/>
      <c r="DA6" s="338"/>
      <c r="DB6" s="338"/>
      <c r="DC6" s="338"/>
      <c r="DD6" s="338"/>
      <c r="DE6" s="338"/>
      <c r="DF6" s="338"/>
      <c r="DG6" s="338"/>
      <c r="DH6" s="338"/>
      <c r="DI6" s="338"/>
      <c r="DJ6" s="338"/>
      <c r="DK6" s="338"/>
      <c r="DL6" s="338"/>
      <c r="DM6" s="338"/>
      <c r="DN6" s="338"/>
      <c r="DO6" s="338"/>
      <c r="DP6" s="338"/>
      <c r="DQ6" s="338"/>
      <c r="DR6" s="338"/>
      <c r="DS6" s="338"/>
      <c r="DT6" s="338"/>
      <c r="DU6" s="338"/>
      <c r="DV6" s="338"/>
      <c r="DW6" s="338"/>
      <c r="DX6" s="338"/>
      <c r="DY6" s="338"/>
      <c r="DZ6" s="338"/>
      <c r="EA6" s="338"/>
      <c r="EB6" s="338"/>
      <c r="EC6" s="338"/>
      <c r="ED6" s="338"/>
      <c r="EE6" s="338"/>
      <c r="EF6" s="338"/>
      <c r="EG6" s="338"/>
      <c r="EH6" s="338"/>
      <c r="EI6" s="338"/>
      <c r="EJ6" s="338"/>
      <c r="EK6" s="338"/>
      <c r="EL6" s="338"/>
      <c r="EM6" s="338"/>
      <c r="EN6" s="338"/>
      <c r="EO6" s="338"/>
      <c r="EP6" s="338"/>
      <c r="EQ6" s="338"/>
      <c r="ER6" s="338"/>
      <c r="ES6" s="338"/>
      <c r="ET6" s="338"/>
      <c r="EU6" s="338"/>
      <c r="EV6" s="338"/>
      <c r="EW6" s="338"/>
      <c r="EX6" s="338"/>
      <c r="EY6" s="338"/>
      <c r="EZ6" s="338"/>
      <c r="FA6" s="338"/>
      <c r="FB6" s="338"/>
      <c r="FC6" s="338"/>
      <c r="FD6" s="338"/>
      <c r="FE6" s="338"/>
      <c r="FF6" s="338"/>
      <c r="FG6" s="338"/>
      <c r="FH6" s="338"/>
      <c r="FI6" s="338"/>
      <c r="FJ6" s="338"/>
      <c r="FK6" s="338"/>
      <c r="FL6" s="338"/>
      <c r="FM6" s="338"/>
      <c r="FN6" s="338"/>
      <c r="FO6" s="338"/>
      <c r="FP6" s="338"/>
      <c r="FQ6" s="338"/>
      <c r="FR6" s="338"/>
      <c r="FS6" s="338"/>
      <c r="FT6" s="338"/>
      <c r="FU6" s="338"/>
      <c r="FV6" s="338"/>
      <c r="FW6" s="338"/>
      <c r="FX6" s="338"/>
      <c r="FY6" s="338"/>
      <c r="FZ6" s="338"/>
      <c r="GA6" s="338"/>
      <c r="GB6" s="338"/>
      <c r="GC6" s="338"/>
      <c r="GD6" s="338"/>
      <c r="GE6" s="338"/>
      <c r="GF6" s="338"/>
      <c r="GG6" s="338"/>
      <c r="GH6" s="338"/>
      <c r="GI6" s="338"/>
      <c r="GJ6" s="338"/>
      <c r="GK6" s="338"/>
      <c r="GL6" s="338"/>
      <c r="GM6" s="338"/>
      <c r="GN6" s="338"/>
      <c r="GO6" s="338"/>
      <c r="GP6" s="338"/>
      <c r="GQ6" s="338"/>
      <c r="GR6" s="338"/>
      <c r="GS6" s="338"/>
      <c r="GT6" s="338"/>
      <c r="GU6" s="338"/>
      <c r="GV6" s="338"/>
      <c r="GW6" s="338"/>
      <c r="GX6" s="338"/>
      <c r="GY6" s="338"/>
      <c r="GZ6" s="338"/>
      <c r="HA6" s="338"/>
      <c r="HB6" s="338"/>
      <c r="HC6" s="338"/>
      <c r="HD6" s="338"/>
      <c r="HE6" s="338"/>
      <c r="HF6" s="338"/>
      <c r="HG6" s="338"/>
      <c r="HH6" s="338"/>
      <c r="HI6" s="338"/>
      <c r="HJ6" s="338"/>
      <c r="HK6" s="338"/>
      <c r="HL6" s="338"/>
      <c r="HM6" s="338"/>
      <c r="HN6" s="338"/>
      <c r="HO6" s="338"/>
      <c r="HP6" s="338"/>
      <c r="HQ6" s="338"/>
      <c r="HR6" s="338"/>
      <c r="HS6" s="338"/>
      <c r="HT6" s="338"/>
      <c r="HU6" s="338"/>
      <c r="HV6" s="338"/>
      <c r="HW6" s="338"/>
      <c r="HX6" s="338"/>
      <c r="HY6" s="338"/>
      <c r="HZ6" s="338"/>
      <c r="IA6" s="338"/>
      <c r="IB6" s="338"/>
      <c r="IC6" s="338"/>
      <c r="ID6" s="338"/>
      <c r="IE6" s="338"/>
      <c r="IF6" s="338"/>
      <c r="IG6" s="338"/>
      <c r="IH6" s="338"/>
      <c r="II6" s="338"/>
      <c r="IJ6" s="338"/>
      <c r="IK6" s="338"/>
      <c r="IL6" s="338"/>
      <c r="IM6" s="338"/>
      <c r="IN6" s="338"/>
      <c r="IO6" s="338"/>
      <c r="IP6" s="338"/>
      <c r="IQ6" s="338"/>
    </row>
    <row r="7" customFormat="1" ht="12" customHeight="1" spans="1:251">
      <c r="A7" s="348"/>
      <c r="B7" s="346" t="s">
        <v>298</v>
      </c>
      <c r="C7" s="350"/>
      <c r="D7" s="350"/>
      <c r="E7" s="350"/>
      <c r="F7" s="350"/>
      <c r="G7" s="338"/>
      <c r="H7" s="338"/>
      <c r="I7" s="338"/>
      <c r="J7" s="338"/>
      <c r="K7" s="338"/>
      <c r="L7" s="338"/>
      <c r="M7" s="338"/>
      <c r="N7" s="338"/>
      <c r="O7" s="338"/>
      <c r="P7" s="338"/>
      <c r="Q7" s="338"/>
      <c r="R7" s="338"/>
      <c r="S7" s="338"/>
      <c r="T7" s="338"/>
      <c r="U7" s="338"/>
      <c r="V7" s="338"/>
      <c r="W7" s="338"/>
      <c r="X7" s="338"/>
      <c r="Y7" s="338"/>
      <c r="Z7" s="338"/>
      <c r="AA7" s="338"/>
      <c r="AB7" s="338"/>
      <c r="AC7" s="338"/>
      <c r="AD7" s="338"/>
      <c r="AE7" s="338"/>
      <c r="AF7" s="338"/>
      <c r="AG7" s="338"/>
      <c r="AH7" s="338"/>
      <c r="AI7" s="338"/>
      <c r="AJ7" s="338"/>
      <c r="AK7" s="338"/>
      <c r="AL7" s="338"/>
      <c r="AM7" s="338"/>
      <c r="AN7" s="338"/>
      <c r="AO7" s="338"/>
      <c r="AP7" s="338"/>
      <c r="AQ7" s="338"/>
      <c r="AR7" s="338"/>
      <c r="AS7" s="338"/>
      <c r="AT7" s="338"/>
      <c r="AU7" s="338"/>
      <c r="AV7" s="338"/>
      <c r="AW7" s="338"/>
      <c r="AX7" s="338"/>
      <c r="AY7" s="338"/>
      <c r="AZ7" s="338"/>
      <c r="BA7" s="338"/>
      <c r="BB7" s="338"/>
      <c r="BC7" s="338"/>
      <c r="BD7" s="338"/>
      <c r="BE7" s="338"/>
      <c r="BF7" s="338"/>
      <c r="BG7" s="338"/>
      <c r="BH7" s="338"/>
      <c r="BI7" s="338"/>
      <c r="BJ7" s="338"/>
      <c r="BK7" s="338"/>
      <c r="BL7" s="338"/>
      <c r="BM7" s="338"/>
      <c r="BN7" s="338"/>
      <c r="BO7" s="338"/>
      <c r="BP7" s="338"/>
      <c r="BQ7" s="338"/>
      <c r="BR7" s="338"/>
      <c r="BS7" s="338"/>
      <c r="BT7" s="338"/>
      <c r="BU7" s="338"/>
      <c r="BV7" s="338"/>
      <c r="BW7" s="338"/>
      <c r="BX7" s="338"/>
      <c r="BY7" s="338"/>
      <c r="BZ7" s="338"/>
      <c r="CA7" s="338"/>
      <c r="CB7" s="338"/>
      <c r="CC7" s="338"/>
      <c r="CD7" s="338"/>
      <c r="CE7" s="338"/>
      <c r="CF7" s="338"/>
      <c r="CG7" s="338"/>
      <c r="CH7" s="338"/>
      <c r="CI7" s="338"/>
      <c r="CJ7" s="338"/>
      <c r="CK7" s="338"/>
      <c r="CL7" s="338"/>
      <c r="CM7" s="338"/>
      <c r="CN7" s="338"/>
      <c r="CO7" s="338"/>
      <c r="CP7" s="338"/>
      <c r="CQ7" s="338"/>
      <c r="CR7" s="338"/>
      <c r="CS7" s="338"/>
      <c r="CT7" s="338"/>
      <c r="CU7" s="338"/>
      <c r="CV7" s="338"/>
      <c r="CW7" s="338"/>
      <c r="CX7" s="338"/>
      <c r="CY7" s="338"/>
      <c r="CZ7" s="338"/>
      <c r="DA7" s="338"/>
      <c r="DB7" s="338"/>
      <c r="DC7" s="338"/>
      <c r="DD7" s="338"/>
      <c r="DE7" s="338"/>
      <c r="DF7" s="338"/>
      <c r="DG7" s="338"/>
      <c r="DH7" s="338"/>
      <c r="DI7" s="338"/>
      <c r="DJ7" s="338"/>
      <c r="DK7" s="338"/>
      <c r="DL7" s="338"/>
      <c r="DM7" s="338"/>
      <c r="DN7" s="338"/>
      <c r="DO7" s="338"/>
      <c r="DP7" s="338"/>
      <c r="DQ7" s="338"/>
      <c r="DR7" s="338"/>
      <c r="DS7" s="338"/>
      <c r="DT7" s="338"/>
      <c r="DU7" s="338"/>
      <c r="DV7" s="338"/>
      <c r="DW7" s="338"/>
      <c r="DX7" s="338"/>
      <c r="DY7" s="338"/>
      <c r="DZ7" s="338"/>
      <c r="EA7" s="338"/>
      <c r="EB7" s="338"/>
      <c r="EC7" s="338"/>
      <c r="ED7" s="338"/>
      <c r="EE7" s="338"/>
      <c r="EF7" s="338"/>
      <c r="EG7" s="338"/>
      <c r="EH7" s="338"/>
      <c r="EI7" s="338"/>
      <c r="EJ7" s="338"/>
      <c r="EK7" s="338"/>
      <c r="EL7" s="338"/>
      <c r="EM7" s="338"/>
      <c r="EN7" s="338"/>
      <c r="EO7" s="338"/>
      <c r="EP7" s="338"/>
      <c r="EQ7" s="338"/>
      <c r="ER7" s="338"/>
      <c r="ES7" s="338"/>
      <c r="ET7" s="338"/>
      <c r="EU7" s="338"/>
      <c r="EV7" s="338"/>
      <c r="EW7" s="338"/>
      <c r="EX7" s="338"/>
      <c r="EY7" s="338"/>
      <c r="EZ7" s="338"/>
      <c r="FA7" s="338"/>
      <c r="FB7" s="338"/>
      <c r="FC7" s="338"/>
      <c r="FD7" s="338"/>
      <c r="FE7" s="338"/>
      <c r="FF7" s="338"/>
      <c r="FG7" s="338"/>
      <c r="FH7" s="338"/>
      <c r="FI7" s="338"/>
      <c r="FJ7" s="338"/>
      <c r="FK7" s="338"/>
      <c r="FL7" s="338"/>
      <c r="FM7" s="338"/>
      <c r="FN7" s="338"/>
      <c r="FO7" s="338"/>
      <c r="FP7" s="338"/>
      <c r="FQ7" s="338"/>
      <c r="FR7" s="338"/>
      <c r="FS7" s="338"/>
      <c r="FT7" s="338"/>
      <c r="FU7" s="338"/>
      <c r="FV7" s="338"/>
      <c r="FW7" s="338"/>
      <c r="FX7" s="338"/>
      <c r="FY7" s="338"/>
      <c r="FZ7" s="338"/>
      <c r="GA7" s="338"/>
      <c r="GB7" s="338"/>
      <c r="GC7" s="338"/>
      <c r="GD7" s="338"/>
      <c r="GE7" s="338"/>
      <c r="GF7" s="338"/>
      <c r="GG7" s="338"/>
      <c r="GH7" s="338"/>
      <c r="GI7" s="338"/>
      <c r="GJ7" s="338"/>
      <c r="GK7" s="338"/>
      <c r="GL7" s="338"/>
      <c r="GM7" s="338"/>
      <c r="GN7" s="338"/>
      <c r="GO7" s="338"/>
      <c r="GP7" s="338"/>
      <c r="GQ7" s="338"/>
      <c r="GR7" s="338"/>
      <c r="GS7" s="338"/>
      <c r="GT7" s="338"/>
      <c r="GU7" s="338"/>
      <c r="GV7" s="338"/>
      <c r="GW7" s="338"/>
      <c r="GX7" s="338"/>
      <c r="GY7" s="338"/>
      <c r="GZ7" s="338"/>
      <c r="HA7" s="338"/>
      <c r="HB7" s="338"/>
      <c r="HC7" s="338"/>
      <c r="HD7" s="338"/>
      <c r="HE7" s="338"/>
      <c r="HF7" s="338"/>
      <c r="HG7" s="338"/>
      <c r="HH7" s="338"/>
      <c r="HI7" s="338"/>
      <c r="HJ7" s="338"/>
      <c r="HK7" s="338"/>
      <c r="HL7" s="338"/>
      <c r="HM7" s="338"/>
      <c r="HN7" s="338"/>
      <c r="HO7" s="338"/>
      <c r="HP7" s="338"/>
      <c r="HQ7" s="338"/>
      <c r="HR7" s="338"/>
      <c r="HS7" s="338"/>
      <c r="HT7" s="338"/>
      <c r="HU7" s="338"/>
      <c r="HV7" s="338"/>
      <c r="HW7" s="338"/>
      <c r="HX7" s="338"/>
      <c r="HY7" s="338"/>
      <c r="HZ7" s="338"/>
      <c r="IA7" s="338"/>
      <c r="IB7" s="338"/>
      <c r="IC7" s="338"/>
      <c r="ID7" s="338"/>
      <c r="IE7" s="338"/>
      <c r="IF7" s="338"/>
      <c r="IG7" s="338"/>
      <c r="IH7" s="338"/>
      <c r="II7" s="338"/>
      <c r="IJ7" s="338"/>
      <c r="IK7" s="338"/>
      <c r="IL7" s="338"/>
      <c r="IM7" s="338"/>
      <c r="IN7" s="338"/>
      <c r="IO7" s="338"/>
      <c r="IP7" s="338"/>
      <c r="IQ7" s="338"/>
    </row>
    <row r="8" customFormat="1" ht="13.5" spans="1:251">
      <c r="A8" s="348"/>
      <c r="B8" s="346" t="s">
        <v>299</v>
      </c>
      <c r="C8" s="350"/>
      <c r="D8" s="350"/>
      <c r="E8" s="350"/>
      <c r="F8" s="350"/>
      <c r="G8" s="338"/>
      <c r="H8" s="338"/>
      <c r="I8" s="338"/>
      <c r="J8" s="338"/>
      <c r="K8" s="338"/>
      <c r="L8" s="338"/>
      <c r="M8" s="338"/>
      <c r="N8" s="338"/>
      <c r="O8" s="338"/>
      <c r="P8" s="338"/>
      <c r="Q8" s="338"/>
      <c r="R8" s="338"/>
      <c r="S8" s="338"/>
      <c r="T8" s="338"/>
      <c r="U8" s="338"/>
      <c r="V8" s="338"/>
      <c r="W8" s="338"/>
      <c r="X8" s="338"/>
      <c r="Y8" s="338"/>
      <c r="Z8" s="338"/>
      <c r="AA8" s="338"/>
      <c r="AB8" s="338"/>
      <c r="AC8" s="338"/>
      <c r="AD8" s="338"/>
      <c r="AE8" s="338"/>
      <c r="AF8" s="338"/>
      <c r="AG8" s="338"/>
      <c r="AH8" s="338"/>
      <c r="AI8" s="338"/>
      <c r="AJ8" s="338"/>
      <c r="AK8" s="338"/>
      <c r="AL8" s="338"/>
      <c r="AM8" s="338"/>
      <c r="AN8" s="338"/>
      <c r="AO8" s="338"/>
      <c r="AP8" s="338"/>
      <c r="AQ8" s="338"/>
      <c r="AR8" s="338"/>
      <c r="AS8" s="338"/>
      <c r="AT8" s="338"/>
      <c r="AU8" s="338"/>
      <c r="AV8" s="338"/>
      <c r="AW8" s="338"/>
      <c r="AX8" s="338"/>
      <c r="AY8" s="338"/>
      <c r="AZ8" s="338"/>
      <c r="BA8" s="338"/>
      <c r="BB8" s="338"/>
      <c r="BC8" s="338"/>
      <c r="BD8" s="338"/>
      <c r="BE8" s="338"/>
      <c r="BF8" s="338"/>
      <c r="BG8" s="338"/>
      <c r="BH8" s="338"/>
      <c r="BI8" s="338"/>
      <c r="BJ8" s="338"/>
      <c r="BK8" s="338"/>
      <c r="BL8" s="338"/>
      <c r="BM8" s="338"/>
      <c r="BN8" s="338"/>
      <c r="BO8" s="338"/>
      <c r="BP8" s="338"/>
      <c r="BQ8" s="338"/>
      <c r="BR8" s="338"/>
      <c r="BS8" s="338"/>
      <c r="BT8" s="338"/>
      <c r="BU8" s="338"/>
      <c r="BV8" s="338"/>
      <c r="BW8" s="338"/>
      <c r="BX8" s="338"/>
      <c r="BY8" s="338"/>
      <c r="BZ8" s="338"/>
      <c r="CA8" s="338"/>
      <c r="CB8" s="338"/>
      <c r="CC8" s="338"/>
      <c r="CD8" s="338"/>
      <c r="CE8" s="338"/>
      <c r="CF8" s="338"/>
      <c r="CG8" s="338"/>
      <c r="CH8" s="338"/>
      <c r="CI8" s="338"/>
      <c r="CJ8" s="338"/>
      <c r="CK8" s="338"/>
      <c r="CL8" s="338"/>
      <c r="CM8" s="338"/>
      <c r="CN8" s="338"/>
      <c r="CO8" s="338"/>
      <c r="CP8" s="338"/>
      <c r="CQ8" s="338"/>
      <c r="CR8" s="338"/>
      <c r="CS8" s="338"/>
      <c r="CT8" s="338"/>
      <c r="CU8" s="338"/>
      <c r="CV8" s="338"/>
      <c r="CW8" s="338"/>
      <c r="CX8" s="338"/>
      <c r="CY8" s="338"/>
      <c r="CZ8" s="338"/>
      <c r="DA8" s="338"/>
      <c r="DB8" s="338"/>
      <c r="DC8" s="338"/>
      <c r="DD8" s="338"/>
      <c r="DE8" s="338"/>
      <c r="DF8" s="338"/>
      <c r="DG8" s="338"/>
      <c r="DH8" s="338"/>
      <c r="DI8" s="338"/>
      <c r="DJ8" s="338"/>
      <c r="DK8" s="338"/>
      <c r="DL8" s="338"/>
      <c r="DM8" s="338"/>
      <c r="DN8" s="338"/>
      <c r="DO8" s="338"/>
      <c r="DP8" s="338"/>
      <c r="DQ8" s="338"/>
      <c r="DR8" s="338"/>
      <c r="DS8" s="338"/>
      <c r="DT8" s="338"/>
      <c r="DU8" s="338"/>
      <c r="DV8" s="338"/>
      <c r="DW8" s="338"/>
      <c r="DX8" s="338"/>
      <c r="DY8" s="338"/>
      <c r="DZ8" s="338"/>
      <c r="EA8" s="338"/>
      <c r="EB8" s="338"/>
      <c r="EC8" s="338"/>
      <c r="ED8" s="338"/>
      <c r="EE8" s="338"/>
      <c r="EF8" s="338"/>
      <c r="EG8" s="338"/>
      <c r="EH8" s="338"/>
      <c r="EI8" s="338"/>
      <c r="EJ8" s="338"/>
      <c r="EK8" s="338"/>
      <c r="EL8" s="338"/>
      <c r="EM8" s="338"/>
      <c r="EN8" s="338"/>
      <c r="EO8" s="338"/>
      <c r="EP8" s="338"/>
      <c r="EQ8" s="338"/>
      <c r="ER8" s="338"/>
      <c r="ES8" s="338"/>
      <c r="ET8" s="338"/>
      <c r="EU8" s="338"/>
      <c r="EV8" s="338"/>
      <c r="EW8" s="338"/>
      <c r="EX8" s="338"/>
      <c r="EY8" s="338"/>
      <c r="EZ8" s="338"/>
      <c r="FA8" s="338"/>
      <c r="FB8" s="338"/>
      <c r="FC8" s="338"/>
      <c r="FD8" s="338"/>
      <c r="FE8" s="338"/>
      <c r="FF8" s="338"/>
      <c r="FG8" s="338"/>
      <c r="FH8" s="338"/>
      <c r="FI8" s="338"/>
      <c r="FJ8" s="338"/>
      <c r="FK8" s="338"/>
      <c r="FL8" s="338"/>
      <c r="FM8" s="338"/>
      <c r="FN8" s="338"/>
      <c r="FO8" s="338"/>
      <c r="FP8" s="338"/>
      <c r="FQ8" s="338"/>
      <c r="FR8" s="338"/>
      <c r="FS8" s="338"/>
      <c r="FT8" s="338"/>
      <c r="FU8" s="338"/>
      <c r="FV8" s="338"/>
      <c r="FW8" s="338"/>
      <c r="FX8" s="338"/>
      <c r="FY8" s="338"/>
      <c r="FZ8" s="338"/>
      <c r="GA8" s="338"/>
      <c r="GB8" s="338"/>
      <c r="GC8" s="338"/>
      <c r="GD8" s="338"/>
      <c r="GE8" s="338"/>
      <c r="GF8" s="338"/>
      <c r="GG8" s="338"/>
      <c r="GH8" s="338"/>
      <c r="GI8" s="338"/>
      <c r="GJ8" s="338"/>
      <c r="GK8" s="338"/>
      <c r="GL8" s="338"/>
      <c r="GM8" s="338"/>
      <c r="GN8" s="338"/>
      <c r="GO8" s="338"/>
      <c r="GP8" s="338"/>
      <c r="GQ8" s="338"/>
      <c r="GR8" s="338"/>
      <c r="GS8" s="338"/>
      <c r="GT8" s="338"/>
      <c r="GU8" s="338"/>
      <c r="GV8" s="338"/>
      <c r="GW8" s="338"/>
      <c r="GX8" s="338"/>
      <c r="GY8" s="338"/>
      <c r="GZ8" s="338"/>
      <c r="HA8" s="338"/>
      <c r="HB8" s="338"/>
      <c r="HC8" s="338"/>
      <c r="HD8" s="338"/>
      <c r="HE8" s="338"/>
      <c r="HF8" s="338"/>
      <c r="HG8" s="338"/>
      <c r="HH8" s="338"/>
      <c r="HI8" s="338"/>
      <c r="HJ8" s="338"/>
      <c r="HK8" s="338"/>
      <c r="HL8" s="338"/>
      <c r="HM8" s="338"/>
      <c r="HN8" s="338"/>
      <c r="HO8" s="338"/>
      <c r="HP8" s="338"/>
      <c r="HQ8" s="338"/>
      <c r="HR8" s="338"/>
      <c r="HS8" s="338"/>
      <c r="HT8" s="338"/>
      <c r="HU8" s="338"/>
      <c r="HV8" s="338"/>
      <c r="HW8" s="338"/>
      <c r="HX8" s="338"/>
      <c r="HY8" s="338"/>
      <c r="HZ8" s="338"/>
      <c r="IA8" s="338"/>
      <c r="IB8" s="338"/>
      <c r="IC8" s="338"/>
      <c r="ID8" s="338"/>
      <c r="IE8" s="338"/>
      <c r="IF8" s="338"/>
      <c r="IG8" s="338"/>
      <c r="IH8" s="338"/>
      <c r="II8" s="338"/>
      <c r="IJ8" s="338"/>
      <c r="IK8" s="338"/>
      <c r="IL8" s="338"/>
      <c r="IM8" s="338"/>
      <c r="IN8" s="338"/>
      <c r="IO8" s="338"/>
      <c r="IP8" s="338"/>
      <c r="IQ8" s="338"/>
    </row>
    <row r="9" customFormat="1" ht="13.5" spans="1:251">
      <c r="A9" s="348"/>
      <c r="B9" s="346" t="s">
        <v>300</v>
      </c>
      <c r="C9" s="350"/>
      <c r="D9" s="350"/>
      <c r="E9" s="350"/>
      <c r="F9" s="350"/>
      <c r="G9" s="338"/>
      <c r="H9" s="338"/>
      <c r="I9" s="338"/>
      <c r="J9" s="338"/>
      <c r="K9" s="338"/>
      <c r="L9" s="338"/>
      <c r="M9" s="338"/>
      <c r="N9" s="338"/>
      <c r="O9" s="338"/>
      <c r="P9" s="338"/>
      <c r="Q9" s="338"/>
      <c r="R9" s="338"/>
      <c r="S9" s="338"/>
      <c r="T9" s="338"/>
      <c r="U9" s="338"/>
      <c r="V9" s="338"/>
      <c r="W9" s="338"/>
      <c r="X9" s="338"/>
      <c r="Y9" s="338"/>
      <c r="Z9" s="338"/>
      <c r="AA9" s="338"/>
      <c r="AB9" s="338"/>
      <c r="AC9" s="338"/>
      <c r="AD9" s="338"/>
      <c r="AE9" s="338"/>
      <c r="AF9" s="338"/>
      <c r="AG9" s="338"/>
      <c r="AH9" s="338"/>
      <c r="AI9" s="338"/>
      <c r="AJ9" s="338"/>
      <c r="AK9" s="338"/>
      <c r="AL9" s="338"/>
      <c r="AM9" s="338"/>
      <c r="AN9" s="338"/>
      <c r="AO9" s="338"/>
      <c r="AP9" s="338"/>
      <c r="AQ9" s="338"/>
      <c r="AR9" s="338"/>
      <c r="AS9" s="338"/>
      <c r="AT9" s="338"/>
      <c r="AU9" s="338"/>
      <c r="AV9" s="338"/>
      <c r="AW9" s="338"/>
      <c r="AX9" s="338"/>
      <c r="AY9" s="338"/>
      <c r="AZ9" s="338"/>
      <c r="BA9" s="338"/>
      <c r="BB9" s="338"/>
      <c r="BC9" s="338"/>
      <c r="BD9" s="338"/>
      <c r="BE9" s="338"/>
      <c r="BF9" s="338"/>
      <c r="BG9" s="338"/>
      <c r="BH9" s="338"/>
      <c r="BI9" s="338"/>
      <c r="BJ9" s="338"/>
      <c r="BK9" s="338"/>
      <c r="BL9" s="338"/>
      <c r="BM9" s="338"/>
      <c r="BN9" s="338"/>
      <c r="BO9" s="338"/>
      <c r="BP9" s="338"/>
      <c r="BQ9" s="338"/>
      <c r="BR9" s="338"/>
      <c r="BS9" s="338"/>
      <c r="BT9" s="338"/>
      <c r="BU9" s="338"/>
      <c r="BV9" s="338"/>
      <c r="BW9" s="338"/>
      <c r="BX9" s="338"/>
      <c r="BY9" s="338"/>
      <c r="BZ9" s="338"/>
      <c r="CA9" s="338"/>
      <c r="CB9" s="338"/>
      <c r="CC9" s="338"/>
      <c r="CD9" s="338"/>
      <c r="CE9" s="338"/>
      <c r="CF9" s="338"/>
      <c r="CG9" s="338"/>
      <c r="CH9" s="338"/>
      <c r="CI9" s="338"/>
      <c r="CJ9" s="338"/>
      <c r="CK9" s="338"/>
      <c r="CL9" s="338"/>
      <c r="CM9" s="338"/>
      <c r="CN9" s="338"/>
      <c r="CO9" s="338"/>
      <c r="CP9" s="338"/>
      <c r="CQ9" s="338"/>
      <c r="CR9" s="338"/>
      <c r="CS9" s="338"/>
      <c r="CT9" s="338"/>
      <c r="CU9" s="338"/>
      <c r="CV9" s="338"/>
      <c r="CW9" s="338"/>
      <c r="CX9" s="338"/>
      <c r="CY9" s="338"/>
      <c r="CZ9" s="338"/>
      <c r="DA9" s="338"/>
      <c r="DB9" s="338"/>
      <c r="DC9" s="338"/>
      <c r="DD9" s="338"/>
      <c r="DE9" s="338"/>
      <c r="DF9" s="338"/>
      <c r="DG9" s="338"/>
      <c r="DH9" s="338"/>
      <c r="DI9" s="338"/>
      <c r="DJ9" s="338"/>
      <c r="DK9" s="338"/>
      <c r="DL9" s="338"/>
      <c r="DM9" s="338"/>
      <c r="DN9" s="338"/>
      <c r="DO9" s="338"/>
      <c r="DP9" s="338"/>
      <c r="DQ9" s="338"/>
      <c r="DR9" s="338"/>
      <c r="DS9" s="338"/>
      <c r="DT9" s="338"/>
      <c r="DU9" s="338"/>
      <c r="DV9" s="338"/>
      <c r="DW9" s="338"/>
      <c r="DX9" s="338"/>
      <c r="DY9" s="338"/>
      <c r="DZ9" s="338"/>
      <c r="EA9" s="338"/>
      <c r="EB9" s="338"/>
      <c r="EC9" s="338"/>
      <c r="ED9" s="338"/>
      <c r="EE9" s="338"/>
      <c r="EF9" s="338"/>
      <c r="EG9" s="338"/>
      <c r="EH9" s="338"/>
      <c r="EI9" s="338"/>
      <c r="EJ9" s="338"/>
      <c r="EK9" s="338"/>
      <c r="EL9" s="338"/>
      <c r="EM9" s="338"/>
      <c r="EN9" s="338"/>
      <c r="EO9" s="338"/>
      <c r="EP9" s="338"/>
      <c r="EQ9" s="338"/>
      <c r="ER9" s="338"/>
      <c r="ES9" s="338"/>
      <c r="ET9" s="338"/>
      <c r="EU9" s="338"/>
      <c r="EV9" s="338"/>
      <c r="EW9" s="338"/>
      <c r="EX9" s="338"/>
      <c r="EY9" s="338"/>
      <c r="EZ9" s="338"/>
      <c r="FA9" s="338"/>
      <c r="FB9" s="338"/>
      <c r="FC9" s="338"/>
      <c r="FD9" s="338"/>
      <c r="FE9" s="338"/>
      <c r="FF9" s="338"/>
      <c r="FG9" s="338"/>
      <c r="FH9" s="338"/>
      <c r="FI9" s="338"/>
      <c r="FJ9" s="338"/>
      <c r="FK9" s="338"/>
      <c r="FL9" s="338"/>
      <c r="FM9" s="338"/>
      <c r="FN9" s="338"/>
      <c r="FO9" s="338"/>
      <c r="FP9" s="338"/>
      <c r="FQ9" s="338"/>
      <c r="FR9" s="338"/>
      <c r="FS9" s="338"/>
      <c r="FT9" s="338"/>
      <c r="FU9" s="338"/>
      <c r="FV9" s="338"/>
      <c r="FW9" s="338"/>
      <c r="FX9" s="338"/>
      <c r="FY9" s="338"/>
      <c r="FZ9" s="338"/>
      <c r="GA9" s="338"/>
      <c r="GB9" s="338"/>
      <c r="GC9" s="338"/>
      <c r="GD9" s="338"/>
      <c r="GE9" s="338"/>
      <c r="GF9" s="338"/>
      <c r="GG9" s="338"/>
      <c r="GH9" s="338"/>
      <c r="GI9" s="338"/>
      <c r="GJ9" s="338"/>
      <c r="GK9" s="338"/>
      <c r="GL9" s="338"/>
      <c r="GM9" s="338"/>
      <c r="GN9" s="338"/>
      <c r="GO9" s="338"/>
      <c r="GP9" s="338"/>
      <c r="GQ9" s="338"/>
      <c r="GR9" s="338"/>
      <c r="GS9" s="338"/>
      <c r="GT9" s="338"/>
      <c r="GU9" s="338"/>
      <c r="GV9" s="338"/>
      <c r="GW9" s="338"/>
      <c r="GX9" s="338"/>
      <c r="GY9" s="338"/>
      <c r="GZ9" s="338"/>
      <c r="HA9" s="338"/>
      <c r="HB9" s="338"/>
      <c r="HC9" s="338"/>
      <c r="HD9" s="338"/>
      <c r="HE9" s="338"/>
      <c r="HF9" s="338"/>
      <c r="HG9" s="338"/>
      <c r="HH9" s="338"/>
      <c r="HI9" s="338"/>
      <c r="HJ9" s="338"/>
      <c r="HK9" s="338"/>
      <c r="HL9" s="338"/>
      <c r="HM9" s="338"/>
      <c r="HN9" s="338"/>
      <c r="HO9" s="338"/>
      <c r="HP9" s="338"/>
      <c r="HQ9" s="338"/>
      <c r="HR9" s="338"/>
      <c r="HS9" s="338"/>
      <c r="HT9" s="338"/>
      <c r="HU9" s="338"/>
      <c r="HV9" s="338"/>
      <c r="HW9" s="338"/>
      <c r="HX9" s="338"/>
      <c r="HY9" s="338"/>
      <c r="HZ9" s="338"/>
      <c r="IA9" s="338"/>
      <c r="IB9" s="338"/>
      <c r="IC9" s="338"/>
      <c r="ID9" s="338"/>
      <c r="IE9" s="338"/>
      <c r="IF9" s="338"/>
      <c r="IG9" s="338"/>
      <c r="IH9" s="338"/>
      <c r="II9" s="338"/>
      <c r="IJ9" s="338"/>
      <c r="IK9" s="338"/>
      <c r="IL9" s="338"/>
      <c r="IM9" s="338"/>
      <c r="IN9" s="338"/>
      <c r="IO9" s="338"/>
      <c r="IP9" s="338"/>
      <c r="IQ9" s="338"/>
    </row>
    <row r="10" customFormat="1" ht="13.5" spans="1:251">
      <c r="A10" s="348"/>
      <c r="B10" s="351" t="s">
        <v>301</v>
      </c>
      <c r="C10" s="352"/>
      <c r="D10" s="352"/>
      <c r="E10" s="352"/>
      <c r="F10" s="352"/>
      <c r="G10" s="338"/>
      <c r="H10" s="338"/>
      <c r="I10" s="338"/>
      <c r="J10" s="338"/>
      <c r="K10" s="338"/>
      <c r="L10" s="338"/>
      <c r="M10" s="338"/>
      <c r="N10" s="338"/>
      <c r="O10" s="338"/>
      <c r="P10" s="338"/>
      <c r="Q10" s="338"/>
      <c r="R10" s="338"/>
      <c r="S10" s="338"/>
      <c r="T10" s="338"/>
      <c r="U10" s="338"/>
      <c r="V10" s="338"/>
      <c r="W10" s="338"/>
      <c r="X10" s="338"/>
      <c r="Y10" s="338"/>
      <c r="Z10" s="338"/>
      <c r="AA10" s="338"/>
      <c r="AB10" s="338"/>
      <c r="AC10" s="338"/>
      <c r="AD10" s="338"/>
      <c r="AE10" s="338"/>
      <c r="AF10" s="338"/>
      <c r="AG10" s="338"/>
      <c r="AH10" s="338"/>
      <c r="AI10" s="338"/>
      <c r="AJ10" s="338"/>
      <c r="AK10" s="338"/>
      <c r="AL10" s="338"/>
      <c r="AM10" s="338"/>
      <c r="AN10" s="338"/>
      <c r="AO10" s="338"/>
      <c r="AP10" s="338"/>
      <c r="AQ10" s="338"/>
      <c r="AR10" s="338"/>
      <c r="AS10" s="338"/>
      <c r="AT10" s="338"/>
      <c r="AU10" s="338"/>
      <c r="AV10" s="338"/>
      <c r="AW10" s="338"/>
      <c r="AX10" s="338"/>
      <c r="AY10" s="338"/>
      <c r="AZ10" s="338"/>
      <c r="BA10" s="338"/>
      <c r="BB10" s="338"/>
      <c r="BC10" s="338"/>
      <c r="BD10" s="338"/>
      <c r="BE10" s="338"/>
      <c r="BF10" s="338"/>
      <c r="BG10" s="338"/>
      <c r="BH10" s="338"/>
      <c r="BI10" s="338"/>
      <c r="BJ10" s="338"/>
      <c r="BK10" s="338"/>
      <c r="BL10" s="338"/>
      <c r="BM10" s="338"/>
      <c r="BN10" s="338"/>
      <c r="BO10" s="338"/>
      <c r="BP10" s="338"/>
      <c r="BQ10" s="338"/>
      <c r="BR10" s="338"/>
      <c r="BS10" s="338"/>
      <c r="BT10" s="338"/>
      <c r="BU10" s="338"/>
      <c r="BV10" s="338"/>
      <c r="BW10" s="338"/>
      <c r="BX10" s="338"/>
      <c r="BY10" s="338"/>
      <c r="BZ10" s="338"/>
      <c r="CA10" s="338"/>
      <c r="CB10" s="338"/>
      <c r="CC10" s="338"/>
      <c r="CD10" s="338"/>
      <c r="CE10" s="338"/>
      <c r="CF10" s="338"/>
      <c r="CG10" s="338"/>
      <c r="CH10" s="338"/>
      <c r="CI10" s="338"/>
      <c r="CJ10" s="338"/>
      <c r="CK10" s="338"/>
      <c r="CL10" s="338"/>
      <c r="CM10" s="338"/>
      <c r="CN10" s="338"/>
      <c r="CO10" s="338"/>
      <c r="CP10" s="338"/>
      <c r="CQ10" s="338"/>
      <c r="CR10" s="338"/>
      <c r="CS10" s="338"/>
      <c r="CT10" s="338"/>
      <c r="CU10" s="338"/>
      <c r="CV10" s="338"/>
      <c r="CW10" s="338"/>
      <c r="CX10" s="338"/>
      <c r="CY10" s="338"/>
      <c r="CZ10" s="338"/>
      <c r="DA10" s="338"/>
      <c r="DB10" s="338"/>
      <c r="DC10" s="338"/>
      <c r="DD10" s="338"/>
      <c r="DE10" s="338"/>
      <c r="DF10" s="338"/>
      <c r="DG10" s="338"/>
      <c r="DH10" s="338"/>
      <c r="DI10" s="338"/>
      <c r="DJ10" s="338"/>
      <c r="DK10" s="338"/>
      <c r="DL10" s="338"/>
      <c r="DM10" s="338"/>
      <c r="DN10" s="338"/>
      <c r="DO10" s="338"/>
      <c r="DP10" s="338"/>
      <c r="DQ10" s="338"/>
      <c r="DR10" s="338"/>
      <c r="DS10" s="338"/>
      <c r="DT10" s="338"/>
      <c r="DU10" s="338"/>
      <c r="DV10" s="338"/>
      <c r="DW10" s="338"/>
      <c r="DX10" s="338"/>
      <c r="DY10" s="338"/>
      <c r="DZ10" s="338"/>
      <c r="EA10" s="338"/>
      <c r="EB10" s="338"/>
      <c r="EC10" s="338"/>
      <c r="ED10" s="338"/>
      <c r="EE10" s="338"/>
      <c r="EF10" s="338"/>
      <c r="EG10" s="338"/>
      <c r="EH10" s="338"/>
      <c r="EI10" s="338"/>
      <c r="EJ10" s="338"/>
      <c r="EK10" s="338"/>
      <c r="EL10" s="338"/>
      <c r="EM10" s="338"/>
      <c r="EN10" s="338"/>
      <c r="EO10" s="338"/>
      <c r="EP10" s="338"/>
      <c r="EQ10" s="338"/>
      <c r="ER10" s="338"/>
      <c r="ES10" s="338"/>
      <c r="ET10" s="338"/>
      <c r="EU10" s="338"/>
      <c r="EV10" s="338"/>
      <c r="EW10" s="338"/>
      <c r="EX10" s="338"/>
      <c r="EY10" s="338"/>
      <c r="EZ10" s="338"/>
      <c r="FA10" s="338"/>
      <c r="FB10" s="338"/>
      <c r="FC10" s="338"/>
      <c r="FD10" s="338"/>
      <c r="FE10" s="338"/>
      <c r="FF10" s="338"/>
      <c r="FG10" s="338"/>
      <c r="FH10" s="338"/>
      <c r="FI10" s="338"/>
      <c r="FJ10" s="338"/>
      <c r="FK10" s="338"/>
      <c r="FL10" s="338"/>
      <c r="FM10" s="338"/>
      <c r="FN10" s="338"/>
      <c r="FO10" s="338"/>
      <c r="FP10" s="338"/>
      <c r="FQ10" s="338"/>
      <c r="FR10" s="338"/>
      <c r="FS10" s="338"/>
      <c r="FT10" s="338"/>
      <c r="FU10" s="338"/>
      <c r="FV10" s="338"/>
      <c r="FW10" s="338"/>
      <c r="FX10" s="338"/>
      <c r="FY10" s="338"/>
      <c r="FZ10" s="338"/>
      <c r="GA10" s="338"/>
      <c r="GB10" s="338"/>
      <c r="GC10" s="338"/>
      <c r="GD10" s="338"/>
      <c r="GE10" s="338"/>
      <c r="GF10" s="338"/>
      <c r="GG10" s="338"/>
      <c r="GH10" s="338"/>
      <c r="GI10" s="338"/>
      <c r="GJ10" s="338"/>
      <c r="GK10" s="338"/>
      <c r="GL10" s="338"/>
      <c r="GM10" s="338"/>
      <c r="GN10" s="338"/>
      <c r="GO10" s="338"/>
      <c r="GP10" s="338"/>
      <c r="GQ10" s="338"/>
      <c r="GR10" s="338"/>
      <c r="GS10" s="338"/>
      <c r="GT10" s="338"/>
      <c r="GU10" s="338"/>
      <c r="GV10" s="338"/>
      <c r="GW10" s="338"/>
      <c r="GX10" s="338"/>
      <c r="GY10" s="338"/>
      <c r="GZ10" s="338"/>
      <c r="HA10" s="338"/>
      <c r="HB10" s="338"/>
      <c r="HC10" s="338"/>
      <c r="HD10" s="338"/>
      <c r="HE10" s="338"/>
      <c r="HF10" s="338"/>
      <c r="HG10" s="338"/>
      <c r="HH10" s="338"/>
      <c r="HI10" s="338"/>
      <c r="HJ10" s="338"/>
      <c r="HK10" s="338"/>
      <c r="HL10" s="338"/>
      <c r="HM10" s="338"/>
      <c r="HN10" s="338"/>
      <c r="HO10" s="338"/>
      <c r="HP10" s="338"/>
      <c r="HQ10" s="338"/>
      <c r="HR10" s="338"/>
      <c r="HS10" s="338"/>
      <c r="HT10" s="338"/>
      <c r="HU10" s="338"/>
      <c r="HV10" s="338"/>
      <c r="HW10" s="338"/>
      <c r="HX10" s="338"/>
      <c r="HY10" s="338"/>
      <c r="HZ10" s="338"/>
      <c r="IA10" s="338"/>
      <c r="IB10" s="338"/>
      <c r="IC10" s="338"/>
      <c r="ID10" s="338"/>
      <c r="IE10" s="338"/>
      <c r="IF10" s="338"/>
      <c r="IG10" s="338"/>
      <c r="IH10" s="338"/>
      <c r="II10" s="338"/>
      <c r="IJ10" s="338"/>
      <c r="IK10" s="338"/>
      <c r="IL10" s="338"/>
      <c r="IM10" s="338"/>
      <c r="IN10" s="338"/>
      <c r="IO10" s="338"/>
      <c r="IP10" s="338"/>
      <c r="IQ10" s="338"/>
    </row>
    <row r="11" customFormat="1" ht="13.5" spans="1:251">
      <c r="A11" s="348"/>
      <c r="B11" s="346" t="s">
        <v>302</v>
      </c>
      <c r="C11" s="350"/>
      <c r="D11" s="350"/>
      <c r="E11" s="350"/>
      <c r="F11" s="350"/>
      <c r="G11" s="338"/>
      <c r="H11" s="338"/>
      <c r="I11" s="338"/>
      <c r="J11" s="338"/>
      <c r="K11" s="338"/>
      <c r="L11" s="338"/>
      <c r="M11" s="338"/>
      <c r="N11" s="338"/>
      <c r="O11" s="338"/>
      <c r="P11" s="338"/>
      <c r="Q11" s="338"/>
      <c r="R11" s="338"/>
      <c r="S11" s="338"/>
      <c r="T11" s="338"/>
      <c r="U11" s="338"/>
      <c r="V11" s="338"/>
      <c r="W11" s="338"/>
      <c r="X11" s="338"/>
      <c r="Y11" s="338"/>
      <c r="Z11" s="338"/>
      <c r="AA11" s="338"/>
      <c r="AB11" s="338"/>
      <c r="AC11" s="338"/>
      <c r="AD11" s="338"/>
      <c r="AE11" s="338"/>
      <c r="AF11" s="338"/>
      <c r="AG11" s="338"/>
      <c r="AH11" s="338"/>
      <c r="AI11" s="338"/>
      <c r="AJ11" s="338"/>
      <c r="AK11" s="338"/>
      <c r="AL11" s="338"/>
      <c r="AM11" s="338"/>
      <c r="AN11" s="338"/>
      <c r="AO11" s="338"/>
      <c r="AP11" s="338"/>
      <c r="AQ11" s="338"/>
      <c r="AR11" s="338"/>
      <c r="AS11" s="338"/>
      <c r="AT11" s="338"/>
      <c r="AU11" s="338"/>
      <c r="AV11" s="338"/>
      <c r="AW11" s="338"/>
      <c r="AX11" s="338"/>
      <c r="AY11" s="338"/>
      <c r="AZ11" s="338"/>
      <c r="BA11" s="338"/>
      <c r="BB11" s="338"/>
      <c r="BC11" s="338"/>
      <c r="BD11" s="338"/>
      <c r="BE11" s="338"/>
      <c r="BF11" s="338"/>
      <c r="BG11" s="338"/>
      <c r="BH11" s="338"/>
      <c r="BI11" s="338"/>
      <c r="BJ11" s="338"/>
      <c r="BK11" s="338"/>
      <c r="BL11" s="338"/>
      <c r="BM11" s="338"/>
      <c r="BN11" s="338"/>
      <c r="BO11" s="338"/>
      <c r="BP11" s="338"/>
      <c r="BQ11" s="338"/>
      <c r="BR11" s="338"/>
      <c r="BS11" s="338"/>
      <c r="BT11" s="338"/>
      <c r="BU11" s="338"/>
      <c r="BV11" s="338"/>
      <c r="BW11" s="338"/>
      <c r="BX11" s="338"/>
      <c r="BY11" s="338"/>
      <c r="BZ11" s="338"/>
      <c r="CA11" s="338"/>
      <c r="CB11" s="338"/>
      <c r="CC11" s="338"/>
      <c r="CD11" s="338"/>
      <c r="CE11" s="338"/>
      <c r="CF11" s="338"/>
      <c r="CG11" s="338"/>
      <c r="CH11" s="338"/>
      <c r="CI11" s="338"/>
      <c r="CJ11" s="338"/>
      <c r="CK11" s="338"/>
      <c r="CL11" s="338"/>
      <c r="CM11" s="338"/>
      <c r="CN11" s="338"/>
      <c r="CO11" s="338"/>
      <c r="CP11" s="338"/>
      <c r="CQ11" s="338"/>
      <c r="CR11" s="338"/>
      <c r="CS11" s="338"/>
      <c r="CT11" s="338"/>
      <c r="CU11" s="338"/>
      <c r="CV11" s="338"/>
      <c r="CW11" s="338"/>
      <c r="CX11" s="338"/>
      <c r="CY11" s="338"/>
      <c r="CZ11" s="338"/>
      <c r="DA11" s="338"/>
      <c r="DB11" s="338"/>
      <c r="DC11" s="338"/>
      <c r="DD11" s="338"/>
      <c r="DE11" s="338"/>
      <c r="DF11" s="338"/>
      <c r="DG11" s="338"/>
      <c r="DH11" s="338"/>
      <c r="DI11" s="338"/>
      <c r="DJ11" s="338"/>
      <c r="DK11" s="338"/>
      <c r="DL11" s="338"/>
      <c r="DM11" s="338"/>
      <c r="DN11" s="338"/>
      <c r="DO11" s="338"/>
      <c r="DP11" s="338"/>
      <c r="DQ11" s="338"/>
      <c r="DR11" s="338"/>
      <c r="DS11" s="338"/>
      <c r="DT11" s="338"/>
      <c r="DU11" s="338"/>
      <c r="DV11" s="338"/>
      <c r="DW11" s="338"/>
      <c r="DX11" s="338"/>
      <c r="DY11" s="338"/>
      <c r="DZ11" s="338"/>
      <c r="EA11" s="338"/>
      <c r="EB11" s="338"/>
      <c r="EC11" s="338"/>
      <c r="ED11" s="338"/>
      <c r="EE11" s="338"/>
      <c r="EF11" s="338"/>
      <c r="EG11" s="338"/>
      <c r="EH11" s="338"/>
      <c r="EI11" s="338"/>
      <c r="EJ11" s="338"/>
      <c r="EK11" s="338"/>
      <c r="EL11" s="338"/>
      <c r="EM11" s="338"/>
      <c r="EN11" s="338"/>
      <c r="EO11" s="338"/>
      <c r="EP11" s="338"/>
      <c r="EQ11" s="338"/>
      <c r="ER11" s="338"/>
      <c r="ES11" s="338"/>
      <c r="ET11" s="338"/>
      <c r="EU11" s="338"/>
      <c r="EV11" s="338"/>
      <c r="EW11" s="338"/>
      <c r="EX11" s="338"/>
      <c r="EY11" s="338"/>
      <c r="EZ11" s="338"/>
      <c r="FA11" s="338"/>
      <c r="FB11" s="338"/>
      <c r="FC11" s="338"/>
      <c r="FD11" s="338"/>
      <c r="FE11" s="338"/>
      <c r="FF11" s="338"/>
      <c r="FG11" s="338"/>
      <c r="FH11" s="338"/>
      <c r="FI11" s="338"/>
      <c r="FJ11" s="338"/>
      <c r="FK11" s="338"/>
      <c r="FL11" s="338"/>
      <c r="FM11" s="338"/>
      <c r="FN11" s="338"/>
      <c r="FO11" s="338"/>
      <c r="FP11" s="338"/>
      <c r="FQ11" s="338"/>
      <c r="FR11" s="338"/>
      <c r="FS11" s="338"/>
      <c r="FT11" s="338"/>
      <c r="FU11" s="338"/>
      <c r="FV11" s="338"/>
      <c r="FW11" s="338"/>
      <c r="FX11" s="338"/>
      <c r="FY11" s="338"/>
      <c r="FZ11" s="338"/>
      <c r="GA11" s="338"/>
      <c r="GB11" s="338"/>
      <c r="GC11" s="338"/>
      <c r="GD11" s="338"/>
      <c r="GE11" s="338"/>
      <c r="GF11" s="338"/>
      <c r="GG11" s="338"/>
      <c r="GH11" s="338"/>
      <c r="GI11" s="338"/>
      <c r="GJ11" s="338"/>
      <c r="GK11" s="338"/>
      <c r="GL11" s="338"/>
      <c r="GM11" s="338"/>
      <c r="GN11" s="338"/>
      <c r="GO11" s="338"/>
      <c r="GP11" s="338"/>
      <c r="GQ11" s="338"/>
      <c r="GR11" s="338"/>
      <c r="GS11" s="338"/>
      <c r="GT11" s="338"/>
      <c r="GU11" s="338"/>
      <c r="GV11" s="338"/>
      <c r="GW11" s="338"/>
      <c r="GX11" s="338"/>
      <c r="GY11" s="338"/>
      <c r="GZ11" s="338"/>
      <c r="HA11" s="338"/>
      <c r="HB11" s="338"/>
      <c r="HC11" s="338"/>
      <c r="HD11" s="338"/>
      <c r="HE11" s="338"/>
      <c r="HF11" s="338"/>
      <c r="HG11" s="338"/>
      <c r="HH11" s="338"/>
      <c r="HI11" s="338"/>
      <c r="HJ11" s="338"/>
      <c r="HK11" s="338"/>
      <c r="HL11" s="338"/>
      <c r="HM11" s="338"/>
      <c r="HN11" s="338"/>
      <c r="HO11" s="338"/>
      <c r="HP11" s="338"/>
      <c r="HQ11" s="338"/>
      <c r="HR11" s="338"/>
      <c r="HS11" s="338"/>
      <c r="HT11" s="338"/>
      <c r="HU11" s="338"/>
      <c r="HV11" s="338"/>
      <c r="HW11" s="338"/>
      <c r="HX11" s="338"/>
      <c r="HY11" s="338"/>
      <c r="HZ11" s="338"/>
      <c r="IA11" s="338"/>
      <c r="IB11" s="338"/>
      <c r="IC11" s="338"/>
      <c r="ID11" s="338"/>
      <c r="IE11" s="338"/>
      <c r="IF11" s="338"/>
      <c r="IG11" s="338"/>
      <c r="IH11" s="338"/>
      <c r="II11" s="338"/>
      <c r="IJ11" s="338"/>
      <c r="IK11" s="338"/>
      <c r="IL11" s="338"/>
      <c r="IM11" s="338"/>
      <c r="IN11" s="338"/>
      <c r="IO11" s="338"/>
      <c r="IP11" s="338"/>
      <c r="IQ11" s="338"/>
    </row>
    <row r="12" spans="1:6">
      <c r="A12" s="348" t="s">
        <v>303</v>
      </c>
      <c r="B12" s="344" t="s">
        <v>111</v>
      </c>
      <c r="C12" s="349">
        <f t="shared" ref="C12:F12" si="1">C13+C14+C15+C16+C18</f>
        <v>0</v>
      </c>
      <c r="D12" s="349">
        <f t="shared" si="1"/>
        <v>0</v>
      </c>
      <c r="E12" s="349">
        <f t="shared" si="1"/>
        <v>0</v>
      </c>
      <c r="F12" s="349">
        <f t="shared" si="1"/>
        <v>0</v>
      </c>
    </row>
    <row r="13" spans="1:6">
      <c r="A13" s="348"/>
      <c r="B13" s="346" t="s">
        <v>297</v>
      </c>
      <c r="C13" s="350"/>
      <c r="D13" s="350"/>
      <c r="E13" s="350"/>
      <c r="F13" s="350"/>
    </row>
    <row r="14" spans="1:6">
      <c r="A14" s="348"/>
      <c r="B14" s="346" t="s">
        <v>298</v>
      </c>
      <c r="C14" s="350"/>
      <c r="D14" s="350"/>
      <c r="E14" s="350"/>
      <c r="F14" s="350"/>
    </row>
    <row r="15" spans="1:6">
      <c r="A15" s="348"/>
      <c r="B15" s="346" t="s">
        <v>299</v>
      </c>
      <c r="C15" s="350"/>
      <c r="D15" s="350"/>
      <c r="E15" s="350"/>
      <c r="F15" s="350"/>
    </row>
    <row r="16" spans="1:6">
      <c r="A16" s="348"/>
      <c r="B16" s="346" t="s">
        <v>300</v>
      </c>
      <c r="C16" s="350"/>
      <c r="D16" s="350"/>
      <c r="E16" s="350"/>
      <c r="F16" s="350"/>
    </row>
    <row r="17" spans="1:6">
      <c r="A17" s="348"/>
      <c r="B17" s="351" t="s">
        <v>301</v>
      </c>
      <c r="C17" s="352"/>
      <c r="D17" s="352"/>
      <c r="E17" s="352"/>
      <c r="F17" s="352"/>
    </row>
    <row r="18" spans="1:6">
      <c r="A18" s="348"/>
      <c r="B18" s="346" t="s">
        <v>302</v>
      </c>
      <c r="C18" s="350"/>
      <c r="D18" s="350"/>
      <c r="E18" s="350"/>
      <c r="F18" s="350"/>
    </row>
    <row r="19" ht="31.05" customHeight="1" spans="1:6">
      <c r="A19" s="353" t="s">
        <v>304</v>
      </c>
      <c r="B19" s="354"/>
      <c r="C19" s="349">
        <f t="shared" ref="C19:F19" si="2">C12+C5</f>
        <v>0</v>
      </c>
      <c r="D19" s="349">
        <f t="shared" si="2"/>
        <v>0</v>
      </c>
      <c r="E19" s="349">
        <f t="shared" si="2"/>
        <v>0</v>
      </c>
      <c r="F19" s="349">
        <f t="shared" si="2"/>
        <v>0</v>
      </c>
    </row>
    <row r="20" s="336" customFormat="1" ht="20.1" customHeight="1" spans="1:10">
      <c r="A20" s="355" t="s">
        <v>155</v>
      </c>
      <c r="B20" s="337"/>
      <c r="C20" s="356" t="s">
        <v>87</v>
      </c>
      <c r="D20" s="356"/>
      <c r="E20" s="337" t="s">
        <v>88</v>
      </c>
      <c r="F20" s="336"/>
      <c r="G20" s="358"/>
      <c r="H20" s="336"/>
      <c r="I20" s="359"/>
      <c r="J20" s="360"/>
    </row>
    <row r="21" s="337" customFormat="1" ht="12" spans="1:16384">
      <c r="A21" s="40" t="s">
        <v>91</v>
      </c>
      <c r="B21" s="41">
        <v>241</v>
      </c>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c r="CO21" s="40"/>
      <c r="CP21" s="40"/>
      <c r="CQ21" s="40"/>
      <c r="CR21" s="40"/>
      <c r="CS21" s="40"/>
      <c r="CT21" s="40"/>
      <c r="CU21" s="40"/>
      <c r="CV21" s="40"/>
      <c r="CW21" s="40"/>
      <c r="CX21" s="40"/>
      <c r="CY21" s="40"/>
      <c r="CZ21" s="40"/>
      <c r="DA21" s="40"/>
      <c r="DB21" s="40"/>
      <c r="DC21" s="40"/>
      <c r="DD21" s="40"/>
      <c r="DE21" s="40"/>
      <c r="DF21" s="40"/>
      <c r="DG21" s="40"/>
      <c r="DH21" s="40"/>
      <c r="DI21" s="40"/>
      <c r="DJ21" s="40"/>
      <c r="DK21" s="40"/>
      <c r="DL21" s="40"/>
      <c r="DM21" s="40"/>
      <c r="DN21" s="40"/>
      <c r="DO21" s="40"/>
      <c r="DP21" s="40"/>
      <c r="DQ21" s="40"/>
      <c r="DR21" s="40"/>
      <c r="DS21" s="40"/>
      <c r="DT21" s="40"/>
      <c r="DU21" s="40"/>
      <c r="DV21" s="40"/>
      <c r="DW21" s="40"/>
      <c r="DX21" s="40"/>
      <c r="DY21" s="40"/>
      <c r="DZ21" s="40"/>
      <c r="EA21" s="40"/>
      <c r="EB21" s="40"/>
      <c r="EC21" s="40"/>
      <c r="ED21" s="40"/>
      <c r="EE21" s="40"/>
      <c r="EF21" s="40"/>
      <c r="EG21" s="40"/>
      <c r="EH21" s="40"/>
      <c r="EI21" s="40"/>
      <c r="EJ21" s="40"/>
      <c r="EK21" s="40"/>
      <c r="EL21" s="40"/>
      <c r="EM21" s="40"/>
      <c r="EN21" s="40"/>
      <c r="EO21" s="40"/>
      <c r="EP21" s="40"/>
      <c r="EQ21" s="40"/>
      <c r="ER21" s="40"/>
      <c r="ES21" s="40"/>
      <c r="ET21" s="40"/>
      <c r="EU21" s="40"/>
      <c r="EV21" s="40"/>
      <c r="EW21" s="40"/>
      <c r="EX21" s="40"/>
      <c r="EY21" s="40"/>
      <c r="EZ21" s="40"/>
      <c r="FA21" s="40"/>
      <c r="FB21" s="40"/>
      <c r="FC21" s="40"/>
      <c r="FD21" s="40"/>
      <c r="FE21" s="40"/>
      <c r="FF21" s="40"/>
      <c r="FG21" s="40"/>
      <c r="FH21" s="40"/>
      <c r="FI21" s="40"/>
      <c r="FJ21" s="40"/>
      <c r="FK21" s="40"/>
      <c r="FL21" s="40"/>
      <c r="FM21" s="40"/>
      <c r="FN21" s="40"/>
      <c r="FO21" s="40"/>
      <c r="FP21" s="40"/>
      <c r="FQ21" s="40"/>
      <c r="FR21" s="40"/>
      <c r="FS21" s="40"/>
      <c r="FT21" s="40"/>
      <c r="FU21" s="40"/>
      <c r="FV21" s="40"/>
      <c r="FW21" s="40"/>
      <c r="FX21" s="40"/>
      <c r="FY21" s="40"/>
      <c r="FZ21" s="40"/>
      <c r="GA21" s="40"/>
      <c r="GB21" s="40"/>
      <c r="GC21" s="40"/>
      <c r="GD21" s="40"/>
      <c r="GE21" s="40"/>
      <c r="GF21" s="40"/>
      <c r="GG21" s="40"/>
      <c r="GH21" s="40"/>
      <c r="GI21" s="40"/>
      <c r="GJ21" s="40"/>
      <c r="GK21" s="40"/>
      <c r="GL21" s="40"/>
      <c r="GM21" s="40"/>
      <c r="GN21" s="40"/>
      <c r="GO21" s="40"/>
      <c r="GP21" s="40"/>
      <c r="GQ21" s="40"/>
      <c r="GR21" s="40"/>
      <c r="GS21" s="40"/>
      <c r="GT21" s="40"/>
      <c r="GU21" s="40"/>
      <c r="GV21" s="40"/>
      <c r="GW21" s="40"/>
      <c r="GX21" s="40"/>
      <c r="GY21" s="40"/>
      <c r="GZ21" s="40"/>
      <c r="HA21" s="40"/>
      <c r="HB21" s="40"/>
      <c r="HC21" s="40"/>
      <c r="HD21" s="40"/>
      <c r="HE21" s="40"/>
      <c r="HF21" s="40"/>
      <c r="HG21" s="40"/>
      <c r="HH21" s="40"/>
      <c r="HI21" s="40"/>
      <c r="HJ21" s="40"/>
      <c r="HK21" s="40"/>
      <c r="HL21" s="40"/>
      <c r="HM21" s="40"/>
      <c r="HN21" s="40"/>
      <c r="HO21" s="40"/>
      <c r="HP21" s="40"/>
      <c r="HQ21" s="40"/>
      <c r="HR21" s="40"/>
      <c r="HS21" s="40"/>
      <c r="HT21" s="40"/>
      <c r="HU21" s="40"/>
      <c r="HV21" s="40"/>
      <c r="HW21" s="40"/>
      <c r="HX21" s="40"/>
      <c r="HY21" s="40"/>
      <c r="HZ21" s="40"/>
      <c r="IA21" s="40"/>
      <c r="IB21" s="40"/>
      <c r="IC21" s="40"/>
      <c r="ID21" s="40"/>
      <c r="IE21" s="40"/>
      <c r="IF21" s="40"/>
      <c r="IG21" s="40"/>
      <c r="IH21" s="40"/>
      <c r="II21" s="40"/>
      <c r="IJ21" s="40"/>
      <c r="IK21" s="40"/>
      <c r="IL21" s="40"/>
      <c r="IM21" s="40"/>
      <c r="IN21" s="40"/>
      <c r="IO21" s="40"/>
      <c r="IP21" s="40"/>
      <c r="IQ21" s="40"/>
      <c r="IR21" s="40"/>
      <c r="IS21" s="40"/>
      <c r="IT21" s="40"/>
      <c r="IU21" s="40"/>
      <c r="IV21" s="40"/>
      <c r="IW21" s="40"/>
      <c r="IX21" s="40"/>
      <c r="IY21" s="40"/>
      <c r="IZ21" s="40"/>
      <c r="JA21" s="40"/>
      <c r="JB21" s="40"/>
      <c r="JC21" s="40"/>
      <c r="JD21" s="40"/>
      <c r="JE21" s="40"/>
      <c r="JF21" s="40"/>
      <c r="JG21" s="40"/>
      <c r="JH21" s="40"/>
      <c r="JI21" s="40"/>
      <c r="JJ21" s="40"/>
      <c r="JK21" s="40"/>
      <c r="JL21" s="40"/>
      <c r="JM21" s="40"/>
      <c r="JN21" s="40"/>
      <c r="JO21" s="40"/>
      <c r="JP21" s="40"/>
      <c r="JQ21" s="40"/>
      <c r="JR21" s="40"/>
      <c r="JS21" s="40"/>
      <c r="JT21" s="40"/>
      <c r="JU21" s="40"/>
      <c r="JV21" s="40"/>
      <c r="JW21" s="40"/>
      <c r="JX21" s="40"/>
      <c r="JY21" s="40"/>
      <c r="JZ21" s="40"/>
      <c r="KA21" s="40"/>
      <c r="KB21" s="40"/>
      <c r="KC21" s="40"/>
      <c r="KD21" s="40"/>
      <c r="KE21" s="40"/>
      <c r="KF21" s="40"/>
      <c r="KG21" s="40"/>
      <c r="KH21" s="40"/>
      <c r="KI21" s="40"/>
      <c r="KJ21" s="40"/>
      <c r="KK21" s="40"/>
      <c r="KL21" s="40"/>
      <c r="KM21" s="40"/>
      <c r="KN21" s="40"/>
      <c r="KO21" s="40"/>
      <c r="KP21" s="40"/>
      <c r="KQ21" s="40"/>
      <c r="KR21" s="40"/>
      <c r="KS21" s="40"/>
      <c r="KT21" s="40"/>
      <c r="KU21" s="40"/>
      <c r="KV21" s="40"/>
      <c r="KW21" s="40"/>
      <c r="KX21" s="40"/>
      <c r="KY21" s="40"/>
      <c r="KZ21" s="40"/>
      <c r="LA21" s="40"/>
      <c r="LB21" s="40"/>
      <c r="LC21" s="40"/>
      <c r="LD21" s="40"/>
      <c r="LE21" s="40"/>
      <c r="LF21" s="40"/>
      <c r="LG21" s="40"/>
      <c r="LH21" s="40"/>
      <c r="LI21" s="40"/>
      <c r="LJ21" s="40"/>
      <c r="LK21" s="40"/>
      <c r="LL21" s="40"/>
      <c r="LM21" s="40"/>
      <c r="LN21" s="40"/>
      <c r="LO21" s="40"/>
      <c r="LP21" s="40"/>
      <c r="LQ21" s="40"/>
      <c r="LR21" s="40"/>
      <c r="LS21" s="40"/>
      <c r="LT21" s="40"/>
      <c r="LU21" s="40"/>
      <c r="LV21" s="40"/>
      <c r="LW21" s="40"/>
      <c r="LX21" s="40"/>
      <c r="LY21" s="40"/>
      <c r="LZ21" s="40"/>
      <c r="MA21" s="40"/>
      <c r="MB21" s="40"/>
      <c r="MC21" s="40"/>
      <c r="MD21" s="40"/>
      <c r="ME21" s="40"/>
      <c r="MF21" s="40"/>
      <c r="MG21" s="40"/>
      <c r="MH21" s="40"/>
      <c r="MI21" s="40"/>
      <c r="MJ21" s="40"/>
      <c r="MK21" s="40"/>
      <c r="ML21" s="40"/>
      <c r="MM21" s="40"/>
      <c r="MN21" s="40"/>
      <c r="MO21" s="40"/>
      <c r="MP21" s="40"/>
      <c r="MQ21" s="40"/>
      <c r="MR21" s="40"/>
      <c r="MS21" s="40"/>
      <c r="MT21" s="40"/>
      <c r="MU21" s="40"/>
      <c r="MV21" s="40"/>
      <c r="MW21" s="40"/>
      <c r="MX21" s="40"/>
      <c r="MY21" s="40"/>
      <c r="MZ21" s="40"/>
      <c r="NA21" s="40"/>
      <c r="NB21" s="40"/>
      <c r="NC21" s="40"/>
      <c r="ND21" s="40"/>
      <c r="NE21" s="40"/>
      <c r="NF21" s="40"/>
      <c r="NG21" s="40"/>
      <c r="NH21" s="40"/>
      <c r="NI21" s="40"/>
      <c r="NJ21" s="40"/>
      <c r="NK21" s="40"/>
      <c r="NL21" s="40"/>
      <c r="NM21" s="40"/>
      <c r="NN21" s="40"/>
      <c r="NO21" s="40"/>
      <c r="NP21" s="40"/>
      <c r="NQ21" s="40"/>
      <c r="NR21" s="40"/>
      <c r="NS21" s="40"/>
      <c r="NT21" s="40"/>
      <c r="NU21" s="40"/>
      <c r="NV21" s="40"/>
      <c r="NW21" s="40"/>
      <c r="NX21" s="40"/>
      <c r="NY21" s="40"/>
      <c r="NZ21" s="40"/>
      <c r="OA21" s="40"/>
      <c r="OB21" s="40"/>
      <c r="OC21" s="40"/>
      <c r="OD21" s="40"/>
      <c r="OE21" s="40"/>
      <c r="OF21" s="40"/>
      <c r="OG21" s="40"/>
      <c r="OH21" s="40"/>
      <c r="OI21" s="40"/>
      <c r="OJ21" s="40"/>
      <c r="OK21" s="40"/>
      <c r="OL21" s="40"/>
      <c r="OM21" s="40"/>
      <c r="ON21" s="40"/>
      <c r="OO21" s="40"/>
      <c r="OP21" s="40"/>
      <c r="OQ21" s="40"/>
      <c r="OR21" s="40"/>
      <c r="OS21" s="40"/>
      <c r="OT21" s="40"/>
      <c r="OU21" s="40"/>
      <c r="OV21" s="40"/>
      <c r="OW21" s="40"/>
      <c r="OX21" s="40"/>
      <c r="OY21" s="40"/>
      <c r="OZ21" s="40"/>
      <c r="PA21" s="40"/>
      <c r="PB21" s="40"/>
      <c r="PC21" s="40"/>
      <c r="PD21" s="40"/>
      <c r="PE21" s="40"/>
      <c r="PF21" s="40"/>
      <c r="PG21" s="40"/>
      <c r="PH21" s="40"/>
      <c r="PI21" s="40"/>
      <c r="PJ21" s="40"/>
      <c r="PK21" s="40"/>
      <c r="PL21" s="40"/>
      <c r="PM21" s="40"/>
      <c r="PN21" s="40"/>
      <c r="PO21" s="40"/>
      <c r="PP21" s="40"/>
      <c r="PQ21" s="40"/>
      <c r="PR21" s="40"/>
      <c r="PS21" s="40"/>
      <c r="PT21" s="40"/>
      <c r="PU21" s="40"/>
      <c r="PV21" s="40"/>
      <c r="PW21" s="40"/>
      <c r="PX21" s="40"/>
      <c r="PY21" s="40"/>
      <c r="PZ21" s="40"/>
      <c r="QA21" s="40"/>
      <c r="QB21" s="40"/>
      <c r="QC21" s="40"/>
      <c r="QD21" s="40"/>
      <c r="QE21" s="40"/>
      <c r="QF21" s="40"/>
      <c r="QG21" s="40"/>
      <c r="QH21" s="40"/>
      <c r="QI21" s="40"/>
      <c r="QJ21" s="40"/>
      <c r="QK21" s="40"/>
      <c r="QL21" s="40"/>
      <c r="QM21" s="40"/>
      <c r="QN21" s="40"/>
      <c r="QO21" s="40"/>
      <c r="QP21" s="40"/>
      <c r="QQ21" s="40"/>
      <c r="QR21" s="40"/>
      <c r="QS21" s="40"/>
      <c r="QT21" s="40"/>
      <c r="QU21" s="40"/>
      <c r="QV21" s="40"/>
      <c r="QW21" s="40"/>
      <c r="QX21" s="40"/>
      <c r="QY21" s="40"/>
      <c r="QZ21" s="40"/>
      <c r="RA21" s="40"/>
      <c r="RB21" s="40"/>
      <c r="RC21" s="40"/>
      <c r="RD21" s="40"/>
      <c r="RE21" s="40"/>
      <c r="RF21" s="40"/>
      <c r="RG21" s="40"/>
      <c r="RH21" s="40"/>
      <c r="RI21" s="40"/>
      <c r="RJ21" s="40"/>
      <c r="RK21" s="40"/>
      <c r="RL21" s="40"/>
      <c r="RM21" s="40"/>
      <c r="RN21" s="40"/>
      <c r="RO21" s="40"/>
      <c r="RP21" s="40"/>
      <c r="RQ21" s="40"/>
      <c r="RR21" s="40"/>
      <c r="RS21" s="40"/>
      <c r="RT21" s="40"/>
      <c r="RU21" s="40"/>
      <c r="RV21" s="40"/>
      <c r="RW21" s="40"/>
      <c r="RX21" s="40"/>
      <c r="RY21" s="40"/>
      <c r="RZ21" s="40"/>
      <c r="SA21" s="40"/>
      <c r="SB21" s="40"/>
      <c r="SC21" s="40"/>
      <c r="SD21" s="40"/>
      <c r="SE21" s="40"/>
      <c r="SF21" s="40"/>
      <c r="SG21" s="40"/>
      <c r="SH21" s="40"/>
      <c r="SI21" s="40"/>
      <c r="SJ21" s="40"/>
      <c r="SK21" s="40"/>
      <c r="SL21" s="40"/>
      <c r="SM21" s="40"/>
      <c r="SN21" s="40"/>
      <c r="SO21" s="40"/>
      <c r="SP21" s="40"/>
      <c r="SQ21" s="40"/>
      <c r="SR21" s="40"/>
      <c r="SS21" s="40"/>
      <c r="ST21" s="40"/>
      <c r="SU21" s="40"/>
      <c r="SV21" s="40"/>
      <c r="SW21" s="40"/>
      <c r="SX21" s="40"/>
      <c r="SY21" s="40"/>
      <c r="SZ21" s="40"/>
      <c r="TA21" s="40"/>
      <c r="TB21" s="40"/>
      <c r="TC21" s="40"/>
      <c r="TD21" s="40"/>
      <c r="TE21" s="40"/>
      <c r="TF21" s="40"/>
      <c r="TG21" s="40"/>
      <c r="TH21" s="40"/>
      <c r="TI21" s="40"/>
      <c r="TJ21" s="40"/>
      <c r="TK21" s="40"/>
      <c r="TL21" s="40"/>
      <c r="TM21" s="40"/>
      <c r="TN21" s="40"/>
      <c r="TO21" s="40"/>
      <c r="TP21" s="40"/>
      <c r="TQ21" s="40"/>
      <c r="TR21" s="40"/>
      <c r="TS21" s="40"/>
      <c r="TT21" s="40"/>
      <c r="TU21" s="40"/>
      <c r="TV21" s="40"/>
      <c r="TW21" s="40"/>
      <c r="TX21" s="40"/>
      <c r="TY21" s="40"/>
      <c r="TZ21" s="40"/>
      <c r="UA21" s="40"/>
      <c r="UB21" s="40"/>
      <c r="UC21" s="40"/>
      <c r="UD21" s="40"/>
      <c r="UE21" s="40"/>
      <c r="UF21" s="40"/>
      <c r="UG21" s="40"/>
      <c r="UH21" s="40"/>
      <c r="UI21" s="40"/>
      <c r="UJ21" s="40"/>
      <c r="UK21" s="40"/>
      <c r="UL21" s="40"/>
      <c r="UM21" s="40"/>
      <c r="UN21" s="40"/>
      <c r="UO21" s="40"/>
      <c r="UP21" s="40"/>
      <c r="UQ21" s="40"/>
      <c r="UR21" s="40"/>
      <c r="US21" s="40"/>
      <c r="UT21" s="40"/>
      <c r="UU21" s="40"/>
      <c r="UV21" s="40"/>
      <c r="UW21" s="40"/>
      <c r="UX21" s="40"/>
      <c r="UY21" s="40"/>
      <c r="UZ21" s="40"/>
      <c r="VA21" s="40"/>
      <c r="VB21" s="40"/>
      <c r="VC21" s="40"/>
      <c r="VD21" s="40"/>
      <c r="VE21" s="40"/>
      <c r="VF21" s="40"/>
      <c r="VG21" s="40"/>
      <c r="VH21" s="40"/>
      <c r="VI21" s="40"/>
      <c r="VJ21" s="40"/>
      <c r="VK21" s="40"/>
      <c r="VL21" s="40"/>
      <c r="VM21" s="40"/>
      <c r="VN21" s="40"/>
      <c r="VO21" s="40"/>
      <c r="VP21" s="40"/>
      <c r="VQ21" s="40"/>
      <c r="VR21" s="40"/>
      <c r="VS21" s="40"/>
      <c r="VT21" s="40"/>
      <c r="VU21" s="40"/>
      <c r="VV21" s="40"/>
      <c r="VW21" s="40"/>
      <c r="VX21" s="40"/>
      <c r="VY21" s="40"/>
      <c r="VZ21" s="40"/>
      <c r="WA21" s="40"/>
      <c r="WB21" s="40"/>
      <c r="WC21" s="40"/>
      <c r="WD21" s="40"/>
      <c r="WE21" s="40"/>
      <c r="WF21" s="40"/>
      <c r="WG21" s="40"/>
      <c r="WH21" s="40"/>
      <c r="WI21" s="40"/>
      <c r="WJ21" s="40"/>
      <c r="WK21" s="40"/>
      <c r="WL21" s="40"/>
      <c r="WM21" s="40"/>
      <c r="WN21" s="40"/>
      <c r="WO21" s="40"/>
      <c r="WP21" s="40"/>
      <c r="WQ21" s="40"/>
      <c r="WR21" s="40"/>
      <c r="WS21" s="40"/>
      <c r="WT21" s="40"/>
      <c r="WU21" s="40"/>
      <c r="WV21" s="40"/>
      <c r="WW21" s="40"/>
      <c r="WX21" s="40"/>
      <c r="WY21" s="40"/>
      <c r="WZ21" s="40"/>
      <c r="XA21" s="40"/>
      <c r="XB21" s="40"/>
      <c r="XC21" s="40"/>
      <c r="XD21" s="40"/>
      <c r="XE21" s="40"/>
      <c r="XF21" s="40"/>
      <c r="XG21" s="40"/>
      <c r="XH21" s="40"/>
      <c r="XI21" s="40"/>
      <c r="XJ21" s="40"/>
      <c r="XK21" s="40"/>
      <c r="XL21" s="40"/>
      <c r="XM21" s="40"/>
      <c r="XN21" s="40"/>
      <c r="XO21" s="40"/>
      <c r="XP21" s="40"/>
      <c r="XQ21" s="40"/>
      <c r="XR21" s="40"/>
      <c r="XS21" s="40"/>
      <c r="XT21" s="40"/>
      <c r="XU21" s="40"/>
      <c r="XV21" s="40"/>
      <c r="XW21" s="40"/>
      <c r="XX21" s="40"/>
      <c r="XY21" s="40"/>
      <c r="XZ21" s="40"/>
      <c r="YA21" s="40"/>
      <c r="YB21" s="40"/>
      <c r="YC21" s="40"/>
      <c r="YD21" s="40"/>
      <c r="YE21" s="40"/>
      <c r="YF21" s="40"/>
      <c r="YG21" s="40"/>
      <c r="YH21" s="40"/>
      <c r="YI21" s="40"/>
      <c r="YJ21" s="40"/>
      <c r="YK21" s="40"/>
      <c r="YL21" s="40"/>
      <c r="YM21" s="40"/>
      <c r="YN21" s="40"/>
      <c r="YO21" s="40"/>
      <c r="YP21" s="40"/>
      <c r="YQ21" s="40"/>
      <c r="YR21" s="40"/>
      <c r="YS21" s="40"/>
      <c r="YT21" s="40"/>
      <c r="YU21" s="40"/>
      <c r="YV21" s="40"/>
      <c r="YW21" s="40"/>
      <c r="YX21" s="40"/>
      <c r="YY21" s="40"/>
      <c r="YZ21" s="40"/>
      <c r="ZA21" s="40"/>
      <c r="ZB21" s="40"/>
      <c r="ZC21" s="40"/>
      <c r="ZD21" s="40"/>
      <c r="ZE21" s="40"/>
      <c r="ZF21" s="40"/>
      <c r="ZG21" s="40"/>
      <c r="ZH21" s="40"/>
      <c r="ZI21" s="40"/>
      <c r="ZJ21" s="40"/>
      <c r="ZK21" s="40"/>
      <c r="ZL21" s="40"/>
      <c r="ZM21" s="40"/>
      <c r="ZN21" s="40"/>
      <c r="ZO21" s="40"/>
      <c r="ZP21" s="40"/>
      <c r="ZQ21" s="40"/>
      <c r="ZR21" s="40"/>
      <c r="ZS21" s="40"/>
      <c r="ZT21" s="40"/>
      <c r="ZU21" s="40"/>
      <c r="ZV21" s="40"/>
      <c r="ZW21" s="40"/>
      <c r="ZX21" s="40"/>
      <c r="ZY21" s="40"/>
      <c r="ZZ21" s="40"/>
      <c r="AAA21" s="40"/>
      <c r="AAB21" s="40"/>
      <c r="AAC21" s="40"/>
      <c r="AAD21" s="40"/>
      <c r="AAE21" s="40"/>
      <c r="AAF21" s="40"/>
      <c r="AAG21" s="40"/>
      <c r="AAH21" s="40"/>
      <c r="AAI21" s="40"/>
      <c r="AAJ21" s="40"/>
      <c r="AAK21" s="40"/>
      <c r="AAL21" s="40"/>
      <c r="AAM21" s="40"/>
      <c r="AAN21" s="40"/>
      <c r="AAO21" s="40"/>
      <c r="AAP21" s="40"/>
      <c r="AAQ21" s="40"/>
      <c r="AAR21" s="40"/>
      <c r="AAS21" s="40"/>
      <c r="AAT21" s="40"/>
      <c r="AAU21" s="40"/>
      <c r="AAV21" s="40"/>
      <c r="AAW21" s="40"/>
      <c r="AAX21" s="40"/>
      <c r="AAY21" s="40"/>
      <c r="AAZ21" s="40"/>
      <c r="ABA21" s="40"/>
      <c r="ABB21" s="40"/>
      <c r="ABC21" s="40"/>
      <c r="ABD21" s="40"/>
      <c r="ABE21" s="40"/>
      <c r="ABF21" s="40"/>
      <c r="ABG21" s="40"/>
      <c r="ABH21" s="40"/>
      <c r="ABI21" s="40"/>
      <c r="ABJ21" s="40"/>
      <c r="ABK21" s="40"/>
      <c r="ABL21" s="40"/>
      <c r="ABM21" s="40"/>
      <c r="ABN21" s="40"/>
      <c r="ABO21" s="40"/>
      <c r="ABP21" s="40"/>
      <c r="ABQ21" s="40"/>
      <c r="ABR21" s="40"/>
      <c r="ABS21" s="40"/>
      <c r="ABT21" s="40"/>
      <c r="ABU21" s="40"/>
      <c r="ABV21" s="40"/>
      <c r="ABW21" s="40"/>
      <c r="ABX21" s="40"/>
      <c r="ABY21" s="40"/>
      <c r="ABZ21" s="40"/>
      <c r="ACA21" s="40"/>
      <c r="ACB21" s="40"/>
      <c r="ACC21" s="40"/>
      <c r="ACD21" s="40"/>
      <c r="ACE21" s="40"/>
      <c r="ACF21" s="40"/>
      <c r="ACG21" s="40"/>
      <c r="ACH21" s="40"/>
      <c r="ACI21" s="40"/>
      <c r="ACJ21" s="40"/>
      <c r="ACK21" s="40"/>
      <c r="ACL21" s="40"/>
      <c r="ACM21" s="40"/>
      <c r="ACN21" s="40"/>
      <c r="ACO21" s="40"/>
      <c r="ACP21" s="40"/>
      <c r="ACQ21" s="40"/>
      <c r="ACR21" s="40"/>
      <c r="ACS21" s="40"/>
      <c r="ACT21" s="40"/>
      <c r="ACU21" s="40"/>
      <c r="ACV21" s="40"/>
      <c r="ACW21" s="40"/>
      <c r="ACX21" s="40"/>
      <c r="ACY21" s="40"/>
      <c r="ACZ21" s="40"/>
      <c r="ADA21" s="40"/>
      <c r="ADB21" s="40"/>
      <c r="ADC21" s="40"/>
      <c r="ADD21" s="40"/>
      <c r="ADE21" s="40"/>
      <c r="ADF21" s="40"/>
      <c r="ADG21" s="40"/>
      <c r="ADH21" s="40"/>
      <c r="ADI21" s="40"/>
      <c r="ADJ21" s="40"/>
      <c r="ADK21" s="40"/>
      <c r="ADL21" s="40"/>
      <c r="ADM21" s="40"/>
      <c r="ADN21" s="40"/>
      <c r="ADO21" s="40"/>
      <c r="ADP21" s="40"/>
      <c r="ADQ21" s="40"/>
      <c r="ADR21" s="40"/>
      <c r="ADS21" s="40"/>
      <c r="ADT21" s="40"/>
      <c r="ADU21" s="40"/>
      <c r="ADV21" s="40"/>
      <c r="ADW21" s="40"/>
      <c r="ADX21" s="40"/>
      <c r="ADY21" s="40"/>
      <c r="ADZ21" s="40"/>
      <c r="AEA21" s="40"/>
      <c r="AEB21" s="40"/>
      <c r="AEC21" s="40"/>
      <c r="AED21" s="40"/>
      <c r="AEE21" s="40"/>
      <c r="AEF21" s="40"/>
      <c r="AEG21" s="40"/>
      <c r="AEH21" s="40"/>
      <c r="AEI21" s="40"/>
      <c r="AEJ21" s="40"/>
      <c r="AEK21" s="40"/>
      <c r="AEL21" s="40"/>
      <c r="AEM21" s="40"/>
      <c r="AEN21" s="40"/>
      <c r="AEO21" s="40"/>
      <c r="AEP21" s="40"/>
      <c r="AEQ21" s="40"/>
      <c r="AER21" s="40"/>
      <c r="AES21" s="40"/>
      <c r="AET21" s="40"/>
      <c r="AEU21" s="40"/>
      <c r="AEV21" s="40"/>
      <c r="AEW21" s="40"/>
      <c r="AEX21" s="40"/>
      <c r="AEY21" s="40"/>
      <c r="AEZ21" s="40"/>
      <c r="AFA21" s="40"/>
      <c r="AFB21" s="40"/>
      <c r="AFC21" s="40"/>
      <c r="AFD21" s="40"/>
      <c r="AFE21" s="40"/>
      <c r="AFF21" s="40"/>
      <c r="AFG21" s="40"/>
      <c r="AFH21" s="40"/>
      <c r="AFI21" s="40"/>
      <c r="AFJ21" s="40"/>
      <c r="AFK21" s="40"/>
      <c r="AFL21" s="40"/>
      <c r="AFM21" s="40"/>
      <c r="AFN21" s="40"/>
      <c r="AFO21" s="40"/>
      <c r="AFP21" s="40"/>
      <c r="AFQ21" s="40"/>
      <c r="AFR21" s="40"/>
      <c r="AFS21" s="40"/>
      <c r="AFT21" s="40"/>
      <c r="AFU21" s="40"/>
      <c r="AFV21" s="40"/>
      <c r="AFW21" s="40"/>
      <c r="AFX21" s="40"/>
      <c r="AFY21" s="40"/>
      <c r="AFZ21" s="40"/>
      <c r="AGA21" s="40"/>
      <c r="AGB21" s="40"/>
      <c r="AGC21" s="40"/>
      <c r="AGD21" s="40"/>
      <c r="AGE21" s="40"/>
      <c r="AGF21" s="40"/>
      <c r="AGG21" s="40"/>
      <c r="AGH21" s="40"/>
      <c r="AGI21" s="40"/>
      <c r="AGJ21" s="40"/>
      <c r="AGK21" s="40"/>
      <c r="AGL21" s="40"/>
      <c r="AGM21" s="40"/>
      <c r="AGN21" s="40"/>
      <c r="AGO21" s="40"/>
      <c r="AGP21" s="40"/>
      <c r="AGQ21" s="40"/>
      <c r="AGR21" s="40"/>
      <c r="AGS21" s="40"/>
      <c r="AGT21" s="40"/>
      <c r="AGU21" s="40"/>
      <c r="AGV21" s="40"/>
      <c r="AGW21" s="40"/>
      <c r="AGX21" s="40"/>
      <c r="AGY21" s="40"/>
      <c r="AGZ21" s="40"/>
      <c r="AHA21" s="40"/>
      <c r="AHB21" s="40"/>
      <c r="AHC21" s="40"/>
      <c r="AHD21" s="40"/>
      <c r="AHE21" s="40"/>
      <c r="AHF21" s="40"/>
      <c r="AHG21" s="40"/>
      <c r="AHH21" s="40"/>
      <c r="AHI21" s="40"/>
      <c r="AHJ21" s="40"/>
      <c r="AHK21" s="40"/>
      <c r="AHL21" s="40"/>
      <c r="AHM21" s="40"/>
      <c r="AHN21" s="40"/>
      <c r="AHO21" s="40"/>
      <c r="AHP21" s="40"/>
      <c r="AHQ21" s="40"/>
      <c r="AHR21" s="40"/>
      <c r="AHS21" s="40"/>
      <c r="AHT21" s="40"/>
      <c r="AHU21" s="40"/>
      <c r="AHV21" s="40"/>
      <c r="AHW21" s="40"/>
      <c r="AHX21" s="40"/>
      <c r="AHY21" s="40"/>
      <c r="AHZ21" s="40"/>
      <c r="AIA21" s="40"/>
      <c r="AIB21" s="40"/>
      <c r="AIC21" s="40"/>
      <c r="AID21" s="40"/>
      <c r="AIE21" s="40"/>
      <c r="AIF21" s="40"/>
      <c r="AIG21" s="40"/>
      <c r="AIH21" s="40"/>
      <c r="AII21" s="40"/>
      <c r="AIJ21" s="40"/>
      <c r="AIK21" s="40"/>
      <c r="AIL21" s="40"/>
      <c r="AIM21" s="40"/>
      <c r="AIN21" s="40"/>
      <c r="AIO21" s="40"/>
      <c r="AIP21" s="40"/>
      <c r="AIQ21" s="40"/>
      <c r="AIR21" s="40"/>
      <c r="AIS21" s="40"/>
      <c r="AIT21" s="40"/>
      <c r="AIU21" s="40"/>
      <c r="AIV21" s="40"/>
      <c r="AIW21" s="40"/>
      <c r="AIX21" s="40"/>
      <c r="AIY21" s="40"/>
      <c r="AIZ21" s="40"/>
      <c r="AJA21" s="40"/>
      <c r="AJB21" s="40"/>
      <c r="AJC21" s="40"/>
      <c r="AJD21" s="40"/>
      <c r="AJE21" s="40"/>
      <c r="AJF21" s="40"/>
      <c r="AJG21" s="40"/>
      <c r="AJH21" s="40"/>
      <c r="AJI21" s="40"/>
      <c r="AJJ21" s="40"/>
      <c r="AJK21" s="40"/>
      <c r="AJL21" s="40"/>
      <c r="AJM21" s="40"/>
      <c r="AJN21" s="40"/>
      <c r="AJO21" s="40"/>
      <c r="AJP21" s="40"/>
      <c r="AJQ21" s="40"/>
      <c r="AJR21" s="40"/>
      <c r="AJS21" s="40"/>
      <c r="AJT21" s="40"/>
      <c r="AJU21" s="40"/>
      <c r="AJV21" s="40"/>
      <c r="AJW21" s="40"/>
      <c r="AJX21" s="40"/>
      <c r="AJY21" s="40"/>
      <c r="AJZ21" s="40"/>
      <c r="AKA21" s="40"/>
      <c r="AKB21" s="40"/>
      <c r="AKC21" s="40"/>
      <c r="AKD21" s="40"/>
      <c r="AKE21" s="40"/>
      <c r="AKF21" s="40"/>
      <c r="AKG21" s="40"/>
      <c r="AKH21" s="40"/>
      <c r="AKI21" s="40"/>
      <c r="AKJ21" s="40"/>
      <c r="AKK21" s="40"/>
      <c r="AKL21" s="40"/>
      <c r="AKM21" s="40"/>
      <c r="AKN21" s="40"/>
      <c r="AKO21" s="40"/>
      <c r="AKP21" s="40"/>
      <c r="AKQ21" s="40"/>
      <c r="AKR21" s="40"/>
      <c r="AKS21" s="40"/>
      <c r="AKT21" s="40"/>
      <c r="AKU21" s="40"/>
      <c r="AKV21" s="40"/>
      <c r="AKW21" s="40"/>
      <c r="AKX21" s="40"/>
      <c r="AKY21" s="40"/>
      <c r="AKZ21" s="40"/>
      <c r="ALA21" s="40"/>
      <c r="ALB21" s="40"/>
      <c r="ALC21" s="40"/>
      <c r="ALD21" s="40"/>
      <c r="ALE21" s="40"/>
      <c r="ALF21" s="40"/>
      <c r="ALG21" s="40"/>
      <c r="ALH21" s="40"/>
      <c r="ALI21" s="40"/>
      <c r="ALJ21" s="40"/>
      <c r="ALK21" s="40"/>
      <c r="ALL21" s="40"/>
      <c r="ALM21" s="40"/>
      <c r="ALN21" s="40"/>
      <c r="ALO21" s="40"/>
      <c r="ALP21" s="40"/>
      <c r="ALQ21" s="40"/>
      <c r="ALR21" s="40"/>
      <c r="ALS21" s="40"/>
      <c r="ALT21" s="40"/>
      <c r="ALU21" s="40"/>
      <c r="ALV21" s="40"/>
      <c r="ALW21" s="40"/>
      <c r="ALX21" s="40"/>
      <c r="ALY21" s="40"/>
      <c r="ALZ21" s="40"/>
      <c r="AMA21" s="40"/>
      <c r="AMB21" s="40"/>
      <c r="AMC21" s="40"/>
      <c r="AMD21" s="40"/>
      <c r="AME21" s="40"/>
      <c r="AMF21" s="40"/>
      <c r="AMG21" s="40"/>
      <c r="AMH21" s="40"/>
      <c r="AMI21" s="40"/>
      <c r="AMJ21" s="40"/>
      <c r="AMK21" s="40"/>
      <c r="AML21" s="40"/>
      <c r="AMM21" s="40"/>
      <c r="AMN21" s="40"/>
      <c r="AMO21" s="40"/>
      <c r="AMP21" s="40"/>
      <c r="AMQ21" s="40"/>
      <c r="AMR21" s="40"/>
      <c r="AMS21" s="40"/>
      <c r="AMT21" s="40"/>
      <c r="AMU21" s="40"/>
      <c r="AMV21" s="40"/>
      <c r="AMW21" s="40"/>
      <c r="AMX21" s="40"/>
      <c r="AMY21" s="40"/>
      <c r="AMZ21" s="40"/>
      <c r="ANA21" s="40"/>
      <c r="ANB21" s="40"/>
      <c r="ANC21" s="40"/>
      <c r="AND21" s="40"/>
      <c r="ANE21" s="40"/>
      <c r="ANF21" s="40"/>
      <c r="ANG21" s="40"/>
      <c r="ANH21" s="40"/>
      <c r="ANI21" s="40"/>
      <c r="ANJ21" s="40"/>
      <c r="ANK21" s="40"/>
      <c r="ANL21" s="40"/>
      <c r="ANM21" s="40"/>
      <c r="ANN21" s="40"/>
      <c r="ANO21" s="40"/>
      <c r="ANP21" s="40"/>
      <c r="ANQ21" s="40"/>
      <c r="ANR21" s="40"/>
      <c r="ANS21" s="40"/>
      <c r="ANT21" s="40"/>
      <c r="ANU21" s="40"/>
      <c r="ANV21" s="40"/>
      <c r="ANW21" s="40"/>
      <c r="ANX21" s="40"/>
      <c r="ANY21" s="40"/>
      <c r="ANZ21" s="40"/>
      <c r="AOA21" s="40"/>
      <c r="AOB21" s="40"/>
      <c r="AOC21" s="40"/>
      <c r="AOD21" s="40"/>
      <c r="AOE21" s="40"/>
      <c r="AOF21" s="40"/>
      <c r="AOG21" s="40"/>
      <c r="AOH21" s="40"/>
      <c r="AOI21" s="40"/>
      <c r="AOJ21" s="40"/>
      <c r="AOK21" s="40"/>
      <c r="AOL21" s="40"/>
      <c r="AOM21" s="40"/>
      <c r="AON21" s="40"/>
      <c r="AOO21" s="40"/>
      <c r="AOP21" s="40"/>
      <c r="AOQ21" s="40"/>
      <c r="AOR21" s="40"/>
      <c r="AOS21" s="40"/>
      <c r="AOT21" s="40"/>
      <c r="AOU21" s="40"/>
      <c r="AOV21" s="40"/>
      <c r="AOW21" s="40"/>
      <c r="AOX21" s="40"/>
      <c r="AOY21" s="40"/>
      <c r="AOZ21" s="40"/>
      <c r="APA21" s="40"/>
      <c r="APB21" s="40"/>
      <c r="APC21" s="40"/>
      <c r="APD21" s="40"/>
      <c r="APE21" s="40"/>
      <c r="APF21" s="40"/>
      <c r="APG21" s="40"/>
      <c r="APH21" s="40"/>
      <c r="API21" s="40"/>
      <c r="APJ21" s="40"/>
      <c r="APK21" s="40"/>
      <c r="APL21" s="40"/>
      <c r="APM21" s="40"/>
      <c r="APN21" s="40"/>
      <c r="APO21" s="40"/>
      <c r="APP21" s="40"/>
      <c r="APQ21" s="40"/>
      <c r="APR21" s="40"/>
      <c r="APS21" s="40"/>
      <c r="APT21" s="40"/>
      <c r="APU21" s="40"/>
      <c r="APV21" s="40"/>
      <c r="APW21" s="40"/>
      <c r="APX21" s="40"/>
      <c r="APY21" s="40"/>
      <c r="APZ21" s="40"/>
      <c r="AQA21" s="40"/>
      <c r="AQB21" s="40"/>
      <c r="AQC21" s="40"/>
      <c r="AQD21" s="40"/>
      <c r="AQE21" s="40"/>
      <c r="AQF21" s="40"/>
      <c r="AQG21" s="40"/>
      <c r="AQH21" s="40"/>
      <c r="AQI21" s="40"/>
      <c r="AQJ21" s="40"/>
      <c r="AQK21" s="40"/>
      <c r="AQL21" s="40"/>
      <c r="AQM21" s="40"/>
      <c r="AQN21" s="40"/>
      <c r="AQO21" s="40"/>
      <c r="AQP21" s="40"/>
      <c r="AQQ21" s="40"/>
      <c r="AQR21" s="40"/>
      <c r="AQS21" s="40"/>
      <c r="AQT21" s="40"/>
      <c r="AQU21" s="40"/>
      <c r="AQV21" s="40"/>
      <c r="AQW21" s="40"/>
      <c r="AQX21" s="40"/>
      <c r="AQY21" s="40"/>
      <c r="AQZ21" s="40"/>
      <c r="ARA21" s="40"/>
      <c r="ARB21" s="40"/>
      <c r="ARC21" s="40"/>
      <c r="ARD21" s="40"/>
      <c r="ARE21" s="40"/>
      <c r="ARF21" s="40"/>
      <c r="ARG21" s="40"/>
      <c r="ARH21" s="40"/>
      <c r="ARI21" s="40"/>
      <c r="ARJ21" s="40"/>
      <c r="ARK21" s="40"/>
      <c r="ARL21" s="40"/>
      <c r="ARM21" s="40"/>
      <c r="ARN21" s="40"/>
      <c r="ARO21" s="40"/>
      <c r="ARP21" s="40"/>
      <c r="ARQ21" s="40"/>
      <c r="ARR21" s="40"/>
      <c r="ARS21" s="40"/>
      <c r="ART21" s="40"/>
      <c r="ARU21" s="40"/>
      <c r="ARV21" s="40"/>
      <c r="ARW21" s="40"/>
      <c r="ARX21" s="40"/>
      <c r="ARY21" s="40"/>
      <c r="ARZ21" s="40"/>
      <c r="ASA21" s="40"/>
      <c r="ASB21" s="40"/>
      <c r="ASC21" s="40"/>
      <c r="ASD21" s="40"/>
      <c r="ASE21" s="40"/>
      <c r="ASF21" s="40"/>
      <c r="ASG21" s="40"/>
      <c r="ASH21" s="40"/>
      <c r="ASI21" s="40"/>
      <c r="ASJ21" s="40"/>
      <c r="ASK21" s="40"/>
      <c r="ASL21" s="40"/>
      <c r="ASM21" s="40"/>
      <c r="ASN21" s="40"/>
      <c r="ASO21" s="40"/>
      <c r="ASP21" s="40"/>
      <c r="ASQ21" s="40"/>
      <c r="ASR21" s="40"/>
      <c r="ASS21" s="40"/>
      <c r="AST21" s="40"/>
      <c r="ASU21" s="40"/>
      <c r="ASV21" s="40"/>
      <c r="ASW21" s="40"/>
      <c r="ASX21" s="40"/>
      <c r="ASY21" s="40"/>
      <c r="ASZ21" s="40"/>
      <c r="ATA21" s="40"/>
      <c r="ATB21" s="40"/>
      <c r="ATC21" s="40"/>
      <c r="ATD21" s="40"/>
      <c r="ATE21" s="40"/>
      <c r="ATF21" s="40"/>
      <c r="ATG21" s="40"/>
      <c r="ATH21" s="40"/>
      <c r="ATI21" s="40"/>
      <c r="ATJ21" s="40"/>
      <c r="ATK21" s="40"/>
      <c r="ATL21" s="40"/>
      <c r="ATM21" s="40"/>
      <c r="ATN21" s="40"/>
      <c r="ATO21" s="40"/>
      <c r="ATP21" s="40"/>
      <c r="ATQ21" s="40"/>
      <c r="ATR21" s="40"/>
      <c r="ATS21" s="40"/>
      <c r="ATT21" s="40"/>
      <c r="ATU21" s="40"/>
      <c r="ATV21" s="40"/>
      <c r="ATW21" s="40"/>
      <c r="ATX21" s="40"/>
      <c r="ATY21" s="40"/>
      <c r="ATZ21" s="40"/>
      <c r="AUA21" s="40"/>
      <c r="AUB21" s="40"/>
      <c r="AUC21" s="40"/>
      <c r="AUD21" s="40"/>
      <c r="AUE21" s="40"/>
      <c r="AUF21" s="40"/>
      <c r="AUG21" s="40"/>
      <c r="AUH21" s="40"/>
      <c r="AUI21" s="40"/>
      <c r="AUJ21" s="40"/>
      <c r="AUK21" s="40"/>
      <c r="AUL21" s="40"/>
      <c r="AUM21" s="40"/>
      <c r="AUN21" s="40"/>
      <c r="AUO21" s="40"/>
      <c r="AUP21" s="40"/>
      <c r="AUQ21" s="40"/>
      <c r="AUR21" s="40"/>
      <c r="AUS21" s="40"/>
      <c r="AUT21" s="40"/>
      <c r="AUU21" s="40"/>
      <c r="AUV21" s="40"/>
      <c r="AUW21" s="40"/>
      <c r="AUX21" s="40"/>
      <c r="AUY21" s="40"/>
      <c r="AUZ21" s="40"/>
      <c r="AVA21" s="40"/>
      <c r="AVB21" s="40"/>
      <c r="AVC21" s="40"/>
      <c r="AVD21" s="40"/>
      <c r="AVE21" s="40"/>
      <c r="AVF21" s="40"/>
      <c r="AVG21" s="40"/>
      <c r="AVH21" s="40"/>
      <c r="AVI21" s="40"/>
      <c r="AVJ21" s="40"/>
      <c r="AVK21" s="40"/>
      <c r="AVL21" s="40"/>
      <c r="AVM21" s="40"/>
      <c r="AVN21" s="40"/>
      <c r="AVO21" s="40"/>
      <c r="AVP21" s="40"/>
      <c r="AVQ21" s="40"/>
      <c r="AVR21" s="40"/>
      <c r="AVS21" s="40"/>
      <c r="AVT21" s="40"/>
      <c r="AVU21" s="40"/>
      <c r="AVV21" s="40"/>
      <c r="AVW21" s="40"/>
      <c r="AVX21" s="40"/>
      <c r="AVY21" s="40"/>
      <c r="AVZ21" s="40"/>
      <c r="AWA21" s="40"/>
      <c r="AWB21" s="40"/>
      <c r="AWC21" s="40"/>
      <c r="AWD21" s="40"/>
      <c r="AWE21" s="40"/>
      <c r="AWF21" s="40"/>
      <c r="AWG21" s="40"/>
      <c r="AWH21" s="40"/>
      <c r="AWI21" s="40"/>
      <c r="AWJ21" s="40"/>
      <c r="AWK21" s="40"/>
      <c r="AWL21" s="40"/>
      <c r="AWM21" s="40"/>
      <c r="AWN21" s="40"/>
      <c r="AWO21" s="40"/>
      <c r="AWP21" s="40"/>
      <c r="AWQ21" s="40"/>
      <c r="AWR21" s="40"/>
      <c r="AWS21" s="40"/>
      <c r="AWT21" s="40"/>
      <c r="AWU21" s="40"/>
      <c r="AWV21" s="40"/>
      <c r="AWW21" s="40"/>
      <c r="AWX21" s="40"/>
      <c r="AWY21" s="40"/>
      <c r="AWZ21" s="40"/>
      <c r="AXA21" s="40"/>
      <c r="AXB21" s="40"/>
      <c r="AXC21" s="40"/>
      <c r="AXD21" s="40"/>
      <c r="AXE21" s="40"/>
      <c r="AXF21" s="40"/>
      <c r="AXG21" s="40"/>
      <c r="AXH21" s="40"/>
      <c r="AXI21" s="40"/>
      <c r="AXJ21" s="40"/>
      <c r="AXK21" s="40"/>
      <c r="AXL21" s="40"/>
      <c r="AXM21" s="40"/>
      <c r="AXN21" s="40"/>
      <c r="AXO21" s="40"/>
      <c r="AXP21" s="40"/>
      <c r="AXQ21" s="40"/>
      <c r="AXR21" s="40"/>
      <c r="AXS21" s="40"/>
      <c r="AXT21" s="40"/>
      <c r="AXU21" s="40"/>
      <c r="AXV21" s="40"/>
      <c r="AXW21" s="40"/>
      <c r="AXX21" s="40"/>
      <c r="AXY21" s="40"/>
      <c r="AXZ21" s="40"/>
      <c r="AYA21" s="40"/>
      <c r="AYB21" s="40"/>
      <c r="AYC21" s="40"/>
      <c r="AYD21" s="40"/>
      <c r="AYE21" s="40"/>
      <c r="AYF21" s="40"/>
      <c r="AYG21" s="40"/>
      <c r="AYH21" s="40"/>
      <c r="AYI21" s="40"/>
      <c r="AYJ21" s="40"/>
      <c r="AYK21" s="40"/>
      <c r="AYL21" s="40"/>
      <c r="AYM21" s="40"/>
      <c r="AYN21" s="40"/>
      <c r="AYO21" s="40"/>
      <c r="AYP21" s="40"/>
      <c r="AYQ21" s="40"/>
      <c r="AYR21" s="40"/>
      <c r="AYS21" s="40"/>
      <c r="AYT21" s="40"/>
      <c r="AYU21" s="40"/>
      <c r="AYV21" s="40"/>
      <c r="AYW21" s="40"/>
      <c r="AYX21" s="40"/>
      <c r="AYY21" s="40"/>
      <c r="AYZ21" s="40"/>
      <c r="AZA21" s="40"/>
      <c r="AZB21" s="40"/>
      <c r="AZC21" s="40"/>
      <c r="AZD21" s="40"/>
      <c r="AZE21" s="40"/>
      <c r="AZF21" s="40"/>
      <c r="AZG21" s="40"/>
      <c r="AZH21" s="40"/>
      <c r="AZI21" s="40"/>
      <c r="AZJ21" s="40"/>
      <c r="AZK21" s="40"/>
      <c r="AZL21" s="40"/>
      <c r="AZM21" s="40"/>
      <c r="AZN21" s="40"/>
      <c r="AZO21" s="40"/>
      <c r="AZP21" s="40"/>
      <c r="AZQ21" s="40"/>
      <c r="AZR21" s="40"/>
      <c r="AZS21" s="40"/>
      <c r="AZT21" s="40"/>
      <c r="AZU21" s="40"/>
      <c r="AZV21" s="40"/>
      <c r="AZW21" s="40"/>
      <c r="AZX21" s="40"/>
      <c r="AZY21" s="40"/>
      <c r="AZZ21" s="40"/>
      <c r="BAA21" s="40"/>
      <c r="BAB21" s="40"/>
      <c r="BAC21" s="40"/>
      <c r="BAD21" s="40"/>
      <c r="BAE21" s="40"/>
      <c r="BAF21" s="40"/>
      <c r="BAG21" s="40"/>
      <c r="BAH21" s="40"/>
      <c r="BAI21" s="40"/>
      <c r="BAJ21" s="40"/>
      <c r="BAK21" s="40"/>
      <c r="BAL21" s="40"/>
      <c r="BAM21" s="40"/>
      <c r="BAN21" s="40"/>
      <c r="BAO21" s="40"/>
      <c r="BAP21" s="40"/>
      <c r="BAQ21" s="40"/>
      <c r="BAR21" s="40"/>
      <c r="BAS21" s="40"/>
      <c r="BAT21" s="40"/>
      <c r="BAU21" s="40"/>
      <c r="BAV21" s="40"/>
      <c r="BAW21" s="40"/>
      <c r="BAX21" s="40"/>
      <c r="BAY21" s="40"/>
      <c r="BAZ21" s="40"/>
      <c r="BBA21" s="40"/>
      <c r="BBB21" s="40"/>
      <c r="BBC21" s="40"/>
      <c r="BBD21" s="40"/>
      <c r="BBE21" s="40"/>
      <c r="BBF21" s="40"/>
      <c r="BBG21" s="40"/>
      <c r="BBH21" s="40"/>
      <c r="BBI21" s="40"/>
      <c r="BBJ21" s="40"/>
      <c r="BBK21" s="40"/>
      <c r="BBL21" s="40"/>
      <c r="BBM21" s="40"/>
      <c r="BBN21" s="40"/>
      <c r="BBO21" s="40"/>
      <c r="BBP21" s="40"/>
      <c r="BBQ21" s="40"/>
      <c r="BBR21" s="40"/>
      <c r="BBS21" s="40"/>
      <c r="BBT21" s="40"/>
      <c r="BBU21" s="40"/>
      <c r="BBV21" s="40"/>
      <c r="BBW21" s="40"/>
      <c r="BBX21" s="40"/>
      <c r="BBY21" s="40"/>
      <c r="BBZ21" s="40"/>
      <c r="BCA21" s="40"/>
      <c r="BCB21" s="40"/>
      <c r="BCC21" s="40"/>
      <c r="BCD21" s="40"/>
      <c r="BCE21" s="40"/>
      <c r="BCF21" s="40"/>
      <c r="BCG21" s="40"/>
      <c r="BCH21" s="40"/>
      <c r="BCI21" s="40"/>
      <c r="BCJ21" s="40"/>
      <c r="BCK21" s="40"/>
      <c r="BCL21" s="40"/>
      <c r="BCM21" s="40"/>
      <c r="BCN21" s="40"/>
      <c r="BCO21" s="40"/>
      <c r="BCP21" s="40"/>
      <c r="BCQ21" s="40"/>
      <c r="BCR21" s="40"/>
      <c r="BCS21" s="40"/>
      <c r="BCT21" s="40"/>
      <c r="BCU21" s="40"/>
      <c r="BCV21" s="40"/>
      <c r="BCW21" s="40"/>
      <c r="BCX21" s="40"/>
      <c r="BCY21" s="40"/>
      <c r="BCZ21" s="40"/>
      <c r="BDA21" s="40"/>
      <c r="BDB21" s="40"/>
      <c r="BDC21" s="40"/>
      <c r="BDD21" s="40"/>
      <c r="BDE21" s="40"/>
      <c r="BDF21" s="40"/>
      <c r="BDG21" s="40"/>
      <c r="BDH21" s="40"/>
      <c r="BDI21" s="40"/>
      <c r="BDJ21" s="40"/>
      <c r="BDK21" s="40"/>
      <c r="BDL21" s="40"/>
      <c r="BDM21" s="40"/>
      <c r="BDN21" s="40"/>
      <c r="BDO21" s="40"/>
      <c r="BDP21" s="40"/>
      <c r="BDQ21" s="40"/>
      <c r="BDR21" s="40"/>
      <c r="BDS21" s="40"/>
      <c r="BDT21" s="40"/>
      <c r="BDU21" s="40"/>
      <c r="BDV21" s="40"/>
      <c r="BDW21" s="40"/>
      <c r="BDX21" s="40"/>
      <c r="BDY21" s="40"/>
      <c r="BDZ21" s="40"/>
      <c r="BEA21" s="40"/>
      <c r="BEB21" s="40"/>
      <c r="BEC21" s="40"/>
      <c r="BED21" s="40"/>
      <c r="BEE21" s="40"/>
      <c r="BEF21" s="40"/>
      <c r="BEG21" s="40"/>
      <c r="BEH21" s="40"/>
      <c r="BEI21" s="40"/>
      <c r="BEJ21" s="40"/>
      <c r="BEK21" s="40"/>
      <c r="BEL21" s="40"/>
      <c r="BEM21" s="40"/>
      <c r="BEN21" s="40"/>
      <c r="BEO21" s="40"/>
      <c r="BEP21" s="40"/>
      <c r="BEQ21" s="40"/>
      <c r="BER21" s="40"/>
      <c r="BES21" s="40"/>
      <c r="BET21" s="40"/>
      <c r="BEU21" s="40"/>
      <c r="BEV21" s="40"/>
      <c r="BEW21" s="40"/>
      <c r="BEX21" s="40"/>
      <c r="BEY21" s="40"/>
      <c r="BEZ21" s="40"/>
      <c r="BFA21" s="40"/>
      <c r="BFB21" s="40"/>
      <c r="BFC21" s="40"/>
      <c r="BFD21" s="40"/>
      <c r="BFE21" s="40"/>
      <c r="BFF21" s="40"/>
      <c r="BFG21" s="40"/>
      <c r="BFH21" s="40"/>
      <c r="BFI21" s="40"/>
      <c r="BFJ21" s="40"/>
      <c r="BFK21" s="40"/>
      <c r="BFL21" s="40"/>
      <c r="BFM21" s="40"/>
      <c r="BFN21" s="40"/>
      <c r="BFO21" s="40"/>
      <c r="BFP21" s="40"/>
      <c r="BFQ21" s="40"/>
      <c r="BFR21" s="40"/>
      <c r="BFS21" s="40"/>
      <c r="BFT21" s="40"/>
      <c r="BFU21" s="40"/>
      <c r="BFV21" s="40"/>
      <c r="BFW21" s="40"/>
      <c r="BFX21" s="40"/>
      <c r="BFY21" s="40"/>
      <c r="BFZ21" s="40"/>
      <c r="BGA21" s="40"/>
      <c r="BGB21" s="40"/>
      <c r="BGC21" s="40"/>
      <c r="BGD21" s="40"/>
      <c r="BGE21" s="40"/>
      <c r="BGF21" s="40"/>
      <c r="BGG21" s="40"/>
      <c r="BGH21" s="40"/>
      <c r="BGI21" s="40"/>
      <c r="BGJ21" s="40"/>
      <c r="BGK21" s="40"/>
      <c r="BGL21" s="40"/>
      <c r="BGM21" s="40"/>
      <c r="BGN21" s="40"/>
      <c r="BGO21" s="40"/>
      <c r="BGP21" s="40"/>
      <c r="BGQ21" s="40"/>
      <c r="BGR21" s="40"/>
      <c r="BGS21" s="40"/>
      <c r="BGT21" s="40"/>
      <c r="BGU21" s="40"/>
      <c r="BGV21" s="40"/>
      <c r="BGW21" s="40"/>
      <c r="BGX21" s="40"/>
      <c r="BGY21" s="40"/>
      <c r="BGZ21" s="40"/>
      <c r="BHA21" s="40"/>
      <c r="BHB21" s="40"/>
      <c r="BHC21" s="40"/>
      <c r="BHD21" s="40"/>
      <c r="BHE21" s="40"/>
      <c r="BHF21" s="40"/>
      <c r="BHG21" s="40"/>
      <c r="BHH21" s="40"/>
      <c r="BHI21" s="40"/>
      <c r="BHJ21" s="40"/>
      <c r="BHK21" s="40"/>
      <c r="BHL21" s="40"/>
      <c r="BHM21" s="40"/>
      <c r="BHN21" s="40"/>
      <c r="BHO21" s="40"/>
      <c r="BHP21" s="40"/>
      <c r="BHQ21" s="40"/>
      <c r="BHR21" s="40"/>
      <c r="BHS21" s="40"/>
      <c r="BHT21" s="40"/>
      <c r="BHU21" s="40"/>
      <c r="BHV21" s="40"/>
      <c r="BHW21" s="40"/>
      <c r="BHX21" s="40"/>
      <c r="BHY21" s="40"/>
      <c r="BHZ21" s="40"/>
      <c r="BIA21" s="40"/>
      <c r="BIB21" s="40"/>
      <c r="BIC21" s="40"/>
      <c r="BID21" s="40"/>
      <c r="BIE21" s="40"/>
      <c r="BIF21" s="40"/>
      <c r="BIG21" s="40"/>
      <c r="BIH21" s="40"/>
      <c r="BII21" s="40"/>
      <c r="BIJ21" s="40"/>
      <c r="BIK21" s="40"/>
      <c r="BIL21" s="40"/>
      <c r="BIM21" s="40"/>
      <c r="BIN21" s="40"/>
      <c r="BIO21" s="40"/>
      <c r="BIP21" s="40"/>
      <c r="BIQ21" s="40"/>
      <c r="BIR21" s="40"/>
      <c r="BIS21" s="40"/>
      <c r="BIT21" s="40"/>
      <c r="BIU21" s="40"/>
      <c r="BIV21" s="40"/>
      <c r="BIW21" s="40"/>
      <c r="BIX21" s="40"/>
      <c r="BIY21" s="40"/>
      <c r="BIZ21" s="40"/>
      <c r="BJA21" s="40"/>
      <c r="BJB21" s="40"/>
      <c r="BJC21" s="40"/>
      <c r="BJD21" s="40"/>
      <c r="BJE21" s="40"/>
      <c r="BJF21" s="40"/>
      <c r="BJG21" s="40"/>
      <c r="BJH21" s="40"/>
      <c r="BJI21" s="40"/>
      <c r="BJJ21" s="40"/>
      <c r="BJK21" s="40"/>
      <c r="BJL21" s="40"/>
      <c r="BJM21" s="40"/>
      <c r="BJN21" s="40"/>
      <c r="BJO21" s="40"/>
      <c r="BJP21" s="40"/>
      <c r="BJQ21" s="40"/>
      <c r="BJR21" s="40"/>
      <c r="BJS21" s="40"/>
      <c r="BJT21" s="40"/>
      <c r="BJU21" s="40"/>
      <c r="BJV21" s="40"/>
      <c r="BJW21" s="40"/>
      <c r="BJX21" s="40"/>
      <c r="BJY21" s="40"/>
      <c r="BJZ21" s="40"/>
      <c r="BKA21" s="40"/>
      <c r="BKB21" s="40"/>
      <c r="BKC21" s="40"/>
      <c r="BKD21" s="40"/>
      <c r="BKE21" s="40"/>
      <c r="BKF21" s="40"/>
      <c r="BKG21" s="40"/>
      <c r="BKH21" s="40"/>
      <c r="BKI21" s="40"/>
      <c r="BKJ21" s="40"/>
      <c r="BKK21" s="40"/>
      <c r="BKL21" s="40"/>
      <c r="BKM21" s="40"/>
      <c r="BKN21" s="40"/>
      <c r="BKO21" s="40"/>
      <c r="BKP21" s="40"/>
      <c r="BKQ21" s="40"/>
      <c r="BKR21" s="40"/>
      <c r="BKS21" s="40"/>
      <c r="BKT21" s="40"/>
      <c r="BKU21" s="40"/>
      <c r="BKV21" s="40"/>
      <c r="BKW21" s="40"/>
      <c r="BKX21" s="40"/>
      <c r="BKY21" s="40"/>
      <c r="BKZ21" s="40"/>
      <c r="BLA21" s="40"/>
      <c r="BLB21" s="40"/>
      <c r="BLC21" s="40"/>
      <c r="BLD21" s="40"/>
      <c r="BLE21" s="40"/>
      <c r="BLF21" s="40"/>
      <c r="BLG21" s="40"/>
      <c r="BLH21" s="40"/>
      <c r="BLI21" s="40"/>
      <c r="BLJ21" s="40"/>
      <c r="BLK21" s="40"/>
      <c r="BLL21" s="40"/>
      <c r="BLM21" s="40"/>
      <c r="BLN21" s="40"/>
      <c r="BLO21" s="40"/>
      <c r="BLP21" s="40"/>
      <c r="BLQ21" s="40"/>
      <c r="BLR21" s="40"/>
      <c r="BLS21" s="40"/>
      <c r="BLT21" s="40"/>
      <c r="BLU21" s="40"/>
      <c r="BLV21" s="40"/>
      <c r="BLW21" s="40"/>
      <c r="BLX21" s="40"/>
      <c r="BLY21" s="40"/>
      <c r="BLZ21" s="40"/>
      <c r="BMA21" s="40"/>
      <c r="BMB21" s="40"/>
      <c r="BMC21" s="40"/>
      <c r="BMD21" s="40"/>
      <c r="BME21" s="40"/>
      <c r="BMF21" s="40"/>
      <c r="BMG21" s="40"/>
      <c r="BMH21" s="40"/>
      <c r="BMI21" s="40"/>
      <c r="BMJ21" s="40"/>
      <c r="BMK21" s="40"/>
      <c r="BML21" s="40"/>
      <c r="BMM21" s="40"/>
      <c r="BMN21" s="40"/>
      <c r="BMO21" s="40"/>
      <c r="BMP21" s="40"/>
      <c r="BMQ21" s="40"/>
      <c r="BMR21" s="40"/>
      <c r="BMS21" s="40"/>
      <c r="BMT21" s="40"/>
      <c r="BMU21" s="40"/>
      <c r="BMV21" s="40"/>
      <c r="BMW21" s="40"/>
      <c r="BMX21" s="40"/>
      <c r="BMY21" s="40"/>
      <c r="BMZ21" s="40"/>
      <c r="BNA21" s="40"/>
      <c r="BNB21" s="40"/>
      <c r="BNC21" s="40"/>
      <c r="BND21" s="40"/>
      <c r="BNE21" s="40"/>
      <c r="BNF21" s="40"/>
      <c r="BNG21" s="40"/>
      <c r="BNH21" s="40"/>
      <c r="BNI21" s="40"/>
      <c r="BNJ21" s="40"/>
      <c r="BNK21" s="40"/>
      <c r="BNL21" s="40"/>
      <c r="BNM21" s="40"/>
      <c r="BNN21" s="40"/>
      <c r="BNO21" s="40"/>
      <c r="BNP21" s="40"/>
      <c r="BNQ21" s="40"/>
      <c r="BNR21" s="40"/>
      <c r="BNS21" s="40"/>
      <c r="BNT21" s="40"/>
      <c r="BNU21" s="40"/>
      <c r="BNV21" s="40"/>
      <c r="BNW21" s="40"/>
      <c r="BNX21" s="40"/>
      <c r="BNY21" s="40"/>
      <c r="BNZ21" s="40"/>
      <c r="BOA21" s="40"/>
      <c r="BOB21" s="40"/>
      <c r="BOC21" s="40"/>
      <c r="BOD21" s="40"/>
      <c r="BOE21" s="40"/>
      <c r="BOF21" s="40"/>
      <c r="BOG21" s="40"/>
      <c r="BOH21" s="40"/>
      <c r="BOI21" s="40"/>
      <c r="BOJ21" s="40"/>
      <c r="BOK21" s="40"/>
      <c r="BOL21" s="40"/>
      <c r="BOM21" s="40"/>
      <c r="BON21" s="40"/>
      <c r="BOO21" s="40"/>
      <c r="BOP21" s="40"/>
      <c r="BOQ21" s="40"/>
      <c r="BOR21" s="40"/>
      <c r="BOS21" s="40"/>
      <c r="BOT21" s="40"/>
      <c r="BOU21" s="40"/>
      <c r="BOV21" s="40"/>
      <c r="BOW21" s="40"/>
      <c r="BOX21" s="40"/>
      <c r="BOY21" s="40"/>
      <c r="BOZ21" s="40"/>
      <c r="BPA21" s="40"/>
      <c r="BPB21" s="40"/>
      <c r="BPC21" s="40"/>
      <c r="BPD21" s="40"/>
      <c r="BPE21" s="40"/>
      <c r="BPF21" s="40"/>
      <c r="BPG21" s="40"/>
      <c r="BPH21" s="40"/>
      <c r="BPI21" s="40"/>
      <c r="BPJ21" s="40"/>
      <c r="BPK21" s="40"/>
      <c r="BPL21" s="40"/>
      <c r="BPM21" s="40"/>
      <c r="BPN21" s="40"/>
      <c r="BPO21" s="40"/>
      <c r="BPP21" s="40"/>
      <c r="BPQ21" s="40"/>
      <c r="BPR21" s="40"/>
      <c r="BPS21" s="40"/>
      <c r="BPT21" s="40"/>
      <c r="BPU21" s="40"/>
      <c r="BPV21" s="40"/>
      <c r="BPW21" s="40"/>
      <c r="BPX21" s="40"/>
      <c r="BPY21" s="40"/>
      <c r="BPZ21" s="40"/>
      <c r="BQA21" s="40"/>
      <c r="BQB21" s="40"/>
      <c r="BQC21" s="40"/>
      <c r="BQD21" s="40"/>
      <c r="BQE21" s="40"/>
      <c r="BQF21" s="40"/>
      <c r="BQG21" s="40"/>
      <c r="BQH21" s="40"/>
      <c r="BQI21" s="40"/>
      <c r="BQJ21" s="40"/>
      <c r="BQK21" s="40"/>
      <c r="BQL21" s="40"/>
      <c r="BQM21" s="40"/>
      <c r="BQN21" s="40"/>
      <c r="BQO21" s="40"/>
      <c r="BQP21" s="40"/>
      <c r="BQQ21" s="40"/>
      <c r="BQR21" s="40"/>
      <c r="BQS21" s="40"/>
      <c r="BQT21" s="40"/>
      <c r="BQU21" s="40"/>
      <c r="BQV21" s="40"/>
      <c r="BQW21" s="40"/>
      <c r="BQX21" s="40"/>
      <c r="BQY21" s="40"/>
      <c r="BQZ21" s="40"/>
      <c r="BRA21" s="40"/>
      <c r="BRB21" s="40"/>
      <c r="BRC21" s="40"/>
      <c r="BRD21" s="40"/>
      <c r="BRE21" s="40"/>
      <c r="BRF21" s="40"/>
      <c r="BRG21" s="40"/>
      <c r="BRH21" s="40"/>
      <c r="BRI21" s="40"/>
      <c r="BRJ21" s="40"/>
      <c r="BRK21" s="40"/>
      <c r="BRL21" s="40"/>
      <c r="BRM21" s="40"/>
      <c r="BRN21" s="40"/>
      <c r="BRO21" s="40"/>
      <c r="BRP21" s="40"/>
      <c r="BRQ21" s="40"/>
      <c r="BRR21" s="40"/>
      <c r="BRS21" s="40"/>
      <c r="BRT21" s="40"/>
      <c r="BRU21" s="40"/>
      <c r="BRV21" s="40"/>
      <c r="BRW21" s="40"/>
      <c r="BRX21" s="40"/>
      <c r="BRY21" s="40"/>
      <c r="BRZ21" s="40"/>
      <c r="BSA21" s="40"/>
      <c r="BSB21" s="40"/>
      <c r="BSC21" s="40"/>
      <c r="BSD21" s="40"/>
      <c r="BSE21" s="40"/>
      <c r="BSF21" s="40"/>
      <c r="BSG21" s="40"/>
      <c r="BSH21" s="40"/>
      <c r="BSI21" s="40"/>
      <c r="BSJ21" s="40"/>
      <c r="BSK21" s="40"/>
      <c r="BSL21" s="40"/>
      <c r="BSM21" s="40"/>
      <c r="BSN21" s="40"/>
      <c r="BSO21" s="40"/>
      <c r="BSP21" s="40"/>
      <c r="BSQ21" s="40"/>
      <c r="BSR21" s="40"/>
      <c r="BSS21" s="40"/>
      <c r="BST21" s="40"/>
      <c r="BSU21" s="40"/>
      <c r="BSV21" s="40"/>
      <c r="BSW21" s="40"/>
      <c r="BSX21" s="40"/>
      <c r="BSY21" s="40"/>
      <c r="BSZ21" s="40"/>
      <c r="BTA21" s="40"/>
      <c r="BTB21" s="40"/>
      <c r="BTC21" s="40"/>
      <c r="BTD21" s="40"/>
      <c r="BTE21" s="40"/>
      <c r="BTF21" s="40"/>
      <c r="BTG21" s="40"/>
      <c r="BTH21" s="40"/>
      <c r="BTI21" s="40"/>
      <c r="BTJ21" s="40"/>
      <c r="BTK21" s="40"/>
      <c r="BTL21" s="40"/>
      <c r="BTM21" s="40"/>
      <c r="BTN21" s="40"/>
      <c r="BTO21" s="40"/>
      <c r="BTP21" s="40"/>
      <c r="BTQ21" s="40"/>
      <c r="BTR21" s="40"/>
      <c r="BTS21" s="40"/>
      <c r="BTT21" s="40"/>
      <c r="BTU21" s="40"/>
      <c r="BTV21" s="40"/>
      <c r="BTW21" s="40"/>
      <c r="BTX21" s="40"/>
      <c r="BTY21" s="40"/>
      <c r="BTZ21" s="40"/>
      <c r="BUA21" s="40"/>
      <c r="BUB21" s="40"/>
      <c r="BUC21" s="40"/>
      <c r="BUD21" s="40"/>
      <c r="BUE21" s="40"/>
      <c r="BUF21" s="40"/>
      <c r="BUG21" s="40"/>
      <c r="BUH21" s="40"/>
      <c r="BUI21" s="40"/>
      <c r="BUJ21" s="40"/>
      <c r="BUK21" s="40"/>
      <c r="BUL21" s="40"/>
      <c r="BUM21" s="40"/>
      <c r="BUN21" s="40"/>
      <c r="BUO21" s="40"/>
      <c r="BUP21" s="40"/>
      <c r="BUQ21" s="40"/>
      <c r="BUR21" s="40"/>
      <c r="BUS21" s="40"/>
      <c r="BUT21" s="40"/>
      <c r="BUU21" s="40"/>
      <c r="BUV21" s="40"/>
      <c r="BUW21" s="40"/>
      <c r="BUX21" s="40"/>
      <c r="BUY21" s="40"/>
      <c r="BUZ21" s="40"/>
      <c r="BVA21" s="40"/>
      <c r="BVB21" s="40"/>
      <c r="BVC21" s="40"/>
      <c r="BVD21" s="40"/>
      <c r="BVE21" s="40"/>
      <c r="BVF21" s="40"/>
      <c r="BVG21" s="40"/>
      <c r="BVH21" s="40"/>
      <c r="BVI21" s="40"/>
      <c r="BVJ21" s="40"/>
      <c r="BVK21" s="40"/>
      <c r="BVL21" s="40"/>
      <c r="BVM21" s="40"/>
      <c r="BVN21" s="40"/>
      <c r="BVO21" s="40"/>
      <c r="BVP21" s="40"/>
      <c r="BVQ21" s="40"/>
      <c r="BVR21" s="40"/>
      <c r="BVS21" s="40"/>
      <c r="BVT21" s="40"/>
      <c r="BVU21" s="40"/>
      <c r="BVV21" s="40"/>
      <c r="BVW21" s="40"/>
      <c r="BVX21" s="40"/>
      <c r="BVY21" s="40"/>
      <c r="BVZ21" s="40"/>
      <c r="BWA21" s="40"/>
      <c r="BWB21" s="40"/>
      <c r="BWC21" s="40"/>
      <c r="BWD21" s="40"/>
      <c r="BWE21" s="40"/>
      <c r="BWF21" s="40"/>
      <c r="BWG21" s="40"/>
      <c r="BWH21" s="40"/>
      <c r="BWI21" s="40"/>
      <c r="BWJ21" s="40"/>
      <c r="BWK21" s="40"/>
      <c r="BWL21" s="40"/>
      <c r="BWM21" s="40"/>
      <c r="BWN21" s="40"/>
      <c r="BWO21" s="40"/>
      <c r="BWP21" s="40"/>
      <c r="BWQ21" s="40"/>
      <c r="BWR21" s="40"/>
      <c r="BWS21" s="40"/>
      <c r="BWT21" s="40"/>
      <c r="BWU21" s="40"/>
      <c r="BWV21" s="40"/>
      <c r="BWW21" s="40"/>
      <c r="BWX21" s="40"/>
      <c r="BWY21" s="40"/>
      <c r="BWZ21" s="40"/>
      <c r="BXA21" s="40"/>
      <c r="BXB21" s="40"/>
      <c r="BXC21" s="40"/>
      <c r="BXD21" s="40"/>
      <c r="BXE21" s="40"/>
      <c r="BXF21" s="40"/>
      <c r="BXG21" s="40"/>
      <c r="BXH21" s="40"/>
      <c r="BXI21" s="40"/>
      <c r="BXJ21" s="40"/>
      <c r="BXK21" s="40"/>
      <c r="BXL21" s="40"/>
      <c r="BXM21" s="40"/>
      <c r="BXN21" s="40"/>
      <c r="BXO21" s="40"/>
      <c r="BXP21" s="40"/>
      <c r="BXQ21" s="40"/>
      <c r="BXR21" s="40"/>
      <c r="BXS21" s="40"/>
      <c r="BXT21" s="40"/>
      <c r="BXU21" s="40"/>
      <c r="BXV21" s="40"/>
      <c r="BXW21" s="40"/>
      <c r="BXX21" s="40"/>
      <c r="BXY21" s="40"/>
      <c r="BXZ21" s="40"/>
      <c r="BYA21" s="40"/>
      <c r="BYB21" s="40"/>
      <c r="BYC21" s="40"/>
      <c r="BYD21" s="40"/>
      <c r="BYE21" s="40"/>
      <c r="BYF21" s="40"/>
      <c r="BYG21" s="40"/>
      <c r="BYH21" s="40"/>
      <c r="BYI21" s="40"/>
      <c r="BYJ21" s="40"/>
      <c r="BYK21" s="40"/>
      <c r="BYL21" s="40"/>
      <c r="BYM21" s="40"/>
      <c r="BYN21" s="40"/>
      <c r="BYO21" s="40"/>
      <c r="BYP21" s="40"/>
      <c r="BYQ21" s="40"/>
      <c r="BYR21" s="40"/>
      <c r="BYS21" s="40"/>
      <c r="BYT21" s="40"/>
      <c r="BYU21" s="40"/>
      <c r="BYV21" s="40"/>
      <c r="BYW21" s="40"/>
      <c r="BYX21" s="40"/>
      <c r="BYY21" s="40"/>
      <c r="BYZ21" s="40"/>
      <c r="BZA21" s="40"/>
      <c r="BZB21" s="40"/>
      <c r="BZC21" s="40"/>
      <c r="BZD21" s="40"/>
      <c r="BZE21" s="40"/>
      <c r="BZF21" s="40"/>
      <c r="BZG21" s="40"/>
      <c r="BZH21" s="40"/>
      <c r="BZI21" s="40"/>
      <c r="BZJ21" s="40"/>
      <c r="BZK21" s="40"/>
      <c r="BZL21" s="40"/>
      <c r="BZM21" s="40"/>
      <c r="BZN21" s="40"/>
      <c r="BZO21" s="40"/>
      <c r="BZP21" s="40"/>
      <c r="BZQ21" s="40"/>
      <c r="BZR21" s="40"/>
      <c r="BZS21" s="40"/>
      <c r="BZT21" s="40"/>
      <c r="BZU21" s="40"/>
      <c r="BZV21" s="40"/>
      <c r="BZW21" s="40"/>
      <c r="BZX21" s="40"/>
      <c r="BZY21" s="40"/>
      <c r="BZZ21" s="40"/>
      <c r="CAA21" s="40"/>
      <c r="CAB21" s="40"/>
      <c r="CAC21" s="40"/>
      <c r="CAD21" s="40"/>
      <c r="CAE21" s="40"/>
      <c r="CAF21" s="40"/>
      <c r="CAG21" s="40"/>
      <c r="CAH21" s="40"/>
      <c r="CAI21" s="40"/>
      <c r="CAJ21" s="40"/>
      <c r="CAK21" s="40"/>
      <c r="CAL21" s="40"/>
      <c r="CAM21" s="40"/>
      <c r="CAN21" s="40"/>
      <c r="CAO21" s="40"/>
      <c r="CAP21" s="40"/>
      <c r="CAQ21" s="40"/>
      <c r="CAR21" s="40"/>
      <c r="CAS21" s="40"/>
      <c r="CAT21" s="40"/>
      <c r="CAU21" s="40"/>
      <c r="CAV21" s="40"/>
      <c r="CAW21" s="40"/>
      <c r="CAX21" s="40"/>
      <c r="CAY21" s="40"/>
      <c r="CAZ21" s="40"/>
      <c r="CBA21" s="40"/>
      <c r="CBB21" s="40"/>
      <c r="CBC21" s="40"/>
      <c r="CBD21" s="40"/>
      <c r="CBE21" s="40"/>
      <c r="CBF21" s="40"/>
      <c r="CBG21" s="40"/>
      <c r="CBH21" s="40"/>
      <c r="CBI21" s="40"/>
      <c r="CBJ21" s="40"/>
      <c r="CBK21" s="40"/>
      <c r="CBL21" s="40"/>
      <c r="CBM21" s="40"/>
      <c r="CBN21" s="40"/>
      <c r="CBO21" s="40"/>
      <c r="CBP21" s="40"/>
      <c r="CBQ21" s="40"/>
      <c r="CBR21" s="40"/>
      <c r="CBS21" s="40"/>
      <c r="CBT21" s="40"/>
      <c r="CBU21" s="40"/>
      <c r="CBV21" s="40"/>
      <c r="CBW21" s="40"/>
      <c r="CBX21" s="40"/>
      <c r="CBY21" s="40"/>
      <c r="CBZ21" s="40"/>
      <c r="CCA21" s="40"/>
      <c r="CCB21" s="40"/>
      <c r="CCC21" s="40"/>
      <c r="CCD21" s="40"/>
      <c r="CCE21" s="40"/>
      <c r="CCF21" s="40"/>
      <c r="CCG21" s="40"/>
      <c r="CCH21" s="40"/>
      <c r="CCI21" s="40"/>
      <c r="CCJ21" s="40"/>
      <c r="CCK21" s="40"/>
      <c r="CCL21" s="40"/>
      <c r="CCM21" s="40"/>
      <c r="CCN21" s="40"/>
      <c r="CCO21" s="40"/>
      <c r="CCP21" s="40"/>
      <c r="CCQ21" s="40"/>
      <c r="CCR21" s="40"/>
      <c r="CCS21" s="40"/>
      <c r="CCT21" s="40"/>
      <c r="CCU21" s="40"/>
      <c r="CCV21" s="40"/>
      <c r="CCW21" s="40"/>
      <c r="CCX21" s="40"/>
      <c r="CCY21" s="40"/>
      <c r="CCZ21" s="40"/>
      <c r="CDA21" s="40"/>
      <c r="CDB21" s="40"/>
      <c r="CDC21" s="40"/>
      <c r="CDD21" s="40"/>
      <c r="CDE21" s="40"/>
      <c r="CDF21" s="40"/>
      <c r="CDG21" s="40"/>
      <c r="CDH21" s="40"/>
      <c r="CDI21" s="40"/>
      <c r="CDJ21" s="40"/>
      <c r="CDK21" s="40"/>
      <c r="CDL21" s="40"/>
      <c r="CDM21" s="40"/>
      <c r="CDN21" s="40"/>
      <c r="CDO21" s="40"/>
      <c r="CDP21" s="40"/>
      <c r="CDQ21" s="40"/>
      <c r="CDR21" s="40"/>
      <c r="CDS21" s="40"/>
      <c r="CDT21" s="40"/>
      <c r="CDU21" s="40"/>
      <c r="CDV21" s="40"/>
      <c r="CDW21" s="40"/>
      <c r="CDX21" s="40"/>
      <c r="CDY21" s="40"/>
      <c r="CDZ21" s="40"/>
      <c r="CEA21" s="40"/>
      <c r="CEB21" s="40"/>
      <c r="CEC21" s="40"/>
      <c r="CED21" s="40"/>
      <c r="CEE21" s="40"/>
      <c r="CEF21" s="40"/>
      <c r="CEG21" s="40"/>
      <c r="CEH21" s="40"/>
      <c r="CEI21" s="40"/>
      <c r="CEJ21" s="40"/>
      <c r="CEK21" s="40"/>
      <c r="CEL21" s="40"/>
      <c r="CEM21" s="40"/>
      <c r="CEN21" s="40"/>
      <c r="CEO21" s="40"/>
      <c r="CEP21" s="40"/>
      <c r="CEQ21" s="40"/>
      <c r="CER21" s="40"/>
      <c r="CES21" s="40"/>
      <c r="CET21" s="40"/>
      <c r="CEU21" s="40"/>
      <c r="CEV21" s="40"/>
      <c r="CEW21" s="40"/>
      <c r="CEX21" s="40"/>
      <c r="CEY21" s="40"/>
      <c r="CEZ21" s="40"/>
      <c r="CFA21" s="40"/>
      <c r="CFB21" s="40"/>
      <c r="CFC21" s="40"/>
      <c r="CFD21" s="40"/>
      <c r="CFE21" s="40"/>
      <c r="CFF21" s="40"/>
      <c r="CFG21" s="40"/>
      <c r="CFH21" s="40"/>
      <c r="CFI21" s="40"/>
      <c r="CFJ21" s="40"/>
      <c r="CFK21" s="40"/>
      <c r="CFL21" s="40"/>
      <c r="CFM21" s="40"/>
      <c r="CFN21" s="40"/>
      <c r="CFO21" s="40"/>
      <c r="CFP21" s="40"/>
      <c r="CFQ21" s="40"/>
      <c r="CFR21" s="40"/>
      <c r="CFS21" s="40"/>
      <c r="CFT21" s="40"/>
      <c r="CFU21" s="40"/>
      <c r="CFV21" s="40"/>
      <c r="CFW21" s="40"/>
      <c r="CFX21" s="40"/>
      <c r="CFY21" s="40"/>
      <c r="CFZ21" s="40"/>
      <c r="CGA21" s="40"/>
      <c r="CGB21" s="40"/>
      <c r="CGC21" s="40"/>
      <c r="CGD21" s="40"/>
      <c r="CGE21" s="40"/>
      <c r="CGF21" s="40"/>
      <c r="CGG21" s="40"/>
      <c r="CGH21" s="40"/>
      <c r="CGI21" s="40"/>
      <c r="CGJ21" s="40"/>
      <c r="CGK21" s="40"/>
      <c r="CGL21" s="40"/>
      <c r="CGM21" s="40"/>
      <c r="CGN21" s="40"/>
      <c r="CGO21" s="40"/>
      <c r="CGP21" s="40"/>
      <c r="CGQ21" s="40"/>
      <c r="CGR21" s="40"/>
      <c r="CGS21" s="40"/>
      <c r="CGT21" s="40"/>
      <c r="CGU21" s="40"/>
      <c r="CGV21" s="40"/>
      <c r="CGW21" s="40"/>
      <c r="CGX21" s="40"/>
      <c r="CGY21" s="40"/>
      <c r="CGZ21" s="40"/>
      <c r="CHA21" s="40"/>
      <c r="CHB21" s="40"/>
      <c r="CHC21" s="40"/>
      <c r="CHD21" s="40"/>
      <c r="CHE21" s="40"/>
      <c r="CHF21" s="40"/>
      <c r="CHG21" s="40"/>
      <c r="CHH21" s="40"/>
      <c r="CHI21" s="40"/>
      <c r="CHJ21" s="40"/>
      <c r="CHK21" s="40"/>
      <c r="CHL21" s="40"/>
      <c r="CHM21" s="40"/>
      <c r="CHN21" s="40"/>
      <c r="CHO21" s="40"/>
      <c r="CHP21" s="40"/>
      <c r="CHQ21" s="40"/>
      <c r="CHR21" s="40"/>
      <c r="CHS21" s="40"/>
      <c r="CHT21" s="40"/>
      <c r="CHU21" s="40"/>
      <c r="CHV21" s="40"/>
      <c r="CHW21" s="40"/>
      <c r="CHX21" s="40"/>
      <c r="CHY21" s="40"/>
      <c r="CHZ21" s="40"/>
      <c r="CIA21" s="40"/>
      <c r="CIB21" s="40"/>
      <c r="CIC21" s="40"/>
      <c r="CID21" s="40"/>
      <c r="CIE21" s="40"/>
      <c r="CIF21" s="40"/>
      <c r="CIG21" s="40"/>
      <c r="CIH21" s="40"/>
      <c r="CII21" s="40"/>
      <c r="CIJ21" s="40"/>
      <c r="CIK21" s="40"/>
      <c r="CIL21" s="40"/>
      <c r="CIM21" s="40"/>
      <c r="CIN21" s="40"/>
      <c r="CIO21" s="40"/>
      <c r="CIP21" s="40"/>
      <c r="CIQ21" s="40"/>
      <c r="CIR21" s="40"/>
      <c r="CIS21" s="40"/>
      <c r="CIT21" s="40"/>
      <c r="CIU21" s="40"/>
      <c r="CIV21" s="40"/>
      <c r="CIW21" s="40"/>
      <c r="CIX21" s="40"/>
      <c r="CIY21" s="40"/>
      <c r="CIZ21" s="40"/>
      <c r="CJA21" s="40"/>
      <c r="CJB21" s="40"/>
      <c r="CJC21" s="40"/>
      <c r="CJD21" s="40"/>
      <c r="CJE21" s="40"/>
      <c r="CJF21" s="40"/>
      <c r="CJG21" s="40"/>
      <c r="CJH21" s="40"/>
      <c r="CJI21" s="40"/>
      <c r="CJJ21" s="40"/>
      <c r="CJK21" s="40"/>
      <c r="CJL21" s="40"/>
      <c r="CJM21" s="40"/>
      <c r="CJN21" s="40"/>
      <c r="CJO21" s="40"/>
      <c r="CJP21" s="40"/>
      <c r="CJQ21" s="40"/>
      <c r="CJR21" s="40"/>
      <c r="CJS21" s="40"/>
      <c r="CJT21" s="40"/>
      <c r="CJU21" s="40"/>
      <c r="CJV21" s="40"/>
      <c r="CJW21" s="40"/>
      <c r="CJX21" s="40"/>
      <c r="CJY21" s="40"/>
      <c r="CJZ21" s="40"/>
      <c r="CKA21" s="40"/>
      <c r="CKB21" s="40"/>
      <c r="CKC21" s="40"/>
      <c r="CKD21" s="40"/>
      <c r="CKE21" s="40"/>
      <c r="CKF21" s="40"/>
      <c r="CKG21" s="40"/>
      <c r="CKH21" s="40"/>
      <c r="CKI21" s="40"/>
      <c r="CKJ21" s="40"/>
      <c r="CKK21" s="40"/>
      <c r="CKL21" s="40"/>
      <c r="CKM21" s="40"/>
      <c r="CKN21" s="40"/>
      <c r="CKO21" s="40"/>
      <c r="CKP21" s="40"/>
      <c r="CKQ21" s="40"/>
      <c r="CKR21" s="40"/>
      <c r="CKS21" s="40"/>
      <c r="CKT21" s="40"/>
      <c r="CKU21" s="40"/>
      <c r="CKV21" s="40"/>
      <c r="CKW21" s="40"/>
      <c r="CKX21" s="40"/>
      <c r="CKY21" s="40"/>
      <c r="CKZ21" s="40"/>
      <c r="CLA21" s="40"/>
      <c r="CLB21" s="40"/>
      <c r="CLC21" s="40"/>
      <c r="CLD21" s="40"/>
      <c r="CLE21" s="40"/>
      <c r="CLF21" s="40"/>
      <c r="CLG21" s="40"/>
      <c r="CLH21" s="40"/>
      <c r="CLI21" s="40"/>
      <c r="CLJ21" s="40"/>
      <c r="CLK21" s="40"/>
      <c r="CLL21" s="40"/>
      <c r="CLM21" s="40"/>
      <c r="CLN21" s="40"/>
      <c r="CLO21" s="40"/>
      <c r="CLP21" s="40"/>
      <c r="CLQ21" s="40"/>
      <c r="CLR21" s="40"/>
      <c r="CLS21" s="40"/>
      <c r="CLT21" s="40"/>
      <c r="CLU21" s="40"/>
      <c r="CLV21" s="40"/>
      <c r="CLW21" s="40"/>
      <c r="CLX21" s="40"/>
      <c r="CLY21" s="40"/>
      <c r="CLZ21" s="40"/>
      <c r="CMA21" s="40"/>
      <c r="CMB21" s="40"/>
      <c r="CMC21" s="40"/>
      <c r="CMD21" s="40"/>
      <c r="CME21" s="40"/>
      <c r="CMF21" s="40"/>
      <c r="CMG21" s="40"/>
      <c r="CMH21" s="40"/>
      <c r="CMI21" s="40"/>
      <c r="CMJ21" s="40"/>
      <c r="CMK21" s="40"/>
      <c r="CML21" s="40"/>
      <c r="CMM21" s="40"/>
      <c r="CMN21" s="40"/>
      <c r="CMO21" s="40"/>
      <c r="CMP21" s="40"/>
      <c r="CMQ21" s="40"/>
      <c r="CMR21" s="40"/>
      <c r="CMS21" s="40"/>
      <c r="CMT21" s="40"/>
      <c r="CMU21" s="40"/>
      <c r="CMV21" s="40"/>
      <c r="CMW21" s="40"/>
      <c r="CMX21" s="40"/>
      <c r="CMY21" s="40"/>
      <c r="CMZ21" s="40"/>
      <c r="CNA21" s="40"/>
      <c r="CNB21" s="40"/>
      <c r="CNC21" s="40"/>
      <c r="CND21" s="40"/>
      <c r="CNE21" s="40"/>
      <c r="CNF21" s="40"/>
      <c r="CNG21" s="40"/>
      <c r="CNH21" s="40"/>
      <c r="CNI21" s="40"/>
      <c r="CNJ21" s="40"/>
      <c r="CNK21" s="40"/>
      <c r="CNL21" s="40"/>
      <c r="CNM21" s="40"/>
      <c r="CNN21" s="40"/>
      <c r="CNO21" s="40"/>
      <c r="CNP21" s="40"/>
      <c r="CNQ21" s="40"/>
      <c r="CNR21" s="40"/>
      <c r="CNS21" s="40"/>
      <c r="CNT21" s="40"/>
      <c r="CNU21" s="40"/>
      <c r="CNV21" s="40"/>
      <c r="CNW21" s="40"/>
      <c r="CNX21" s="40"/>
      <c r="CNY21" s="40"/>
      <c r="CNZ21" s="40"/>
      <c r="COA21" s="40"/>
      <c r="COB21" s="40"/>
      <c r="COC21" s="40"/>
      <c r="COD21" s="40"/>
      <c r="COE21" s="40"/>
      <c r="COF21" s="40"/>
      <c r="COG21" s="40"/>
      <c r="COH21" s="40"/>
      <c r="COI21" s="40"/>
      <c r="COJ21" s="40"/>
      <c r="COK21" s="40"/>
      <c r="COL21" s="40"/>
      <c r="COM21" s="40"/>
      <c r="CON21" s="40"/>
      <c r="COO21" s="40"/>
      <c r="COP21" s="40"/>
      <c r="COQ21" s="40"/>
      <c r="COR21" s="40"/>
      <c r="COS21" s="40"/>
      <c r="COT21" s="40"/>
      <c r="COU21" s="40"/>
      <c r="COV21" s="40"/>
      <c r="COW21" s="40"/>
      <c r="COX21" s="40"/>
      <c r="COY21" s="40"/>
      <c r="COZ21" s="40"/>
      <c r="CPA21" s="40"/>
      <c r="CPB21" s="40"/>
      <c r="CPC21" s="40"/>
      <c r="CPD21" s="40"/>
      <c r="CPE21" s="40"/>
      <c r="CPF21" s="40"/>
      <c r="CPG21" s="40"/>
      <c r="CPH21" s="40"/>
      <c r="CPI21" s="40"/>
      <c r="CPJ21" s="40"/>
      <c r="CPK21" s="40"/>
      <c r="CPL21" s="40"/>
      <c r="CPM21" s="40"/>
      <c r="CPN21" s="40"/>
      <c r="CPO21" s="40"/>
      <c r="CPP21" s="40"/>
      <c r="CPQ21" s="40"/>
      <c r="CPR21" s="40"/>
      <c r="CPS21" s="40"/>
      <c r="CPT21" s="40"/>
      <c r="CPU21" s="40"/>
      <c r="CPV21" s="40"/>
      <c r="CPW21" s="40"/>
      <c r="CPX21" s="40"/>
      <c r="CPY21" s="40"/>
      <c r="CPZ21" s="40"/>
      <c r="CQA21" s="40"/>
      <c r="CQB21" s="40"/>
      <c r="CQC21" s="40"/>
      <c r="CQD21" s="40"/>
      <c r="CQE21" s="40"/>
      <c r="CQF21" s="40"/>
      <c r="CQG21" s="40"/>
      <c r="CQH21" s="40"/>
      <c r="CQI21" s="40"/>
      <c r="CQJ21" s="40"/>
      <c r="CQK21" s="40"/>
      <c r="CQL21" s="40"/>
      <c r="CQM21" s="40"/>
      <c r="CQN21" s="40"/>
      <c r="CQO21" s="40"/>
      <c r="CQP21" s="40"/>
      <c r="CQQ21" s="40"/>
      <c r="CQR21" s="40"/>
      <c r="CQS21" s="40"/>
      <c r="CQT21" s="40"/>
      <c r="CQU21" s="40"/>
      <c r="CQV21" s="40"/>
      <c r="CQW21" s="40"/>
      <c r="CQX21" s="40"/>
      <c r="CQY21" s="40"/>
      <c r="CQZ21" s="40"/>
      <c r="CRA21" s="40"/>
      <c r="CRB21" s="40"/>
      <c r="CRC21" s="40"/>
      <c r="CRD21" s="40"/>
      <c r="CRE21" s="40"/>
      <c r="CRF21" s="40"/>
      <c r="CRG21" s="40"/>
      <c r="CRH21" s="40"/>
      <c r="CRI21" s="40"/>
      <c r="CRJ21" s="40"/>
      <c r="CRK21" s="40"/>
      <c r="CRL21" s="40"/>
      <c r="CRM21" s="40"/>
      <c r="CRN21" s="40"/>
      <c r="CRO21" s="40"/>
      <c r="CRP21" s="40"/>
      <c r="CRQ21" s="40"/>
      <c r="CRR21" s="40"/>
      <c r="CRS21" s="40"/>
      <c r="CRT21" s="40"/>
      <c r="CRU21" s="40"/>
      <c r="CRV21" s="40"/>
      <c r="CRW21" s="40"/>
      <c r="CRX21" s="40"/>
      <c r="CRY21" s="40"/>
      <c r="CRZ21" s="40"/>
      <c r="CSA21" s="40"/>
      <c r="CSB21" s="40"/>
      <c r="CSC21" s="40"/>
      <c r="CSD21" s="40"/>
      <c r="CSE21" s="40"/>
      <c r="CSF21" s="40"/>
      <c r="CSG21" s="40"/>
      <c r="CSH21" s="40"/>
      <c r="CSI21" s="40"/>
      <c r="CSJ21" s="40"/>
      <c r="CSK21" s="40"/>
      <c r="CSL21" s="40"/>
      <c r="CSM21" s="40"/>
      <c r="CSN21" s="40"/>
      <c r="CSO21" s="40"/>
      <c r="CSP21" s="40"/>
      <c r="CSQ21" s="40"/>
      <c r="CSR21" s="40"/>
      <c r="CSS21" s="40"/>
      <c r="CST21" s="40"/>
      <c r="CSU21" s="40"/>
      <c r="CSV21" s="40"/>
      <c r="CSW21" s="40"/>
      <c r="CSX21" s="40"/>
      <c r="CSY21" s="40"/>
      <c r="CSZ21" s="40"/>
      <c r="CTA21" s="40"/>
      <c r="CTB21" s="40"/>
      <c r="CTC21" s="40"/>
      <c r="CTD21" s="40"/>
      <c r="CTE21" s="40"/>
      <c r="CTF21" s="40"/>
      <c r="CTG21" s="40"/>
      <c r="CTH21" s="40"/>
      <c r="CTI21" s="40"/>
      <c r="CTJ21" s="40"/>
      <c r="CTK21" s="40"/>
      <c r="CTL21" s="40"/>
      <c r="CTM21" s="40"/>
      <c r="CTN21" s="40"/>
      <c r="CTO21" s="40"/>
      <c r="CTP21" s="40"/>
      <c r="CTQ21" s="40"/>
      <c r="CTR21" s="40"/>
      <c r="CTS21" s="40"/>
      <c r="CTT21" s="40"/>
      <c r="CTU21" s="40"/>
      <c r="CTV21" s="40"/>
      <c r="CTW21" s="40"/>
      <c r="CTX21" s="40"/>
      <c r="CTY21" s="40"/>
      <c r="CTZ21" s="40"/>
      <c r="CUA21" s="40"/>
      <c r="CUB21" s="40"/>
      <c r="CUC21" s="40"/>
      <c r="CUD21" s="40"/>
      <c r="CUE21" s="40"/>
      <c r="CUF21" s="40"/>
      <c r="CUG21" s="40"/>
      <c r="CUH21" s="40"/>
      <c r="CUI21" s="40"/>
      <c r="CUJ21" s="40"/>
      <c r="CUK21" s="40"/>
      <c r="CUL21" s="40"/>
      <c r="CUM21" s="40"/>
      <c r="CUN21" s="40"/>
      <c r="CUO21" s="40"/>
      <c r="CUP21" s="40"/>
      <c r="CUQ21" s="40"/>
      <c r="CUR21" s="40"/>
      <c r="CUS21" s="40"/>
      <c r="CUT21" s="40"/>
      <c r="CUU21" s="40"/>
      <c r="CUV21" s="40"/>
      <c r="CUW21" s="40"/>
      <c r="CUX21" s="40"/>
      <c r="CUY21" s="40"/>
      <c r="CUZ21" s="40"/>
      <c r="CVA21" s="40"/>
      <c r="CVB21" s="40"/>
      <c r="CVC21" s="40"/>
      <c r="CVD21" s="40"/>
      <c r="CVE21" s="40"/>
      <c r="CVF21" s="40"/>
      <c r="CVG21" s="40"/>
      <c r="CVH21" s="40"/>
      <c r="CVI21" s="40"/>
      <c r="CVJ21" s="40"/>
      <c r="CVK21" s="40"/>
      <c r="CVL21" s="40"/>
      <c r="CVM21" s="40"/>
      <c r="CVN21" s="40"/>
      <c r="CVO21" s="40"/>
      <c r="CVP21" s="40"/>
      <c r="CVQ21" s="40"/>
      <c r="CVR21" s="40"/>
      <c r="CVS21" s="40"/>
      <c r="CVT21" s="40"/>
      <c r="CVU21" s="40"/>
      <c r="CVV21" s="40"/>
      <c r="CVW21" s="40"/>
      <c r="CVX21" s="40"/>
      <c r="CVY21" s="40"/>
      <c r="CVZ21" s="40"/>
      <c r="CWA21" s="40"/>
      <c r="CWB21" s="40"/>
      <c r="CWC21" s="40"/>
      <c r="CWD21" s="40"/>
      <c r="CWE21" s="40"/>
      <c r="CWF21" s="40"/>
      <c r="CWG21" s="40"/>
      <c r="CWH21" s="40"/>
      <c r="CWI21" s="40"/>
      <c r="CWJ21" s="40"/>
      <c r="CWK21" s="40"/>
      <c r="CWL21" s="40"/>
      <c r="CWM21" s="40"/>
      <c r="CWN21" s="40"/>
      <c r="CWO21" s="40"/>
      <c r="CWP21" s="40"/>
      <c r="CWQ21" s="40"/>
      <c r="CWR21" s="40"/>
      <c r="CWS21" s="40"/>
      <c r="CWT21" s="40"/>
      <c r="CWU21" s="40"/>
      <c r="CWV21" s="40"/>
      <c r="CWW21" s="40"/>
      <c r="CWX21" s="40"/>
      <c r="CWY21" s="40"/>
      <c r="CWZ21" s="40"/>
      <c r="CXA21" s="40"/>
      <c r="CXB21" s="40"/>
      <c r="CXC21" s="40"/>
      <c r="CXD21" s="40"/>
      <c r="CXE21" s="40"/>
      <c r="CXF21" s="40"/>
      <c r="CXG21" s="40"/>
      <c r="CXH21" s="40"/>
      <c r="CXI21" s="40"/>
      <c r="CXJ21" s="40"/>
      <c r="CXK21" s="40"/>
      <c r="CXL21" s="40"/>
      <c r="CXM21" s="40"/>
      <c r="CXN21" s="40"/>
      <c r="CXO21" s="40"/>
      <c r="CXP21" s="40"/>
      <c r="CXQ21" s="40"/>
      <c r="CXR21" s="40"/>
      <c r="CXS21" s="40"/>
      <c r="CXT21" s="40"/>
      <c r="CXU21" s="40"/>
      <c r="CXV21" s="40"/>
      <c r="CXW21" s="40"/>
      <c r="CXX21" s="40"/>
      <c r="CXY21" s="40"/>
      <c r="CXZ21" s="40"/>
      <c r="CYA21" s="40"/>
      <c r="CYB21" s="40"/>
      <c r="CYC21" s="40"/>
      <c r="CYD21" s="40"/>
      <c r="CYE21" s="40"/>
      <c r="CYF21" s="40"/>
      <c r="CYG21" s="40"/>
      <c r="CYH21" s="40"/>
      <c r="CYI21" s="40"/>
      <c r="CYJ21" s="40"/>
      <c r="CYK21" s="40"/>
      <c r="CYL21" s="40"/>
      <c r="CYM21" s="40"/>
      <c r="CYN21" s="40"/>
      <c r="CYO21" s="40"/>
      <c r="CYP21" s="40"/>
      <c r="CYQ21" s="40"/>
      <c r="CYR21" s="40"/>
      <c r="CYS21" s="40"/>
      <c r="CYT21" s="40"/>
      <c r="CYU21" s="40"/>
      <c r="CYV21" s="40"/>
      <c r="CYW21" s="40"/>
      <c r="CYX21" s="40"/>
      <c r="CYY21" s="40"/>
      <c r="CYZ21" s="40"/>
      <c r="CZA21" s="40"/>
      <c r="CZB21" s="40"/>
      <c r="CZC21" s="40"/>
      <c r="CZD21" s="40"/>
      <c r="CZE21" s="40"/>
      <c r="CZF21" s="40"/>
      <c r="CZG21" s="40"/>
      <c r="CZH21" s="40"/>
      <c r="CZI21" s="40"/>
      <c r="CZJ21" s="40"/>
      <c r="CZK21" s="40"/>
      <c r="CZL21" s="40"/>
      <c r="CZM21" s="40"/>
      <c r="CZN21" s="40"/>
      <c r="CZO21" s="40"/>
      <c r="CZP21" s="40"/>
      <c r="CZQ21" s="40"/>
      <c r="CZR21" s="40"/>
      <c r="CZS21" s="40"/>
      <c r="CZT21" s="40"/>
      <c r="CZU21" s="40"/>
      <c r="CZV21" s="40"/>
      <c r="CZW21" s="40"/>
      <c r="CZX21" s="40"/>
      <c r="CZY21" s="40"/>
      <c r="CZZ21" s="40"/>
      <c r="DAA21" s="40"/>
      <c r="DAB21" s="40"/>
      <c r="DAC21" s="40"/>
      <c r="DAD21" s="40"/>
      <c r="DAE21" s="40"/>
      <c r="DAF21" s="40"/>
      <c r="DAG21" s="40"/>
      <c r="DAH21" s="40"/>
      <c r="DAI21" s="40"/>
      <c r="DAJ21" s="40"/>
      <c r="DAK21" s="40"/>
      <c r="DAL21" s="40"/>
      <c r="DAM21" s="40"/>
      <c r="DAN21" s="40"/>
      <c r="DAO21" s="40"/>
      <c r="DAP21" s="40"/>
      <c r="DAQ21" s="40"/>
      <c r="DAR21" s="40"/>
      <c r="DAS21" s="40"/>
      <c r="DAT21" s="40"/>
      <c r="DAU21" s="40"/>
      <c r="DAV21" s="40"/>
      <c r="DAW21" s="40"/>
      <c r="DAX21" s="40"/>
      <c r="DAY21" s="40"/>
      <c r="DAZ21" s="40"/>
      <c r="DBA21" s="40"/>
      <c r="DBB21" s="40"/>
      <c r="DBC21" s="40"/>
      <c r="DBD21" s="40"/>
      <c r="DBE21" s="40"/>
      <c r="DBF21" s="40"/>
      <c r="DBG21" s="40"/>
      <c r="DBH21" s="40"/>
      <c r="DBI21" s="40"/>
      <c r="DBJ21" s="40"/>
      <c r="DBK21" s="40"/>
      <c r="DBL21" s="40"/>
      <c r="DBM21" s="40"/>
      <c r="DBN21" s="40"/>
      <c r="DBO21" s="40"/>
      <c r="DBP21" s="40"/>
      <c r="DBQ21" s="40"/>
      <c r="DBR21" s="40"/>
      <c r="DBS21" s="40"/>
      <c r="DBT21" s="40"/>
      <c r="DBU21" s="40"/>
      <c r="DBV21" s="40"/>
      <c r="DBW21" s="40"/>
      <c r="DBX21" s="40"/>
      <c r="DBY21" s="40"/>
      <c r="DBZ21" s="40"/>
      <c r="DCA21" s="40"/>
      <c r="DCB21" s="40"/>
      <c r="DCC21" s="40"/>
      <c r="DCD21" s="40"/>
      <c r="DCE21" s="40"/>
      <c r="DCF21" s="40"/>
      <c r="DCG21" s="40"/>
      <c r="DCH21" s="40"/>
      <c r="DCI21" s="40"/>
      <c r="DCJ21" s="40"/>
      <c r="DCK21" s="40"/>
      <c r="DCL21" s="40"/>
      <c r="DCM21" s="40"/>
      <c r="DCN21" s="40"/>
      <c r="DCO21" s="40"/>
      <c r="DCP21" s="40"/>
      <c r="DCQ21" s="40"/>
      <c r="DCR21" s="40"/>
      <c r="DCS21" s="40"/>
      <c r="DCT21" s="40"/>
      <c r="DCU21" s="40"/>
      <c r="DCV21" s="40"/>
      <c r="DCW21" s="40"/>
      <c r="DCX21" s="40"/>
      <c r="DCY21" s="40"/>
      <c r="DCZ21" s="40"/>
      <c r="DDA21" s="40"/>
      <c r="DDB21" s="40"/>
      <c r="DDC21" s="40"/>
      <c r="DDD21" s="40"/>
      <c r="DDE21" s="40"/>
      <c r="DDF21" s="40"/>
      <c r="DDG21" s="40"/>
      <c r="DDH21" s="40"/>
      <c r="DDI21" s="40"/>
      <c r="DDJ21" s="40"/>
      <c r="DDK21" s="40"/>
      <c r="DDL21" s="40"/>
      <c r="DDM21" s="40"/>
      <c r="DDN21" s="40"/>
      <c r="DDO21" s="40"/>
      <c r="DDP21" s="40"/>
      <c r="DDQ21" s="40"/>
      <c r="DDR21" s="40"/>
      <c r="DDS21" s="40"/>
      <c r="DDT21" s="40"/>
      <c r="DDU21" s="40"/>
      <c r="DDV21" s="40"/>
      <c r="DDW21" s="40"/>
      <c r="DDX21" s="40"/>
      <c r="DDY21" s="40"/>
      <c r="DDZ21" s="40"/>
      <c r="DEA21" s="40"/>
      <c r="DEB21" s="40"/>
      <c r="DEC21" s="40"/>
      <c r="DED21" s="40"/>
      <c r="DEE21" s="40"/>
      <c r="DEF21" s="40"/>
      <c r="DEG21" s="40"/>
      <c r="DEH21" s="40"/>
      <c r="DEI21" s="40"/>
      <c r="DEJ21" s="40"/>
      <c r="DEK21" s="40"/>
      <c r="DEL21" s="40"/>
      <c r="DEM21" s="40"/>
      <c r="DEN21" s="40"/>
      <c r="DEO21" s="40"/>
      <c r="DEP21" s="40"/>
      <c r="DEQ21" s="40"/>
      <c r="DER21" s="40"/>
      <c r="DES21" s="40"/>
      <c r="DET21" s="40"/>
      <c r="DEU21" s="40"/>
      <c r="DEV21" s="40"/>
      <c r="DEW21" s="40"/>
      <c r="DEX21" s="40"/>
      <c r="DEY21" s="40"/>
      <c r="DEZ21" s="40"/>
      <c r="DFA21" s="40"/>
      <c r="DFB21" s="40"/>
      <c r="DFC21" s="40"/>
      <c r="DFD21" s="40"/>
      <c r="DFE21" s="40"/>
      <c r="DFF21" s="40"/>
      <c r="DFG21" s="40"/>
      <c r="DFH21" s="40"/>
      <c r="DFI21" s="40"/>
      <c r="DFJ21" s="40"/>
      <c r="DFK21" s="40"/>
      <c r="DFL21" s="40"/>
      <c r="DFM21" s="40"/>
      <c r="DFN21" s="40"/>
      <c r="DFO21" s="40"/>
      <c r="DFP21" s="40"/>
      <c r="DFQ21" s="40"/>
      <c r="DFR21" s="40"/>
      <c r="DFS21" s="40"/>
      <c r="DFT21" s="40"/>
      <c r="DFU21" s="40"/>
      <c r="DFV21" s="40"/>
      <c r="DFW21" s="40"/>
      <c r="DFX21" s="40"/>
      <c r="DFY21" s="40"/>
      <c r="DFZ21" s="40"/>
      <c r="DGA21" s="40"/>
      <c r="DGB21" s="40"/>
      <c r="DGC21" s="40"/>
      <c r="DGD21" s="40"/>
      <c r="DGE21" s="40"/>
      <c r="DGF21" s="40"/>
      <c r="DGG21" s="40"/>
      <c r="DGH21" s="40"/>
      <c r="DGI21" s="40"/>
      <c r="DGJ21" s="40"/>
      <c r="DGK21" s="40"/>
      <c r="DGL21" s="40"/>
      <c r="DGM21" s="40"/>
      <c r="DGN21" s="40"/>
      <c r="DGO21" s="40"/>
      <c r="DGP21" s="40"/>
      <c r="DGQ21" s="40"/>
      <c r="DGR21" s="40"/>
      <c r="DGS21" s="40"/>
      <c r="DGT21" s="40"/>
      <c r="DGU21" s="40"/>
      <c r="DGV21" s="40"/>
      <c r="DGW21" s="40"/>
      <c r="DGX21" s="40"/>
      <c r="DGY21" s="40"/>
      <c r="DGZ21" s="40"/>
      <c r="DHA21" s="40"/>
      <c r="DHB21" s="40"/>
      <c r="DHC21" s="40"/>
      <c r="DHD21" s="40"/>
      <c r="DHE21" s="40"/>
      <c r="DHF21" s="40"/>
      <c r="DHG21" s="40"/>
      <c r="DHH21" s="40"/>
      <c r="DHI21" s="40"/>
      <c r="DHJ21" s="40"/>
      <c r="DHK21" s="40"/>
      <c r="DHL21" s="40"/>
      <c r="DHM21" s="40"/>
      <c r="DHN21" s="40"/>
      <c r="DHO21" s="40"/>
      <c r="DHP21" s="40"/>
      <c r="DHQ21" s="40"/>
      <c r="DHR21" s="40"/>
      <c r="DHS21" s="40"/>
      <c r="DHT21" s="40"/>
      <c r="DHU21" s="40"/>
      <c r="DHV21" s="40"/>
      <c r="DHW21" s="40"/>
      <c r="DHX21" s="40"/>
      <c r="DHY21" s="40"/>
      <c r="DHZ21" s="40"/>
      <c r="DIA21" s="40"/>
      <c r="DIB21" s="40"/>
      <c r="DIC21" s="40"/>
      <c r="DID21" s="40"/>
      <c r="DIE21" s="40"/>
      <c r="DIF21" s="40"/>
      <c r="DIG21" s="40"/>
      <c r="DIH21" s="40"/>
      <c r="DII21" s="40"/>
      <c r="DIJ21" s="40"/>
      <c r="DIK21" s="40"/>
      <c r="DIL21" s="40"/>
      <c r="DIM21" s="40"/>
      <c r="DIN21" s="40"/>
      <c r="DIO21" s="40"/>
      <c r="DIP21" s="40"/>
      <c r="DIQ21" s="40"/>
      <c r="DIR21" s="40"/>
      <c r="DIS21" s="40"/>
      <c r="DIT21" s="40"/>
      <c r="DIU21" s="40"/>
      <c r="DIV21" s="40"/>
      <c r="DIW21" s="40"/>
      <c r="DIX21" s="40"/>
      <c r="DIY21" s="40"/>
      <c r="DIZ21" s="40"/>
      <c r="DJA21" s="40"/>
      <c r="DJB21" s="40"/>
      <c r="DJC21" s="40"/>
      <c r="DJD21" s="40"/>
      <c r="DJE21" s="40"/>
      <c r="DJF21" s="40"/>
      <c r="DJG21" s="40"/>
      <c r="DJH21" s="40"/>
      <c r="DJI21" s="40"/>
      <c r="DJJ21" s="40"/>
      <c r="DJK21" s="40"/>
      <c r="DJL21" s="40"/>
      <c r="DJM21" s="40"/>
      <c r="DJN21" s="40"/>
      <c r="DJO21" s="40"/>
      <c r="DJP21" s="40"/>
      <c r="DJQ21" s="40"/>
      <c r="DJR21" s="40"/>
      <c r="DJS21" s="40"/>
      <c r="DJT21" s="40"/>
      <c r="DJU21" s="40"/>
      <c r="DJV21" s="40"/>
      <c r="DJW21" s="40"/>
      <c r="DJX21" s="40"/>
      <c r="DJY21" s="40"/>
      <c r="DJZ21" s="40"/>
      <c r="DKA21" s="40"/>
      <c r="DKB21" s="40"/>
      <c r="DKC21" s="40"/>
      <c r="DKD21" s="40"/>
      <c r="DKE21" s="40"/>
      <c r="DKF21" s="40"/>
      <c r="DKG21" s="40"/>
      <c r="DKH21" s="40"/>
      <c r="DKI21" s="40"/>
      <c r="DKJ21" s="40"/>
      <c r="DKK21" s="40"/>
      <c r="DKL21" s="40"/>
      <c r="DKM21" s="40"/>
      <c r="DKN21" s="40"/>
      <c r="DKO21" s="40"/>
      <c r="DKP21" s="40"/>
      <c r="DKQ21" s="40"/>
      <c r="DKR21" s="40"/>
      <c r="DKS21" s="40"/>
      <c r="DKT21" s="40"/>
      <c r="DKU21" s="40"/>
      <c r="DKV21" s="40"/>
      <c r="DKW21" s="40"/>
      <c r="DKX21" s="40"/>
      <c r="DKY21" s="40"/>
      <c r="DKZ21" s="40"/>
      <c r="DLA21" s="40"/>
      <c r="DLB21" s="40"/>
      <c r="DLC21" s="40"/>
      <c r="DLD21" s="40"/>
      <c r="DLE21" s="40"/>
      <c r="DLF21" s="40"/>
      <c r="DLG21" s="40"/>
      <c r="DLH21" s="40"/>
      <c r="DLI21" s="40"/>
      <c r="DLJ21" s="40"/>
      <c r="DLK21" s="40"/>
      <c r="DLL21" s="40"/>
      <c r="DLM21" s="40"/>
      <c r="DLN21" s="40"/>
      <c r="DLO21" s="40"/>
      <c r="DLP21" s="40"/>
      <c r="DLQ21" s="40"/>
      <c r="DLR21" s="40"/>
      <c r="DLS21" s="40"/>
      <c r="DLT21" s="40"/>
      <c r="DLU21" s="40"/>
      <c r="DLV21" s="40"/>
      <c r="DLW21" s="40"/>
      <c r="DLX21" s="40"/>
      <c r="DLY21" s="40"/>
      <c r="DLZ21" s="40"/>
      <c r="DMA21" s="40"/>
      <c r="DMB21" s="40"/>
      <c r="DMC21" s="40"/>
      <c r="DMD21" s="40"/>
      <c r="DME21" s="40"/>
      <c r="DMF21" s="40"/>
      <c r="DMG21" s="40"/>
      <c r="DMH21" s="40"/>
      <c r="DMI21" s="40"/>
      <c r="DMJ21" s="40"/>
      <c r="DMK21" s="40"/>
      <c r="DML21" s="40"/>
      <c r="DMM21" s="40"/>
      <c r="DMN21" s="40"/>
      <c r="DMO21" s="40"/>
      <c r="DMP21" s="40"/>
      <c r="DMQ21" s="40"/>
      <c r="DMR21" s="40"/>
      <c r="DMS21" s="40"/>
      <c r="DMT21" s="40"/>
      <c r="DMU21" s="40"/>
      <c r="DMV21" s="40"/>
      <c r="DMW21" s="40"/>
      <c r="DMX21" s="40"/>
      <c r="DMY21" s="40"/>
      <c r="DMZ21" s="40"/>
      <c r="DNA21" s="40"/>
      <c r="DNB21" s="40"/>
      <c r="DNC21" s="40"/>
      <c r="DND21" s="40"/>
      <c r="DNE21" s="40"/>
      <c r="DNF21" s="40"/>
      <c r="DNG21" s="40"/>
      <c r="DNH21" s="40"/>
      <c r="DNI21" s="40"/>
      <c r="DNJ21" s="40"/>
      <c r="DNK21" s="40"/>
      <c r="DNL21" s="40"/>
      <c r="DNM21" s="40"/>
      <c r="DNN21" s="40"/>
      <c r="DNO21" s="40"/>
      <c r="DNP21" s="40"/>
      <c r="DNQ21" s="40"/>
      <c r="DNR21" s="40"/>
      <c r="DNS21" s="40"/>
      <c r="DNT21" s="40"/>
      <c r="DNU21" s="40"/>
      <c r="DNV21" s="40"/>
      <c r="DNW21" s="40"/>
      <c r="DNX21" s="40"/>
      <c r="DNY21" s="40"/>
      <c r="DNZ21" s="40"/>
      <c r="DOA21" s="40"/>
      <c r="DOB21" s="40"/>
      <c r="DOC21" s="40"/>
      <c r="DOD21" s="40"/>
      <c r="DOE21" s="40"/>
      <c r="DOF21" s="40"/>
      <c r="DOG21" s="40"/>
      <c r="DOH21" s="40"/>
      <c r="DOI21" s="40"/>
      <c r="DOJ21" s="40"/>
      <c r="DOK21" s="40"/>
      <c r="DOL21" s="40"/>
      <c r="DOM21" s="40"/>
      <c r="DON21" s="40"/>
      <c r="DOO21" s="40"/>
      <c r="DOP21" s="40"/>
      <c r="DOQ21" s="40"/>
      <c r="DOR21" s="40"/>
      <c r="DOS21" s="40"/>
      <c r="DOT21" s="40"/>
      <c r="DOU21" s="40"/>
      <c r="DOV21" s="40"/>
      <c r="DOW21" s="40"/>
      <c r="DOX21" s="40"/>
      <c r="DOY21" s="40"/>
      <c r="DOZ21" s="40"/>
      <c r="DPA21" s="40"/>
      <c r="DPB21" s="40"/>
      <c r="DPC21" s="40"/>
      <c r="DPD21" s="40"/>
      <c r="DPE21" s="40"/>
      <c r="DPF21" s="40"/>
      <c r="DPG21" s="40"/>
      <c r="DPH21" s="40"/>
      <c r="DPI21" s="40"/>
      <c r="DPJ21" s="40"/>
      <c r="DPK21" s="40"/>
      <c r="DPL21" s="40"/>
      <c r="DPM21" s="40"/>
      <c r="DPN21" s="40"/>
      <c r="DPO21" s="40"/>
      <c r="DPP21" s="40"/>
      <c r="DPQ21" s="40"/>
      <c r="DPR21" s="40"/>
      <c r="DPS21" s="40"/>
      <c r="DPT21" s="40"/>
      <c r="DPU21" s="40"/>
      <c r="DPV21" s="40"/>
      <c r="DPW21" s="40"/>
      <c r="DPX21" s="40"/>
      <c r="DPY21" s="40"/>
      <c r="DPZ21" s="40"/>
      <c r="DQA21" s="40"/>
      <c r="DQB21" s="40"/>
      <c r="DQC21" s="40"/>
      <c r="DQD21" s="40"/>
      <c r="DQE21" s="40"/>
      <c r="DQF21" s="40"/>
      <c r="DQG21" s="40"/>
      <c r="DQH21" s="40"/>
      <c r="DQI21" s="40"/>
      <c r="DQJ21" s="40"/>
      <c r="DQK21" s="40"/>
      <c r="DQL21" s="40"/>
      <c r="DQM21" s="40"/>
      <c r="DQN21" s="40"/>
      <c r="DQO21" s="40"/>
      <c r="DQP21" s="40"/>
      <c r="DQQ21" s="40"/>
      <c r="DQR21" s="40"/>
      <c r="DQS21" s="40"/>
      <c r="DQT21" s="40"/>
      <c r="DQU21" s="40"/>
      <c r="DQV21" s="40"/>
      <c r="DQW21" s="40"/>
      <c r="DQX21" s="40"/>
      <c r="DQY21" s="40"/>
      <c r="DQZ21" s="40"/>
      <c r="DRA21" s="40"/>
      <c r="DRB21" s="40"/>
      <c r="DRC21" s="40"/>
      <c r="DRD21" s="40"/>
      <c r="DRE21" s="40"/>
      <c r="DRF21" s="40"/>
      <c r="DRG21" s="40"/>
      <c r="DRH21" s="40"/>
      <c r="DRI21" s="40"/>
      <c r="DRJ21" s="40"/>
      <c r="DRK21" s="40"/>
      <c r="DRL21" s="40"/>
      <c r="DRM21" s="40"/>
      <c r="DRN21" s="40"/>
      <c r="DRO21" s="40"/>
      <c r="DRP21" s="40"/>
      <c r="DRQ21" s="40"/>
      <c r="DRR21" s="40"/>
      <c r="DRS21" s="40"/>
      <c r="DRT21" s="40"/>
      <c r="DRU21" s="40"/>
      <c r="DRV21" s="40"/>
      <c r="DRW21" s="40"/>
      <c r="DRX21" s="40"/>
      <c r="DRY21" s="40"/>
      <c r="DRZ21" s="40"/>
      <c r="DSA21" s="40"/>
      <c r="DSB21" s="40"/>
      <c r="DSC21" s="40"/>
      <c r="DSD21" s="40"/>
      <c r="DSE21" s="40"/>
      <c r="DSF21" s="40"/>
      <c r="DSG21" s="40"/>
      <c r="DSH21" s="40"/>
      <c r="DSI21" s="40"/>
      <c r="DSJ21" s="40"/>
      <c r="DSK21" s="40"/>
      <c r="DSL21" s="40"/>
      <c r="DSM21" s="40"/>
      <c r="DSN21" s="40"/>
      <c r="DSO21" s="40"/>
      <c r="DSP21" s="40"/>
      <c r="DSQ21" s="40"/>
      <c r="DSR21" s="40"/>
      <c r="DSS21" s="40"/>
      <c r="DST21" s="40"/>
      <c r="DSU21" s="40"/>
      <c r="DSV21" s="40"/>
      <c r="DSW21" s="40"/>
      <c r="DSX21" s="40"/>
      <c r="DSY21" s="40"/>
      <c r="DSZ21" s="40"/>
      <c r="DTA21" s="40"/>
      <c r="DTB21" s="40"/>
      <c r="DTC21" s="40"/>
      <c r="DTD21" s="40"/>
      <c r="DTE21" s="40"/>
      <c r="DTF21" s="40"/>
      <c r="DTG21" s="40"/>
      <c r="DTH21" s="40"/>
      <c r="DTI21" s="40"/>
      <c r="DTJ21" s="40"/>
      <c r="DTK21" s="40"/>
      <c r="DTL21" s="40"/>
      <c r="DTM21" s="40"/>
      <c r="DTN21" s="40"/>
      <c r="DTO21" s="40"/>
      <c r="DTP21" s="40"/>
      <c r="DTQ21" s="40"/>
      <c r="DTR21" s="40"/>
      <c r="DTS21" s="40"/>
      <c r="DTT21" s="40"/>
      <c r="DTU21" s="40"/>
      <c r="DTV21" s="40"/>
      <c r="DTW21" s="40"/>
      <c r="DTX21" s="40"/>
      <c r="DTY21" s="40"/>
      <c r="DTZ21" s="40"/>
      <c r="DUA21" s="40"/>
      <c r="DUB21" s="40"/>
      <c r="DUC21" s="40"/>
      <c r="DUD21" s="40"/>
      <c r="DUE21" s="40"/>
      <c r="DUF21" s="40"/>
      <c r="DUG21" s="40"/>
      <c r="DUH21" s="40"/>
      <c r="DUI21" s="40"/>
      <c r="DUJ21" s="40"/>
      <c r="DUK21" s="40"/>
      <c r="DUL21" s="40"/>
      <c r="DUM21" s="40"/>
      <c r="DUN21" s="40"/>
      <c r="DUO21" s="40"/>
      <c r="DUP21" s="40"/>
      <c r="DUQ21" s="40"/>
      <c r="DUR21" s="40"/>
      <c r="DUS21" s="40"/>
      <c r="DUT21" s="40"/>
      <c r="DUU21" s="40"/>
      <c r="DUV21" s="40"/>
      <c r="DUW21" s="40"/>
      <c r="DUX21" s="40"/>
      <c r="DUY21" s="40"/>
      <c r="DUZ21" s="40"/>
      <c r="DVA21" s="40"/>
      <c r="DVB21" s="40"/>
      <c r="DVC21" s="40"/>
      <c r="DVD21" s="40"/>
      <c r="DVE21" s="40"/>
      <c r="DVF21" s="40"/>
      <c r="DVG21" s="40"/>
      <c r="DVH21" s="40"/>
      <c r="DVI21" s="40"/>
      <c r="DVJ21" s="40"/>
      <c r="DVK21" s="40"/>
      <c r="DVL21" s="40"/>
      <c r="DVM21" s="40"/>
      <c r="DVN21" s="40"/>
      <c r="DVO21" s="40"/>
      <c r="DVP21" s="40"/>
      <c r="DVQ21" s="40"/>
      <c r="DVR21" s="40"/>
      <c r="DVS21" s="40"/>
      <c r="DVT21" s="40"/>
      <c r="DVU21" s="40"/>
      <c r="DVV21" s="40"/>
      <c r="DVW21" s="40"/>
      <c r="DVX21" s="40"/>
      <c r="DVY21" s="40"/>
      <c r="DVZ21" s="40"/>
      <c r="DWA21" s="40"/>
      <c r="DWB21" s="40"/>
      <c r="DWC21" s="40"/>
      <c r="DWD21" s="40"/>
      <c r="DWE21" s="40"/>
      <c r="DWF21" s="40"/>
      <c r="DWG21" s="40"/>
      <c r="DWH21" s="40"/>
      <c r="DWI21" s="40"/>
      <c r="DWJ21" s="40"/>
      <c r="DWK21" s="40"/>
      <c r="DWL21" s="40"/>
      <c r="DWM21" s="40"/>
      <c r="DWN21" s="40"/>
      <c r="DWO21" s="40"/>
      <c r="DWP21" s="40"/>
      <c r="DWQ21" s="40"/>
      <c r="DWR21" s="40"/>
      <c r="DWS21" s="40"/>
      <c r="DWT21" s="40"/>
      <c r="DWU21" s="40"/>
      <c r="DWV21" s="40"/>
      <c r="DWW21" s="40"/>
      <c r="DWX21" s="40"/>
      <c r="DWY21" s="40"/>
      <c r="DWZ21" s="40"/>
      <c r="DXA21" s="40"/>
      <c r="DXB21" s="40"/>
      <c r="DXC21" s="40"/>
      <c r="DXD21" s="40"/>
      <c r="DXE21" s="40"/>
      <c r="DXF21" s="40"/>
      <c r="DXG21" s="40"/>
      <c r="DXH21" s="40"/>
      <c r="DXI21" s="40"/>
      <c r="DXJ21" s="40"/>
      <c r="DXK21" s="40"/>
      <c r="DXL21" s="40"/>
      <c r="DXM21" s="40"/>
      <c r="DXN21" s="40"/>
      <c r="DXO21" s="40"/>
      <c r="DXP21" s="40"/>
      <c r="DXQ21" s="40"/>
      <c r="DXR21" s="40"/>
      <c r="DXS21" s="40"/>
      <c r="DXT21" s="40"/>
      <c r="DXU21" s="40"/>
      <c r="DXV21" s="40"/>
      <c r="DXW21" s="40"/>
      <c r="DXX21" s="40"/>
      <c r="DXY21" s="40"/>
      <c r="DXZ21" s="40"/>
      <c r="DYA21" s="40"/>
      <c r="DYB21" s="40"/>
      <c r="DYC21" s="40"/>
      <c r="DYD21" s="40"/>
      <c r="DYE21" s="40"/>
      <c r="DYF21" s="40"/>
      <c r="DYG21" s="40"/>
      <c r="DYH21" s="40"/>
      <c r="DYI21" s="40"/>
      <c r="DYJ21" s="40"/>
      <c r="DYK21" s="40"/>
      <c r="DYL21" s="40"/>
      <c r="DYM21" s="40"/>
      <c r="DYN21" s="40"/>
      <c r="DYO21" s="40"/>
      <c r="DYP21" s="40"/>
      <c r="DYQ21" s="40"/>
      <c r="DYR21" s="40"/>
      <c r="DYS21" s="40"/>
      <c r="DYT21" s="40"/>
      <c r="DYU21" s="40"/>
      <c r="DYV21" s="40"/>
      <c r="DYW21" s="40"/>
      <c r="DYX21" s="40"/>
      <c r="DYY21" s="40"/>
      <c r="DYZ21" s="40"/>
      <c r="DZA21" s="40"/>
      <c r="DZB21" s="40"/>
      <c r="DZC21" s="40"/>
      <c r="DZD21" s="40"/>
      <c r="DZE21" s="40"/>
      <c r="DZF21" s="40"/>
      <c r="DZG21" s="40"/>
      <c r="DZH21" s="40"/>
      <c r="DZI21" s="40"/>
      <c r="DZJ21" s="40"/>
      <c r="DZK21" s="40"/>
      <c r="DZL21" s="40"/>
      <c r="DZM21" s="40"/>
      <c r="DZN21" s="40"/>
      <c r="DZO21" s="40"/>
      <c r="DZP21" s="40"/>
      <c r="DZQ21" s="40"/>
      <c r="DZR21" s="40"/>
      <c r="DZS21" s="40"/>
      <c r="DZT21" s="40"/>
      <c r="DZU21" s="40"/>
      <c r="DZV21" s="40"/>
      <c r="DZW21" s="40"/>
      <c r="DZX21" s="40"/>
      <c r="DZY21" s="40"/>
      <c r="DZZ21" s="40"/>
      <c r="EAA21" s="40"/>
      <c r="EAB21" s="40"/>
      <c r="EAC21" s="40"/>
      <c r="EAD21" s="40"/>
      <c r="EAE21" s="40"/>
      <c r="EAF21" s="40"/>
      <c r="EAG21" s="40"/>
      <c r="EAH21" s="40"/>
      <c r="EAI21" s="40"/>
      <c r="EAJ21" s="40"/>
      <c r="EAK21" s="40"/>
      <c r="EAL21" s="40"/>
      <c r="EAM21" s="40"/>
      <c r="EAN21" s="40"/>
      <c r="EAO21" s="40"/>
      <c r="EAP21" s="40"/>
      <c r="EAQ21" s="40"/>
      <c r="EAR21" s="40"/>
      <c r="EAS21" s="40"/>
      <c r="EAT21" s="40"/>
      <c r="EAU21" s="40"/>
      <c r="EAV21" s="40"/>
      <c r="EAW21" s="40"/>
      <c r="EAX21" s="40"/>
      <c r="EAY21" s="40"/>
      <c r="EAZ21" s="40"/>
      <c r="EBA21" s="40"/>
      <c r="EBB21" s="40"/>
      <c r="EBC21" s="40"/>
      <c r="EBD21" s="40"/>
      <c r="EBE21" s="40"/>
      <c r="EBF21" s="40"/>
      <c r="EBG21" s="40"/>
      <c r="EBH21" s="40"/>
      <c r="EBI21" s="40"/>
      <c r="EBJ21" s="40"/>
      <c r="EBK21" s="40"/>
      <c r="EBL21" s="40"/>
      <c r="EBM21" s="40"/>
      <c r="EBN21" s="40"/>
      <c r="EBO21" s="40"/>
      <c r="EBP21" s="40"/>
      <c r="EBQ21" s="40"/>
      <c r="EBR21" s="40"/>
      <c r="EBS21" s="40"/>
      <c r="EBT21" s="40"/>
      <c r="EBU21" s="40"/>
      <c r="EBV21" s="40"/>
      <c r="EBW21" s="40"/>
      <c r="EBX21" s="40"/>
      <c r="EBY21" s="40"/>
      <c r="EBZ21" s="40"/>
      <c r="ECA21" s="40"/>
      <c r="ECB21" s="40"/>
      <c r="ECC21" s="40"/>
      <c r="ECD21" s="40"/>
      <c r="ECE21" s="40"/>
      <c r="ECF21" s="40"/>
      <c r="ECG21" s="40"/>
      <c r="ECH21" s="40"/>
      <c r="ECI21" s="40"/>
      <c r="ECJ21" s="40"/>
      <c r="ECK21" s="40"/>
      <c r="ECL21" s="40"/>
      <c r="ECM21" s="40"/>
      <c r="ECN21" s="40"/>
      <c r="ECO21" s="40"/>
      <c r="ECP21" s="40"/>
      <c r="ECQ21" s="40"/>
      <c r="ECR21" s="40"/>
      <c r="ECS21" s="40"/>
      <c r="ECT21" s="40"/>
      <c r="ECU21" s="40"/>
      <c r="ECV21" s="40"/>
      <c r="ECW21" s="40"/>
      <c r="ECX21" s="40"/>
      <c r="ECY21" s="40"/>
      <c r="ECZ21" s="40"/>
      <c r="EDA21" s="40"/>
      <c r="EDB21" s="40"/>
      <c r="EDC21" s="40"/>
      <c r="EDD21" s="40"/>
      <c r="EDE21" s="40"/>
      <c r="EDF21" s="40"/>
      <c r="EDG21" s="40"/>
      <c r="EDH21" s="40"/>
      <c r="EDI21" s="40"/>
      <c r="EDJ21" s="40"/>
      <c r="EDK21" s="40"/>
      <c r="EDL21" s="40"/>
      <c r="EDM21" s="40"/>
      <c r="EDN21" s="40"/>
      <c r="EDO21" s="40"/>
      <c r="EDP21" s="40"/>
      <c r="EDQ21" s="40"/>
      <c r="EDR21" s="40"/>
      <c r="EDS21" s="40"/>
      <c r="EDT21" s="40"/>
      <c r="EDU21" s="40"/>
      <c r="EDV21" s="40"/>
      <c r="EDW21" s="40"/>
      <c r="EDX21" s="40"/>
      <c r="EDY21" s="40"/>
      <c r="EDZ21" s="40"/>
      <c r="EEA21" s="40"/>
      <c r="EEB21" s="40"/>
      <c r="EEC21" s="40"/>
      <c r="EED21" s="40"/>
      <c r="EEE21" s="40"/>
      <c r="EEF21" s="40"/>
      <c r="EEG21" s="40"/>
      <c r="EEH21" s="40"/>
      <c r="EEI21" s="40"/>
      <c r="EEJ21" s="40"/>
      <c r="EEK21" s="40"/>
      <c r="EEL21" s="40"/>
      <c r="EEM21" s="40"/>
      <c r="EEN21" s="40"/>
      <c r="EEO21" s="40"/>
      <c r="EEP21" s="40"/>
      <c r="EEQ21" s="40"/>
      <c r="EER21" s="40"/>
      <c r="EES21" s="40"/>
      <c r="EET21" s="40"/>
      <c r="EEU21" s="40"/>
      <c r="EEV21" s="40"/>
      <c r="EEW21" s="40"/>
      <c r="EEX21" s="40"/>
      <c r="EEY21" s="40"/>
      <c r="EEZ21" s="40"/>
      <c r="EFA21" s="40"/>
      <c r="EFB21" s="40"/>
      <c r="EFC21" s="40"/>
      <c r="EFD21" s="40"/>
      <c r="EFE21" s="40"/>
      <c r="EFF21" s="40"/>
      <c r="EFG21" s="40"/>
      <c r="EFH21" s="40"/>
      <c r="EFI21" s="40"/>
      <c r="EFJ21" s="40"/>
      <c r="EFK21" s="40"/>
      <c r="EFL21" s="40"/>
      <c r="EFM21" s="40"/>
      <c r="EFN21" s="40"/>
      <c r="EFO21" s="40"/>
      <c r="EFP21" s="40"/>
      <c r="EFQ21" s="40"/>
      <c r="EFR21" s="40"/>
      <c r="EFS21" s="40"/>
      <c r="EFT21" s="40"/>
      <c r="EFU21" s="40"/>
      <c r="EFV21" s="40"/>
      <c r="EFW21" s="40"/>
      <c r="EFX21" s="40"/>
      <c r="EFY21" s="40"/>
      <c r="EFZ21" s="40"/>
      <c r="EGA21" s="40"/>
      <c r="EGB21" s="40"/>
      <c r="EGC21" s="40"/>
      <c r="EGD21" s="40"/>
      <c r="EGE21" s="40"/>
      <c r="EGF21" s="40"/>
      <c r="EGG21" s="40"/>
      <c r="EGH21" s="40"/>
      <c r="EGI21" s="40"/>
      <c r="EGJ21" s="40"/>
      <c r="EGK21" s="40"/>
      <c r="EGL21" s="40"/>
      <c r="EGM21" s="40"/>
      <c r="EGN21" s="40"/>
      <c r="EGO21" s="40"/>
      <c r="EGP21" s="40"/>
      <c r="EGQ21" s="40"/>
      <c r="EGR21" s="40"/>
      <c r="EGS21" s="40"/>
      <c r="EGT21" s="40"/>
      <c r="EGU21" s="40"/>
      <c r="EGV21" s="40"/>
      <c r="EGW21" s="40"/>
      <c r="EGX21" s="40"/>
      <c r="EGY21" s="40"/>
      <c r="EGZ21" s="40"/>
      <c r="EHA21" s="40"/>
      <c r="EHB21" s="40"/>
      <c r="EHC21" s="40"/>
      <c r="EHD21" s="40"/>
      <c r="EHE21" s="40"/>
      <c r="EHF21" s="40"/>
      <c r="EHG21" s="40"/>
      <c r="EHH21" s="40"/>
      <c r="EHI21" s="40"/>
      <c r="EHJ21" s="40"/>
      <c r="EHK21" s="40"/>
      <c r="EHL21" s="40"/>
      <c r="EHM21" s="40"/>
      <c r="EHN21" s="40"/>
      <c r="EHO21" s="40"/>
      <c r="EHP21" s="40"/>
      <c r="EHQ21" s="40"/>
      <c r="EHR21" s="40"/>
      <c r="EHS21" s="40"/>
      <c r="EHT21" s="40"/>
      <c r="EHU21" s="40"/>
      <c r="EHV21" s="40"/>
      <c r="EHW21" s="40"/>
      <c r="EHX21" s="40"/>
      <c r="EHY21" s="40"/>
      <c r="EHZ21" s="40"/>
      <c r="EIA21" s="40"/>
      <c r="EIB21" s="40"/>
      <c r="EIC21" s="40"/>
      <c r="EID21" s="40"/>
      <c r="EIE21" s="40"/>
      <c r="EIF21" s="40"/>
      <c r="EIG21" s="40"/>
      <c r="EIH21" s="40"/>
      <c r="EII21" s="40"/>
      <c r="EIJ21" s="40"/>
      <c r="EIK21" s="40"/>
      <c r="EIL21" s="40"/>
      <c r="EIM21" s="40"/>
      <c r="EIN21" s="40"/>
      <c r="EIO21" s="40"/>
      <c r="EIP21" s="40"/>
      <c r="EIQ21" s="40"/>
      <c r="EIR21" s="40"/>
      <c r="EIS21" s="40"/>
      <c r="EIT21" s="40"/>
      <c r="EIU21" s="40"/>
      <c r="EIV21" s="40"/>
      <c r="EIW21" s="40"/>
      <c r="EIX21" s="40"/>
      <c r="EIY21" s="40"/>
      <c r="EIZ21" s="40"/>
      <c r="EJA21" s="40"/>
      <c r="EJB21" s="40"/>
      <c r="EJC21" s="40"/>
      <c r="EJD21" s="40"/>
      <c r="EJE21" s="40"/>
      <c r="EJF21" s="40"/>
      <c r="EJG21" s="40"/>
      <c r="EJH21" s="40"/>
      <c r="EJI21" s="40"/>
      <c r="EJJ21" s="40"/>
      <c r="EJK21" s="40"/>
      <c r="EJL21" s="40"/>
      <c r="EJM21" s="40"/>
      <c r="EJN21" s="40"/>
      <c r="EJO21" s="40"/>
      <c r="EJP21" s="40"/>
      <c r="EJQ21" s="40"/>
      <c r="EJR21" s="40"/>
      <c r="EJS21" s="40"/>
      <c r="EJT21" s="40"/>
      <c r="EJU21" s="40"/>
      <c r="EJV21" s="40"/>
      <c r="EJW21" s="40"/>
      <c r="EJX21" s="40"/>
      <c r="EJY21" s="40"/>
      <c r="EJZ21" s="40"/>
      <c r="EKA21" s="40"/>
      <c r="EKB21" s="40"/>
      <c r="EKC21" s="40"/>
      <c r="EKD21" s="40"/>
      <c r="EKE21" s="40"/>
      <c r="EKF21" s="40"/>
      <c r="EKG21" s="40"/>
      <c r="EKH21" s="40"/>
      <c r="EKI21" s="40"/>
      <c r="EKJ21" s="40"/>
      <c r="EKK21" s="40"/>
      <c r="EKL21" s="40"/>
      <c r="EKM21" s="40"/>
      <c r="EKN21" s="40"/>
      <c r="EKO21" s="40"/>
      <c r="EKP21" s="40"/>
      <c r="EKQ21" s="40"/>
      <c r="EKR21" s="40"/>
      <c r="EKS21" s="40"/>
      <c r="EKT21" s="40"/>
      <c r="EKU21" s="40"/>
      <c r="EKV21" s="40"/>
      <c r="EKW21" s="40"/>
      <c r="EKX21" s="40"/>
      <c r="EKY21" s="40"/>
      <c r="EKZ21" s="40"/>
      <c r="ELA21" s="40"/>
      <c r="ELB21" s="40"/>
      <c r="ELC21" s="40"/>
      <c r="ELD21" s="40"/>
      <c r="ELE21" s="40"/>
      <c r="ELF21" s="40"/>
      <c r="ELG21" s="40"/>
      <c r="ELH21" s="40"/>
      <c r="ELI21" s="40"/>
      <c r="ELJ21" s="40"/>
      <c r="ELK21" s="40"/>
      <c r="ELL21" s="40"/>
      <c r="ELM21" s="40"/>
      <c r="ELN21" s="40"/>
      <c r="ELO21" s="40"/>
      <c r="ELP21" s="40"/>
      <c r="ELQ21" s="40"/>
      <c r="ELR21" s="40"/>
      <c r="ELS21" s="40"/>
      <c r="ELT21" s="40"/>
      <c r="ELU21" s="40"/>
      <c r="ELV21" s="40"/>
      <c r="ELW21" s="40"/>
      <c r="ELX21" s="40"/>
      <c r="ELY21" s="40"/>
      <c r="ELZ21" s="40"/>
      <c r="EMA21" s="40"/>
      <c r="EMB21" s="40"/>
      <c r="EMC21" s="40"/>
      <c r="EMD21" s="40"/>
      <c r="EME21" s="40"/>
      <c r="EMF21" s="40"/>
      <c r="EMG21" s="40"/>
      <c r="EMH21" s="40"/>
      <c r="EMI21" s="40"/>
      <c r="EMJ21" s="40"/>
      <c r="EMK21" s="40"/>
      <c r="EML21" s="40"/>
      <c r="EMM21" s="40"/>
      <c r="EMN21" s="40"/>
      <c r="EMO21" s="40"/>
      <c r="EMP21" s="40"/>
      <c r="EMQ21" s="40"/>
      <c r="EMR21" s="40"/>
      <c r="EMS21" s="40"/>
      <c r="EMT21" s="40"/>
      <c r="EMU21" s="40"/>
      <c r="EMV21" s="40"/>
      <c r="EMW21" s="40"/>
      <c r="EMX21" s="40"/>
      <c r="EMY21" s="40"/>
      <c r="EMZ21" s="40"/>
      <c r="ENA21" s="40"/>
      <c r="ENB21" s="40"/>
      <c r="ENC21" s="40"/>
      <c r="END21" s="40"/>
      <c r="ENE21" s="40"/>
      <c r="ENF21" s="40"/>
      <c r="ENG21" s="40"/>
      <c r="ENH21" s="40"/>
      <c r="ENI21" s="40"/>
      <c r="ENJ21" s="40"/>
      <c r="ENK21" s="40"/>
      <c r="ENL21" s="40"/>
      <c r="ENM21" s="40"/>
      <c r="ENN21" s="40"/>
      <c r="ENO21" s="40"/>
      <c r="ENP21" s="40"/>
      <c r="ENQ21" s="40"/>
      <c r="ENR21" s="40"/>
      <c r="ENS21" s="40"/>
      <c r="ENT21" s="40"/>
      <c r="ENU21" s="40"/>
      <c r="ENV21" s="40"/>
      <c r="ENW21" s="40"/>
      <c r="ENX21" s="40"/>
      <c r="ENY21" s="40"/>
      <c r="ENZ21" s="40"/>
      <c r="EOA21" s="40"/>
      <c r="EOB21" s="40"/>
      <c r="EOC21" s="40"/>
      <c r="EOD21" s="40"/>
      <c r="EOE21" s="40"/>
      <c r="EOF21" s="40"/>
      <c r="EOG21" s="40"/>
      <c r="EOH21" s="40"/>
      <c r="EOI21" s="40"/>
      <c r="EOJ21" s="40"/>
      <c r="EOK21" s="40"/>
      <c r="EOL21" s="40"/>
      <c r="EOM21" s="40"/>
      <c r="EON21" s="40"/>
      <c r="EOO21" s="40"/>
      <c r="EOP21" s="40"/>
      <c r="EOQ21" s="40"/>
      <c r="EOR21" s="40"/>
      <c r="EOS21" s="40"/>
      <c r="EOT21" s="40"/>
      <c r="EOU21" s="40"/>
      <c r="EOV21" s="40"/>
      <c r="EOW21" s="40"/>
      <c r="EOX21" s="40"/>
      <c r="EOY21" s="40"/>
      <c r="EOZ21" s="40"/>
      <c r="EPA21" s="40"/>
      <c r="EPB21" s="40"/>
      <c r="EPC21" s="40"/>
      <c r="EPD21" s="40"/>
      <c r="EPE21" s="40"/>
      <c r="EPF21" s="40"/>
      <c r="EPG21" s="40"/>
      <c r="EPH21" s="40"/>
      <c r="EPI21" s="40"/>
      <c r="EPJ21" s="40"/>
      <c r="EPK21" s="40"/>
      <c r="EPL21" s="40"/>
      <c r="EPM21" s="40"/>
      <c r="EPN21" s="40"/>
      <c r="EPO21" s="40"/>
      <c r="EPP21" s="40"/>
      <c r="EPQ21" s="40"/>
      <c r="EPR21" s="40"/>
      <c r="EPS21" s="40"/>
      <c r="EPT21" s="40"/>
      <c r="EPU21" s="40"/>
      <c r="EPV21" s="40"/>
      <c r="EPW21" s="40"/>
      <c r="EPX21" s="40"/>
      <c r="EPY21" s="40"/>
      <c r="EPZ21" s="40"/>
      <c r="EQA21" s="40"/>
      <c r="EQB21" s="40"/>
      <c r="EQC21" s="40"/>
      <c r="EQD21" s="40"/>
      <c r="EQE21" s="40"/>
      <c r="EQF21" s="40"/>
      <c r="EQG21" s="40"/>
      <c r="EQH21" s="40"/>
      <c r="EQI21" s="40"/>
      <c r="EQJ21" s="40"/>
      <c r="EQK21" s="40"/>
      <c r="EQL21" s="40"/>
      <c r="EQM21" s="40"/>
      <c r="EQN21" s="40"/>
      <c r="EQO21" s="40"/>
      <c r="EQP21" s="40"/>
      <c r="EQQ21" s="40"/>
      <c r="EQR21" s="40"/>
      <c r="EQS21" s="40"/>
      <c r="EQT21" s="40"/>
      <c r="EQU21" s="40"/>
      <c r="EQV21" s="40"/>
      <c r="EQW21" s="40"/>
      <c r="EQX21" s="40"/>
      <c r="EQY21" s="40"/>
      <c r="EQZ21" s="40"/>
      <c r="ERA21" s="40"/>
      <c r="ERB21" s="40"/>
      <c r="ERC21" s="40"/>
      <c r="ERD21" s="40"/>
      <c r="ERE21" s="40"/>
      <c r="ERF21" s="40"/>
      <c r="ERG21" s="40"/>
      <c r="ERH21" s="40"/>
      <c r="ERI21" s="40"/>
      <c r="ERJ21" s="40"/>
      <c r="ERK21" s="40"/>
      <c r="ERL21" s="40"/>
      <c r="ERM21" s="40"/>
      <c r="ERN21" s="40"/>
      <c r="ERO21" s="40"/>
      <c r="ERP21" s="40"/>
      <c r="ERQ21" s="40"/>
      <c r="ERR21" s="40"/>
      <c r="ERS21" s="40"/>
      <c r="ERT21" s="40"/>
      <c r="ERU21" s="40"/>
      <c r="ERV21" s="40"/>
      <c r="ERW21" s="40"/>
      <c r="ERX21" s="40"/>
      <c r="ERY21" s="40"/>
      <c r="ERZ21" s="40"/>
      <c r="ESA21" s="40"/>
      <c r="ESB21" s="40"/>
      <c r="ESC21" s="40"/>
      <c r="ESD21" s="40"/>
      <c r="ESE21" s="40"/>
      <c r="ESF21" s="40"/>
      <c r="ESG21" s="40"/>
      <c r="ESH21" s="40"/>
      <c r="ESI21" s="40"/>
      <c r="ESJ21" s="40"/>
      <c r="ESK21" s="40"/>
      <c r="ESL21" s="40"/>
      <c r="ESM21" s="40"/>
      <c r="ESN21" s="40"/>
      <c r="ESO21" s="40"/>
      <c r="ESP21" s="40"/>
      <c r="ESQ21" s="40"/>
      <c r="ESR21" s="40"/>
      <c r="ESS21" s="40"/>
      <c r="EST21" s="40"/>
      <c r="ESU21" s="40"/>
      <c r="ESV21" s="40"/>
      <c r="ESW21" s="40"/>
      <c r="ESX21" s="40"/>
      <c r="ESY21" s="40"/>
      <c r="ESZ21" s="40"/>
      <c r="ETA21" s="40"/>
      <c r="ETB21" s="40"/>
      <c r="ETC21" s="40"/>
      <c r="ETD21" s="40"/>
      <c r="ETE21" s="40"/>
      <c r="ETF21" s="40"/>
      <c r="ETG21" s="40"/>
      <c r="ETH21" s="40"/>
      <c r="ETI21" s="40"/>
      <c r="ETJ21" s="40"/>
      <c r="ETK21" s="40"/>
      <c r="ETL21" s="40"/>
      <c r="ETM21" s="40"/>
      <c r="ETN21" s="40"/>
      <c r="ETO21" s="40"/>
      <c r="ETP21" s="40"/>
      <c r="ETQ21" s="40"/>
      <c r="ETR21" s="40"/>
      <c r="ETS21" s="40"/>
      <c r="ETT21" s="40"/>
      <c r="ETU21" s="40"/>
      <c r="ETV21" s="40"/>
      <c r="ETW21" s="40"/>
      <c r="ETX21" s="40"/>
      <c r="ETY21" s="40"/>
      <c r="ETZ21" s="40"/>
      <c r="EUA21" s="40"/>
      <c r="EUB21" s="40"/>
      <c r="EUC21" s="40"/>
      <c r="EUD21" s="40"/>
      <c r="EUE21" s="40"/>
      <c r="EUF21" s="40"/>
      <c r="EUG21" s="40"/>
      <c r="EUH21" s="40"/>
      <c r="EUI21" s="40"/>
      <c r="EUJ21" s="40"/>
      <c r="EUK21" s="40"/>
      <c r="EUL21" s="40"/>
      <c r="EUM21" s="40"/>
      <c r="EUN21" s="40"/>
      <c r="EUO21" s="40"/>
      <c r="EUP21" s="40"/>
      <c r="EUQ21" s="40"/>
      <c r="EUR21" s="40"/>
      <c r="EUS21" s="40"/>
      <c r="EUT21" s="40"/>
      <c r="EUU21" s="40"/>
      <c r="EUV21" s="40"/>
      <c r="EUW21" s="40"/>
      <c r="EUX21" s="40"/>
      <c r="EUY21" s="40"/>
      <c r="EUZ21" s="40"/>
      <c r="EVA21" s="40"/>
      <c r="EVB21" s="40"/>
      <c r="EVC21" s="40"/>
      <c r="EVD21" s="40"/>
      <c r="EVE21" s="40"/>
      <c r="EVF21" s="40"/>
      <c r="EVG21" s="40"/>
      <c r="EVH21" s="40"/>
      <c r="EVI21" s="40"/>
      <c r="EVJ21" s="40"/>
      <c r="EVK21" s="40"/>
      <c r="EVL21" s="40"/>
      <c r="EVM21" s="40"/>
      <c r="EVN21" s="40"/>
      <c r="EVO21" s="40"/>
      <c r="EVP21" s="40"/>
      <c r="EVQ21" s="40"/>
      <c r="EVR21" s="40"/>
      <c r="EVS21" s="40"/>
      <c r="EVT21" s="40"/>
      <c r="EVU21" s="40"/>
      <c r="EVV21" s="40"/>
      <c r="EVW21" s="40"/>
      <c r="EVX21" s="40"/>
      <c r="EVY21" s="40"/>
      <c r="EVZ21" s="40"/>
      <c r="EWA21" s="40"/>
      <c r="EWB21" s="40"/>
      <c r="EWC21" s="40"/>
      <c r="EWD21" s="40"/>
      <c r="EWE21" s="40"/>
      <c r="EWF21" s="40"/>
      <c r="EWG21" s="40"/>
      <c r="EWH21" s="40"/>
      <c r="EWI21" s="40"/>
      <c r="EWJ21" s="40"/>
      <c r="EWK21" s="40"/>
      <c r="EWL21" s="40"/>
      <c r="EWM21" s="40"/>
      <c r="EWN21" s="40"/>
      <c r="EWO21" s="40"/>
      <c r="EWP21" s="40"/>
      <c r="EWQ21" s="40"/>
      <c r="EWR21" s="40"/>
      <c r="EWS21" s="40"/>
      <c r="EWT21" s="40"/>
      <c r="EWU21" s="40"/>
      <c r="EWV21" s="40"/>
      <c r="EWW21" s="40"/>
      <c r="EWX21" s="40"/>
      <c r="EWY21" s="40"/>
      <c r="EWZ21" s="40"/>
      <c r="EXA21" s="40"/>
      <c r="EXB21" s="40"/>
      <c r="EXC21" s="40"/>
      <c r="EXD21" s="40"/>
      <c r="EXE21" s="40"/>
      <c r="EXF21" s="40"/>
      <c r="EXG21" s="40"/>
      <c r="EXH21" s="40"/>
      <c r="EXI21" s="40"/>
      <c r="EXJ21" s="40"/>
      <c r="EXK21" s="40"/>
      <c r="EXL21" s="40"/>
      <c r="EXM21" s="40"/>
      <c r="EXN21" s="40"/>
      <c r="EXO21" s="40"/>
      <c r="EXP21" s="40"/>
      <c r="EXQ21" s="40"/>
      <c r="EXR21" s="40"/>
      <c r="EXS21" s="40"/>
      <c r="EXT21" s="40"/>
      <c r="EXU21" s="40"/>
      <c r="EXV21" s="40"/>
      <c r="EXW21" s="40"/>
      <c r="EXX21" s="40"/>
      <c r="EXY21" s="40"/>
      <c r="EXZ21" s="40"/>
      <c r="EYA21" s="40"/>
      <c r="EYB21" s="40"/>
      <c r="EYC21" s="40"/>
      <c r="EYD21" s="40"/>
      <c r="EYE21" s="40"/>
      <c r="EYF21" s="40"/>
      <c r="EYG21" s="40"/>
      <c r="EYH21" s="40"/>
      <c r="EYI21" s="40"/>
      <c r="EYJ21" s="40"/>
      <c r="EYK21" s="40"/>
      <c r="EYL21" s="40"/>
      <c r="EYM21" s="40"/>
      <c r="EYN21" s="40"/>
      <c r="EYO21" s="40"/>
      <c r="EYP21" s="40"/>
      <c r="EYQ21" s="40"/>
      <c r="EYR21" s="40"/>
      <c r="EYS21" s="40"/>
      <c r="EYT21" s="40"/>
      <c r="EYU21" s="40"/>
      <c r="EYV21" s="40"/>
      <c r="EYW21" s="40"/>
      <c r="EYX21" s="40"/>
      <c r="EYY21" s="40"/>
      <c r="EYZ21" s="40"/>
      <c r="EZA21" s="40"/>
      <c r="EZB21" s="40"/>
      <c r="EZC21" s="40"/>
      <c r="EZD21" s="40"/>
      <c r="EZE21" s="40"/>
      <c r="EZF21" s="40"/>
      <c r="EZG21" s="40"/>
      <c r="EZH21" s="40"/>
      <c r="EZI21" s="40"/>
      <c r="EZJ21" s="40"/>
      <c r="EZK21" s="40"/>
      <c r="EZL21" s="40"/>
      <c r="EZM21" s="40"/>
      <c r="EZN21" s="40"/>
      <c r="EZO21" s="40"/>
      <c r="EZP21" s="40"/>
      <c r="EZQ21" s="40"/>
      <c r="EZR21" s="40"/>
      <c r="EZS21" s="40"/>
      <c r="EZT21" s="40"/>
      <c r="EZU21" s="40"/>
      <c r="EZV21" s="40"/>
      <c r="EZW21" s="40"/>
      <c r="EZX21" s="40"/>
      <c r="EZY21" s="40"/>
      <c r="EZZ21" s="40"/>
      <c r="FAA21" s="40"/>
      <c r="FAB21" s="40"/>
      <c r="FAC21" s="40"/>
      <c r="FAD21" s="40"/>
      <c r="FAE21" s="40"/>
      <c r="FAF21" s="40"/>
      <c r="FAG21" s="40"/>
      <c r="FAH21" s="40"/>
      <c r="FAI21" s="40"/>
      <c r="FAJ21" s="40"/>
      <c r="FAK21" s="40"/>
      <c r="FAL21" s="40"/>
      <c r="FAM21" s="40"/>
      <c r="FAN21" s="40"/>
      <c r="FAO21" s="40"/>
      <c r="FAP21" s="40"/>
      <c r="FAQ21" s="40"/>
      <c r="FAR21" s="40"/>
      <c r="FAS21" s="40"/>
      <c r="FAT21" s="40"/>
      <c r="FAU21" s="40"/>
      <c r="FAV21" s="40"/>
      <c r="FAW21" s="40"/>
      <c r="FAX21" s="40"/>
      <c r="FAY21" s="40"/>
      <c r="FAZ21" s="40"/>
      <c r="FBA21" s="40"/>
      <c r="FBB21" s="40"/>
      <c r="FBC21" s="40"/>
      <c r="FBD21" s="40"/>
      <c r="FBE21" s="40"/>
      <c r="FBF21" s="40"/>
      <c r="FBG21" s="40"/>
      <c r="FBH21" s="40"/>
      <c r="FBI21" s="40"/>
      <c r="FBJ21" s="40"/>
      <c r="FBK21" s="40"/>
      <c r="FBL21" s="40"/>
      <c r="FBM21" s="40"/>
      <c r="FBN21" s="40"/>
      <c r="FBO21" s="40"/>
      <c r="FBP21" s="40"/>
      <c r="FBQ21" s="40"/>
      <c r="FBR21" s="40"/>
      <c r="FBS21" s="40"/>
      <c r="FBT21" s="40"/>
      <c r="FBU21" s="40"/>
      <c r="FBV21" s="40"/>
      <c r="FBW21" s="40"/>
      <c r="FBX21" s="40"/>
      <c r="FBY21" s="40"/>
      <c r="FBZ21" s="40"/>
      <c r="FCA21" s="40"/>
      <c r="FCB21" s="40"/>
      <c r="FCC21" s="40"/>
      <c r="FCD21" s="40"/>
      <c r="FCE21" s="40"/>
      <c r="FCF21" s="40"/>
      <c r="FCG21" s="40"/>
      <c r="FCH21" s="40"/>
      <c r="FCI21" s="40"/>
      <c r="FCJ21" s="40"/>
      <c r="FCK21" s="40"/>
      <c r="FCL21" s="40"/>
      <c r="FCM21" s="40"/>
      <c r="FCN21" s="40"/>
      <c r="FCO21" s="40"/>
      <c r="FCP21" s="40"/>
      <c r="FCQ21" s="40"/>
      <c r="FCR21" s="40"/>
      <c r="FCS21" s="40"/>
      <c r="FCT21" s="40"/>
      <c r="FCU21" s="40"/>
      <c r="FCV21" s="40"/>
      <c r="FCW21" s="40"/>
      <c r="FCX21" s="40"/>
      <c r="FCY21" s="40"/>
      <c r="FCZ21" s="40"/>
      <c r="FDA21" s="40"/>
      <c r="FDB21" s="40"/>
      <c r="FDC21" s="40"/>
      <c r="FDD21" s="40"/>
      <c r="FDE21" s="40"/>
      <c r="FDF21" s="40"/>
      <c r="FDG21" s="40"/>
      <c r="FDH21" s="40"/>
      <c r="FDI21" s="40"/>
      <c r="FDJ21" s="40"/>
      <c r="FDK21" s="40"/>
      <c r="FDL21" s="40"/>
      <c r="FDM21" s="40"/>
      <c r="FDN21" s="40"/>
      <c r="FDO21" s="40"/>
      <c r="FDP21" s="40"/>
      <c r="FDQ21" s="40"/>
      <c r="FDR21" s="40"/>
      <c r="FDS21" s="40"/>
      <c r="FDT21" s="40"/>
      <c r="FDU21" s="40"/>
      <c r="FDV21" s="40"/>
      <c r="FDW21" s="40"/>
      <c r="FDX21" s="40"/>
      <c r="FDY21" s="40"/>
      <c r="FDZ21" s="40"/>
      <c r="FEA21" s="40"/>
      <c r="FEB21" s="40"/>
      <c r="FEC21" s="40"/>
      <c r="FED21" s="40"/>
      <c r="FEE21" s="40"/>
      <c r="FEF21" s="40"/>
      <c r="FEG21" s="40"/>
      <c r="FEH21" s="40"/>
      <c r="FEI21" s="40"/>
      <c r="FEJ21" s="40"/>
      <c r="FEK21" s="40"/>
      <c r="FEL21" s="40"/>
      <c r="FEM21" s="40"/>
      <c r="FEN21" s="40"/>
      <c r="FEO21" s="40"/>
      <c r="FEP21" s="40"/>
      <c r="FEQ21" s="40"/>
      <c r="FER21" s="40"/>
      <c r="FES21" s="40"/>
      <c r="FET21" s="40"/>
      <c r="FEU21" s="40"/>
      <c r="FEV21" s="40"/>
      <c r="FEW21" s="40"/>
      <c r="FEX21" s="40"/>
      <c r="FEY21" s="40"/>
      <c r="FEZ21" s="40"/>
      <c r="FFA21" s="40"/>
      <c r="FFB21" s="40"/>
      <c r="FFC21" s="40"/>
      <c r="FFD21" s="40"/>
      <c r="FFE21" s="40"/>
      <c r="FFF21" s="40"/>
      <c r="FFG21" s="40"/>
      <c r="FFH21" s="40"/>
      <c r="FFI21" s="40"/>
      <c r="FFJ21" s="40"/>
      <c r="FFK21" s="40"/>
      <c r="FFL21" s="40"/>
      <c r="FFM21" s="40"/>
      <c r="FFN21" s="40"/>
      <c r="FFO21" s="40"/>
      <c r="FFP21" s="40"/>
      <c r="FFQ21" s="40"/>
      <c r="FFR21" s="40"/>
      <c r="FFS21" s="40"/>
      <c r="FFT21" s="40"/>
      <c r="FFU21" s="40"/>
      <c r="FFV21" s="40"/>
      <c r="FFW21" s="40"/>
      <c r="FFX21" s="40"/>
      <c r="FFY21" s="40"/>
      <c r="FFZ21" s="40"/>
      <c r="FGA21" s="40"/>
      <c r="FGB21" s="40"/>
      <c r="FGC21" s="40"/>
      <c r="FGD21" s="40"/>
      <c r="FGE21" s="40"/>
      <c r="FGF21" s="40"/>
      <c r="FGG21" s="40"/>
      <c r="FGH21" s="40"/>
      <c r="FGI21" s="40"/>
      <c r="FGJ21" s="40"/>
      <c r="FGK21" s="40"/>
      <c r="FGL21" s="40"/>
      <c r="FGM21" s="40"/>
      <c r="FGN21" s="40"/>
      <c r="FGO21" s="40"/>
      <c r="FGP21" s="40"/>
      <c r="FGQ21" s="40"/>
      <c r="FGR21" s="40"/>
      <c r="FGS21" s="40"/>
      <c r="FGT21" s="40"/>
      <c r="FGU21" s="40"/>
      <c r="FGV21" s="40"/>
      <c r="FGW21" s="40"/>
      <c r="FGX21" s="40"/>
      <c r="FGY21" s="40"/>
      <c r="FGZ21" s="40"/>
      <c r="FHA21" s="40"/>
      <c r="FHB21" s="40"/>
      <c r="FHC21" s="40"/>
      <c r="FHD21" s="40"/>
      <c r="FHE21" s="40"/>
      <c r="FHF21" s="40"/>
      <c r="FHG21" s="40"/>
      <c r="FHH21" s="40"/>
      <c r="FHI21" s="40"/>
      <c r="FHJ21" s="40"/>
      <c r="FHK21" s="40"/>
      <c r="FHL21" s="40"/>
      <c r="FHM21" s="40"/>
      <c r="FHN21" s="40"/>
      <c r="FHO21" s="40"/>
      <c r="FHP21" s="40"/>
      <c r="FHQ21" s="40"/>
      <c r="FHR21" s="40"/>
      <c r="FHS21" s="40"/>
      <c r="FHT21" s="40"/>
      <c r="FHU21" s="40"/>
      <c r="FHV21" s="40"/>
      <c r="FHW21" s="40"/>
      <c r="FHX21" s="40"/>
      <c r="FHY21" s="40"/>
      <c r="FHZ21" s="40"/>
      <c r="FIA21" s="40"/>
      <c r="FIB21" s="40"/>
      <c r="FIC21" s="40"/>
      <c r="FID21" s="40"/>
      <c r="FIE21" s="40"/>
      <c r="FIF21" s="40"/>
      <c r="FIG21" s="40"/>
      <c r="FIH21" s="40"/>
      <c r="FII21" s="40"/>
      <c r="FIJ21" s="40"/>
      <c r="FIK21" s="40"/>
      <c r="FIL21" s="40"/>
      <c r="FIM21" s="40"/>
      <c r="FIN21" s="40"/>
      <c r="FIO21" s="40"/>
      <c r="FIP21" s="40"/>
      <c r="FIQ21" s="40"/>
      <c r="FIR21" s="40"/>
      <c r="FIS21" s="40"/>
      <c r="FIT21" s="40"/>
      <c r="FIU21" s="40"/>
      <c r="FIV21" s="40"/>
      <c r="FIW21" s="40"/>
      <c r="FIX21" s="40"/>
      <c r="FIY21" s="40"/>
      <c r="FIZ21" s="40"/>
      <c r="FJA21" s="40"/>
      <c r="FJB21" s="40"/>
      <c r="FJC21" s="40"/>
      <c r="FJD21" s="40"/>
      <c r="FJE21" s="40"/>
      <c r="FJF21" s="40"/>
      <c r="FJG21" s="40"/>
      <c r="FJH21" s="40"/>
      <c r="FJI21" s="40"/>
      <c r="FJJ21" s="40"/>
      <c r="FJK21" s="40"/>
      <c r="FJL21" s="40"/>
      <c r="FJM21" s="40"/>
      <c r="FJN21" s="40"/>
      <c r="FJO21" s="40"/>
      <c r="FJP21" s="40"/>
      <c r="FJQ21" s="40"/>
      <c r="FJR21" s="40"/>
      <c r="FJS21" s="40"/>
      <c r="FJT21" s="40"/>
      <c r="FJU21" s="40"/>
      <c r="FJV21" s="40"/>
      <c r="FJW21" s="40"/>
      <c r="FJX21" s="40"/>
      <c r="FJY21" s="40"/>
      <c r="FJZ21" s="40"/>
      <c r="FKA21" s="40"/>
      <c r="FKB21" s="40"/>
      <c r="FKC21" s="40"/>
      <c r="FKD21" s="40"/>
      <c r="FKE21" s="40"/>
      <c r="FKF21" s="40"/>
      <c r="FKG21" s="40"/>
      <c r="FKH21" s="40"/>
      <c r="FKI21" s="40"/>
      <c r="FKJ21" s="40"/>
      <c r="FKK21" s="40"/>
      <c r="FKL21" s="40"/>
      <c r="FKM21" s="40"/>
      <c r="FKN21" s="40"/>
      <c r="FKO21" s="40"/>
      <c r="FKP21" s="40"/>
      <c r="FKQ21" s="40"/>
      <c r="FKR21" s="40"/>
      <c r="FKS21" s="40"/>
      <c r="FKT21" s="40"/>
      <c r="FKU21" s="40"/>
      <c r="FKV21" s="40"/>
      <c r="FKW21" s="40"/>
      <c r="FKX21" s="40"/>
      <c r="FKY21" s="40"/>
      <c r="FKZ21" s="40"/>
      <c r="FLA21" s="40"/>
      <c r="FLB21" s="40"/>
      <c r="FLC21" s="40"/>
      <c r="FLD21" s="40"/>
      <c r="FLE21" s="40"/>
      <c r="FLF21" s="40"/>
      <c r="FLG21" s="40"/>
      <c r="FLH21" s="40"/>
      <c r="FLI21" s="40"/>
      <c r="FLJ21" s="40"/>
      <c r="FLK21" s="40"/>
      <c r="FLL21" s="40"/>
      <c r="FLM21" s="40"/>
      <c r="FLN21" s="40"/>
      <c r="FLO21" s="40"/>
      <c r="FLP21" s="40"/>
      <c r="FLQ21" s="40"/>
      <c r="FLR21" s="40"/>
      <c r="FLS21" s="40"/>
      <c r="FLT21" s="40"/>
      <c r="FLU21" s="40"/>
      <c r="FLV21" s="40"/>
      <c r="FLW21" s="40"/>
      <c r="FLX21" s="40"/>
      <c r="FLY21" s="40"/>
      <c r="FLZ21" s="40"/>
      <c r="FMA21" s="40"/>
      <c r="FMB21" s="40"/>
      <c r="FMC21" s="40"/>
      <c r="FMD21" s="40"/>
      <c r="FME21" s="40"/>
      <c r="FMF21" s="40"/>
      <c r="FMG21" s="40"/>
      <c r="FMH21" s="40"/>
      <c r="FMI21" s="40"/>
      <c r="FMJ21" s="40"/>
      <c r="FMK21" s="40"/>
      <c r="FML21" s="40"/>
      <c r="FMM21" s="40"/>
      <c r="FMN21" s="40"/>
      <c r="FMO21" s="40"/>
      <c r="FMP21" s="40"/>
      <c r="FMQ21" s="40"/>
      <c r="FMR21" s="40"/>
      <c r="FMS21" s="40"/>
      <c r="FMT21" s="40"/>
      <c r="FMU21" s="40"/>
      <c r="FMV21" s="40"/>
      <c r="FMW21" s="40"/>
      <c r="FMX21" s="40"/>
      <c r="FMY21" s="40"/>
      <c r="FMZ21" s="40"/>
      <c r="FNA21" s="40"/>
      <c r="FNB21" s="40"/>
      <c r="FNC21" s="40"/>
      <c r="FND21" s="40"/>
      <c r="FNE21" s="40"/>
      <c r="FNF21" s="40"/>
      <c r="FNG21" s="40"/>
      <c r="FNH21" s="40"/>
      <c r="FNI21" s="40"/>
      <c r="FNJ21" s="40"/>
      <c r="FNK21" s="40"/>
      <c r="FNL21" s="40"/>
      <c r="FNM21" s="40"/>
      <c r="FNN21" s="40"/>
      <c r="FNO21" s="40"/>
      <c r="FNP21" s="40"/>
      <c r="FNQ21" s="40"/>
      <c r="FNR21" s="40"/>
      <c r="FNS21" s="40"/>
      <c r="FNT21" s="40"/>
      <c r="FNU21" s="40"/>
      <c r="FNV21" s="40"/>
      <c r="FNW21" s="40"/>
      <c r="FNX21" s="40"/>
      <c r="FNY21" s="40"/>
      <c r="FNZ21" s="40"/>
      <c r="FOA21" s="40"/>
      <c r="FOB21" s="40"/>
      <c r="FOC21" s="40"/>
      <c r="FOD21" s="40"/>
      <c r="FOE21" s="40"/>
      <c r="FOF21" s="40"/>
      <c r="FOG21" s="40"/>
      <c r="FOH21" s="40"/>
      <c r="FOI21" s="40"/>
      <c r="FOJ21" s="40"/>
      <c r="FOK21" s="40"/>
      <c r="FOL21" s="40"/>
      <c r="FOM21" s="40"/>
      <c r="FON21" s="40"/>
      <c r="FOO21" s="40"/>
      <c r="FOP21" s="40"/>
      <c r="FOQ21" s="40"/>
      <c r="FOR21" s="40"/>
      <c r="FOS21" s="40"/>
      <c r="FOT21" s="40"/>
      <c r="FOU21" s="40"/>
      <c r="FOV21" s="40"/>
      <c r="FOW21" s="40"/>
      <c r="FOX21" s="40"/>
      <c r="FOY21" s="40"/>
      <c r="FOZ21" s="40"/>
      <c r="FPA21" s="40"/>
      <c r="FPB21" s="40"/>
      <c r="FPC21" s="40"/>
      <c r="FPD21" s="40"/>
      <c r="FPE21" s="40"/>
      <c r="FPF21" s="40"/>
      <c r="FPG21" s="40"/>
      <c r="FPH21" s="40"/>
      <c r="FPI21" s="40"/>
      <c r="FPJ21" s="40"/>
      <c r="FPK21" s="40"/>
      <c r="FPL21" s="40"/>
      <c r="FPM21" s="40"/>
      <c r="FPN21" s="40"/>
      <c r="FPO21" s="40"/>
      <c r="FPP21" s="40"/>
      <c r="FPQ21" s="40"/>
      <c r="FPR21" s="40"/>
      <c r="FPS21" s="40"/>
      <c r="FPT21" s="40"/>
      <c r="FPU21" s="40"/>
      <c r="FPV21" s="40"/>
      <c r="FPW21" s="40"/>
      <c r="FPX21" s="40"/>
      <c r="FPY21" s="40"/>
      <c r="FPZ21" s="40"/>
      <c r="FQA21" s="40"/>
      <c r="FQB21" s="40"/>
      <c r="FQC21" s="40"/>
      <c r="FQD21" s="40"/>
      <c r="FQE21" s="40"/>
      <c r="FQF21" s="40"/>
      <c r="FQG21" s="40"/>
      <c r="FQH21" s="40"/>
      <c r="FQI21" s="40"/>
      <c r="FQJ21" s="40"/>
      <c r="FQK21" s="40"/>
      <c r="FQL21" s="40"/>
      <c r="FQM21" s="40"/>
      <c r="FQN21" s="40"/>
      <c r="FQO21" s="40"/>
      <c r="FQP21" s="40"/>
      <c r="FQQ21" s="40"/>
      <c r="FQR21" s="40"/>
      <c r="FQS21" s="40"/>
      <c r="FQT21" s="40"/>
      <c r="FQU21" s="40"/>
      <c r="FQV21" s="40"/>
      <c r="FQW21" s="40"/>
      <c r="FQX21" s="40"/>
      <c r="FQY21" s="40"/>
      <c r="FQZ21" s="40"/>
      <c r="FRA21" s="40"/>
      <c r="FRB21" s="40"/>
      <c r="FRC21" s="40"/>
      <c r="FRD21" s="40"/>
      <c r="FRE21" s="40"/>
      <c r="FRF21" s="40"/>
      <c r="FRG21" s="40"/>
      <c r="FRH21" s="40"/>
      <c r="FRI21" s="40"/>
      <c r="FRJ21" s="40"/>
      <c r="FRK21" s="40"/>
      <c r="FRL21" s="40"/>
      <c r="FRM21" s="40"/>
      <c r="FRN21" s="40"/>
      <c r="FRO21" s="40"/>
      <c r="FRP21" s="40"/>
      <c r="FRQ21" s="40"/>
      <c r="FRR21" s="40"/>
      <c r="FRS21" s="40"/>
      <c r="FRT21" s="40"/>
      <c r="FRU21" s="40"/>
      <c r="FRV21" s="40"/>
      <c r="FRW21" s="40"/>
      <c r="FRX21" s="40"/>
      <c r="FRY21" s="40"/>
      <c r="FRZ21" s="40"/>
      <c r="FSA21" s="40"/>
      <c r="FSB21" s="40"/>
      <c r="FSC21" s="40"/>
      <c r="FSD21" s="40"/>
      <c r="FSE21" s="40"/>
      <c r="FSF21" s="40"/>
      <c r="FSG21" s="40"/>
      <c r="FSH21" s="40"/>
      <c r="FSI21" s="40"/>
      <c r="FSJ21" s="40"/>
      <c r="FSK21" s="40"/>
      <c r="FSL21" s="40"/>
      <c r="FSM21" s="40"/>
      <c r="FSN21" s="40"/>
      <c r="FSO21" s="40"/>
      <c r="FSP21" s="40"/>
      <c r="FSQ21" s="40"/>
      <c r="FSR21" s="40"/>
      <c r="FSS21" s="40"/>
      <c r="FST21" s="40"/>
      <c r="FSU21" s="40"/>
      <c r="FSV21" s="40"/>
      <c r="FSW21" s="40"/>
      <c r="FSX21" s="40"/>
      <c r="FSY21" s="40"/>
      <c r="FSZ21" s="40"/>
      <c r="FTA21" s="40"/>
      <c r="FTB21" s="40"/>
      <c r="FTC21" s="40"/>
      <c r="FTD21" s="40"/>
      <c r="FTE21" s="40"/>
      <c r="FTF21" s="40"/>
      <c r="FTG21" s="40"/>
      <c r="FTH21" s="40"/>
      <c r="FTI21" s="40"/>
      <c r="FTJ21" s="40"/>
      <c r="FTK21" s="40"/>
      <c r="FTL21" s="40"/>
      <c r="FTM21" s="40"/>
      <c r="FTN21" s="40"/>
      <c r="FTO21" s="40"/>
      <c r="FTP21" s="40"/>
      <c r="FTQ21" s="40"/>
      <c r="FTR21" s="40"/>
      <c r="FTS21" s="40"/>
      <c r="FTT21" s="40"/>
      <c r="FTU21" s="40"/>
      <c r="FTV21" s="40"/>
      <c r="FTW21" s="40"/>
      <c r="FTX21" s="40"/>
      <c r="FTY21" s="40"/>
      <c r="FTZ21" s="40"/>
      <c r="FUA21" s="40"/>
      <c r="FUB21" s="40"/>
      <c r="FUC21" s="40"/>
      <c r="FUD21" s="40"/>
      <c r="FUE21" s="40"/>
      <c r="FUF21" s="40"/>
      <c r="FUG21" s="40"/>
      <c r="FUH21" s="40"/>
      <c r="FUI21" s="40"/>
      <c r="FUJ21" s="40"/>
      <c r="FUK21" s="40"/>
      <c r="FUL21" s="40"/>
      <c r="FUM21" s="40"/>
      <c r="FUN21" s="40"/>
      <c r="FUO21" s="40"/>
      <c r="FUP21" s="40"/>
      <c r="FUQ21" s="40"/>
      <c r="FUR21" s="40"/>
      <c r="FUS21" s="40"/>
      <c r="FUT21" s="40"/>
      <c r="FUU21" s="40"/>
      <c r="FUV21" s="40"/>
      <c r="FUW21" s="40"/>
      <c r="FUX21" s="40"/>
      <c r="FUY21" s="40"/>
      <c r="FUZ21" s="40"/>
      <c r="FVA21" s="40"/>
      <c r="FVB21" s="40"/>
      <c r="FVC21" s="40"/>
      <c r="FVD21" s="40"/>
      <c r="FVE21" s="40"/>
      <c r="FVF21" s="40"/>
      <c r="FVG21" s="40"/>
      <c r="FVH21" s="40"/>
      <c r="FVI21" s="40"/>
      <c r="FVJ21" s="40"/>
      <c r="FVK21" s="40"/>
      <c r="FVL21" s="40"/>
      <c r="FVM21" s="40"/>
      <c r="FVN21" s="40"/>
      <c r="FVO21" s="40"/>
      <c r="FVP21" s="40"/>
      <c r="FVQ21" s="40"/>
      <c r="FVR21" s="40"/>
      <c r="FVS21" s="40"/>
      <c r="FVT21" s="40"/>
      <c r="FVU21" s="40"/>
      <c r="FVV21" s="40"/>
      <c r="FVW21" s="40"/>
      <c r="FVX21" s="40"/>
      <c r="FVY21" s="40"/>
      <c r="FVZ21" s="40"/>
      <c r="FWA21" s="40"/>
      <c r="FWB21" s="40"/>
      <c r="FWC21" s="40"/>
      <c r="FWD21" s="40"/>
      <c r="FWE21" s="40"/>
      <c r="FWF21" s="40"/>
      <c r="FWG21" s="40"/>
      <c r="FWH21" s="40"/>
      <c r="FWI21" s="40"/>
      <c r="FWJ21" s="40"/>
      <c r="FWK21" s="40"/>
      <c r="FWL21" s="40"/>
      <c r="FWM21" s="40"/>
      <c r="FWN21" s="40"/>
      <c r="FWO21" s="40"/>
      <c r="FWP21" s="40"/>
      <c r="FWQ21" s="40"/>
      <c r="FWR21" s="40"/>
      <c r="FWS21" s="40"/>
      <c r="FWT21" s="40"/>
      <c r="FWU21" s="40"/>
      <c r="FWV21" s="40"/>
      <c r="FWW21" s="40"/>
      <c r="FWX21" s="40"/>
      <c r="FWY21" s="40"/>
      <c r="FWZ21" s="40"/>
      <c r="FXA21" s="40"/>
      <c r="FXB21" s="40"/>
      <c r="FXC21" s="40"/>
      <c r="FXD21" s="40"/>
      <c r="FXE21" s="40"/>
      <c r="FXF21" s="40"/>
      <c r="FXG21" s="40"/>
      <c r="FXH21" s="40"/>
      <c r="FXI21" s="40"/>
      <c r="FXJ21" s="40"/>
      <c r="FXK21" s="40"/>
      <c r="FXL21" s="40"/>
      <c r="FXM21" s="40"/>
      <c r="FXN21" s="40"/>
      <c r="FXO21" s="40"/>
      <c r="FXP21" s="40"/>
      <c r="FXQ21" s="40"/>
      <c r="FXR21" s="40"/>
      <c r="FXS21" s="40"/>
      <c r="FXT21" s="40"/>
      <c r="FXU21" s="40"/>
      <c r="FXV21" s="40"/>
      <c r="FXW21" s="40"/>
      <c r="FXX21" s="40"/>
      <c r="FXY21" s="40"/>
      <c r="FXZ21" s="40"/>
      <c r="FYA21" s="40"/>
      <c r="FYB21" s="40"/>
      <c r="FYC21" s="40"/>
      <c r="FYD21" s="40"/>
      <c r="FYE21" s="40"/>
      <c r="FYF21" s="40"/>
      <c r="FYG21" s="40"/>
      <c r="FYH21" s="40"/>
      <c r="FYI21" s="40"/>
      <c r="FYJ21" s="40"/>
      <c r="FYK21" s="40"/>
      <c r="FYL21" s="40"/>
      <c r="FYM21" s="40"/>
      <c r="FYN21" s="40"/>
      <c r="FYO21" s="40"/>
      <c r="FYP21" s="40"/>
      <c r="FYQ21" s="40"/>
      <c r="FYR21" s="40"/>
      <c r="FYS21" s="40"/>
      <c r="FYT21" s="40"/>
      <c r="FYU21" s="40"/>
      <c r="FYV21" s="40"/>
      <c r="FYW21" s="40"/>
      <c r="FYX21" s="40"/>
      <c r="FYY21" s="40"/>
      <c r="FYZ21" s="40"/>
      <c r="FZA21" s="40"/>
      <c r="FZB21" s="40"/>
      <c r="FZC21" s="40"/>
      <c r="FZD21" s="40"/>
      <c r="FZE21" s="40"/>
      <c r="FZF21" s="40"/>
      <c r="FZG21" s="40"/>
      <c r="FZH21" s="40"/>
      <c r="FZI21" s="40"/>
      <c r="FZJ21" s="40"/>
      <c r="FZK21" s="40"/>
      <c r="FZL21" s="40"/>
      <c r="FZM21" s="40"/>
      <c r="FZN21" s="40"/>
      <c r="FZO21" s="40"/>
      <c r="FZP21" s="40"/>
      <c r="FZQ21" s="40"/>
      <c r="FZR21" s="40"/>
      <c r="FZS21" s="40"/>
      <c r="FZT21" s="40"/>
      <c r="FZU21" s="40"/>
      <c r="FZV21" s="40"/>
      <c r="FZW21" s="40"/>
      <c r="FZX21" s="40"/>
      <c r="FZY21" s="40"/>
      <c r="FZZ21" s="40"/>
      <c r="GAA21" s="40"/>
      <c r="GAB21" s="40"/>
      <c r="GAC21" s="40"/>
      <c r="GAD21" s="40"/>
      <c r="GAE21" s="40"/>
      <c r="GAF21" s="40"/>
      <c r="GAG21" s="40"/>
      <c r="GAH21" s="40"/>
      <c r="GAI21" s="40"/>
      <c r="GAJ21" s="40"/>
      <c r="GAK21" s="40"/>
      <c r="GAL21" s="40"/>
      <c r="GAM21" s="40"/>
      <c r="GAN21" s="40"/>
      <c r="GAO21" s="40"/>
      <c r="GAP21" s="40"/>
      <c r="GAQ21" s="40"/>
      <c r="GAR21" s="40"/>
      <c r="GAS21" s="40"/>
      <c r="GAT21" s="40"/>
      <c r="GAU21" s="40"/>
      <c r="GAV21" s="40"/>
      <c r="GAW21" s="40"/>
      <c r="GAX21" s="40"/>
      <c r="GAY21" s="40"/>
      <c r="GAZ21" s="40"/>
      <c r="GBA21" s="40"/>
      <c r="GBB21" s="40"/>
      <c r="GBC21" s="40"/>
      <c r="GBD21" s="40"/>
      <c r="GBE21" s="40"/>
      <c r="GBF21" s="40"/>
      <c r="GBG21" s="40"/>
      <c r="GBH21" s="40"/>
      <c r="GBI21" s="40"/>
      <c r="GBJ21" s="40"/>
      <c r="GBK21" s="40"/>
      <c r="GBL21" s="40"/>
      <c r="GBM21" s="40"/>
      <c r="GBN21" s="40"/>
      <c r="GBO21" s="40"/>
      <c r="GBP21" s="40"/>
      <c r="GBQ21" s="40"/>
      <c r="GBR21" s="40"/>
      <c r="GBS21" s="40"/>
      <c r="GBT21" s="40"/>
      <c r="GBU21" s="40"/>
      <c r="GBV21" s="40"/>
      <c r="GBW21" s="40"/>
      <c r="GBX21" s="40"/>
      <c r="GBY21" s="40"/>
      <c r="GBZ21" s="40"/>
      <c r="GCA21" s="40"/>
      <c r="GCB21" s="40"/>
      <c r="GCC21" s="40"/>
      <c r="GCD21" s="40"/>
      <c r="GCE21" s="40"/>
      <c r="GCF21" s="40"/>
      <c r="GCG21" s="40"/>
      <c r="GCH21" s="40"/>
      <c r="GCI21" s="40"/>
      <c r="GCJ21" s="40"/>
      <c r="GCK21" s="40"/>
      <c r="GCL21" s="40"/>
      <c r="GCM21" s="40"/>
      <c r="GCN21" s="40"/>
      <c r="GCO21" s="40"/>
      <c r="GCP21" s="40"/>
      <c r="GCQ21" s="40"/>
      <c r="GCR21" s="40"/>
      <c r="GCS21" s="40"/>
      <c r="GCT21" s="40"/>
      <c r="GCU21" s="40"/>
      <c r="GCV21" s="40"/>
      <c r="GCW21" s="40"/>
      <c r="GCX21" s="40"/>
      <c r="GCY21" s="40"/>
      <c r="GCZ21" s="40"/>
      <c r="GDA21" s="40"/>
      <c r="GDB21" s="40"/>
      <c r="GDC21" s="40"/>
      <c r="GDD21" s="40"/>
      <c r="GDE21" s="40"/>
      <c r="GDF21" s="40"/>
      <c r="GDG21" s="40"/>
      <c r="GDH21" s="40"/>
      <c r="GDI21" s="40"/>
      <c r="GDJ21" s="40"/>
      <c r="GDK21" s="40"/>
      <c r="GDL21" s="40"/>
      <c r="GDM21" s="40"/>
      <c r="GDN21" s="40"/>
      <c r="GDO21" s="40"/>
      <c r="GDP21" s="40"/>
      <c r="GDQ21" s="40"/>
      <c r="GDR21" s="40"/>
      <c r="GDS21" s="40"/>
      <c r="GDT21" s="40"/>
      <c r="GDU21" s="40"/>
      <c r="GDV21" s="40"/>
      <c r="GDW21" s="40"/>
      <c r="GDX21" s="40"/>
      <c r="GDY21" s="40"/>
      <c r="GDZ21" s="40"/>
      <c r="GEA21" s="40"/>
      <c r="GEB21" s="40"/>
      <c r="GEC21" s="40"/>
      <c r="GED21" s="40"/>
      <c r="GEE21" s="40"/>
      <c r="GEF21" s="40"/>
      <c r="GEG21" s="40"/>
      <c r="GEH21" s="40"/>
      <c r="GEI21" s="40"/>
      <c r="GEJ21" s="40"/>
      <c r="GEK21" s="40"/>
      <c r="GEL21" s="40"/>
      <c r="GEM21" s="40"/>
      <c r="GEN21" s="40"/>
      <c r="GEO21" s="40"/>
      <c r="GEP21" s="40"/>
      <c r="GEQ21" s="40"/>
      <c r="GER21" s="40"/>
      <c r="GES21" s="40"/>
      <c r="GET21" s="40"/>
      <c r="GEU21" s="40"/>
      <c r="GEV21" s="40"/>
      <c r="GEW21" s="40"/>
      <c r="GEX21" s="40"/>
      <c r="GEY21" s="40"/>
      <c r="GEZ21" s="40"/>
      <c r="GFA21" s="40"/>
      <c r="GFB21" s="40"/>
      <c r="GFC21" s="40"/>
      <c r="GFD21" s="40"/>
      <c r="GFE21" s="40"/>
      <c r="GFF21" s="40"/>
      <c r="GFG21" s="40"/>
      <c r="GFH21" s="40"/>
      <c r="GFI21" s="40"/>
      <c r="GFJ21" s="40"/>
      <c r="GFK21" s="40"/>
      <c r="GFL21" s="40"/>
      <c r="GFM21" s="40"/>
      <c r="GFN21" s="40"/>
      <c r="GFO21" s="40"/>
      <c r="GFP21" s="40"/>
      <c r="GFQ21" s="40"/>
      <c r="GFR21" s="40"/>
      <c r="GFS21" s="40"/>
      <c r="GFT21" s="40"/>
      <c r="GFU21" s="40"/>
      <c r="GFV21" s="40"/>
      <c r="GFW21" s="40"/>
      <c r="GFX21" s="40"/>
      <c r="GFY21" s="40"/>
      <c r="GFZ21" s="40"/>
      <c r="GGA21" s="40"/>
      <c r="GGB21" s="40"/>
      <c r="GGC21" s="40"/>
      <c r="GGD21" s="40"/>
      <c r="GGE21" s="40"/>
      <c r="GGF21" s="40"/>
      <c r="GGG21" s="40"/>
      <c r="GGH21" s="40"/>
      <c r="GGI21" s="40"/>
      <c r="GGJ21" s="40"/>
      <c r="GGK21" s="40"/>
      <c r="GGL21" s="40"/>
      <c r="GGM21" s="40"/>
      <c r="GGN21" s="40"/>
      <c r="GGO21" s="40"/>
      <c r="GGP21" s="40"/>
      <c r="GGQ21" s="40"/>
      <c r="GGR21" s="40"/>
      <c r="GGS21" s="40"/>
      <c r="GGT21" s="40"/>
      <c r="GGU21" s="40"/>
      <c r="GGV21" s="40"/>
      <c r="GGW21" s="40"/>
      <c r="GGX21" s="40"/>
      <c r="GGY21" s="40"/>
      <c r="GGZ21" s="40"/>
      <c r="GHA21" s="40"/>
      <c r="GHB21" s="40"/>
      <c r="GHC21" s="40"/>
      <c r="GHD21" s="40"/>
      <c r="GHE21" s="40"/>
      <c r="GHF21" s="40"/>
      <c r="GHG21" s="40"/>
      <c r="GHH21" s="40"/>
      <c r="GHI21" s="40"/>
      <c r="GHJ21" s="40"/>
      <c r="GHK21" s="40"/>
      <c r="GHL21" s="40"/>
      <c r="GHM21" s="40"/>
      <c r="GHN21" s="40"/>
      <c r="GHO21" s="40"/>
      <c r="GHP21" s="40"/>
      <c r="GHQ21" s="40"/>
      <c r="GHR21" s="40"/>
      <c r="GHS21" s="40"/>
      <c r="GHT21" s="40"/>
      <c r="GHU21" s="40"/>
      <c r="GHV21" s="40"/>
      <c r="GHW21" s="40"/>
      <c r="GHX21" s="40"/>
      <c r="GHY21" s="40"/>
      <c r="GHZ21" s="40"/>
      <c r="GIA21" s="40"/>
      <c r="GIB21" s="40"/>
      <c r="GIC21" s="40"/>
      <c r="GID21" s="40"/>
      <c r="GIE21" s="40"/>
      <c r="GIF21" s="40"/>
      <c r="GIG21" s="40"/>
      <c r="GIH21" s="40"/>
      <c r="GII21" s="40"/>
      <c r="GIJ21" s="40"/>
      <c r="GIK21" s="40"/>
      <c r="GIL21" s="40"/>
      <c r="GIM21" s="40"/>
      <c r="GIN21" s="40"/>
      <c r="GIO21" s="40"/>
      <c r="GIP21" s="40"/>
      <c r="GIQ21" s="40"/>
      <c r="GIR21" s="40"/>
      <c r="GIS21" s="40"/>
      <c r="GIT21" s="40"/>
      <c r="GIU21" s="40"/>
      <c r="GIV21" s="40"/>
      <c r="GIW21" s="40"/>
      <c r="GIX21" s="40"/>
      <c r="GIY21" s="40"/>
      <c r="GIZ21" s="40"/>
      <c r="GJA21" s="40"/>
      <c r="GJB21" s="40"/>
      <c r="GJC21" s="40"/>
      <c r="GJD21" s="40"/>
      <c r="GJE21" s="40"/>
      <c r="GJF21" s="40"/>
      <c r="GJG21" s="40"/>
      <c r="GJH21" s="40"/>
      <c r="GJI21" s="40"/>
      <c r="GJJ21" s="40"/>
      <c r="GJK21" s="40"/>
      <c r="GJL21" s="40"/>
      <c r="GJM21" s="40"/>
      <c r="GJN21" s="40"/>
      <c r="GJO21" s="40"/>
      <c r="GJP21" s="40"/>
      <c r="GJQ21" s="40"/>
      <c r="GJR21" s="40"/>
      <c r="GJS21" s="40"/>
      <c r="GJT21" s="40"/>
      <c r="GJU21" s="40"/>
      <c r="GJV21" s="40"/>
      <c r="GJW21" s="40"/>
      <c r="GJX21" s="40"/>
      <c r="GJY21" s="40"/>
      <c r="GJZ21" s="40"/>
      <c r="GKA21" s="40"/>
      <c r="GKB21" s="40"/>
      <c r="GKC21" s="40"/>
      <c r="GKD21" s="40"/>
      <c r="GKE21" s="40"/>
      <c r="GKF21" s="40"/>
      <c r="GKG21" s="40"/>
      <c r="GKH21" s="40"/>
      <c r="GKI21" s="40"/>
      <c r="GKJ21" s="40"/>
      <c r="GKK21" s="40"/>
      <c r="GKL21" s="40"/>
      <c r="GKM21" s="40"/>
      <c r="GKN21" s="40"/>
      <c r="GKO21" s="40"/>
      <c r="GKP21" s="40"/>
      <c r="GKQ21" s="40"/>
      <c r="GKR21" s="40"/>
      <c r="GKS21" s="40"/>
      <c r="GKT21" s="40"/>
      <c r="GKU21" s="40"/>
      <c r="GKV21" s="40"/>
      <c r="GKW21" s="40"/>
      <c r="GKX21" s="40"/>
      <c r="GKY21" s="40"/>
      <c r="GKZ21" s="40"/>
      <c r="GLA21" s="40"/>
      <c r="GLB21" s="40"/>
      <c r="GLC21" s="40"/>
      <c r="GLD21" s="40"/>
      <c r="GLE21" s="40"/>
      <c r="GLF21" s="40"/>
      <c r="GLG21" s="40"/>
      <c r="GLH21" s="40"/>
      <c r="GLI21" s="40"/>
      <c r="GLJ21" s="40"/>
      <c r="GLK21" s="40"/>
      <c r="GLL21" s="40"/>
      <c r="GLM21" s="40"/>
      <c r="GLN21" s="40"/>
      <c r="GLO21" s="40"/>
      <c r="GLP21" s="40"/>
      <c r="GLQ21" s="40"/>
      <c r="GLR21" s="40"/>
      <c r="GLS21" s="40"/>
      <c r="GLT21" s="40"/>
      <c r="GLU21" s="40"/>
      <c r="GLV21" s="40"/>
      <c r="GLW21" s="40"/>
      <c r="GLX21" s="40"/>
      <c r="GLY21" s="40"/>
      <c r="GLZ21" s="40"/>
      <c r="GMA21" s="40"/>
      <c r="GMB21" s="40"/>
      <c r="GMC21" s="40"/>
      <c r="GMD21" s="40"/>
      <c r="GME21" s="40"/>
      <c r="GMF21" s="40"/>
      <c r="GMG21" s="40"/>
      <c r="GMH21" s="40"/>
      <c r="GMI21" s="40"/>
      <c r="GMJ21" s="40"/>
      <c r="GMK21" s="40"/>
      <c r="GML21" s="40"/>
      <c r="GMM21" s="40"/>
      <c r="GMN21" s="40"/>
      <c r="GMO21" s="40"/>
      <c r="GMP21" s="40"/>
      <c r="GMQ21" s="40"/>
      <c r="GMR21" s="40"/>
      <c r="GMS21" s="40"/>
      <c r="GMT21" s="40"/>
      <c r="GMU21" s="40"/>
      <c r="GMV21" s="40"/>
      <c r="GMW21" s="40"/>
      <c r="GMX21" s="40"/>
      <c r="GMY21" s="40"/>
      <c r="GMZ21" s="40"/>
      <c r="GNA21" s="40"/>
      <c r="GNB21" s="40"/>
      <c r="GNC21" s="40"/>
      <c r="GND21" s="40"/>
      <c r="GNE21" s="40"/>
      <c r="GNF21" s="40"/>
      <c r="GNG21" s="40"/>
      <c r="GNH21" s="40"/>
      <c r="GNI21" s="40"/>
      <c r="GNJ21" s="40"/>
      <c r="GNK21" s="40"/>
      <c r="GNL21" s="40"/>
      <c r="GNM21" s="40"/>
      <c r="GNN21" s="40"/>
      <c r="GNO21" s="40"/>
      <c r="GNP21" s="40"/>
      <c r="GNQ21" s="40"/>
      <c r="GNR21" s="40"/>
      <c r="GNS21" s="40"/>
      <c r="GNT21" s="40"/>
      <c r="GNU21" s="40"/>
      <c r="GNV21" s="40"/>
      <c r="GNW21" s="40"/>
      <c r="GNX21" s="40"/>
      <c r="GNY21" s="40"/>
      <c r="GNZ21" s="40"/>
      <c r="GOA21" s="40"/>
      <c r="GOB21" s="40"/>
      <c r="GOC21" s="40"/>
      <c r="GOD21" s="40"/>
      <c r="GOE21" s="40"/>
      <c r="GOF21" s="40"/>
      <c r="GOG21" s="40"/>
      <c r="GOH21" s="40"/>
      <c r="GOI21" s="40"/>
      <c r="GOJ21" s="40"/>
      <c r="GOK21" s="40"/>
      <c r="GOL21" s="40"/>
      <c r="GOM21" s="40"/>
      <c r="GON21" s="40"/>
      <c r="GOO21" s="40"/>
      <c r="GOP21" s="40"/>
      <c r="GOQ21" s="40"/>
      <c r="GOR21" s="40"/>
      <c r="GOS21" s="40"/>
      <c r="GOT21" s="40"/>
      <c r="GOU21" s="40"/>
      <c r="GOV21" s="40"/>
      <c r="GOW21" s="40"/>
      <c r="GOX21" s="40"/>
      <c r="GOY21" s="40"/>
      <c r="GOZ21" s="40"/>
      <c r="GPA21" s="40"/>
      <c r="GPB21" s="40"/>
      <c r="GPC21" s="40"/>
      <c r="GPD21" s="40"/>
      <c r="GPE21" s="40"/>
      <c r="GPF21" s="40"/>
      <c r="GPG21" s="40"/>
      <c r="GPH21" s="40"/>
      <c r="GPI21" s="40"/>
      <c r="GPJ21" s="40"/>
      <c r="GPK21" s="40"/>
      <c r="GPL21" s="40"/>
      <c r="GPM21" s="40"/>
      <c r="GPN21" s="40"/>
      <c r="GPO21" s="40"/>
      <c r="GPP21" s="40"/>
      <c r="GPQ21" s="40"/>
      <c r="GPR21" s="40"/>
      <c r="GPS21" s="40"/>
      <c r="GPT21" s="40"/>
      <c r="GPU21" s="40"/>
      <c r="GPV21" s="40"/>
      <c r="GPW21" s="40"/>
      <c r="GPX21" s="40"/>
      <c r="GPY21" s="40"/>
      <c r="GPZ21" s="40"/>
      <c r="GQA21" s="40"/>
      <c r="GQB21" s="40"/>
      <c r="GQC21" s="40"/>
      <c r="GQD21" s="40"/>
      <c r="GQE21" s="40"/>
      <c r="GQF21" s="40"/>
      <c r="GQG21" s="40"/>
      <c r="GQH21" s="40"/>
      <c r="GQI21" s="40"/>
      <c r="GQJ21" s="40"/>
      <c r="GQK21" s="40"/>
      <c r="GQL21" s="40"/>
      <c r="GQM21" s="40"/>
      <c r="GQN21" s="40"/>
      <c r="GQO21" s="40"/>
      <c r="GQP21" s="40"/>
      <c r="GQQ21" s="40"/>
      <c r="GQR21" s="40"/>
      <c r="GQS21" s="40"/>
      <c r="GQT21" s="40"/>
      <c r="GQU21" s="40"/>
      <c r="GQV21" s="40"/>
      <c r="GQW21" s="40"/>
      <c r="GQX21" s="40"/>
      <c r="GQY21" s="40"/>
      <c r="GQZ21" s="40"/>
      <c r="GRA21" s="40"/>
      <c r="GRB21" s="40"/>
      <c r="GRC21" s="40"/>
      <c r="GRD21" s="40"/>
      <c r="GRE21" s="40"/>
      <c r="GRF21" s="40"/>
      <c r="GRG21" s="40"/>
      <c r="GRH21" s="40"/>
      <c r="GRI21" s="40"/>
      <c r="GRJ21" s="40"/>
      <c r="GRK21" s="40"/>
      <c r="GRL21" s="40"/>
      <c r="GRM21" s="40"/>
      <c r="GRN21" s="40"/>
      <c r="GRO21" s="40"/>
      <c r="GRP21" s="40"/>
      <c r="GRQ21" s="40"/>
      <c r="GRR21" s="40"/>
      <c r="GRS21" s="40"/>
      <c r="GRT21" s="40"/>
      <c r="GRU21" s="40"/>
      <c r="GRV21" s="40"/>
      <c r="GRW21" s="40"/>
      <c r="GRX21" s="40"/>
      <c r="GRY21" s="40"/>
      <c r="GRZ21" s="40"/>
      <c r="GSA21" s="40"/>
      <c r="GSB21" s="40"/>
      <c r="GSC21" s="40"/>
      <c r="GSD21" s="40"/>
      <c r="GSE21" s="40"/>
      <c r="GSF21" s="40"/>
      <c r="GSG21" s="40"/>
      <c r="GSH21" s="40"/>
      <c r="GSI21" s="40"/>
      <c r="GSJ21" s="40"/>
      <c r="GSK21" s="40"/>
      <c r="GSL21" s="40"/>
      <c r="GSM21" s="40"/>
      <c r="GSN21" s="40"/>
      <c r="GSO21" s="40"/>
      <c r="GSP21" s="40"/>
      <c r="GSQ21" s="40"/>
      <c r="GSR21" s="40"/>
      <c r="GSS21" s="40"/>
      <c r="GST21" s="40"/>
      <c r="GSU21" s="40"/>
      <c r="GSV21" s="40"/>
      <c r="GSW21" s="40"/>
      <c r="GSX21" s="40"/>
      <c r="GSY21" s="40"/>
      <c r="GSZ21" s="40"/>
      <c r="GTA21" s="40"/>
      <c r="GTB21" s="40"/>
      <c r="GTC21" s="40"/>
      <c r="GTD21" s="40"/>
      <c r="GTE21" s="40"/>
      <c r="GTF21" s="40"/>
      <c r="GTG21" s="40"/>
      <c r="GTH21" s="40"/>
      <c r="GTI21" s="40"/>
      <c r="GTJ21" s="40"/>
      <c r="GTK21" s="40"/>
      <c r="GTL21" s="40"/>
      <c r="GTM21" s="40"/>
      <c r="GTN21" s="40"/>
      <c r="GTO21" s="40"/>
      <c r="GTP21" s="40"/>
      <c r="GTQ21" s="40"/>
      <c r="GTR21" s="40"/>
      <c r="GTS21" s="40"/>
      <c r="GTT21" s="40"/>
      <c r="GTU21" s="40"/>
      <c r="GTV21" s="40"/>
      <c r="GTW21" s="40"/>
      <c r="GTX21" s="40"/>
      <c r="GTY21" s="40"/>
      <c r="GTZ21" s="40"/>
      <c r="GUA21" s="40"/>
      <c r="GUB21" s="40"/>
      <c r="GUC21" s="40"/>
      <c r="GUD21" s="40"/>
      <c r="GUE21" s="40"/>
      <c r="GUF21" s="40"/>
      <c r="GUG21" s="40"/>
      <c r="GUH21" s="40"/>
      <c r="GUI21" s="40"/>
      <c r="GUJ21" s="40"/>
      <c r="GUK21" s="40"/>
      <c r="GUL21" s="40"/>
      <c r="GUM21" s="40"/>
      <c r="GUN21" s="40"/>
      <c r="GUO21" s="40"/>
      <c r="GUP21" s="40"/>
      <c r="GUQ21" s="40"/>
      <c r="GUR21" s="40"/>
      <c r="GUS21" s="40"/>
      <c r="GUT21" s="40"/>
      <c r="GUU21" s="40"/>
      <c r="GUV21" s="40"/>
      <c r="GUW21" s="40"/>
      <c r="GUX21" s="40"/>
      <c r="GUY21" s="40"/>
      <c r="GUZ21" s="40"/>
      <c r="GVA21" s="40"/>
      <c r="GVB21" s="40"/>
      <c r="GVC21" s="40"/>
      <c r="GVD21" s="40"/>
      <c r="GVE21" s="40"/>
      <c r="GVF21" s="40"/>
      <c r="GVG21" s="40"/>
      <c r="GVH21" s="40"/>
      <c r="GVI21" s="40"/>
      <c r="GVJ21" s="40"/>
      <c r="GVK21" s="40"/>
      <c r="GVL21" s="40"/>
      <c r="GVM21" s="40"/>
      <c r="GVN21" s="40"/>
      <c r="GVO21" s="40"/>
      <c r="GVP21" s="40"/>
      <c r="GVQ21" s="40"/>
      <c r="GVR21" s="40"/>
      <c r="GVS21" s="40"/>
      <c r="GVT21" s="40"/>
      <c r="GVU21" s="40"/>
      <c r="GVV21" s="40"/>
      <c r="GVW21" s="40"/>
      <c r="GVX21" s="40"/>
      <c r="GVY21" s="40"/>
      <c r="GVZ21" s="40"/>
      <c r="GWA21" s="40"/>
      <c r="GWB21" s="40"/>
      <c r="GWC21" s="40"/>
      <c r="GWD21" s="40"/>
      <c r="GWE21" s="40"/>
      <c r="GWF21" s="40"/>
      <c r="GWG21" s="40"/>
      <c r="GWH21" s="40"/>
      <c r="GWI21" s="40"/>
      <c r="GWJ21" s="40"/>
      <c r="GWK21" s="40"/>
      <c r="GWL21" s="40"/>
      <c r="GWM21" s="40"/>
      <c r="GWN21" s="40"/>
      <c r="GWO21" s="40"/>
      <c r="GWP21" s="40"/>
      <c r="GWQ21" s="40"/>
      <c r="GWR21" s="40"/>
      <c r="GWS21" s="40"/>
      <c r="GWT21" s="40"/>
      <c r="GWU21" s="40"/>
      <c r="GWV21" s="40"/>
      <c r="GWW21" s="40"/>
      <c r="GWX21" s="40"/>
      <c r="GWY21" s="40"/>
      <c r="GWZ21" s="40"/>
      <c r="GXA21" s="40"/>
      <c r="GXB21" s="40"/>
      <c r="GXC21" s="40"/>
      <c r="GXD21" s="40"/>
      <c r="GXE21" s="40"/>
      <c r="GXF21" s="40"/>
      <c r="GXG21" s="40"/>
      <c r="GXH21" s="40"/>
      <c r="GXI21" s="40"/>
      <c r="GXJ21" s="40"/>
      <c r="GXK21" s="40"/>
      <c r="GXL21" s="40"/>
      <c r="GXM21" s="40"/>
      <c r="GXN21" s="40"/>
      <c r="GXO21" s="40"/>
      <c r="GXP21" s="40"/>
      <c r="GXQ21" s="40"/>
      <c r="GXR21" s="40"/>
      <c r="GXS21" s="40"/>
      <c r="GXT21" s="40"/>
      <c r="GXU21" s="40"/>
      <c r="GXV21" s="40"/>
      <c r="GXW21" s="40"/>
      <c r="GXX21" s="40"/>
      <c r="GXY21" s="40"/>
      <c r="GXZ21" s="40"/>
      <c r="GYA21" s="40"/>
      <c r="GYB21" s="40"/>
      <c r="GYC21" s="40"/>
      <c r="GYD21" s="40"/>
      <c r="GYE21" s="40"/>
      <c r="GYF21" s="40"/>
      <c r="GYG21" s="40"/>
      <c r="GYH21" s="40"/>
      <c r="GYI21" s="40"/>
      <c r="GYJ21" s="40"/>
      <c r="GYK21" s="40"/>
      <c r="GYL21" s="40"/>
      <c r="GYM21" s="40"/>
      <c r="GYN21" s="40"/>
      <c r="GYO21" s="40"/>
      <c r="GYP21" s="40"/>
      <c r="GYQ21" s="40"/>
      <c r="GYR21" s="40"/>
      <c r="GYS21" s="40"/>
      <c r="GYT21" s="40"/>
      <c r="GYU21" s="40"/>
      <c r="GYV21" s="40"/>
      <c r="GYW21" s="40"/>
      <c r="GYX21" s="40"/>
      <c r="GYY21" s="40"/>
      <c r="GYZ21" s="40"/>
      <c r="GZA21" s="40"/>
      <c r="GZB21" s="40"/>
      <c r="GZC21" s="40"/>
      <c r="GZD21" s="40"/>
      <c r="GZE21" s="40"/>
      <c r="GZF21" s="40"/>
      <c r="GZG21" s="40"/>
      <c r="GZH21" s="40"/>
      <c r="GZI21" s="40"/>
      <c r="GZJ21" s="40"/>
      <c r="GZK21" s="40"/>
      <c r="GZL21" s="40"/>
      <c r="GZM21" s="40"/>
      <c r="GZN21" s="40"/>
      <c r="GZO21" s="40"/>
      <c r="GZP21" s="40"/>
      <c r="GZQ21" s="40"/>
      <c r="GZR21" s="40"/>
      <c r="GZS21" s="40"/>
      <c r="GZT21" s="40"/>
      <c r="GZU21" s="40"/>
      <c r="GZV21" s="40"/>
      <c r="GZW21" s="40"/>
      <c r="GZX21" s="40"/>
      <c r="GZY21" s="40"/>
      <c r="GZZ21" s="40"/>
      <c r="HAA21" s="40"/>
      <c r="HAB21" s="40"/>
      <c r="HAC21" s="40"/>
      <c r="HAD21" s="40"/>
      <c r="HAE21" s="40"/>
      <c r="HAF21" s="40"/>
      <c r="HAG21" s="40"/>
      <c r="HAH21" s="40"/>
      <c r="HAI21" s="40"/>
      <c r="HAJ21" s="40"/>
      <c r="HAK21" s="40"/>
      <c r="HAL21" s="40"/>
      <c r="HAM21" s="40"/>
      <c r="HAN21" s="40"/>
      <c r="HAO21" s="40"/>
      <c r="HAP21" s="40"/>
      <c r="HAQ21" s="40"/>
      <c r="HAR21" s="40"/>
      <c r="HAS21" s="40"/>
      <c r="HAT21" s="40"/>
      <c r="HAU21" s="40"/>
      <c r="HAV21" s="40"/>
      <c r="HAW21" s="40"/>
      <c r="HAX21" s="40"/>
      <c r="HAY21" s="40"/>
      <c r="HAZ21" s="40"/>
      <c r="HBA21" s="40"/>
      <c r="HBB21" s="40"/>
      <c r="HBC21" s="40"/>
      <c r="HBD21" s="40"/>
      <c r="HBE21" s="40"/>
      <c r="HBF21" s="40"/>
      <c r="HBG21" s="40"/>
      <c r="HBH21" s="40"/>
      <c r="HBI21" s="40"/>
      <c r="HBJ21" s="40"/>
      <c r="HBK21" s="40"/>
      <c r="HBL21" s="40"/>
      <c r="HBM21" s="40"/>
      <c r="HBN21" s="40"/>
      <c r="HBO21" s="40"/>
      <c r="HBP21" s="40"/>
      <c r="HBQ21" s="40"/>
      <c r="HBR21" s="40"/>
      <c r="HBS21" s="40"/>
      <c r="HBT21" s="40"/>
      <c r="HBU21" s="40"/>
      <c r="HBV21" s="40"/>
      <c r="HBW21" s="40"/>
      <c r="HBX21" s="40"/>
      <c r="HBY21" s="40"/>
      <c r="HBZ21" s="40"/>
      <c r="HCA21" s="40"/>
      <c r="HCB21" s="40"/>
      <c r="HCC21" s="40"/>
      <c r="HCD21" s="40"/>
      <c r="HCE21" s="40"/>
      <c r="HCF21" s="40"/>
      <c r="HCG21" s="40"/>
      <c r="HCH21" s="40"/>
      <c r="HCI21" s="40"/>
      <c r="HCJ21" s="40"/>
      <c r="HCK21" s="40"/>
      <c r="HCL21" s="40"/>
      <c r="HCM21" s="40"/>
      <c r="HCN21" s="40"/>
      <c r="HCO21" s="40"/>
      <c r="HCP21" s="40"/>
      <c r="HCQ21" s="40"/>
      <c r="HCR21" s="40"/>
      <c r="HCS21" s="40"/>
      <c r="HCT21" s="40"/>
      <c r="HCU21" s="40"/>
      <c r="HCV21" s="40"/>
      <c r="HCW21" s="40"/>
      <c r="HCX21" s="40"/>
      <c r="HCY21" s="40"/>
      <c r="HCZ21" s="40"/>
      <c r="HDA21" s="40"/>
      <c r="HDB21" s="40"/>
      <c r="HDC21" s="40"/>
      <c r="HDD21" s="40"/>
      <c r="HDE21" s="40"/>
      <c r="HDF21" s="40"/>
      <c r="HDG21" s="40"/>
      <c r="HDH21" s="40"/>
      <c r="HDI21" s="40"/>
      <c r="HDJ21" s="40"/>
      <c r="HDK21" s="40"/>
      <c r="HDL21" s="40"/>
      <c r="HDM21" s="40"/>
      <c r="HDN21" s="40"/>
      <c r="HDO21" s="40"/>
      <c r="HDP21" s="40"/>
      <c r="HDQ21" s="40"/>
      <c r="HDR21" s="40"/>
      <c r="HDS21" s="40"/>
      <c r="HDT21" s="40"/>
      <c r="HDU21" s="40"/>
      <c r="HDV21" s="40"/>
      <c r="HDW21" s="40"/>
      <c r="HDX21" s="40"/>
      <c r="HDY21" s="40"/>
      <c r="HDZ21" s="40"/>
      <c r="HEA21" s="40"/>
      <c r="HEB21" s="40"/>
      <c r="HEC21" s="40"/>
      <c r="HED21" s="40"/>
      <c r="HEE21" s="40"/>
      <c r="HEF21" s="40"/>
      <c r="HEG21" s="40"/>
      <c r="HEH21" s="40"/>
      <c r="HEI21" s="40"/>
      <c r="HEJ21" s="40"/>
      <c r="HEK21" s="40"/>
      <c r="HEL21" s="40"/>
      <c r="HEM21" s="40"/>
      <c r="HEN21" s="40"/>
      <c r="HEO21" s="40"/>
      <c r="HEP21" s="40"/>
      <c r="HEQ21" s="40"/>
      <c r="HER21" s="40"/>
      <c r="HES21" s="40"/>
      <c r="HET21" s="40"/>
      <c r="HEU21" s="40"/>
      <c r="HEV21" s="40"/>
      <c r="HEW21" s="40"/>
      <c r="HEX21" s="40"/>
      <c r="HEY21" s="40"/>
      <c r="HEZ21" s="40"/>
      <c r="HFA21" s="40"/>
      <c r="HFB21" s="40"/>
      <c r="HFC21" s="40"/>
      <c r="HFD21" s="40"/>
      <c r="HFE21" s="40"/>
      <c r="HFF21" s="40"/>
      <c r="HFG21" s="40"/>
      <c r="HFH21" s="40"/>
      <c r="HFI21" s="40"/>
      <c r="HFJ21" s="40"/>
      <c r="HFK21" s="40"/>
      <c r="HFL21" s="40"/>
      <c r="HFM21" s="40"/>
      <c r="HFN21" s="40"/>
      <c r="HFO21" s="40"/>
      <c r="HFP21" s="40"/>
      <c r="HFQ21" s="40"/>
      <c r="HFR21" s="40"/>
      <c r="HFS21" s="40"/>
      <c r="HFT21" s="40"/>
      <c r="HFU21" s="40"/>
      <c r="HFV21" s="40"/>
      <c r="HFW21" s="40"/>
      <c r="HFX21" s="40"/>
      <c r="HFY21" s="40"/>
      <c r="HFZ21" s="40"/>
      <c r="HGA21" s="40"/>
      <c r="HGB21" s="40"/>
      <c r="HGC21" s="40"/>
      <c r="HGD21" s="40"/>
      <c r="HGE21" s="40"/>
      <c r="HGF21" s="40"/>
      <c r="HGG21" s="40"/>
      <c r="HGH21" s="40"/>
      <c r="HGI21" s="40"/>
      <c r="HGJ21" s="40"/>
      <c r="HGK21" s="40"/>
      <c r="HGL21" s="40"/>
      <c r="HGM21" s="40"/>
      <c r="HGN21" s="40"/>
      <c r="HGO21" s="40"/>
      <c r="HGP21" s="40"/>
      <c r="HGQ21" s="40"/>
      <c r="HGR21" s="40"/>
      <c r="HGS21" s="40"/>
      <c r="HGT21" s="40"/>
      <c r="HGU21" s="40"/>
      <c r="HGV21" s="40"/>
      <c r="HGW21" s="40"/>
      <c r="HGX21" s="40"/>
      <c r="HGY21" s="40"/>
      <c r="HGZ21" s="40"/>
      <c r="HHA21" s="40"/>
      <c r="HHB21" s="40"/>
      <c r="HHC21" s="40"/>
      <c r="HHD21" s="40"/>
      <c r="HHE21" s="40"/>
      <c r="HHF21" s="40"/>
      <c r="HHG21" s="40"/>
      <c r="HHH21" s="40"/>
      <c r="HHI21" s="40"/>
      <c r="HHJ21" s="40"/>
      <c r="HHK21" s="40"/>
      <c r="HHL21" s="40"/>
      <c r="HHM21" s="40"/>
      <c r="HHN21" s="40"/>
      <c r="HHO21" s="40"/>
      <c r="HHP21" s="40"/>
      <c r="HHQ21" s="40"/>
      <c r="HHR21" s="40"/>
      <c r="HHS21" s="40"/>
      <c r="HHT21" s="40"/>
      <c r="HHU21" s="40"/>
      <c r="HHV21" s="40"/>
      <c r="HHW21" s="40"/>
      <c r="HHX21" s="40"/>
      <c r="HHY21" s="40"/>
      <c r="HHZ21" s="40"/>
      <c r="HIA21" s="40"/>
      <c r="HIB21" s="40"/>
      <c r="HIC21" s="40"/>
      <c r="HID21" s="40"/>
      <c r="HIE21" s="40"/>
      <c r="HIF21" s="40"/>
      <c r="HIG21" s="40"/>
      <c r="HIH21" s="40"/>
      <c r="HII21" s="40"/>
      <c r="HIJ21" s="40"/>
      <c r="HIK21" s="40"/>
      <c r="HIL21" s="40"/>
      <c r="HIM21" s="40"/>
      <c r="HIN21" s="40"/>
      <c r="HIO21" s="40"/>
      <c r="HIP21" s="40"/>
      <c r="HIQ21" s="40"/>
      <c r="HIR21" s="40"/>
      <c r="HIS21" s="40"/>
      <c r="HIT21" s="40"/>
      <c r="HIU21" s="40"/>
      <c r="HIV21" s="40"/>
      <c r="HIW21" s="40"/>
      <c r="HIX21" s="40"/>
      <c r="HIY21" s="40"/>
      <c r="HIZ21" s="40"/>
      <c r="HJA21" s="40"/>
      <c r="HJB21" s="40"/>
      <c r="HJC21" s="40"/>
      <c r="HJD21" s="40"/>
      <c r="HJE21" s="40"/>
      <c r="HJF21" s="40"/>
      <c r="HJG21" s="40"/>
      <c r="HJH21" s="40"/>
      <c r="HJI21" s="40"/>
      <c r="HJJ21" s="40"/>
      <c r="HJK21" s="40"/>
      <c r="HJL21" s="40"/>
      <c r="HJM21" s="40"/>
      <c r="HJN21" s="40"/>
      <c r="HJO21" s="40"/>
      <c r="HJP21" s="40"/>
      <c r="HJQ21" s="40"/>
      <c r="HJR21" s="40"/>
      <c r="HJS21" s="40"/>
      <c r="HJT21" s="40"/>
      <c r="HJU21" s="40"/>
      <c r="HJV21" s="40"/>
      <c r="HJW21" s="40"/>
      <c r="HJX21" s="40"/>
      <c r="HJY21" s="40"/>
      <c r="HJZ21" s="40"/>
      <c r="HKA21" s="40"/>
      <c r="HKB21" s="40"/>
      <c r="HKC21" s="40"/>
      <c r="HKD21" s="40"/>
      <c r="HKE21" s="40"/>
      <c r="HKF21" s="40"/>
      <c r="HKG21" s="40"/>
      <c r="HKH21" s="40"/>
      <c r="HKI21" s="40"/>
      <c r="HKJ21" s="40"/>
      <c r="HKK21" s="40"/>
      <c r="HKL21" s="40"/>
      <c r="HKM21" s="40"/>
      <c r="HKN21" s="40"/>
      <c r="HKO21" s="40"/>
      <c r="HKP21" s="40"/>
      <c r="HKQ21" s="40"/>
      <c r="HKR21" s="40"/>
      <c r="HKS21" s="40"/>
      <c r="HKT21" s="40"/>
      <c r="HKU21" s="40"/>
      <c r="HKV21" s="40"/>
      <c r="HKW21" s="40"/>
      <c r="HKX21" s="40"/>
      <c r="HKY21" s="40"/>
      <c r="HKZ21" s="40"/>
      <c r="HLA21" s="40"/>
      <c r="HLB21" s="40"/>
      <c r="HLC21" s="40"/>
      <c r="HLD21" s="40"/>
      <c r="HLE21" s="40"/>
      <c r="HLF21" s="40"/>
      <c r="HLG21" s="40"/>
      <c r="HLH21" s="40"/>
      <c r="HLI21" s="40"/>
      <c r="HLJ21" s="40"/>
      <c r="HLK21" s="40"/>
      <c r="HLL21" s="40"/>
      <c r="HLM21" s="40"/>
      <c r="HLN21" s="40"/>
      <c r="HLO21" s="40"/>
      <c r="HLP21" s="40"/>
      <c r="HLQ21" s="40"/>
      <c r="HLR21" s="40"/>
      <c r="HLS21" s="40"/>
      <c r="HLT21" s="40"/>
      <c r="HLU21" s="40"/>
      <c r="HLV21" s="40"/>
      <c r="HLW21" s="40"/>
      <c r="HLX21" s="40"/>
      <c r="HLY21" s="40"/>
      <c r="HLZ21" s="40"/>
      <c r="HMA21" s="40"/>
      <c r="HMB21" s="40"/>
      <c r="HMC21" s="40"/>
      <c r="HMD21" s="40"/>
      <c r="HME21" s="40"/>
      <c r="HMF21" s="40"/>
      <c r="HMG21" s="40"/>
      <c r="HMH21" s="40"/>
      <c r="HMI21" s="40"/>
      <c r="HMJ21" s="40"/>
      <c r="HMK21" s="40"/>
      <c r="HML21" s="40"/>
      <c r="HMM21" s="40"/>
      <c r="HMN21" s="40"/>
      <c r="HMO21" s="40"/>
      <c r="HMP21" s="40"/>
      <c r="HMQ21" s="40"/>
      <c r="HMR21" s="40"/>
      <c r="HMS21" s="40"/>
      <c r="HMT21" s="40"/>
      <c r="HMU21" s="40"/>
      <c r="HMV21" s="40"/>
      <c r="HMW21" s="40"/>
      <c r="HMX21" s="40"/>
      <c r="HMY21" s="40"/>
      <c r="HMZ21" s="40"/>
      <c r="HNA21" s="40"/>
      <c r="HNB21" s="40"/>
      <c r="HNC21" s="40"/>
      <c r="HND21" s="40"/>
      <c r="HNE21" s="40"/>
      <c r="HNF21" s="40"/>
      <c r="HNG21" s="40"/>
      <c r="HNH21" s="40"/>
      <c r="HNI21" s="40"/>
      <c r="HNJ21" s="40"/>
      <c r="HNK21" s="40"/>
      <c r="HNL21" s="40"/>
      <c r="HNM21" s="40"/>
      <c r="HNN21" s="40"/>
      <c r="HNO21" s="40"/>
      <c r="HNP21" s="40"/>
      <c r="HNQ21" s="40"/>
      <c r="HNR21" s="40"/>
      <c r="HNS21" s="40"/>
      <c r="HNT21" s="40"/>
      <c r="HNU21" s="40"/>
      <c r="HNV21" s="40"/>
      <c r="HNW21" s="40"/>
      <c r="HNX21" s="40"/>
      <c r="HNY21" s="40"/>
      <c r="HNZ21" s="40"/>
      <c r="HOA21" s="40"/>
      <c r="HOB21" s="40"/>
      <c r="HOC21" s="40"/>
      <c r="HOD21" s="40"/>
      <c r="HOE21" s="40"/>
      <c r="HOF21" s="40"/>
      <c r="HOG21" s="40"/>
      <c r="HOH21" s="40"/>
      <c r="HOI21" s="40"/>
      <c r="HOJ21" s="40"/>
      <c r="HOK21" s="40"/>
      <c r="HOL21" s="40"/>
      <c r="HOM21" s="40"/>
      <c r="HON21" s="40"/>
      <c r="HOO21" s="40"/>
      <c r="HOP21" s="40"/>
      <c r="HOQ21" s="40"/>
      <c r="HOR21" s="40"/>
      <c r="HOS21" s="40"/>
      <c r="HOT21" s="40"/>
      <c r="HOU21" s="40"/>
      <c r="HOV21" s="40"/>
      <c r="HOW21" s="40"/>
      <c r="HOX21" s="40"/>
      <c r="HOY21" s="40"/>
      <c r="HOZ21" s="40"/>
      <c r="HPA21" s="40"/>
      <c r="HPB21" s="40"/>
      <c r="HPC21" s="40"/>
      <c r="HPD21" s="40"/>
      <c r="HPE21" s="40"/>
      <c r="HPF21" s="40"/>
      <c r="HPG21" s="40"/>
      <c r="HPH21" s="40"/>
      <c r="HPI21" s="40"/>
      <c r="HPJ21" s="40"/>
      <c r="HPK21" s="40"/>
      <c r="HPL21" s="40"/>
      <c r="HPM21" s="40"/>
      <c r="HPN21" s="40"/>
      <c r="HPO21" s="40"/>
      <c r="HPP21" s="40"/>
      <c r="HPQ21" s="40"/>
      <c r="HPR21" s="40"/>
      <c r="HPS21" s="40"/>
      <c r="HPT21" s="40"/>
      <c r="HPU21" s="40"/>
      <c r="HPV21" s="40"/>
      <c r="HPW21" s="40"/>
      <c r="HPX21" s="40"/>
      <c r="HPY21" s="40"/>
      <c r="HPZ21" s="40"/>
      <c r="HQA21" s="40"/>
      <c r="HQB21" s="40"/>
      <c r="HQC21" s="40"/>
      <c r="HQD21" s="40"/>
      <c r="HQE21" s="40"/>
      <c r="HQF21" s="40"/>
      <c r="HQG21" s="40"/>
      <c r="HQH21" s="40"/>
      <c r="HQI21" s="40"/>
      <c r="HQJ21" s="40"/>
      <c r="HQK21" s="40"/>
      <c r="HQL21" s="40"/>
      <c r="HQM21" s="40"/>
      <c r="HQN21" s="40"/>
      <c r="HQO21" s="40"/>
      <c r="HQP21" s="40"/>
      <c r="HQQ21" s="40"/>
      <c r="HQR21" s="40"/>
      <c r="HQS21" s="40"/>
      <c r="HQT21" s="40"/>
      <c r="HQU21" s="40"/>
      <c r="HQV21" s="40"/>
      <c r="HQW21" s="40"/>
      <c r="HQX21" s="40"/>
      <c r="HQY21" s="40"/>
      <c r="HQZ21" s="40"/>
      <c r="HRA21" s="40"/>
      <c r="HRB21" s="40"/>
      <c r="HRC21" s="40"/>
      <c r="HRD21" s="40"/>
      <c r="HRE21" s="40"/>
      <c r="HRF21" s="40"/>
      <c r="HRG21" s="40"/>
      <c r="HRH21" s="40"/>
      <c r="HRI21" s="40"/>
      <c r="HRJ21" s="40"/>
      <c r="HRK21" s="40"/>
      <c r="HRL21" s="40"/>
      <c r="HRM21" s="40"/>
      <c r="HRN21" s="40"/>
      <c r="HRO21" s="40"/>
      <c r="HRP21" s="40"/>
      <c r="HRQ21" s="40"/>
      <c r="HRR21" s="40"/>
      <c r="HRS21" s="40"/>
      <c r="HRT21" s="40"/>
      <c r="HRU21" s="40"/>
      <c r="HRV21" s="40"/>
      <c r="HRW21" s="40"/>
      <c r="HRX21" s="40"/>
      <c r="HRY21" s="40"/>
      <c r="HRZ21" s="40"/>
      <c r="HSA21" s="40"/>
      <c r="HSB21" s="40"/>
      <c r="HSC21" s="40"/>
      <c r="HSD21" s="40"/>
      <c r="HSE21" s="40"/>
      <c r="HSF21" s="40"/>
      <c r="HSG21" s="40"/>
      <c r="HSH21" s="40"/>
      <c r="HSI21" s="40"/>
      <c r="HSJ21" s="40"/>
      <c r="HSK21" s="40"/>
      <c r="HSL21" s="40"/>
      <c r="HSM21" s="40"/>
      <c r="HSN21" s="40"/>
      <c r="HSO21" s="40"/>
      <c r="HSP21" s="40"/>
      <c r="HSQ21" s="40"/>
      <c r="HSR21" s="40"/>
      <c r="HSS21" s="40"/>
      <c r="HST21" s="40"/>
      <c r="HSU21" s="40"/>
      <c r="HSV21" s="40"/>
      <c r="HSW21" s="40"/>
      <c r="HSX21" s="40"/>
      <c r="HSY21" s="40"/>
      <c r="HSZ21" s="40"/>
      <c r="HTA21" s="40"/>
      <c r="HTB21" s="40"/>
      <c r="HTC21" s="40"/>
      <c r="HTD21" s="40"/>
      <c r="HTE21" s="40"/>
      <c r="HTF21" s="40"/>
      <c r="HTG21" s="40"/>
      <c r="HTH21" s="40"/>
      <c r="HTI21" s="40"/>
      <c r="HTJ21" s="40"/>
      <c r="HTK21" s="40"/>
      <c r="HTL21" s="40"/>
      <c r="HTM21" s="40"/>
      <c r="HTN21" s="40"/>
      <c r="HTO21" s="40"/>
      <c r="HTP21" s="40"/>
      <c r="HTQ21" s="40"/>
      <c r="HTR21" s="40"/>
      <c r="HTS21" s="40"/>
      <c r="HTT21" s="40"/>
      <c r="HTU21" s="40"/>
      <c r="HTV21" s="40"/>
      <c r="HTW21" s="40"/>
      <c r="HTX21" s="40"/>
      <c r="HTY21" s="40"/>
      <c r="HTZ21" s="40"/>
      <c r="HUA21" s="40"/>
      <c r="HUB21" s="40"/>
      <c r="HUC21" s="40"/>
      <c r="HUD21" s="40"/>
      <c r="HUE21" s="40"/>
      <c r="HUF21" s="40"/>
      <c r="HUG21" s="40"/>
      <c r="HUH21" s="40"/>
      <c r="HUI21" s="40"/>
      <c r="HUJ21" s="40"/>
      <c r="HUK21" s="40"/>
      <c r="HUL21" s="40"/>
      <c r="HUM21" s="40"/>
      <c r="HUN21" s="40"/>
      <c r="HUO21" s="40"/>
      <c r="HUP21" s="40"/>
      <c r="HUQ21" s="40"/>
      <c r="HUR21" s="40"/>
      <c r="HUS21" s="40"/>
      <c r="HUT21" s="40"/>
      <c r="HUU21" s="40"/>
      <c r="HUV21" s="40"/>
      <c r="HUW21" s="40"/>
      <c r="HUX21" s="40"/>
      <c r="HUY21" s="40"/>
      <c r="HUZ21" s="40"/>
      <c r="HVA21" s="40"/>
      <c r="HVB21" s="40"/>
      <c r="HVC21" s="40"/>
      <c r="HVD21" s="40"/>
      <c r="HVE21" s="40"/>
      <c r="HVF21" s="40"/>
      <c r="HVG21" s="40"/>
      <c r="HVH21" s="40"/>
      <c r="HVI21" s="40"/>
      <c r="HVJ21" s="40"/>
      <c r="HVK21" s="40"/>
      <c r="HVL21" s="40"/>
      <c r="HVM21" s="40"/>
      <c r="HVN21" s="40"/>
      <c r="HVO21" s="40"/>
      <c r="HVP21" s="40"/>
      <c r="HVQ21" s="40"/>
      <c r="HVR21" s="40"/>
      <c r="HVS21" s="40"/>
      <c r="HVT21" s="40"/>
      <c r="HVU21" s="40"/>
      <c r="HVV21" s="40"/>
      <c r="HVW21" s="40"/>
      <c r="HVX21" s="40"/>
      <c r="HVY21" s="40"/>
      <c r="HVZ21" s="40"/>
      <c r="HWA21" s="40"/>
      <c r="HWB21" s="40"/>
      <c r="HWC21" s="40"/>
      <c r="HWD21" s="40"/>
      <c r="HWE21" s="40"/>
      <c r="HWF21" s="40"/>
      <c r="HWG21" s="40"/>
      <c r="HWH21" s="40"/>
      <c r="HWI21" s="40"/>
      <c r="HWJ21" s="40"/>
      <c r="HWK21" s="40"/>
      <c r="HWL21" s="40"/>
      <c r="HWM21" s="40"/>
      <c r="HWN21" s="40"/>
      <c r="HWO21" s="40"/>
      <c r="HWP21" s="40"/>
      <c r="HWQ21" s="40"/>
      <c r="HWR21" s="40"/>
      <c r="HWS21" s="40"/>
      <c r="HWT21" s="40"/>
      <c r="HWU21" s="40"/>
      <c r="HWV21" s="40"/>
      <c r="HWW21" s="40"/>
      <c r="HWX21" s="40"/>
      <c r="HWY21" s="40"/>
      <c r="HWZ21" s="40"/>
      <c r="HXA21" s="40"/>
      <c r="HXB21" s="40"/>
      <c r="HXC21" s="40"/>
      <c r="HXD21" s="40"/>
      <c r="HXE21" s="40"/>
      <c r="HXF21" s="40"/>
      <c r="HXG21" s="40"/>
      <c r="HXH21" s="40"/>
      <c r="HXI21" s="40"/>
      <c r="HXJ21" s="40"/>
      <c r="HXK21" s="40"/>
      <c r="HXL21" s="40"/>
      <c r="HXM21" s="40"/>
      <c r="HXN21" s="40"/>
      <c r="HXO21" s="40"/>
      <c r="HXP21" s="40"/>
      <c r="HXQ21" s="40"/>
      <c r="HXR21" s="40"/>
      <c r="HXS21" s="40"/>
      <c r="HXT21" s="40"/>
      <c r="HXU21" s="40"/>
      <c r="HXV21" s="40"/>
      <c r="HXW21" s="40"/>
      <c r="HXX21" s="40"/>
      <c r="HXY21" s="40"/>
      <c r="HXZ21" s="40"/>
      <c r="HYA21" s="40"/>
      <c r="HYB21" s="40"/>
      <c r="HYC21" s="40"/>
      <c r="HYD21" s="40"/>
      <c r="HYE21" s="40"/>
      <c r="HYF21" s="40"/>
      <c r="HYG21" s="40"/>
      <c r="HYH21" s="40"/>
      <c r="HYI21" s="40"/>
      <c r="HYJ21" s="40"/>
      <c r="HYK21" s="40"/>
      <c r="HYL21" s="40"/>
      <c r="HYM21" s="40"/>
      <c r="HYN21" s="40"/>
      <c r="HYO21" s="40"/>
      <c r="HYP21" s="40"/>
      <c r="HYQ21" s="40"/>
      <c r="HYR21" s="40"/>
      <c r="HYS21" s="40"/>
      <c r="HYT21" s="40"/>
      <c r="HYU21" s="40"/>
      <c r="HYV21" s="40"/>
      <c r="HYW21" s="40"/>
      <c r="HYX21" s="40"/>
      <c r="HYY21" s="40"/>
      <c r="HYZ21" s="40"/>
      <c r="HZA21" s="40"/>
      <c r="HZB21" s="40"/>
      <c r="HZC21" s="40"/>
      <c r="HZD21" s="40"/>
      <c r="HZE21" s="40"/>
      <c r="HZF21" s="40"/>
      <c r="HZG21" s="40"/>
      <c r="HZH21" s="40"/>
      <c r="HZI21" s="40"/>
      <c r="HZJ21" s="40"/>
      <c r="HZK21" s="40"/>
      <c r="HZL21" s="40"/>
      <c r="HZM21" s="40"/>
      <c r="HZN21" s="40"/>
      <c r="HZO21" s="40"/>
      <c r="HZP21" s="40"/>
      <c r="HZQ21" s="40"/>
      <c r="HZR21" s="40"/>
      <c r="HZS21" s="40"/>
      <c r="HZT21" s="40"/>
      <c r="HZU21" s="40"/>
      <c r="HZV21" s="40"/>
      <c r="HZW21" s="40"/>
      <c r="HZX21" s="40"/>
      <c r="HZY21" s="40"/>
      <c r="HZZ21" s="40"/>
      <c r="IAA21" s="40"/>
      <c r="IAB21" s="40"/>
      <c r="IAC21" s="40"/>
      <c r="IAD21" s="40"/>
      <c r="IAE21" s="40"/>
      <c r="IAF21" s="40"/>
      <c r="IAG21" s="40"/>
      <c r="IAH21" s="40"/>
      <c r="IAI21" s="40"/>
      <c r="IAJ21" s="40"/>
      <c r="IAK21" s="40"/>
      <c r="IAL21" s="40"/>
      <c r="IAM21" s="40"/>
      <c r="IAN21" s="40"/>
      <c r="IAO21" s="40"/>
      <c r="IAP21" s="40"/>
      <c r="IAQ21" s="40"/>
      <c r="IAR21" s="40"/>
      <c r="IAS21" s="40"/>
      <c r="IAT21" s="40"/>
      <c r="IAU21" s="40"/>
      <c r="IAV21" s="40"/>
      <c r="IAW21" s="40"/>
      <c r="IAX21" s="40"/>
      <c r="IAY21" s="40"/>
      <c r="IAZ21" s="40"/>
      <c r="IBA21" s="40"/>
      <c r="IBB21" s="40"/>
      <c r="IBC21" s="40"/>
      <c r="IBD21" s="40"/>
      <c r="IBE21" s="40"/>
      <c r="IBF21" s="40"/>
      <c r="IBG21" s="40"/>
      <c r="IBH21" s="40"/>
      <c r="IBI21" s="40"/>
      <c r="IBJ21" s="40"/>
      <c r="IBK21" s="40"/>
      <c r="IBL21" s="40"/>
      <c r="IBM21" s="40"/>
      <c r="IBN21" s="40"/>
      <c r="IBO21" s="40"/>
      <c r="IBP21" s="40"/>
      <c r="IBQ21" s="40"/>
      <c r="IBR21" s="40"/>
      <c r="IBS21" s="40"/>
      <c r="IBT21" s="40"/>
      <c r="IBU21" s="40"/>
      <c r="IBV21" s="40"/>
      <c r="IBW21" s="40"/>
      <c r="IBX21" s="40"/>
      <c r="IBY21" s="40"/>
      <c r="IBZ21" s="40"/>
      <c r="ICA21" s="40"/>
      <c r="ICB21" s="40"/>
      <c r="ICC21" s="40"/>
      <c r="ICD21" s="40"/>
      <c r="ICE21" s="40"/>
      <c r="ICF21" s="40"/>
      <c r="ICG21" s="40"/>
      <c r="ICH21" s="40"/>
      <c r="ICI21" s="40"/>
      <c r="ICJ21" s="40"/>
      <c r="ICK21" s="40"/>
      <c r="ICL21" s="40"/>
      <c r="ICM21" s="40"/>
      <c r="ICN21" s="40"/>
      <c r="ICO21" s="40"/>
      <c r="ICP21" s="40"/>
      <c r="ICQ21" s="40"/>
      <c r="ICR21" s="40"/>
      <c r="ICS21" s="40"/>
      <c r="ICT21" s="40"/>
      <c r="ICU21" s="40"/>
      <c r="ICV21" s="40"/>
      <c r="ICW21" s="40"/>
      <c r="ICX21" s="40"/>
      <c r="ICY21" s="40"/>
      <c r="ICZ21" s="40"/>
      <c r="IDA21" s="40"/>
      <c r="IDB21" s="40"/>
      <c r="IDC21" s="40"/>
      <c r="IDD21" s="40"/>
      <c r="IDE21" s="40"/>
      <c r="IDF21" s="40"/>
      <c r="IDG21" s="40"/>
      <c r="IDH21" s="40"/>
      <c r="IDI21" s="40"/>
      <c r="IDJ21" s="40"/>
      <c r="IDK21" s="40"/>
      <c r="IDL21" s="40"/>
      <c r="IDM21" s="40"/>
      <c r="IDN21" s="40"/>
      <c r="IDO21" s="40"/>
      <c r="IDP21" s="40"/>
      <c r="IDQ21" s="40"/>
      <c r="IDR21" s="40"/>
      <c r="IDS21" s="40"/>
      <c r="IDT21" s="40"/>
      <c r="IDU21" s="40"/>
      <c r="IDV21" s="40"/>
      <c r="IDW21" s="40"/>
      <c r="IDX21" s="40"/>
      <c r="IDY21" s="40"/>
      <c r="IDZ21" s="40"/>
      <c r="IEA21" s="40"/>
      <c r="IEB21" s="40"/>
      <c r="IEC21" s="40"/>
      <c r="IED21" s="40"/>
      <c r="IEE21" s="40"/>
      <c r="IEF21" s="40"/>
      <c r="IEG21" s="40"/>
      <c r="IEH21" s="40"/>
      <c r="IEI21" s="40"/>
      <c r="IEJ21" s="40"/>
      <c r="IEK21" s="40"/>
      <c r="IEL21" s="40"/>
      <c r="IEM21" s="40"/>
      <c r="IEN21" s="40"/>
      <c r="IEO21" s="40"/>
      <c r="IEP21" s="40"/>
      <c r="IEQ21" s="40"/>
      <c r="IER21" s="40"/>
      <c r="IES21" s="40"/>
      <c r="IET21" s="40"/>
      <c r="IEU21" s="40"/>
      <c r="IEV21" s="40"/>
      <c r="IEW21" s="40"/>
      <c r="IEX21" s="40"/>
      <c r="IEY21" s="40"/>
      <c r="IEZ21" s="40"/>
      <c r="IFA21" s="40"/>
      <c r="IFB21" s="40"/>
      <c r="IFC21" s="40"/>
      <c r="IFD21" s="40"/>
      <c r="IFE21" s="40"/>
      <c r="IFF21" s="40"/>
      <c r="IFG21" s="40"/>
      <c r="IFH21" s="40"/>
      <c r="IFI21" s="40"/>
      <c r="IFJ21" s="40"/>
      <c r="IFK21" s="40"/>
      <c r="IFL21" s="40"/>
      <c r="IFM21" s="40"/>
      <c r="IFN21" s="40"/>
      <c r="IFO21" s="40"/>
      <c r="IFP21" s="40"/>
      <c r="IFQ21" s="40"/>
      <c r="IFR21" s="40"/>
      <c r="IFS21" s="40"/>
      <c r="IFT21" s="40"/>
      <c r="IFU21" s="40"/>
      <c r="IFV21" s="40"/>
      <c r="IFW21" s="40"/>
      <c r="IFX21" s="40"/>
      <c r="IFY21" s="40"/>
      <c r="IFZ21" s="40"/>
      <c r="IGA21" s="40"/>
      <c r="IGB21" s="40"/>
      <c r="IGC21" s="40"/>
      <c r="IGD21" s="40"/>
      <c r="IGE21" s="40"/>
      <c r="IGF21" s="40"/>
      <c r="IGG21" s="40"/>
      <c r="IGH21" s="40"/>
      <c r="IGI21" s="40"/>
      <c r="IGJ21" s="40"/>
      <c r="IGK21" s="40"/>
      <c r="IGL21" s="40"/>
      <c r="IGM21" s="40"/>
      <c r="IGN21" s="40"/>
      <c r="IGO21" s="40"/>
      <c r="IGP21" s="40"/>
      <c r="IGQ21" s="40"/>
      <c r="IGR21" s="40"/>
      <c r="IGS21" s="40"/>
      <c r="IGT21" s="40"/>
      <c r="IGU21" s="40"/>
      <c r="IGV21" s="40"/>
      <c r="IGW21" s="40"/>
      <c r="IGX21" s="40"/>
      <c r="IGY21" s="40"/>
      <c r="IGZ21" s="40"/>
      <c r="IHA21" s="40"/>
      <c r="IHB21" s="40"/>
      <c r="IHC21" s="40"/>
      <c r="IHD21" s="40"/>
      <c r="IHE21" s="40"/>
      <c r="IHF21" s="40"/>
      <c r="IHG21" s="40"/>
      <c r="IHH21" s="40"/>
      <c r="IHI21" s="40"/>
      <c r="IHJ21" s="40"/>
      <c r="IHK21" s="40"/>
      <c r="IHL21" s="40"/>
      <c r="IHM21" s="40"/>
      <c r="IHN21" s="40"/>
      <c r="IHO21" s="40"/>
      <c r="IHP21" s="40"/>
      <c r="IHQ21" s="40"/>
      <c r="IHR21" s="40"/>
      <c r="IHS21" s="40"/>
      <c r="IHT21" s="40"/>
      <c r="IHU21" s="40"/>
      <c r="IHV21" s="40"/>
      <c r="IHW21" s="40"/>
      <c r="IHX21" s="40"/>
      <c r="IHY21" s="40"/>
      <c r="IHZ21" s="40"/>
      <c r="IIA21" s="40"/>
      <c r="IIB21" s="40"/>
      <c r="IIC21" s="40"/>
      <c r="IID21" s="40"/>
      <c r="IIE21" s="40"/>
      <c r="IIF21" s="40"/>
      <c r="IIG21" s="40"/>
      <c r="IIH21" s="40"/>
      <c r="III21" s="40"/>
      <c r="IIJ21" s="40"/>
      <c r="IIK21" s="40"/>
      <c r="IIL21" s="40"/>
      <c r="IIM21" s="40"/>
      <c r="IIN21" s="40"/>
      <c r="IIO21" s="40"/>
      <c r="IIP21" s="40"/>
      <c r="IIQ21" s="40"/>
      <c r="IIR21" s="40"/>
      <c r="IIS21" s="40"/>
      <c r="IIT21" s="40"/>
      <c r="IIU21" s="40"/>
      <c r="IIV21" s="40"/>
      <c r="IIW21" s="40"/>
      <c r="IIX21" s="40"/>
      <c r="IIY21" s="40"/>
      <c r="IIZ21" s="40"/>
      <c r="IJA21" s="40"/>
      <c r="IJB21" s="40"/>
      <c r="IJC21" s="40"/>
      <c r="IJD21" s="40"/>
      <c r="IJE21" s="40"/>
      <c r="IJF21" s="40"/>
      <c r="IJG21" s="40"/>
      <c r="IJH21" s="40"/>
      <c r="IJI21" s="40"/>
      <c r="IJJ21" s="40"/>
      <c r="IJK21" s="40"/>
      <c r="IJL21" s="40"/>
      <c r="IJM21" s="40"/>
      <c r="IJN21" s="40"/>
      <c r="IJO21" s="40"/>
      <c r="IJP21" s="40"/>
      <c r="IJQ21" s="40"/>
      <c r="IJR21" s="40"/>
      <c r="IJS21" s="40"/>
      <c r="IJT21" s="40"/>
      <c r="IJU21" s="40"/>
      <c r="IJV21" s="40"/>
      <c r="IJW21" s="40"/>
      <c r="IJX21" s="40"/>
      <c r="IJY21" s="40"/>
      <c r="IJZ21" s="40"/>
      <c r="IKA21" s="40"/>
      <c r="IKB21" s="40"/>
      <c r="IKC21" s="40"/>
      <c r="IKD21" s="40"/>
      <c r="IKE21" s="40"/>
      <c r="IKF21" s="40"/>
      <c r="IKG21" s="40"/>
      <c r="IKH21" s="40"/>
      <c r="IKI21" s="40"/>
      <c r="IKJ21" s="40"/>
      <c r="IKK21" s="40"/>
      <c r="IKL21" s="40"/>
      <c r="IKM21" s="40"/>
      <c r="IKN21" s="40"/>
      <c r="IKO21" s="40"/>
      <c r="IKP21" s="40"/>
      <c r="IKQ21" s="40"/>
      <c r="IKR21" s="40"/>
      <c r="IKS21" s="40"/>
      <c r="IKT21" s="40"/>
      <c r="IKU21" s="40"/>
      <c r="IKV21" s="40"/>
      <c r="IKW21" s="40"/>
      <c r="IKX21" s="40"/>
      <c r="IKY21" s="40"/>
      <c r="IKZ21" s="40"/>
      <c r="ILA21" s="40"/>
      <c r="ILB21" s="40"/>
      <c r="ILC21" s="40"/>
      <c r="ILD21" s="40"/>
      <c r="ILE21" s="40"/>
      <c r="ILF21" s="40"/>
      <c r="ILG21" s="40"/>
      <c r="ILH21" s="40"/>
      <c r="ILI21" s="40"/>
      <c r="ILJ21" s="40"/>
      <c r="ILK21" s="40"/>
      <c r="ILL21" s="40"/>
      <c r="ILM21" s="40"/>
      <c r="ILN21" s="40"/>
      <c r="ILO21" s="40"/>
      <c r="ILP21" s="40"/>
      <c r="ILQ21" s="40"/>
      <c r="ILR21" s="40"/>
      <c r="ILS21" s="40"/>
      <c r="ILT21" s="40"/>
      <c r="ILU21" s="40"/>
      <c r="ILV21" s="40"/>
      <c r="ILW21" s="40"/>
      <c r="ILX21" s="40"/>
      <c r="ILY21" s="40"/>
      <c r="ILZ21" s="40"/>
      <c r="IMA21" s="40"/>
      <c r="IMB21" s="40"/>
      <c r="IMC21" s="40"/>
      <c r="IMD21" s="40"/>
      <c r="IME21" s="40"/>
      <c r="IMF21" s="40"/>
      <c r="IMG21" s="40"/>
      <c r="IMH21" s="40"/>
      <c r="IMI21" s="40"/>
      <c r="IMJ21" s="40"/>
      <c r="IMK21" s="40"/>
      <c r="IML21" s="40"/>
      <c r="IMM21" s="40"/>
      <c r="IMN21" s="40"/>
      <c r="IMO21" s="40"/>
      <c r="IMP21" s="40"/>
      <c r="IMQ21" s="40"/>
      <c r="IMR21" s="40"/>
      <c r="IMS21" s="40"/>
      <c r="IMT21" s="40"/>
      <c r="IMU21" s="40"/>
      <c r="IMV21" s="40"/>
      <c r="IMW21" s="40"/>
      <c r="IMX21" s="40"/>
      <c r="IMY21" s="40"/>
      <c r="IMZ21" s="40"/>
      <c r="INA21" s="40"/>
      <c r="INB21" s="40"/>
      <c r="INC21" s="40"/>
      <c r="IND21" s="40"/>
      <c r="INE21" s="40"/>
      <c r="INF21" s="40"/>
      <c r="ING21" s="40"/>
      <c r="INH21" s="40"/>
      <c r="INI21" s="40"/>
      <c r="INJ21" s="40"/>
      <c r="INK21" s="40"/>
      <c r="INL21" s="40"/>
      <c r="INM21" s="40"/>
      <c r="INN21" s="40"/>
      <c r="INO21" s="40"/>
      <c r="INP21" s="40"/>
      <c r="INQ21" s="40"/>
      <c r="INR21" s="40"/>
      <c r="INS21" s="40"/>
      <c r="INT21" s="40"/>
      <c r="INU21" s="40"/>
      <c r="INV21" s="40"/>
      <c r="INW21" s="40"/>
      <c r="INX21" s="40"/>
      <c r="INY21" s="40"/>
      <c r="INZ21" s="40"/>
      <c r="IOA21" s="40"/>
      <c r="IOB21" s="40"/>
      <c r="IOC21" s="40"/>
      <c r="IOD21" s="40"/>
      <c r="IOE21" s="40"/>
      <c r="IOF21" s="40"/>
      <c r="IOG21" s="40"/>
      <c r="IOH21" s="40"/>
      <c r="IOI21" s="40"/>
      <c r="IOJ21" s="40"/>
      <c r="IOK21" s="40"/>
      <c r="IOL21" s="40"/>
      <c r="IOM21" s="40"/>
      <c r="ION21" s="40"/>
      <c r="IOO21" s="40"/>
      <c r="IOP21" s="40"/>
      <c r="IOQ21" s="40"/>
      <c r="IOR21" s="40"/>
      <c r="IOS21" s="40"/>
      <c r="IOT21" s="40"/>
      <c r="IOU21" s="40"/>
      <c r="IOV21" s="40"/>
      <c r="IOW21" s="40"/>
      <c r="IOX21" s="40"/>
      <c r="IOY21" s="40"/>
      <c r="IOZ21" s="40"/>
      <c r="IPA21" s="40"/>
      <c r="IPB21" s="40"/>
      <c r="IPC21" s="40"/>
      <c r="IPD21" s="40"/>
      <c r="IPE21" s="40"/>
      <c r="IPF21" s="40"/>
      <c r="IPG21" s="40"/>
      <c r="IPH21" s="40"/>
      <c r="IPI21" s="40"/>
      <c r="IPJ21" s="40"/>
      <c r="IPK21" s="40"/>
      <c r="IPL21" s="40"/>
      <c r="IPM21" s="40"/>
      <c r="IPN21" s="40"/>
      <c r="IPO21" s="40"/>
      <c r="IPP21" s="40"/>
      <c r="IPQ21" s="40"/>
      <c r="IPR21" s="40"/>
      <c r="IPS21" s="40"/>
      <c r="IPT21" s="40"/>
      <c r="IPU21" s="40"/>
      <c r="IPV21" s="40"/>
      <c r="IPW21" s="40"/>
      <c r="IPX21" s="40"/>
      <c r="IPY21" s="40"/>
      <c r="IPZ21" s="40"/>
      <c r="IQA21" s="40"/>
      <c r="IQB21" s="40"/>
      <c r="IQC21" s="40"/>
      <c r="IQD21" s="40"/>
      <c r="IQE21" s="40"/>
      <c r="IQF21" s="40"/>
      <c r="IQG21" s="40"/>
      <c r="IQH21" s="40"/>
      <c r="IQI21" s="40"/>
      <c r="IQJ21" s="40"/>
      <c r="IQK21" s="40"/>
      <c r="IQL21" s="40"/>
      <c r="IQM21" s="40"/>
      <c r="IQN21" s="40"/>
      <c r="IQO21" s="40"/>
      <c r="IQP21" s="40"/>
      <c r="IQQ21" s="40"/>
      <c r="IQR21" s="40"/>
      <c r="IQS21" s="40"/>
      <c r="IQT21" s="40"/>
      <c r="IQU21" s="40"/>
      <c r="IQV21" s="40"/>
      <c r="IQW21" s="40"/>
      <c r="IQX21" s="40"/>
      <c r="IQY21" s="40"/>
      <c r="IQZ21" s="40"/>
      <c r="IRA21" s="40"/>
      <c r="IRB21" s="40"/>
      <c r="IRC21" s="40"/>
      <c r="IRD21" s="40"/>
      <c r="IRE21" s="40"/>
      <c r="IRF21" s="40"/>
      <c r="IRG21" s="40"/>
      <c r="IRH21" s="40"/>
      <c r="IRI21" s="40"/>
      <c r="IRJ21" s="40"/>
      <c r="IRK21" s="40"/>
      <c r="IRL21" s="40"/>
      <c r="IRM21" s="40"/>
      <c r="IRN21" s="40"/>
      <c r="IRO21" s="40"/>
      <c r="IRP21" s="40"/>
      <c r="IRQ21" s="40"/>
      <c r="IRR21" s="40"/>
      <c r="IRS21" s="40"/>
      <c r="IRT21" s="40"/>
      <c r="IRU21" s="40"/>
      <c r="IRV21" s="40"/>
      <c r="IRW21" s="40"/>
      <c r="IRX21" s="40"/>
      <c r="IRY21" s="40"/>
      <c r="IRZ21" s="40"/>
      <c r="ISA21" s="40"/>
      <c r="ISB21" s="40"/>
      <c r="ISC21" s="40"/>
      <c r="ISD21" s="40"/>
      <c r="ISE21" s="40"/>
      <c r="ISF21" s="40"/>
      <c r="ISG21" s="40"/>
      <c r="ISH21" s="40"/>
      <c r="ISI21" s="40"/>
      <c r="ISJ21" s="40"/>
      <c r="ISK21" s="40"/>
      <c r="ISL21" s="40"/>
      <c r="ISM21" s="40"/>
      <c r="ISN21" s="40"/>
      <c r="ISO21" s="40"/>
      <c r="ISP21" s="40"/>
      <c r="ISQ21" s="40"/>
      <c r="ISR21" s="40"/>
      <c r="ISS21" s="40"/>
      <c r="IST21" s="40"/>
      <c r="ISU21" s="40"/>
      <c r="ISV21" s="40"/>
      <c r="ISW21" s="40"/>
      <c r="ISX21" s="40"/>
      <c r="ISY21" s="40"/>
      <c r="ISZ21" s="40"/>
      <c r="ITA21" s="40"/>
      <c r="ITB21" s="40"/>
      <c r="ITC21" s="40"/>
      <c r="ITD21" s="40"/>
      <c r="ITE21" s="40"/>
      <c r="ITF21" s="40"/>
      <c r="ITG21" s="40"/>
      <c r="ITH21" s="40"/>
      <c r="ITI21" s="40"/>
      <c r="ITJ21" s="40"/>
      <c r="ITK21" s="40"/>
      <c r="ITL21" s="40"/>
      <c r="ITM21" s="40"/>
      <c r="ITN21" s="40"/>
      <c r="ITO21" s="40"/>
      <c r="ITP21" s="40"/>
      <c r="ITQ21" s="40"/>
      <c r="ITR21" s="40"/>
      <c r="ITS21" s="40"/>
      <c r="ITT21" s="40"/>
      <c r="ITU21" s="40"/>
      <c r="ITV21" s="40"/>
      <c r="ITW21" s="40"/>
      <c r="ITX21" s="40"/>
      <c r="ITY21" s="40"/>
      <c r="ITZ21" s="40"/>
      <c r="IUA21" s="40"/>
      <c r="IUB21" s="40"/>
      <c r="IUC21" s="40"/>
      <c r="IUD21" s="40"/>
      <c r="IUE21" s="40"/>
      <c r="IUF21" s="40"/>
      <c r="IUG21" s="40"/>
      <c r="IUH21" s="40"/>
      <c r="IUI21" s="40"/>
      <c r="IUJ21" s="40"/>
      <c r="IUK21" s="40"/>
      <c r="IUL21" s="40"/>
      <c r="IUM21" s="40"/>
      <c r="IUN21" s="40"/>
      <c r="IUO21" s="40"/>
      <c r="IUP21" s="40"/>
      <c r="IUQ21" s="40"/>
      <c r="IUR21" s="40"/>
      <c r="IUS21" s="40"/>
      <c r="IUT21" s="40"/>
      <c r="IUU21" s="40"/>
      <c r="IUV21" s="40"/>
      <c r="IUW21" s="40"/>
      <c r="IUX21" s="40"/>
      <c r="IUY21" s="40"/>
      <c r="IUZ21" s="40"/>
      <c r="IVA21" s="40"/>
      <c r="IVB21" s="40"/>
      <c r="IVC21" s="40"/>
      <c r="IVD21" s="40"/>
      <c r="IVE21" s="40"/>
      <c r="IVF21" s="40"/>
      <c r="IVG21" s="40"/>
      <c r="IVH21" s="40"/>
      <c r="IVI21" s="40"/>
      <c r="IVJ21" s="40"/>
      <c r="IVK21" s="40"/>
      <c r="IVL21" s="40"/>
      <c r="IVM21" s="40"/>
      <c r="IVN21" s="40"/>
      <c r="IVO21" s="40"/>
      <c r="IVP21" s="40"/>
      <c r="IVQ21" s="40"/>
      <c r="IVR21" s="40"/>
      <c r="IVS21" s="40"/>
      <c r="IVT21" s="40"/>
      <c r="IVU21" s="40"/>
      <c r="IVV21" s="40"/>
      <c r="IVW21" s="40"/>
      <c r="IVX21" s="40"/>
      <c r="IVY21" s="40"/>
      <c r="IVZ21" s="40"/>
      <c r="IWA21" s="40"/>
      <c r="IWB21" s="40"/>
      <c r="IWC21" s="40"/>
      <c r="IWD21" s="40"/>
      <c r="IWE21" s="40"/>
      <c r="IWF21" s="40"/>
      <c r="IWG21" s="40"/>
      <c r="IWH21" s="40"/>
      <c r="IWI21" s="40"/>
      <c r="IWJ21" s="40"/>
      <c r="IWK21" s="40"/>
      <c r="IWL21" s="40"/>
      <c r="IWM21" s="40"/>
      <c r="IWN21" s="40"/>
      <c r="IWO21" s="40"/>
      <c r="IWP21" s="40"/>
      <c r="IWQ21" s="40"/>
      <c r="IWR21" s="40"/>
      <c r="IWS21" s="40"/>
      <c r="IWT21" s="40"/>
      <c r="IWU21" s="40"/>
      <c r="IWV21" s="40"/>
      <c r="IWW21" s="40"/>
      <c r="IWX21" s="40"/>
      <c r="IWY21" s="40"/>
      <c r="IWZ21" s="40"/>
      <c r="IXA21" s="40"/>
      <c r="IXB21" s="40"/>
      <c r="IXC21" s="40"/>
      <c r="IXD21" s="40"/>
      <c r="IXE21" s="40"/>
      <c r="IXF21" s="40"/>
      <c r="IXG21" s="40"/>
      <c r="IXH21" s="40"/>
      <c r="IXI21" s="40"/>
      <c r="IXJ21" s="40"/>
      <c r="IXK21" s="40"/>
      <c r="IXL21" s="40"/>
      <c r="IXM21" s="40"/>
      <c r="IXN21" s="40"/>
      <c r="IXO21" s="40"/>
      <c r="IXP21" s="40"/>
      <c r="IXQ21" s="40"/>
      <c r="IXR21" s="40"/>
      <c r="IXS21" s="40"/>
      <c r="IXT21" s="40"/>
      <c r="IXU21" s="40"/>
      <c r="IXV21" s="40"/>
      <c r="IXW21" s="40"/>
      <c r="IXX21" s="40"/>
      <c r="IXY21" s="40"/>
      <c r="IXZ21" s="40"/>
      <c r="IYA21" s="40"/>
      <c r="IYB21" s="40"/>
      <c r="IYC21" s="40"/>
      <c r="IYD21" s="40"/>
      <c r="IYE21" s="40"/>
      <c r="IYF21" s="40"/>
      <c r="IYG21" s="40"/>
      <c r="IYH21" s="40"/>
      <c r="IYI21" s="40"/>
      <c r="IYJ21" s="40"/>
      <c r="IYK21" s="40"/>
      <c r="IYL21" s="40"/>
      <c r="IYM21" s="40"/>
      <c r="IYN21" s="40"/>
      <c r="IYO21" s="40"/>
      <c r="IYP21" s="40"/>
      <c r="IYQ21" s="40"/>
      <c r="IYR21" s="40"/>
      <c r="IYS21" s="40"/>
      <c r="IYT21" s="40"/>
      <c r="IYU21" s="40"/>
      <c r="IYV21" s="40"/>
      <c r="IYW21" s="40"/>
      <c r="IYX21" s="40"/>
      <c r="IYY21" s="40"/>
      <c r="IYZ21" s="40"/>
      <c r="IZA21" s="40"/>
      <c r="IZB21" s="40"/>
      <c r="IZC21" s="40"/>
      <c r="IZD21" s="40"/>
      <c r="IZE21" s="40"/>
      <c r="IZF21" s="40"/>
      <c r="IZG21" s="40"/>
      <c r="IZH21" s="40"/>
      <c r="IZI21" s="40"/>
      <c r="IZJ21" s="40"/>
      <c r="IZK21" s="40"/>
      <c r="IZL21" s="40"/>
      <c r="IZM21" s="40"/>
      <c r="IZN21" s="40"/>
      <c r="IZO21" s="40"/>
      <c r="IZP21" s="40"/>
      <c r="IZQ21" s="40"/>
      <c r="IZR21" s="40"/>
      <c r="IZS21" s="40"/>
      <c r="IZT21" s="40"/>
      <c r="IZU21" s="40"/>
      <c r="IZV21" s="40"/>
      <c r="IZW21" s="40"/>
      <c r="IZX21" s="40"/>
      <c r="IZY21" s="40"/>
      <c r="IZZ21" s="40"/>
      <c r="JAA21" s="40"/>
      <c r="JAB21" s="40"/>
      <c r="JAC21" s="40"/>
      <c r="JAD21" s="40"/>
      <c r="JAE21" s="40"/>
      <c r="JAF21" s="40"/>
      <c r="JAG21" s="40"/>
      <c r="JAH21" s="40"/>
      <c r="JAI21" s="40"/>
      <c r="JAJ21" s="40"/>
      <c r="JAK21" s="40"/>
      <c r="JAL21" s="40"/>
      <c r="JAM21" s="40"/>
      <c r="JAN21" s="40"/>
      <c r="JAO21" s="40"/>
      <c r="JAP21" s="40"/>
      <c r="JAQ21" s="40"/>
      <c r="JAR21" s="40"/>
      <c r="JAS21" s="40"/>
      <c r="JAT21" s="40"/>
      <c r="JAU21" s="40"/>
      <c r="JAV21" s="40"/>
      <c r="JAW21" s="40"/>
      <c r="JAX21" s="40"/>
      <c r="JAY21" s="40"/>
      <c r="JAZ21" s="40"/>
      <c r="JBA21" s="40"/>
      <c r="JBB21" s="40"/>
      <c r="JBC21" s="40"/>
      <c r="JBD21" s="40"/>
      <c r="JBE21" s="40"/>
      <c r="JBF21" s="40"/>
      <c r="JBG21" s="40"/>
      <c r="JBH21" s="40"/>
      <c r="JBI21" s="40"/>
      <c r="JBJ21" s="40"/>
      <c r="JBK21" s="40"/>
      <c r="JBL21" s="40"/>
      <c r="JBM21" s="40"/>
      <c r="JBN21" s="40"/>
      <c r="JBO21" s="40"/>
      <c r="JBP21" s="40"/>
      <c r="JBQ21" s="40"/>
      <c r="JBR21" s="40"/>
      <c r="JBS21" s="40"/>
      <c r="JBT21" s="40"/>
      <c r="JBU21" s="40"/>
      <c r="JBV21" s="40"/>
      <c r="JBW21" s="40"/>
      <c r="JBX21" s="40"/>
      <c r="JBY21" s="40"/>
      <c r="JBZ21" s="40"/>
      <c r="JCA21" s="40"/>
      <c r="JCB21" s="40"/>
      <c r="JCC21" s="40"/>
      <c r="JCD21" s="40"/>
      <c r="JCE21" s="40"/>
      <c r="JCF21" s="40"/>
      <c r="JCG21" s="40"/>
      <c r="JCH21" s="40"/>
      <c r="JCI21" s="40"/>
      <c r="JCJ21" s="40"/>
      <c r="JCK21" s="40"/>
      <c r="JCL21" s="40"/>
      <c r="JCM21" s="40"/>
      <c r="JCN21" s="40"/>
      <c r="JCO21" s="40"/>
      <c r="JCP21" s="40"/>
      <c r="JCQ21" s="40"/>
      <c r="JCR21" s="40"/>
      <c r="JCS21" s="40"/>
      <c r="JCT21" s="40"/>
      <c r="JCU21" s="40"/>
      <c r="JCV21" s="40"/>
      <c r="JCW21" s="40"/>
      <c r="JCX21" s="40"/>
      <c r="JCY21" s="40"/>
      <c r="JCZ21" s="40"/>
      <c r="JDA21" s="40"/>
      <c r="JDB21" s="40"/>
      <c r="JDC21" s="40"/>
      <c r="JDD21" s="40"/>
      <c r="JDE21" s="40"/>
      <c r="JDF21" s="40"/>
      <c r="JDG21" s="40"/>
      <c r="JDH21" s="40"/>
      <c r="JDI21" s="40"/>
      <c r="JDJ21" s="40"/>
      <c r="JDK21" s="40"/>
      <c r="JDL21" s="40"/>
      <c r="JDM21" s="40"/>
      <c r="JDN21" s="40"/>
      <c r="JDO21" s="40"/>
      <c r="JDP21" s="40"/>
      <c r="JDQ21" s="40"/>
      <c r="JDR21" s="40"/>
      <c r="JDS21" s="40"/>
      <c r="JDT21" s="40"/>
      <c r="JDU21" s="40"/>
      <c r="JDV21" s="40"/>
      <c r="JDW21" s="40"/>
      <c r="JDX21" s="40"/>
      <c r="JDY21" s="40"/>
      <c r="JDZ21" s="40"/>
      <c r="JEA21" s="40"/>
      <c r="JEB21" s="40"/>
      <c r="JEC21" s="40"/>
      <c r="JED21" s="40"/>
      <c r="JEE21" s="40"/>
      <c r="JEF21" s="40"/>
      <c r="JEG21" s="40"/>
      <c r="JEH21" s="40"/>
      <c r="JEI21" s="40"/>
      <c r="JEJ21" s="40"/>
      <c r="JEK21" s="40"/>
      <c r="JEL21" s="40"/>
      <c r="JEM21" s="40"/>
      <c r="JEN21" s="40"/>
      <c r="JEO21" s="40"/>
      <c r="JEP21" s="40"/>
      <c r="JEQ21" s="40"/>
      <c r="JER21" s="40"/>
      <c r="JES21" s="40"/>
      <c r="JET21" s="40"/>
      <c r="JEU21" s="40"/>
      <c r="JEV21" s="40"/>
      <c r="JEW21" s="40"/>
      <c r="JEX21" s="40"/>
      <c r="JEY21" s="40"/>
      <c r="JEZ21" s="40"/>
      <c r="JFA21" s="40"/>
      <c r="JFB21" s="40"/>
      <c r="JFC21" s="40"/>
      <c r="JFD21" s="40"/>
      <c r="JFE21" s="40"/>
      <c r="JFF21" s="40"/>
      <c r="JFG21" s="40"/>
      <c r="JFH21" s="40"/>
      <c r="JFI21" s="40"/>
      <c r="JFJ21" s="40"/>
      <c r="JFK21" s="40"/>
      <c r="JFL21" s="40"/>
      <c r="JFM21" s="40"/>
      <c r="JFN21" s="40"/>
      <c r="JFO21" s="40"/>
      <c r="JFP21" s="40"/>
      <c r="JFQ21" s="40"/>
      <c r="JFR21" s="40"/>
      <c r="JFS21" s="40"/>
      <c r="JFT21" s="40"/>
      <c r="JFU21" s="40"/>
      <c r="JFV21" s="40"/>
      <c r="JFW21" s="40"/>
      <c r="JFX21" s="40"/>
      <c r="JFY21" s="40"/>
      <c r="JFZ21" s="40"/>
      <c r="JGA21" s="40"/>
      <c r="JGB21" s="40"/>
      <c r="JGC21" s="40"/>
      <c r="JGD21" s="40"/>
      <c r="JGE21" s="40"/>
      <c r="JGF21" s="40"/>
      <c r="JGG21" s="40"/>
      <c r="JGH21" s="40"/>
      <c r="JGI21" s="40"/>
      <c r="JGJ21" s="40"/>
      <c r="JGK21" s="40"/>
      <c r="JGL21" s="40"/>
      <c r="JGM21" s="40"/>
      <c r="JGN21" s="40"/>
      <c r="JGO21" s="40"/>
      <c r="JGP21" s="40"/>
      <c r="JGQ21" s="40"/>
      <c r="JGR21" s="40"/>
      <c r="JGS21" s="40"/>
      <c r="JGT21" s="40"/>
      <c r="JGU21" s="40"/>
      <c r="JGV21" s="40"/>
      <c r="JGW21" s="40"/>
      <c r="JGX21" s="40"/>
      <c r="JGY21" s="40"/>
      <c r="JGZ21" s="40"/>
      <c r="JHA21" s="40"/>
      <c r="JHB21" s="40"/>
      <c r="JHC21" s="40"/>
      <c r="JHD21" s="40"/>
      <c r="JHE21" s="40"/>
      <c r="JHF21" s="40"/>
      <c r="JHG21" s="40"/>
      <c r="JHH21" s="40"/>
      <c r="JHI21" s="40"/>
      <c r="JHJ21" s="40"/>
      <c r="JHK21" s="40"/>
      <c r="JHL21" s="40"/>
      <c r="JHM21" s="40"/>
      <c r="JHN21" s="40"/>
      <c r="JHO21" s="40"/>
      <c r="JHP21" s="40"/>
      <c r="JHQ21" s="40"/>
      <c r="JHR21" s="40"/>
      <c r="JHS21" s="40"/>
      <c r="JHT21" s="40"/>
      <c r="JHU21" s="40"/>
      <c r="JHV21" s="40"/>
      <c r="JHW21" s="40"/>
      <c r="JHX21" s="40"/>
      <c r="JHY21" s="40"/>
      <c r="JHZ21" s="40"/>
      <c r="JIA21" s="40"/>
      <c r="JIB21" s="40"/>
      <c r="JIC21" s="40"/>
      <c r="JID21" s="40"/>
      <c r="JIE21" s="40"/>
      <c r="JIF21" s="40"/>
      <c r="JIG21" s="40"/>
      <c r="JIH21" s="40"/>
      <c r="JII21" s="40"/>
      <c r="JIJ21" s="40"/>
      <c r="JIK21" s="40"/>
      <c r="JIL21" s="40"/>
      <c r="JIM21" s="40"/>
      <c r="JIN21" s="40"/>
      <c r="JIO21" s="40"/>
      <c r="JIP21" s="40"/>
      <c r="JIQ21" s="40"/>
      <c r="JIR21" s="40"/>
      <c r="JIS21" s="40"/>
      <c r="JIT21" s="40"/>
      <c r="JIU21" s="40"/>
      <c r="JIV21" s="40"/>
      <c r="JIW21" s="40"/>
      <c r="JIX21" s="40"/>
      <c r="JIY21" s="40"/>
      <c r="JIZ21" s="40"/>
      <c r="JJA21" s="40"/>
      <c r="JJB21" s="40"/>
      <c r="JJC21" s="40"/>
      <c r="JJD21" s="40"/>
      <c r="JJE21" s="40"/>
      <c r="JJF21" s="40"/>
      <c r="JJG21" s="40"/>
      <c r="JJH21" s="40"/>
      <c r="JJI21" s="40"/>
      <c r="JJJ21" s="40"/>
      <c r="JJK21" s="40"/>
      <c r="JJL21" s="40"/>
      <c r="JJM21" s="40"/>
      <c r="JJN21" s="40"/>
      <c r="JJO21" s="40"/>
      <c r="JJP21" s="40"/>
      <c r="JJQ21" s="40"/>
      <c r="JJR21" s="40"/>
      <c r="JJS21" s="40"/>
      <c r="JJT21" s="40"/>
      <c r="JJU21" s="40"/>
      <c r="JJV21" s="40"/>
      <c r="JJW21" s="40"/>
      <c r="JJX21" s="40"/>
      <c r="JJY21" s="40"/>
      <c r="JJZ21" s="40"/>
      <c r="JKA21" s="40"/>
      <c r="JKB21" s="40"/>
      <c r="JKC21" s="40"/>
      <c r="JKD21" s="40"/>
      <c r="JKE21" s="40"/>
      <c r="JKF21" s="40"/>
      <c r="JKG21" s="40"/>
      <c r="JKH21" s="40"/>
      <c r="JKI21" s="40"/>
      <c r="JKJ21" s="40"/>
      <c r="JKK21" s="40"/>
      <c r="JKL21" s="40"/>
      <c r="JKM21" s="40"/>
      <c r="JKN21" s="40"/>
      <c r="JKO21" s="40"/>
      <c r="JKP21" s="40"/>
      <c r="JKQ21" s="40"/>
      <c r="JKR21" s="40"/>
      <c r="JKS21" s="40"/>
      <c r="JKT21" s="40"/>
      <c r="JKU21" s="40"/>
      <c r="JKV21" s="40"/>
      <c r="JKW21" s="40"/>
      <c r="JKX21" s="40"/>
      <c r="JKY21" s="40"/>
      <c r="JKZ21" s="40"/>
      <c r="JLA21" s="40"/>
      <c r="JLB21" s="40"/>
      <c r="JLC21" s="40"/>
      <c r="JLD21" s="40"/>
      <c r="JLE21" s="40"/>
      <c r="JLF21" s="40"/>
      <c r="JLG21" s="40"/>
      <c r="JLH21" s="40"/>
      <c r="JLI21" s="40"/>
      <c r="JLJ21" s="40"/>
      <c r="JLK21" s="40"/>
      <c r="JLL21" s="40"/>
      <c r="JLM21" s="40"/>
      <c r="JLN21" s="40"/>
      <c r="JLO21" s="40"/>
      <c r="JLP21" s="40"/>
      <c r="JLQ21" s="40"/>
      <c r="JLR21" s="40"/>
      <c r="JLS21" s="40"/>
      <c r="JLT21" s="40"/>
      <c r="JLU21" s="40"/>
      <c r="JLV21" s="40"/>
      <c r="JLW21" s="40"/>
      <c r="JLX21" s="40"/>
      <c r="JLY21" s="40"/>
      <c r="JLZ21" s="40"/>
      <c r="JMA21" s="40"/>
      <c r="JMB21" s="40"/>
      <c r="JMC21" s="40"/>
      <c r="JMD21" s="40"/>
      <c r="JME21" s="40"/>
      <c r="JMF21" s="40"/>
      <c r="JMG21" s="40"/>
      <c r="JMH21" s="40"/>
      <c r="JMI21" s="40"/>
      <c r="JMJ21" s="40"/>
      <c r="JMK21" s="40"/>
      <c r="JML21" s="40"/>
      <c r="JMM21" s="40"/>
      <c r="JMN21" s="40"/>
      <c r="JMO21" s="40"/>
      <c r="JMP21" s="40"/>
      <c r="JMQ21" s="40"/>
      <c r="JMR21" s="40"/>
      <c r="JMS21" s="40"/>
      <c r="JMT21" s="40"/>
      <c r="JMU21" s="40"/>
      <c r="JMV21" s="40"/>
      <c r="JMW21" s="40"/>
      <c r="JMX21" s="40"/>
      <c r="JMY21" s="40"/>
      <c r="JMZ21" s="40"/>
      <c r="JNA21" s="40"/>
      <c r="JNB21" s="40"/>
      <c r="JNC21" s="40"/>
      <c r="JND21" s="40"/>
      <c r="JNE21" s="40"/>
      <c r="JNF21" s="40"/>
      <c r="JNG21" s="40"/>
      <c r="JNH21" s="40"/>
      <c r="JNI21" s="40"/>
      <c r="JNJ21" s="40"/>
      <c r="JNK21" s="40"/>
      <c r="JNL21" s="40"/>
      <c r="JNM21" s="40"/>
      <c r="JNN21" s="40"/>
      <c r="JNO21" s="40"/>
      <c r="JNP21" s="40"/>
      <c r="JNQ21" s="40"/>
      <c r="JNR21" s="40"/>
      <c r="JNS21" s="40"/>
      <c r="JNT21" s="40"/>
      <c r="JNU21" s="40"/>
      <c r="JNV21" s="40"/>
      <c r="JNW21" s="40"/>
      <c r="JNX21" s="40"/>
      <c r="JNY21" s="40"/>
      <c r="JNZ21" s="40"/>
      <c r="JOA21" s="40"/>
      <c r="JOB21" s="40"/>
      <c r="JOC21" s="40"/>
      <c r="JOD21" s="40"/>
      <c r="JOE21" s="40"/>
      <c r="JOF21" s="40"/>
      <c r="JOG21" s="40"/>
      <c r="JOH21" s="40"/>
      <c r="JOI21" s="40"/>
      <c r="JOJ21" s="40"/>
      <c r="JOK21" s="40"/>
      <c r="JOL21" s="40"/>
      <c r="JOM21" s="40"/>
      <c r="JON21" s="40"/>
      <c r="JOO21" s="40"/>
      <c r="JOP21" s="40"/>
      <c r="JOQ21" s="40"/>
      <c r="JOR21" s="40"/>
      <c r="JOS21" s="40"/>
      <c r="JOT21" s="40"/>
      <c r="JOU21" s="40"/>
      <c r="JOV21" s="40"/>
      <c r="JOW21" s="40"/>
      <c r="JOX21" s="40"/>
      <c r="JOY21" s="40"/>
      <c r="JOZ21" s="40"/>
      <c r="JPA21" s="40"/>
      <c r="JPB21" s="40"/>
      <c r="JPC21" s="40"/>
      <c r="JPD21" s="40"/>
      <c r="JPE21" s="40"/>
      <c r="JPF21" s="40"/>
      <c r="JPG21" s="40"/>
      <c r="JPH21" s="40"/>
      <c r="JPI21" s="40"/>
      <c r="JPJ21" s="40"/>
      <c r="JPK21" s="40"/>
      <c r="JPL21" s="40"/>
      <c r="JPM21" s="40"/>
      <c r="JPN21" s="40"/>
      <c r="JPO21" s="40"/>
      <c r="JPP21" s="40"/>
      <c r="JPQ21" s="40"/>
      <c r="JPR21" s="40"/>
      <c r="JPS21" s="40"/>
      <c r="JPT21" s="40"/>
      <c r="JPU21" s="40"/>
      <c r="JPV21" s="40"/>
      <c r="JPW21" s="40"/>
      <c r="JPX21" s="40"/>
      <c r="JPY21" s="40"/>
      <c r="JPZ21" s="40"/>
      <c r="JQA21" s="40"/>
      <c r="JQB21" s="40"/>
      <c r="JQC21" s="40"/>
      <c r="JQD21" s="40"/>
      <c r="JQE21" s="40"/>
      <c r="JQF21" s="40"/>
      <c r="JQG21" s="40"/>
      <c r="JQH21" s="40"/>
      <c r="JQI21" s="40"/>
      <c r="JQJ21" s="40"/>
      <c r="JQK21" s="40"/>
      <c r="JQL21" s="40"/>
      <c r="JQM21" s="40"/>
      <c r="JQN21" s="40"/>
      <c r="JQO21" s="40"/>
      <c r="JQP21" s="40"/>
      <c r="JQQ21" s="40"/>
      <c r="JQR21" s="40"/>
      <c r="JQS21" s="40"/>
      <c r="JQT21" s="40"/>
      <c r="JQU21" s="40"/>
      <c r="JQV21" s="40"/>
      <c r="JQW21" s="40"/>
      <c r="JQX21" s="40"/>
      <c r="JQY21" s="40"/>
      <c r="JQZ21" s="40"/>
      <c r="JRA21" s="40"/>
      <c r="JRB21" s="40"/>
      <c r="JRC21" s="40"/>
      <c r="JRD21" s="40"/>
      <c r="JRE21" s="40"/>
      <c r="JRF21" s="40"/>
      <c r="JRG21" s="40"/>
      <c r="JRH21" s="40"/>
      <c r="JRI21" s="40"/>
      <c r="JRJ21" s="40"/>
      <c r="JRK21" s="40"/>
      <c r="JRL21" s="40"/>
      <c r="JRM21" s="40"/>
      <c r="JRN21" s="40"/>
      <c r="JRO21" s="40"/>
      <c r="JRP21" s="40"/>
      <c r="JRQ21" s="40"/>
      <c r="JRR21" s="40"/>
      <c r="JRS21" s="40"/>
      <c r="JRT21" s="40"/>
      <c r="JRU21" s="40"/>
      <c r="JRV21" s="40"/>
      <c r="JRW21" s="40"/>
      <c r="JRX21" s="40"/>
      <c r="JRY21" s="40"/>
      <c r="JRZ21" s="40"/>
      <c r="JSA21" s="40"/>
      <c r="JSB21" s="40"/>
      <c r="JSC21" s="40"/>
      <c r="JSD21" s="40"/>
      <c r="JSE21" s="40"/>
      <c r="JSF21" s="40"/>
      <c r="JSG21" s="40"/>
      <c r="JSH21" s="40"/>
      <c r="JSI21" s="40"/>
      <c r="JSJ21" s="40"/>
      <c r="JSK21" s="40"/>
      <c r="JSL21" s="40"/>
      <c r="JSM21" s="40"/>
      <c r="JSN21" s="40"/>
      <c r="JSO21" s="40"/>
      <c r="JSP21" s="40"/>
      <c r="JSQ21" s="40"/>
      <c r="JSR21" s="40"/>
      <c r="JSS21" s="40"/>
      <c r="JST21" s="40"/>
      <c r="JSU21" s="40"/>
      <c r="JSV21" s="40"/>
      <c r="JSW21" s="40"/>
      <c r="JSX21" s="40"/>
      <c r="JSY21" s="40"/>
      <c r="JSZ21" s="40"/>
      <c r="JTA21" s="40"/>
      <c r="JTB21" s="40"/>
      <c r="JTC21" s="40"/>
      <c r="JTD21" s="40"/>
      <c r="JTE21" s="40"/>
      <c r="JTF21" s="40"/>
      <c r="JTG21" s="40"/>
      <c r="JTH21" s="40"/>
      <c r="JTI21" s="40"/>
      <c r="JTJ21" s="40"/>
      <c r="JTK21" s="40"/>
      <c r="JTL21" s="40"/>
      <c r="JTM21" s="40"/>
      <c r="JTN21" s="40"/>
      <c r="JTO21" s="40"/>
      <c r="JTP21" s="40"/>
      <c r="JTQ21" s="40"/>
      <c r="JTR21" s="40"/>
      <c r="JTS21" s="40"/>
      <c r="JTT21" s="40"/>
      <c r="JTU21" s="40"/>
      <c r="JTV21" s="40"/>
      <c r="JTW21" s="40"/>
      <c r="JTX21" s="40"/>
      <c r="JTY21" s="40"/>
      <c r="JTZ21" s="40"/>
      <c r="JUA21" s="40"/>
      <c r="JUB21" s="40"/>
      <c r="JUC21" s="40"/>
      <c r="JUD21" s="40"/>
      <c r="JUE21" s="40"/>
      <c r="JUF21" s="40"/>
      <c r="JUG21" s="40"/>
      <c r="JUH21" s="40"/>
      <c r="JUI21" s="40"/>
      <c r="JUJ21" s="40"/>
      <c r="JUK21" s="40"/>
      <c r="JUL21" s="40"/>
      <c r="JUM21" s="40"/>
      <c r="JUN21" s="40"/>
      <c r="JUO21" s="40"/>
      <c r="JUP21" s="40"/>
      <c r="JUQ21" s="40"/>
      <c r="JUR21" s="40"/>
      <c r="JUS21" s="40"/>
      <c r="JUT21" s="40"/>
      <c r="JUU21" s="40"/>
      <c r="JUV21" s="40"/>
      <c r="JUW21" s="40"/>
      <c r="JUX21" s="40"/>
      <c r="JUY21" s="40"/>
      <c r="JUZ21" s="40"/>
      <c r="JVA21" s="40"/>
      <c r="JVB21" s="40"/>
      <c r="JVC21" s="40"/>
      <c r="JVD21" s="40"/>
      <c r="JVE21" s="40"/>
      <c r="JVF21" s="40"/>
      <c r="JVG21" s="40"/>
      <c r="JVH21" s="40"/>
      <c r="JVI21" s="40"/>
      <c r="JVJ21" s="40"/>
      <c r="JVK21" s="40"/>
      <c r="JVL21" s="40"/>
      <c r="JVM21" s="40"/>
      <c r="JVN21" s="40"/>
      <c r="JVO21" s="40"/>
      <c r="JVP21" s="40"/>
      <c r="JVQ21" s="40"/>
      <c r="JVR21" s="40"/>
      <c r="JVS21" s="40"/>
      <c r="JVT21" s="40"/>
      <c r="JVU21" s="40"/>
      <c r="JVV21" s="40"/>
      <c r="JVW21" s="40"/>
      <c r="JVX21" s="40"/>
      <c r="JVY21" s="40"/>
      <c r="JVZ21" s="40"/>
      <c r="JWA21" s="40"/>
      <c r="JWB21" s="40"/>
      <c r="JWC21" s="40"/>
      <c r="JWD21" s="40"/>
      <c r="JWE21" s="40"/>
      <c r="JWF21" s="40"/>
      <c r="JWG21" s="40"/>
      <c r="JWH21" s="40"/>
      <c r="JWI21" s="40"/>
      <c r="JWJ21" s="40"/>
      <c r="JWK21" s="40"/>
      <c r="JWL21" s="40"/>
      <c r="JWM21" s="40"/>
      <c r="JWN21" s="40"/>
      <c r="JWO21" s="40"/>
      <c r="JWP21" s="40"/>
      <c r="JWQ21" s="40"/>
      <c r="JWR21" s="40"/>
      <c r="JWS21" s="40"/>
      <c r="JWT21" s="40"/>
      <c r="JWU21" s="40"/>
      <c r="JWV21" s="40"/>
      <c r="JWW21" s="40"/>
      <c r="JWX21" s="40"/>
      <c r="JWY21" s="40"/>
      <c r="JWZ21" s="40"/>
      <c r="JXA21" s="40"/>
      <c r="JXB21" s="40"/>
      <c r="JXC21" s="40"/>
      <c r="JXD21" s="40"/>
      <c r="JXE21" s="40"/>
      <c r="JXF21" s="40"/>
      <c r="JXG21" s="40"/>
      <c r="JXH21" s="40"/>
      <c r="JXI21" s="40"/>
      <c r="JXJ21" s="40"/>
      <c r="JXK21" s="40"/>
      <c r="JXL21" s="40"/>
      <c r="JXM21" s="40"/>
      <c r="JXN21" s="40"/>
      <c r="JXO21" s="40"/>
      <c r="JXP21" s="40"/>
      <c r="JXQ21" s="40"/>
      <c r="JXR21" s="40"/>
      <c r="JXS21" s="40"/>
      <c r="JXT21" s="40"/>
      <c r="JXU21" s="40"/>
      <c r="JXV21" s="40"/>
      <c r="JXW21" s="40"/>
      <c r="JXX21" s="40"/>
      <c r="JXY21" s="40"/>
      <c r="JXZ21" s="40"/>
      <c r="JYA21" s="40"/>
      <c r="JYB21" s="40"/>
      <c r="JYC21" s="40"/>
      <c r="JYD21" s="40"/>
      <c r="JYE21" s="40"/>
      <c r="JYF21" s="40"/>
      <c r="JYG21" s="40"/>
      <c r="JYH21" s="40"/>
      <c r="JYI21" s="40"/>
      <c r="JYJ21" s="40"/>
      <c r="JYK21" s="40"/>
      <c r="JYL21" s="40"/>
      <c r="JYM21" s="40"/>
      <c r="JYN21" s="40"/>
      <c r="JYO21" s="40"/>
      <c r="JYP21" s="40"/>
      <c r="JYQ21" s="40"/>
      <c r="JYR21" s="40"/>
      <c r="JYS21" s="40"/>
      <c r="JYT21" s="40"/>
      <c r="JYU21" s="40"/>
      <c r="JYV21" s="40"/>
      <c r="JYW21" s="40"/>
      <c r="JYX21" s="40"/>
      <c r="JYY21" s="40"/>
      <c r="JYZ21" s="40"/>
      <c r="JZA21" s="40"/>
      <c r="JZB21" s="40"/>
      <c r="JZC21" s="40"/>
      <c r="JZD21" s="40"/>
      <c r="JZE21" s="40"/>
      <c r="JZF21" s="40"/>
      <c r="JZG21" s="40"/>
      <c r="JZH21" s="40"/>
      <c r="JZI21" s="40"/>
      <c r="JZJ21" s="40"/>
      <c r="JZK21" s="40"/>
      <c r="JZL21" s="40"/>
      <c r="JZM21" s="40"/>
      <c r="JZN21" s="40"/>
      <c r="JZO21" s="40"/>
      <c r="JZP21" s="40"/>
      <c r="JZQ21" s="40"/>
      <c r="JZR21" s="40"/>
      <c r="JZS21" s="40"/>
      <c r="JZT21" s="40"/>
      <c r="JZU21" s="40"/>
      <c r="JZV21" s="40"/>
      <c r="JZW21" s="40"/>
      <c r="JZX21" s="40"/>
      <c r="JZY21" s="40"/>
      <c r="JZZ21" s="40"/>
      <c r="KAA21" s="40"/>
      <c r="KAB21" s="40"/>
      <c r="KAC21" s="40"/>
      <c r="KAD21" s="40"/>
      <c r="KAE21" s="40"/>
      <c r="KAF21" s="40"/>
      <c r="KAG21" s="40"/>
      <c r="KAH21" s="40"/>
      <c r="KAI21" s="40"/>
      <c r="KAJ21" s="40"/>
      <c r="KAK21" s="40"/>
      <c r="KAL21" s="40"/>
      <c r="KAM21" s="40"/>
      <c r="KAN21" s="40"/>
      <c r="KAO21" s="40"/>
      <c r="KAP21" s="40"/>
      <c r="KAQ21" s="40"/>
      <c r="KAR21" s="40"/>
      <c r="KAS21" s="40"/>
      <c r="KAT21" s="40"/>
      <c r="KAU21" s="40"/>
      <c r="KAV21" s="40"/>
      <c r="KAW21" s="40"/>
      <c r="KAX21" s="40"/>
      <c r="KAY21" s="40"/>
      <c r="KAZ21" s="40"/>
      <c r="KBA21" s="40"/>
      <c r="KBB21" s="40"/>
      <c r="KBC21" s="40"/>
      <c r="KBD21" s="40"/>
      <c r="KBE21" s="40"/>
      <c r="KBF21" s="40"/>
      <c r="KBG21" s="40"/>
      <c r="KBH21" s="40"/>
      <c r="KBI21" s="40"/>
      <c r="KBJ21" s="40"/>
      <c r="KBK21" s="40"/>
      <c r="KBL21" s="40"/>
      <c r="KBM21" s="40"/>
      <c r="KBN21" s="40"/>
      <c r="KBO21" s="40"/>
      <c r="KBP21" s="40"/>
      <c r="KBQ21" s="40"/>
      <c r="KBR21" s="40"/>
      <c r="KBS21" s="40"/>
      <c r="KBT21" s="40"/>
      <c r="KBU21" s="40"/>
      <c r="KBV21" s="40"/>
      <c r="KBW21" s="40"/>
      <c r="KBX21" s="40"/>
      <c r="KBY21" s="40"/>
      <c r="KBZ21" s="40"/>
      <c r="KCA21" s="40"/>
      <c r="KCB21" s="40"/>
      <c r="KCC21" s="40"/>
      <c r="KCD21" s="40"/>
      <c r="KCE21" s="40"/>
      <c r="KCF21" s="40"/>
      <c r="KCG21" s="40"/>
      <c r="KCH21" s="40"/>
      <c r="KCI21" s="40"/>
      <c r="KCJ21" s="40"/>
      <c r="KCK21" s="40"/>
      <c r="KCL21" s="40"/>
      <c r="KCM21" s="40"/>
      <c r="KCN21" s="40"/>
      <c r="KCO21" s="40"/>
      <c r="KCP21" s="40"/>
      <c r="KCQ21" s="40"/>
      <c r="KCR21" s="40"/>
      <c r="KCS21" s="40"/>
      <c r="KCT21" s="40"/>
      <c r="KCU21" s="40"/>
      <c r="KCV21" s="40"/>
      <c r="KCW21" s="40"/>
      <c r="KCX21" s="40"/>
      <c r="KCY21" s="40"/>
      <c r="KCZ21" s="40"/>
      <c r="KDA21" s="40"/>
      <c r="KDB21" s="40"/>
      <c r="KDC21" s="40"/>
      <c r="KDD21" s="40"/>
      <c r="KDE21" s="40"/>
      <c r="KDF21" s="40"/>
      <c r="KDG21" s="40"/>
      <c r="KDH21" s="40"/>
      <c r="KDI21" s="40"/>
      <c r="KDJ21" s="40"/>
      <c r="KDK21" s="40"/>
      <c r="KDL21" s="40"/>
      <c r="KDM21" s="40"/>
      <c r="KDN21" s="40"/>
      <c r="KDO21" s="40"/>
      <c r="KDP21" s="40"/>
      <c r="KDQ21" s="40"/>
      <c r="KDR21" s="40"/>
      <c r="KDS21" s="40"/>
      <c r="KDT21" s="40"/>
      <c r="KDU21" s="40"/>
      <c r="KDV21" s="40"/>
      <c r="KDW21" s="40"/>
      <c r="KDX21" s="40"/>
      <c r="KDY21" s="40"/>
      <c r="KDZ21" s="40"/>
      <c r="KEA21" s="40"/>
      <c r="KEB21" s="40"/>
      <c r="KEC21" s="40"/>
      <c r="KED21" s="40"/>
      <c r="KEE21" s="40"/>
      <c r="KEF21" s="40"/>
      <c r="KEG21" s="40"/>
      <c r="KEH21" s="40"/>
      <c r="KEI21" s="40"/>
      <c r="KEJ21" s="40"/>
      <c r="KEK21" s="40"/>
      <c r="KEL21" s="40"/>
      <c r="KEM21" s="40"/>
      <c r="KEN21" s="40"/>
      <c r="KEO21" s="40"/>
      <c r="KEP21" s="40"/>
      <c r="KEQ21" s="40"/>
      <c r="KER21" s="40"/>
      <c r="KES21" s="40"/>
      <c r="KET21" s="40"/>
      <c r="KEU21" s="40"/>
      <c r="KEV21" s="40"/>
      <c r="KEW21" s="40"/>
      <c r="KEX21" s="40"/>
      <c r="KEY21" s="40"/>
      <c r="KEZ21" s="40"/>
      <c r="KFA21" s="40"/>
      <c r="KFB21" s="40"/>
      <c r="KFC21" s="40"/>
      <c r="KFD21" s="40"/>
      <c r="KFE21" s="40"/>
      <c r="KFF21" s="40"/>
      <c r="KFG21" s="40"/>
      <c r="KFH21" s="40"/>
      <c r="KFI21" s="40"/>
      <c r="KFJ21" s="40"/>
      <c r="KFK21" s="40"/>
      <c r="KFL21" s="40"/>
      <c r="KFM21" s="40"/>
      <c r="KFN21" s="40"/>
      <c r="KFO21" s="40"/>
      <c r="KFP21" s="40"/>
      <c r="KFQ21" s="40"/>
      <c r="KFR21" s="40"/>
      <c r="KFS21" s="40"/>
      <c r="KFT21" s="40"/>
      <c r="KFU21" s="40"/>
      <c r="KFV21" s="40"/>
      <c r="KFW21" s="40"/>
      <c r="KFX21" s="40"/>
      <c r="KFY21" s="40"/>
      <c r="KFZ21" s="40"/>
      <c r="KGA21" s="40"/>
      <c r="KGB21" s="40"/>
      <c r="KGC21" s="40"/>
      <c r="KGD21" s="40"/>
      <c r="KGE21" s="40"/>
      <c r="KGF21" s="40"/>
      <c r="KGG21" s="40"/>
      <c r="KGH21" s="40"/>
      <c r="KGI21" s="40"/>
      <c r="KGJ21" s="40"/>
      <c r="KGK21" s="40"/>
      <c r="KGL21" s="40"/>
      <c r="KGM21" s="40"/>
      <c r="KGN21" s="40"/>
      <c r="KGO21" s="40"/>
      <c r="KGP21" s="40"/>
      <c r="KGQ21" s="40"/>
      <c r="KGR21" s="40"/>
      <c r="KGS21" s="40"/>
      <c r="KGT21" s="40"/>
      <c r="KGU21" s="40"/>
      <c r="KGV21" s="40"/>
      <c r="KGW21" s="40"/>
      <c r="KGX21" s="40"/>
      <c r="KGY21" s="40"/>
      <c r="KGZ21" s="40"/>
      <c r="KHA21" s="40"/>
      <c r="KHB21" s="40"/>
      <c r="KHC21" s="40"/>
      <c r="KHD21" s="40"/>
      <c r="KHE21" s="40"/>
      <c r="KHF21" s="40"/>
      <c r="KHG21" s="40"/>
      <c r="KHH21" s="40"/>
      <c r="KHI21" s="40"/>
      <c r="KHJ21" s="40"/>
      <c r="KHK21" s="40"/>
      <c r="KHL21" s="40"/>
      <c r="KHM21" s="40"/>
      <c r="KHN21" s="40"/>
      <c r="KHO21" s="40"/>
      <c r="KHP21" s="40"/>
      <c r="KHQ21" s="40"/>
      <c r="KHR21" s="40"/>
      <c r="KHS21" s="40"/>
      <c r="KHT21" s="40"/>
      <c r="KHU21" s="40"/>
      <c r="KHV21" s="40"/>
      <c r="KHW21" s="40"/>
      <c r="KHX21" s="40"/>
      <c r="KHY21" s="40"/>
      <c r="KHZ21" s="40"/>
      <c r="KIA21" s="40"/>
      <c r="KIB21" s="40"/>
      <c r="KIC21" s="40"/>
      <c r="KID21" s="40"/>
      <c r="KIE21" s="40"/>
      <c r="KIF21" s="40"/>
      <c r="KIG21" s="40"/>
      <c r="KIH21" s="40"/>
      <c r="KII21" s="40"/>
      <c r="KIJ21" s="40"/>
      <c r="KIK21" s="40"/>
      <c r="KIL21" s="40"/>
      <c r="KIM21" s="40"/>
      <c r="KIN21" s="40"/>
      <c r="KIO21" s="40"/>
      <c r="KIP21" s="40"/>
      <c r="KIQ21" s="40"/>
      <c r="KIR21" s="40"/>
      <c r="KIS21" s="40"/>
      <c r="KIT21" s="40"/>
      <c r="KIU21" s="40"/>
      <c r="KIV21" s="40"/>
      <c r="KIW21" s="40"/>
      <c r="KIX21" s="40"/>
      <c r="KIY21" s="40"/>
      <c r="KIZ21" s="40"/>
      <c r="KJA21" s="40"/>
      <c r="KJB21" s="40"/>
      <c r="KJC21" s="40"/>
      <c r="KJD21" s="40"/>
      <c r="KJE21" s="40"/>
      <c r="KJF21" s="40"/>
      <c r="KJG21" s="40"/>
      <c r="KJH21" s="40"/>
      <c r="KJI21" s="40"/>
      <c r="KJJ21" s="40"/>
      <c r="KJK21" s="40"/>
      <c r="KJL21" s="40"/>
      <c r="KJM21" s="40"/>
      <c r="KJN21" s="40"/>
      <c r="KJO21" s="40"/>
      <c r="KJP21" s="40"/>
      <c r="KJQ21" s="40"/>
      <c r="KJR21" s="40"/>
      <c r="KJS21" s="40"/>
      <c r="KJT21" s="40"/>
      <c r="KJU21" s="40"/>
      <c r="KJV21" s="40"/>
      <c r="KJW21" s="40"/>
      <c r="KJX21" s="40"/>
      <c r="KJY21" s="40"/>
      <c r="KJZ21" s="40"/>
      <c r="KKA21" s="40"/>
      <c r="KKB21" s="40"/>
      <c r="KKC21" s="40"/>
      <c r="KKD21" s="40"/>
      <c r="KKE21" s="40"/>
      <c r="KKF21" s="40"/>
      <c r="KKG21" s="40"/>
      <c r="KKH21" s="40"/>
      <c r="KKI21" s="40"/>
      <c r="KKJ21" s="40"/>
      <c r="KKK21" s="40"/>
      <c r="KKL21" s="40"/>
      <c r="KKM21" s="40"/>
      <c r="KKN21" s="40"/>
      <c r="KKO21" s="40"/>
      <c r="KKP21" s="40"/>
      <c r="KKQ21" s="40"/>
      <c r="KKR21" s="40"/>
      <c r="KKS21" s="40"/>
      <c r="KKT21" s="40"/>
      <c r="KKU21" s="40"/>
      <c r="KKV21" s="40"/>
      <c r="KKW21" s="40"/>
      <c r="KKX21" s="40"/>
      <c r="KKY21" s="40"/>
      <c r="KKZ21" s="40"/>
      <c r="KLA21" s="40"/>
      <c r="KLB21" s="40"/>
      <c r="KLC21" s="40"/>
      <c r="KLD21" s="40"/>
      <c r="KLE21" s="40"/>
      <c r="KLF21" s="40"/>
      <c r="KLG21" s="40"/>
      <c r="KLH21" s="40"/>
      <c r="KLI21" s="40"/>
      <c r="KLJ21" s="40"/>
      <c r="KLK21" s="40"/>
      <c r="KLL21" s="40"/>
      <c r="KLM21" s="40"/>
      <c r="KLN21" s="40"/>
      <c r="KLO21" s="40"/>
      <c r="KLP21" s="40"/>
      <c r="KLQ21" s="40"/>
      <c r="KLR21" s="40"/>
      <c r="KLS21" s="40"/>
      <c r="KLT21" s="40"/>
      <c r="KLU21" s="40"/>
      <c r="KLV21" s="40"/>
      <c r="KLW21" s="40"/>
      <c r="KLX21" s="40"/>
      <c r="KLY21" s="40"/>
      <c r="KLZ21" s="40"/>
      <c r="KMA21" s="40"/>
      <c r="KMB21" s="40"/>
      <c r="KMC21" s="40"/>
      <c r="KMD21" s="40"/>
      <c r="KME21" s="40"/>
      <c r="KMF21" s="40"/>
      <c r="KMG21" s="40"/>
      <c r="KMH21" s="40"/>
      <c r="KMI21" s="40"/>
      <c r="KMJ21" s="40"/>
      <c r="KMK21" s="40"/>
      <c r="KML21" s="40"/>
      <c r="KMM21" s="40"/>
      <c r="KMN21" s="40"/>
      <c r="KMO21" s="40"/>
      <c r="KMP21" s="40"/>
      <c r="KMQ21" s="40"/>
      <c r="KMR21" s="40"/>
      <c r="KMS21" s="40"/>
      <c r="KMT21" s="40"/>
      <c r="KMU21" s="40"/>
      <c r="KMV21" s="40"/>
      <c r="KMW21" s="40"/>
      <c r="KMX21" s="40"/>
      <c r="KMY21" s="40"/>
      <c r="KMZ21" s="40"/>
      <c r="KNA21" s="40"/>
      <c r="KNB21" s="40"/>
      <c r="KNC21" s="40"/>
      <c r="KND21" s="40"/>
      <c r="KNE21" s="40"/>
      <c r="KNF21" s="40"/>
      <c r="KNG21" s="40"/>
      <c r="KNH21" s="40"/>
      <c r="KNI21" s="40"/>
      <c r="KNJ21" s="40"/>
      <c r="KNK21" s="40"/>
      <c r="KNL21" s="40"/>
      <c r="KNM21" s="40"/>
      <c r="KNN21" s="40"/>
      <c r="KNO21" s="40"/>
      <c r="KNP21" s="40"/>
      <c r="KNQ21" s="40"/>
      <c r="KNR21" s="40"/>
      <c r="KNS21" s="40"/>
      <c r="KNT21" s="40"/>
      <c r="KNU21" s="40"/>
      <c r="KNV21" s="40"/>
      <c r="KNW21" s="40"/>
      <c r="KNX21" s="40"/>
      <c r="KNY21" s="40"/>
      <c r="KNZ21" s="40"/>
      <c r="KOA21" s="40"/>
      <c r="KOB21" s="40"/>
      <c r="KOC21" s="40"/>
      <c r="KOD21" s="40"/>
      <c r="KOE21" s="40"/>
      <c r="KOF21" s="40"/>
      <c r="KOG21" s="40"/>
      <c r="KOH21" s="40"/>
      <c r="KOI21" s="40"/>
      <c r="KOJ21" s="40"/>
      <c r="KOK21" s="40"/>
      <c r="KOL21" s="40"/>
      <c r="KOM21" s="40"/>
      <c r="KON21" s="40"/>
      <c r="KOO21" s="40"/>
      <c r="KOP21" s="40"/>
      <c r="KOQ21" s="40"/>
      <c r="KOR21" s="40"/>
      <c r="KOS21" s="40"/>
      <c r="KOT21" s="40"/>
      <c r="KOU21" s="40"/>
      <c r="KOV21" s="40"/>
      <c r="KOW21" s="40"/>
      <c r="KOX21" s="40"/>
      <c r="KOY21" s="40"/>
      <c r="KOZ21" s="40"/>
      <c r="KPA21" s="40"/>
      <c r="KPB21" s="40"/>
      <c r="KPC21" s="40"/>
      <c r="KPD21" s="40"/>
      <c r="KPE21" s="40"/>
      <c r="KPF21" s="40"/>
      <c r="KPG21" s="40"/>
      <c r="KPH21" s="40"/>
      <c r="KPI21" s="40"/>
      <c r="KPJ21" s="40"/>
      <c r="KPK21" s="40"/>
      <c r="KPL21" s="40"/>
      <c r="KPM21" s="40"/>
      <c r="KPN21" s="40"/>
      <c r="KPO21" s="40"/>
      <c r="KPP21" s="40"/>
      <c r="KPQ21" s="40"/>
      <c r="KPR21" s="40"/>
      <c r="KPS21" s="40"/>
      <c r="KPT21" s="40"/>
      <c r="KPU21" s="40"/>
      <c r="KPV21" s="40"/>
      <c r="KPW21" s="40"/>
      <c r="KPX21" s="40"/>
      <c r="KPY21" s="40"/>
      <c r="KPZ21" s="40"/>
      <c r="KQA21" s="40"/>
      <c r="KQB21" s="40"/>
      <c r="KQC21" s="40"/>
      <c r="KQD21" s="40"/>
      <c r="KQE21" s="40"/>
      <c r="KQF21" s="40"/>
      <c r="KQG21" s="40"/>
      <c r="KQH21" s="40"/>
      <c r="KQI21" s="40"/>
      <c r="KQJ21" s="40"/>
      <c r="KQK21" s="40"/>
      <c r="KQL21" s="40"/>
      <c r="KQM21" s="40"/>
      <c r="KQN21" s="40"/>
      <c r="KQO21" s="40"/>
      <c r="KQP21" s="40"/>
      <c r="KQQ21" s="40"/>
      <c r="KQR21" s="40"/>
      <c r="KQS21" s="40"/>
      <c r="KQT21" s="40"/>
      <c r="KQU21" s="40"/>
      <c r="KQV21" s="40"/>
      <c r="KQW21" s="40"/>
      <c r="KQX21" s="40"/>
      <c r="KQY21" s="40"/>
      <c r="KQZ21" s="40"/>
      <c r="KRA21" s="40"/>
      <c r="KRB21" s="40"/>
      <c r="KRC21" s="40"/>
      <c r="KRD21" s="40"/>
      <c r="KRE21" s="40"/>
      <c r="KRF21" s="40"/>
      <c r="KRG21" s="40"/>
      <c r="KRH21" s="40"/>
      <c r="KRI21" s="40"/>
      <c r="KRJ21" s="40"/>
      <c r="KRK21" s="40"/>
      <c r="KRL21" s="40"/>
      <c r="KRM21" s="40"/>
      <c r="KRN21" s="40"/>
      <c r="KRO21" s="40"/>
      <c r="KRP21" s="40"/>
      <c r="KRQ21" s="40"/>
      <c r="KRR21" s="40"/>
      <c r="KRS21" s="40"/>
      <c r="KRT21" s="40"/>
      <c r="KRU21" s="40"/>
      <c r="KRV21" s="40"/>
      <c r="KRW21" s="40"/>
      <c r="KRX21" s="40"/>
      <c r="KRY21" s="40"/>
      <c r="KRZ21" s="40"/>
      <c r="KSA21" s="40"/>
      <c r="KSB21" s="40"/>
      <c r="KSC21" s="40"/>
      <c r="KSD21" s="40"/>
      <c r="KSE21" s="40"/>
      <c r="KSF21" s="40"/>
      <c r="KSG21" s="40"/>
      <c r="KSH21" s="40"/>
      <c r="KSI21" s="40"/>
      <c r="KSJ21" s="40"/>
      <c r="KSK21" s="40"/>
      <c r="KSL21" s="40"/>
      <c r="KSM21" s="40"/>
      <c r="KSN21" s="40"/>
      <c r="KSO21" s="40"/>
      <c r="KSP21" s="40"/>
      <c r="KSQ21" s="40"/>
      <c r="KSR21" s="40"/>
      <c r="KSS21" s="40"/>
      <c r="KST21" s="40"/>
      <c r="KSU21" s="40"/>
      <c r="KSV21" s="40"/>
      <c r="KSW21" s="40"/>
      <c r="KSX21" s="40"/>
      <c r="KSY21" s="40"/>
      <c r="KSZ21" s="40"/>
      <c r="KTA21" s="40"/>
      <c r="KTB21" s="40"/>
      <c r="KTC21" s="40"/>
      <c r="KTD21" s="40"/>
      <c r="KTE21" s="40"/>
      <c r="KTF21" s="40"/>
      <c r="KTG21" s="40"/>
      <c r="KTH21" s="40"/>
      <c r="KTI21" s="40"/>
      <c r="KTJ21" s="40"/>
      <c r="KTK21" s="40"/>
      <c r="KTL21" s="40"/>
      <c r="KTM21" s="40"/>
      <c r="KTN21" s="40"/>
      <c r="KTO21" s="40"/>
      <c r="KTP21" s="40"/>
      <c r="KTQ21" s="40"/>
      <c r="KTR21" s="40"/>
      <c r="KTS21" s="40"/>
      <c r="KTT21" s="40"/>
      <c r="KTU21" s="40"/>
      <c r="KTV21" s="40"/>
      <c r="KTW21" s="40"/>
      <c r="KTX21" s="40"/>
      <c r="KTY21" s="40"/>
      <c r="KTZ21" s="40"/>
      <c r="KUA21" s="40"/>
      <c r="KUB21" s="40"/>
      <c r="KUC21" s="40"/>
      <c r="KUD21" s="40"/>
      <c r="KUE21" s="40"/>
      <c r="KUF21" s="40"/>
      <c r="KUG21" s="40"/>
      <c r="KUH21" s="40"/>
      <c r="KUI21" s="40"/>
      <c r="KUJ21" s="40"/>
      <c r="KUK21" s="40"/>
      <c r="KUL21" s="40"/>
      <c r="KUM21" s="40"/>
      <c r="KUN21" s="40"/>
      <c r="KUO21" s="40"/>
      <c r="KUP21" s="40"/>
      <c r="KUQ21" s="40"/>
      <c r="KUR21" s="40"/>
      <c r="KUS21" s="40"/>
      <c r="KUT21" s="40"/>
      <c r="KUU21" s="40"/>
      <c r="KUV21" s="40"/>
      <c r="KUW21" s="40"/>
      <c r="KUX21" s="40"/>
      <c r="KUY21" s="40"/>
      <c r="KUZ21" s="40"/>
      <c r="KVA21" s="40"/>
      <c r="KVB21" s="40"/>
      <c r="KVC21" s="40"/>
      <c r="KVD21" s="40"/>
      <c r="KVE21" s="40"/>
      <c r="KVF21" s="40"/>
      <c r="KVG21" s="40"/>
      <c r="KVH21" s="40"/>
      <c r="KVI21" s="40"/>
      <c r="KVJ21" s="40"/>
      <c r="KVK21" s="40"/>
      <c r="KVL21" s="40"/>
      <c r="KVM21" s="40"/>
      <c r="KVN21" s="40"/>
      <c r="KVO21" s="40"/>
      <c r="KVP21" s="40"/>
      <c r="KVQ21" s="40"/>
      <c r="KVR21" s="40"/>
      <c r="KVS21" s="40"/>
      <c r="KVT21" s="40"/>
      <c r="KVU21" s="40"/>
      <c r="KVV21" s="40"/>
      <c r="KVW21" s="40"/>
      <c r="KVX21" s="40"/>
      <c r="KVY21" s="40"/>
      <c r="KVZ21" s="40"/>
      <c r="KWA21" s="40"/>
      <c r="KWB21" s="40"/>
      <c r="KWC21" s="40"/>
      <c r="KWD21" s="40"/>
      <c r="KWE21" s="40"/>
      <c r="KWF21" s="40"/>
      <c r="KWG21" s="40"/>
      <c r="KWH21" s="40"/>
      <c r="KWI21" s="40"/>
      <c r="KWJ21" s="40"/>
      <c r="KWK21" s="40"/>
      <c r="KWL21" s="40"/>
      <c r="KWM21" s="40"/>
      <c r="KWN21" s="40"/>
      <c r="KWO21" s="40"/>
      <c r="KWP21" s="40"/>
      <c r="KWQ21" s="40"/>
      <c r="KWR21" s="40"/>
      <c r="KWS21" s="40"/>
      <c r="KWT21" s="40"/>
      <c r="KWU21" s="40"/>
      <c r="KWV21" s="40"/>
      <c r="KWW21" s="40"/>
      <c r="KWX21" s="40"/>
      <c r="KWY21" s="40"/>
      <c r="KWZ21" s="40"/>
      <c r="KXA21" s="40"/>
      <c r="KXB21" s="40"/>
      <c r="KXC21" s="40"/>
      <c r="KXD21" s="40"/>
      <c r="KXE21" s="40"/>
      <c r="KXF21" s="40"/>
      <c r="KXG21" s="40"/>
      <c r="KXH21" s="40"/>
      <c r="KXI21" s="40"/>
      <c r="KXJ21" s="40"/>
      <c r="KXK21" s="40"/>
      <c r="KXL21" s="40"/>
      <c r="KXM21" s="40"/>
      <c r="KXN21" s="40"/>
      <c r="KXO21" s="40"/>
      <c r="KXP21" s="40"/>
      <c r="KXQ21" s="40"/>
      <c r="KXR21" s="40"/>
      <c r="KXS21" s="40"/>
      <c r="KXT21" s="40"/>
      <c r="KXU21" s="40"/>
      <c r="KXV21" s="40"/>
      <c r="KXW21" s="40"/>
      <c r="KXX21" s="40"/>
      <c r="KXY21" s="40"/>
      <c r="KXZ21" s="40"/>
      <c r="KYA21" s="40"/>
      <c r="KYB21" s="40"/>
      <c r="KYC21" s="40"/>
      <c r="KYD21" s="40"/>
      <c r="KYE21" s="40"/>
      <c r="KYF21" s="40"/>
      <c r="KYG21" s="40"/>
      <c r="KYH21" s="40"/>
      <c r="KYI21" s="40"/>
      <c r="KYJ21" s="40"/>
      <c r="KYK21" s="40"/>
      <c r="KYL21" s="40"/>
      <c r="KYM21" s="40"/>
      <c r="KYN21" s="40"/>
      <c r="KYO21" s="40"/>
      <c r="KYP21" s="40"/>
      <c r="KYQ21" s="40"/>
      <c r="KYR21" s="40"/>
      <c r="KYS21" s="40"/>
      <c r="KYT21" s="40"/>
      <c r="KYU21" s="40"/>
      <c r="KYV21" s="40"/>
      <c r="KYW21" s="40"/>
      <c r="KYX21" s="40"/>
      <c r="KYY21" s="40"/>
      <c r="KYZ21" s="40"/>
      <c r="KZA21" s="40"/>
      <c r="KZB21" s="40"/>
      <c r="KZC21" s="40"/>
      <c r="KZD21" s="40"/>
      <c r="KZE21" s="40"/>
      <c r="KZF21" s="40"/>
      <c r="KZG21" s="40"/>
      <c r="KZH21" s="40"/>
      <c r="KZI21" s="40"/>
      <c r="KZJ21" s="40"/>
      <c r="KZK21" s="40"/>
      <c r="KZL21" s="40"/>
      <c r="KZM21" s="40"/>
      <c r="KZN21" s="40"/>
      <c r="KZO21" s="40"/>
      <c r="KZP21" s="40"/>
      <c r="KZQ21" s="40"/>
      <c r="KZR21" s="40"/>
      <c r="KZS21" s="40"/>
      <c r="KZT21" s="40"/>
      <c r="KZU21" s="40"/>
      <c r="KZV21" s="40"/>
      <c r="KZW21" s="40"/>
      <c r="KZX21" s="40"/>
      <c r="KZY21" s="40"/>
      <c r="KZZ21" s="40"/>
      <c r="LAA21" s="40"/>
      <c r="LAB21" s="40"/>
      <c r="LAC21" s="40"/>
      <c r="LAD21" s="40"/>
      <c r="LAE21" s="40"/>
      <c r="LAF21" s="40"/>
      <c r="LAG21" s="40"/>
      <c r="LAH21" s="40"/>
      <c r="LAI21" s="40"/>
      <c r="LAJ21" s="40"/>
      <c r="LAK21" s="40"/>
      <c r="LAL21" s="40"/>
      <c r="LAM21" s="40"/>
      <c r="LAN21" s="40"/>
      <c r="LAO21" s="40"/>
      <c r="LAP21" s="40"/>
      <c r="LAQ21" s="40"/>
      <c r="LAR21" s="40"/>
      <c r="LAS21" s="40"/>
      <c r="LAT21" s="40"/>
      <c r="LAU21" s="40"/>
      <c r="LAV21" s="40"/>
      <c r="LAW21" s="40"/>
      <c r="LAX21" s="40"/>
      <c r="LAY21" s="40"/>
      <c r="LAZ21" s="40"/>
      <c r="LBA21" s="40"/>
      <c r="LBB21" s="40"/>
      <c r="LBC21" s="40"/>
      <c r="LBD21" s="40"/>
      <c r="LBE21" s="40"/>
      <c r="LBF21" s="40"/>
      <c r="LBG21" s="40"/>
      <c r="LBH21" s="40"/>
      <c r="LBI21" s="40"/>
      <c r="LBJ21" s="40"/>
      <c r="LBK21" s="40"/>
      <c r="LBL21" s="40"/>
      <c r="LBM21" s="40"/>
      <c r="LBN21" s="40"/>
      <c r="LBO21" s="40"/>
      <c r="LBP21" s="40"/>
      <c r="LBQ21" s="40"/>
      <c r="LBR21" s="40"/>
      <c r="LBS21" s="40"/>
      <c r="LBT21" s="40"/>
      <c r="LBU21" s="40"/>
      <c r="LBV21" s="40"/>
      <c r="LBW21" s="40"/>
      <c r="LBX21" s="40"/>
      <c r="LBY21" s="40"/>
      <c r="LBZ21" s="40"/>
      <c r="LCA21" s="40"/>
      <c r="LCB21" s="40"/>
      <c r="LCC21" s="40"/>
      <c r="LCD21" s="40"/>
      <c r="LCE21" s="40"/>
      <c r="LCF21" s="40"/>
      <c r="LCG21" s="40"/>
      <c r="LCH21" s="40"/>
      <c r="LCI21" s="40"/>
      <c r="LCJ21" s="40"/>
      <c r="LCK21" s="40"/>
      <c r="LCL21" s="40"/>
      <c r="LCM21" s="40"/>
      <c r="LCN21" s="40"/>
      <c r="LCO21" s="40"/>
      <c r="LCP21" s="40"/>
      <c r="LCQ21" s="40"/>
      <c r="LCR21" s="40"/>
      <c r="LCS21" s="40"/>
      <c r="LCT21" s="40"/>
      <c r="LCU21" s="40"/>
      <c r="LCV21" s="40"/>
      <c r="LCW21" s="40"/>
      <c r="LCX21" s="40"/>
      <c r="LCY21" s="40"/>
      <c r="LCZ21" s="40"/>
      <c r="LDA21" s="40"/>
      <c r="LDB21" s="40"/>
      <c r="LDC21" s="40"/>
      <c r="LDD21" s="40"/>
      <c r="LDE21" s="40"/>
      <c r="LDF21" s="40"/>
      <c r="LDG21" s="40"/>
      <c r="LDH21" s="40"/>
      <c r="LDI21" s="40"/>
      <c r="LDJ21" s="40"/>
      <c r="LDK21" s="40"/>
      <c r="LDL21" s="40"/>
      <c r="LDM21" s="40"/>
      <c r="LDN21" s="40"/>
      <c r="LDO21" s="40"/>
      <c r="LDP21" s="40"/>
      <c r="LDQ21" s="40"/>
      <c r="LDR21" s="40"/>
      <c r="LDS21" s="40"/>
      <c r="LDT21" s="40"/>
      <c r="LDU21" s="40"/>
      <c r="LDV21" s="40"/>
      <c r="LDW21" s="40"/>
      <c r="LDX21" s="40"/>
      <c r="LDY21" s="40"/>
      <c r="LDZ21" s="40"/>
      <c r="LEA21" s="40"/>
      <c r="LEB21" s="40"/>
      <c r="LEC21" s="40"/>
      <c r="LED21" s="40"/>
      <c r="LEE21" s="40"/>
      <c r="LEF21" s="40"/>
      <c r="LEG21" s="40"/>
      <c r="LEH21" s="40"/>
      <c r="LEI21" s="40"/>
      <c r="LEJ21" s="40"/>
      <c r="LEK21" s="40"/>
      <c r="LEL21" s="40"/>
      <c r="LEM21" s="40"/>
      <c r="LEN21" s="40"/>
      <c r="LEO21" s="40"/>
      <c r="LEP21" s="40"/>
      <c r="LEQ21" s="40"/>
      <c r="LER21" s="40"/>
      <c r="LES21" s="40"/>
      <c r="LET21" s="40"/>
      <c r="LEU21" s="40"/>
      <c r="LEV21" s="40"/>
      <c r="LEW21" s="40"/>
      <c r="LEX21" s="40"/>
      <c r="LEY21" s="40"/>
      <c r="LEZ21" s="40"/>
      <c r="LFA21" s="40"/>
      <c r="LFB21" s="40"/>
      <c r="LFC21" s="40"/>
      <c r="LFD21" s="40"/>
      <c r="LFE21" s="40"/>
      <c r="LFF21" s="40"/>
      <c r="LFG21" s="40"/>
      <c r="LFH21" s="40"/>
      <c r="LFI21" s="40"/>
      <c r="LFJ21" s="40"/>
      <c r="LFK21" s="40"/>
      <c r="LFL21" s="40"/>
      <c r="LFM21" s="40"/>
      <c r="LFN21" s="40"/>
      <c r="LFO21" s="40"/>
      <c r="LFP21" s="40"/>
      <c r="LFQ21" s="40"/>
      <c r="LFR21" s="40"/>
      <c r="LFS21" s="40"/>
      <c r="LFT21" s="40"/>
      <c r="LFU21" s="40"/>
      <c r="LFV21" s="40"/>
      <c r="LFW21" s="40"/>
      <c r="LFX21" s="40"/>
      <c r="LFY21" s="40"/>
      <c r="LFZ21" s="40"/>
      <c r="LGA21" s="40"/>
      <c r="LGB21" s="40"/>
      <c r="LGC21" s="40"/>
      <c r="LGD21" s="40"/>
      <c r="LGE21" s="40"/>
      <c r="LGF21" s="40"/>
      <c r="LGG21" s="40"/>
      <c r="LGH21" s="40"/>
      <c r="LGI21" s="40"/>
      <c r="LGJ21" s="40"/>
      <c r="LGK21" s="40"/>
      <c r="LGL21" s="40"/>
      <c r="LGM21" s="40"/>
      <c r="LGN21" s="40"/>
      <c r="LGO21" s="40"/>
      <c r="LGP21" s="40"/>
      <c r="LGQ21" s="40"/>
      <c r="LGR21" s="40"/>
      <c r="LGS21" s="40"/>
      <c r="LGT21" s="40"/>
      <c r="LGU21" s="40"/>
      <c r="LGV21" s="40"/>
      <c r="LGW21" s="40"/>
      <c r="LGX21" s="40"/>
      <c r="LGY21" s="40"/>
      <c r="LGZ21" s="40"/>
      <c r="LHA21" s="40"/>
      <c r="LHB21" s="40"/>
      <c r="LHC21" s="40"/>
      <c r="LHD21" s="40"/>
      <c r="LHE21" s="40"/>
      <c r="LHF21" s="40"/>
      <c r="LHG21" s="40"/>
      <c r="LHH21" s="40"/>
      <c r="LHI21" s="40"/>
      <c r="LHJ21" s="40"/>
      <c r="LHK21" s="40"/>
      <c r="LHL21" s="40"/>
      <c r="LHM21" s="40"/>
      <c r="LHN21" s="40"/>
      <c r="LHO21" s="40"/>
      <c r="LHP21" s="40"/>
      <c r="LHQ21" s="40"/>
      <c r="LHR21" s="40"/>
      <c r="LHS21" s="40"/>
      <c r="LHT21" s="40"/>
      <c r="LHU21" s="40"/>
      <c r="LHV21" s="40"/>
      <c r="LHW21" s="40"/>
      <c r="LHX21" s="40"/>
      <c r="LHY21" s="40"/>
      <c r="LHZ21" s="40"/>
      <c r="LIA21" s="40"/>
      <c r="LIB21" s="40"/>
      <c r="LIC21" s="40"/>
      <c r="LID21" s="40"/>
      <c r="LIE21" s="40"/>
      <c r="LIF21" s="40"/>
      <c r="LIG21" s="40"/>
      <c r="LIH21" s="40"/>
      <c r="LII21" s="40"/>
      <c r="LIJ21" s="40"/>
      <c r="LIK21" s="40"/>
      <c r="LIL21" s="40"/>
      <c r="LIM21" s="40"/>
      <c r="LIN21" s="40"/>
      <c r="LIO21" s="40"/>
      <c r="LIP21" s="40"/>
      <c r="LIQ21" s="40"/>
      <c r="LIR21" s="40"/>
      <c r="LIS21" s="40"/>
      <c r="LIT21" s="40"/>
      <c r="LIU21" s="40"/>
      <c r="LIV21" s="40"/>
      <c r="LIW21" s="40"/>
      <c r="LIX21" s="40"/>
      <c r="LIY21" s="40"/>
      <c r="LIZ21" s="40"/>
      <c r="LJA21" s="40"/>
      <c r="LJB21" s="40"/>
      <c r="LJC21" s="40"/>
      <c r="LJD21" s="40"/>
      <c r="LJE21" s="40"/>
      <c r="LJF21" s="40"/>
      <c r="LJG21" s="40"/>
      <c r="LJH21" s="40"/>
      <c r="LJI21" s="40"/>
      <c r="LJJ21" s="40"/>
      <c r="LJK21" s="40"/>
      <c r="LJL21" s="40"/>
      <c r="LJM21" s="40"/>
      <c r="LJN21" s="40"/>
      <c r="LJO21" s="40"/>
      <c r="LJP21" s="40"/>
      <c r="LJQ21" s="40"/>
      <c r="LJR21" s="40"/>
      <c r="LJS21" s="40"/>
      <c r="LJT21" s="40"/>
      <c r="LJU21" s="40"/>
      <c r="LJV21" s="40"/>
      <c r="LJW21" s="40"/>
      <c r="LJX21" s="40"/>
      <c r="LJY21" s="40"/>
      <c r="LJZ21" s="40"/>
      <c r="LKA21" s="40"/>
      <c r="LKB21" s="40"/>
      <c r="LKC21" s="40"/>
      <c r="LKD21" s="40"/>
      <c r="LKE21" s="40"/>
      <c r="LKF21" s="40"/>
      <c r="LKG21" s="40"/>
      <c r="LKH21" s="40"/>
      <c r="LKI21" s="40"/>
      <c r="LKJ21" s="40"/>
      <c r="LKK21" s="40"/>
      <c r="LKL21" s="40"/>
      <c r="LKM21" s="40"/>
      <c r="LKN21" s="40"/>
      <c r="LKO21" s="40"/>
      <c r="LKP21" s="40"/>
      <c r="LKQ21" s="40"/>
      <c r="LKR21" s="40"/>
      <c r="LKS21" s="40"/>
      <c r="LKT21" s="40"/>
      <c r="LKU21" s="40"/>
      <c r="LKV21" s="40"/>
      <c r="LKW21" s="40"/>
      <c r="LKX21" s="40"/>
      <c r="LKY21" s="40"/>
      <c r="LKZ21" s="40"/>
      <c r="LLA21" s="40"/>
      <c r="LLB21" s="40"/>
      <c r="LLC21" s="40"/>
      <c r="LLD21" s="40"/>
      <c r="LLE21" s="40"/>
      <c r="LLF21" s="40"/>
      <c r="LLG21" s="40"/>
      <c r="LLH21" s="40"/>
      <c r="LLI21" s="40"/>
      <c r="LLJ21" s="40"/>
      <c r="LLK21" s="40"/>
      <c r="LLL21" s="40"/>
      <c r="LLM21" s="40"/>
      <c r="LLN21" s="40"/>
      <c r="LLO21" s="40"/>
      <c r="LLP21" s="40"/>
      <c r="LLQ21" s="40"/>
      <c r="LLR21" s="40"/>
      <c r="LLS21" s="40"/>
      <c r="LLT21" s="40"/>
      <c r="LLU21" s="40"/>
      <c r="LLV21" s="40"/>
      <c r="LLW21" s="40"/>
      <c r="LLX21" s="40"/>
      <c r="LLY21" s="40"/>
      <c r="LLZ21" s="40"/>
      <c r="LMA21" s="40"/>
      <c r="LMB21" s="40"/>
      <c r="LMC21" s="40"/>
      <c r="LMD21" s="40"/>
      <c r="LME21" s="40"/>
      <c r="LMF21" s="40"/>
      <c r="LMG21" s="40"/>
      <c r="LMH21" s="40"/>
      <c r="LMI21" s="40"/>
      <c r="LMJ21" s="40"/>
      <c r="LMK21" s="40"/>
      <c r="LML21" s="40"/>
      <c r="LMM21" s="40"/>
      <c r="LMN21" s="40"/>
      <c r="LMO21" s="40"/>
      <c r="LMP21" s="40"/>
      <c r="LMQ21" s="40"/>
      <c r="LMR21" s="40"/>
      <c r="LMS21" s="40"/>
      <c r="LMT21" s="40"/>
      <c r="LMU21" s="40"/>
      <c r="LMV21" s="40"/>
      <c r="LMW21" s="40"/>
      <c r="LMX21" s="40"/>
      <c r="LMY21" s="40"/>
      <c r="LMZ21" s="40"/>
      <c r="LNA21" s="40"/>
      <c r="LNB21" s="40"/>
      <c r="LNC21" s="40"/>
      <c r="LND21" s="40"/>
      <c r="LNE21" s="40"/>
      <c r="LNF21" s="40"/>
      <c r="LNG21" s="40"/>
      <c r="LNH21" s="40"/>
      <c r="LNI21" s="40"/>
      <c r="LNJ21" s="40"/>
      <c r="LNK21" s="40"/>
      <c r="LNL21" s="40"/>
      <c r="LNM21" s="40"/>
      <c r="LNN21" s="40"/>
      <c r="LNO21" s="40"/>
      <c r="LNP21" s="40"/>
      <c r="LNQ21" s="40"/>
      <c r="LNR21" s="40"/>
      <c r="LNS21" s="40"/>
      <c r="LNT21" s="40"/>
      <c r="LNU21" s="40"/>
      <c r="LNV21" s="40"/>
      <c r="LNW21" s="40"/>
      <c r="LNX21" s="40"/>
      <c r="LNY21" s="40"/>
      <c r="LNZ21" s="40"/>
      <c r="LOA21" s="40"/>
      <c r="LOB21" s="40"/>
      <c r="LOC21" s="40"/>
      <c r="LOD21" s="40"/>
      <c r="LOE21" s="40"/>
      <c r="LOF21" s="40"/>
      <c r="LOG21" s="40"/>
      <c r="LOH21" s="40"/>
      <c r="LOI21" s="40"/>
      <c r="LOJ21" s="40"/>
      <c r="LOK21" s="40"/>
      <c r="LOL21" s="40"/>
      <c r="LOM21" s="40"/>
      <c r="LON21" s="40"/>
      <c r="LOO21" s="40"/>
      <c r="LOP21" s="40"/>
      <c r="LOQ21" s="40"/>
      <c r="LOR21" s="40"/>
      <c r="LOS21" s="40"/>
      <c r="LOT21" s="40"/>
      <c r="LOU21" s="40"/>
      <c r="LOV21" s="40"/>
      <c r="LOW21" s="40"/>
      <c r="LOX21" s="40"/>
      <c r="LOY21" s="40"/>
      <c r="LOZ21" s="40"/>
      <c r="LPA21" s="40"/>
      <c r="LPB21" s="40"/>
      <c r="LPC21" s="40"/>
      <c r="LPD21" s="40"/>
      <c r="LPE21" s="40"/>
      <c r="LPF21" s="40"/>
      <c r="LPG21" s="40"/>
      <c r="LPH21" s="40"/>
      <c r="LPI21" s="40"/>
      <c r="LPJ21" s="40"/>
      <c r="LPK21" s="40"/>
      <c r="LPL21" s="40"/>
      <c r="LPM21" s="40"/>
      <c r="LPN21" s="40"/>
      <c r="LPO21" s="40"/>
      <c r="LPP21" s="40"/>
      <c r="LPQ21" s="40"/>
      <c r="LPR21" s="40"/>
      <c r="LPS21" s="40"/>
      <c r="LPT21" s="40"/>
      <c r="LPU21" s="40"/>
      <c r="LPV21" s="40"/>
      <c r="LPW21" s="40"/>
      <c r="LPX21" s="40"/>
      <c r="LPY21" s="40"/>
      <c r="LPZ21" s="40"/>
      <c r="LQA21" s="40"/>
      <c r="LQB21" s="40"/>
      <c r="LQC21" s="40"/>
      <c r="LQD21" s="40"/>
      <c r="LQE21" s="40"/>
      <c r="LQF21" s="40"/>
      <c r="LQG21" s="40"/>
      <c r="LQH21" s="40"/>
      <c r="LQI21" s="40"/>
      <c r="LQJ21" s="40"/>
      <c r="LQK21" s="40"/>
      <c r="LQL21" s="40"/>
      <c r="LQM21" s="40"/>
      <c r="LQN21" s="40"/>
      <c r="LQO21" s="40"/>
      <c r="LQP21" s="40"/>
      <c r="LQQ21" s="40"/>
      <c r="LQR21" s="40"/>
      <c r="LQS21" s="40"/>
      <c r="LQT21" s="40"/>
      <c r="LQU21" s="40"/>
      <c r="LQV21" s="40"/>
      <c r="LQW21" s="40"/>
      <c r="LQX21" s="40"/>
      <c r="LQY21" s="40"/>
      <c r="LQZ21" s="40"/>
      <c r="LRA21" s="40"/>
      <c r="LRB21" s="40"/>
      <c r="LRC21" s="40"/>
      <c r="LRD21" s="40"/>
      <c r="LRE21" s="40"/>
      <c r="LRF21" s="40"/>
      <c r="LRG21" s="40"/>
      <c r="LRH21" s="40"/>
      <c r="LRI21" s="40"/>
      <c r="LRJ21" s="40"/>
      <c r="LRK21" s="40"/>
      <c r="LRL21" s="40"/>
      <c r="LRM21" s="40"/>
      <c r="LRN21" s="40"/>
      <c r="LRO21" s="40"/>
      <c r="LRP21" s="40"/>
      <c r="LRQ21" s="40"/>
      <c r="LRR21" s="40"/>
      <c r="LRS21" s="40"/>
      <c r="LRT21" s="40"/>
      <c r="LRU21" s="40"/>
      <c r="LRV21" s="40"/>
      <c r="LRW21" s="40"/>
      <c r="LRX21" s="40"/>
      <c r="LRY21" s="40"/>
      <c r="LRZ21" s="40"/>
      <c r="LSA21" s="40"/>
      <c r="LSB21" s="40"/>
      <c r="LSC21" s="40"/>
      <c r="LSD21" s="40"/>
      <c r="LSE21" s="40"/>
      <c r="LSF21" s="40"/>
      <c r="LSG21" s="40"/>
      <c r="LSH21" s="40"/>
      <c r="LSI21" s="40"/>
      <c r="LSJ21" s="40"/>
      <c r="LSK21" s="40"/>
      <c r="LSL21" s="40"/>
      <c r="LSM21" s="40"/>
      <c r="LSN21" s="40"/>
      <c r="LSO21" s="40"/>
      <c r="LSP21" s="40"/>
      <c r="LSQ21" s="40"/>
      <c r="LSR21" s="40"/>
      <c r="LSS21" s="40"/>
      <c r="LST21" s="40"/>
      <c r="LSU21" s="40"/>
      <c r="LSV21" s="40"/>
      <c r="LSW21" s="40"/>
      <c r="LSX21" s="40"/>
      <c r="LSY21" s="40"/>
      <c r="LSZ21" s="40"/>
      <c r="LTA21" s="40"/>
      <c r="LTB21" s="40"/>
      <c r="LTC21" s="40"/>
      <c r="LTD21" s="40"/>
      <c r="LTE21" s="40"/>
      <c r="LTF21" s="40"/>
      <c r="LTG21" s="40"/>
      <c r="LTH21" s="40"/>
      <c r="LTI21" s="40"/>
      <c r="LTJ21" s="40"/>
      <c r="LTK21" s="40"/>
      <c r="LTL21" s="40"/>
      <c r="LTM21" s="40"/>
      <c r="LTN21" s="40"/>
      <c r="LTO21" s="40"/>
      <c r="LTP21" s="40"/>
      <c r="LTQ21" s="40"/>
      <c r="LTR21" s="40"/>
      <c r="LTS21" s="40"/>
      <c r="LTT21" s="40"/>
      <c r="LTU21" s="40"/>
      <c r="LTV21" s="40"/>
      <c r="LTW21" s="40"/>
      <c r="LTX21" s="40"/>
      <c r="LTY21" s="40"/>
      <c r="LTZ21" s="40"/>
      <c r="LUA21" s="40"/>
      <c r="LUB21" s="40"/>
      <c r="LUC21" s="40"/>
      <c r="LUD21" s="40"/>
      <c r="LUE21" s="40"/>
      <c r="LUF21" s="40"/>
      <c r="LUG21" s="40"/>
      <c r="LUH21" s="40"/>
      <c r="LUI21" s="40"/>
      <c r="LUJ21" s="40"/>
      <c r="LUK21" s="40"/>
      <c r="LUL21" s="40"/>
      <c r="LUM21" s="40"/>
      <c r="LUN21" s="40"/>
      <c r="LUO21" s="40"/>
      <c r="LUP21" s="40"/>
      <c r="LUQ21" s="40"/>
      <c r="LUR21" s="40"/>
      <c r="LUS21" s="40"/>
      <c r="LUT21" s="40"/>
      <c r="LUU21" s="40"/>
      <c r="LUV21" s="40"/>
      <c r="LUW21" s="40"/>
      <c r="LUX21" s="40"/>
      <c r="LUY21" s="40"/>
      <c r="LUZ21" s="40"/>
      <c r="LVA21" s="40"/>
      <c r="LVB21" s="40"/>
      <c r="LVC21" s="40"/>
      <c r="LVD21" s="40"/>
      <c r="LVE21" s="40"/>
      <c r="LVF21" s="40"/>
      <c r="LVG21" s="40"/>
      <c r="LVH21" s="40"/>
      <c r="LVI21" s="40"/>
      <c r="LVJ21" s="40"/>
      <c r="LVK21" s="40"/>
      <c r="LVL21" s="40"/>
      <c r="LVM21" s="40"/>
      <c r="LVN21" s="40"/>
      <c r="LVO21" s="40"/>
      <c r="LVP21" s="40"/>
      <c r="LVQ21" s="40"/>
      <c r="LVR21" s="40"/>
      <c r="LVS21" s="40"/>
      <c r="LVT21" s="40"/>
      <c r="LVU21" s="40"/>
      <c r="LVV21" s="40"/>
      <c r="LVW21" s="40"/>
      <c r="LVX21" s="40"/>
      <c r="LVY21" s="40"/>
      <c r="LVZ21" s="40"/>
      <c r="LWA21" s="40"/>
      <c r="LWB21" s="40"/>
      <c r="LWC21" s="40"/>
      <c r="LWD21" s="40"/>
      <c r="LWE21" s="40"/>
      <c r="LWF21" s="40"/>
      <c r="LWG21" s="40"/>
      <c r="LWH21" s="40"/>
      <c r="LWI21" s="40"/>
      <c r="LWJ21" s="40"/>
      <c r="LWK21" s="40"/>
      <c r="LWL21" s="40"/>
      <c r="LWM21" s="40"/>
      <c r="LWN21" s="40"/>
      <c r="LWO21" s="40"/>
      <c r="LWP21" s="40"/>
      <c r="LWQ21" s="40"/>
      <c r="LWR21" s="40"/>
      <c r="LWS21" s="40"/>
      <c r="LWT21" s="40"/>
      <c r="LWU21" s="40"/>
      <c r="LWV21" s="40"/>
      <c r="LWW21" s="40"/>
      <c r="LWX21" s="40"/>
      <c r="LWY21" s="40"/>
      <c r="LWZ21" s="40"/>
      <c r="LXA21" s="40"/>
      <c r="LXB21" s="40"/>
      <c r="LXC21" s="40"/>
      <c r="LXD21" s="40"/>
      <c r="LXE21" s="40"/>
      <c r="LXF21" s="40"/>
      <c r="LXG21" s="40"/>
      <c r="LXH21" s="40"/>
      <c r="LXI21" s="40"/>
      <c r="LXJ21" s="40"/>
      <c r="LXK21" s="40"/>
      <c r="LXL21" s="40"/>
      <c r="LXM21" s="40"/>
      <c r="LXN21" s="40"/>
      <c r="LXO21" s="40"/>
      <c r="LXP21" s="40"/>
      <c r="LXQ21" s="40"/>
      <c r="LXR21" s="40"/>
      <c r="LXS21" s="40"/>
      <c r="LXT21" s="40"/>
      <c r="LXU21" s="40"/>
      <c r="LXV21" s="40"/>
      <c r="LXW21" s="40"/>
      <c r="LXX21" s="40"/>
      <c r="LXY21" s="40"/>
      <c r="LXZ21" s="40"/>
      <c r="LYA21" s="40"/>
      <c r="LYB21" s="40"/>
      <c r="LYC21" s="40"/>
      <c r="LYD21" s="40"/>
      <c r="LYE21" s="40"/>
      <c r="LYF21" s="40"/>
      <c r="LYG21" s="40"/>
      <c r="LYH21" s="40"/>
      <c r="LYI21" s="40"/>
      <c r="LYJ21" s="40"/>
      <c r="LYK21" s="40"/>
      <c r="LYL21" s="40"/>
      <c r="LYM21" s="40"/>
      <c r="LYN21" s="40"/>
      <c r="LYO21" s="40"/>
      <c r="LYP21" s="40"/>
      <c r="LYQ21" s="40"/>
      <c r="LYR21" s="40"/>
      <c r="LYS21" s="40"/>
      <c r="LYT21" s="40"/>
      <c r="LYU21" s="40"/>
      <c r="LYV21" s="40"/>
      <c r="LYW21" s="40"/>
      <c r="LYX21" s="40"/>
      <c r="LYY21" s="40"/>
      <c r="LYZ21" s="40"/>
      <c r="LZA21" s="40"/>
      <c r="LZB21" s="40"/>
      <c r="LZC21" s="40"/>
      <c r="LZD21" s="40"/>
      <c r="LZE21" s="40"/>
      <c r="LZF21" s="40"/>
      <c r="LZG21" s="40"/>
      <c r="LZH21" s="40"/>
      <c r="LZI21" s="40"/>
      <c r="LZJ21" s="40"/>
      <c r="LZK21" s="40"/>
      <c r="LZL21" s="40"/>
      <c r="LZM21" s="40"/>
      <c r="LZN21" s="40"/>
      <c r="LZO21" s="40"/>
      <c r="LZP21" s="40"/>
      <c r="LZQ21" s="40"/>
      <c r="LZR21" s="40"/>
      <c r="LZS21" s="40"/>
      <c r="LZT21" s="40"/>
      <c r="LZU21" s="40"/>
      <c r="LZV21" s="40"/>
      <c r="LZW21" s="40"/>
      <c r="LZX21" s="40"/>
      <c r="LZY21" s="40"/>
      <c r="LZZ21" s="40"/>
      <c r="MAA21" s="40"/>
      <c r="MAB21" s="40"/>
      <c r="MAC21" s="40"/>
      <c r="MAD21" s="40"/>
      <c r="MAE21" s="40"/>
      <c r="MAF21" s="40"/>
      <c r="MAG21" s="40"/>
      <c r="MAH21" s="40"/>
      <c r="MAI21" s="40"/>
      <c r="MAJ21" s="40"/>
      <c r="MAK21" s="40"/>
      <c r="MAL21" s="40"/>
      <c r="MAM21" s="40"/>
      <c r="MAN21" s="40"/>
      <c r="MAO21" s="40"/>
      <c r="MAP21" s="40"/>
      <c r="MAQ21" s="40"/>
      <c r="MAR21" s="40"/>
      <c r="MAS21" s="40"/>
      <c r="MAT21" s="40"/>
      <c r="MAU21" s="40"/>
      <c r="MAV21" s="40"/>
      <c r="MAW21" s="40"/>
      <c r="MAX21" s="40"/>
      <c r="MAY21" s="40"/>
      <c r="MAZ21" s="40"/>
      <c r="MBA21" s="40"/>
      <c r="MBB21" s="40"/>
      <c r="MBC21" s="40"/>
      <c r="MBD21" s="40"/>
      <c r="MBE21" s="40"/>
      <c r="MBF21" s="40"/>
      <c r="MBG21" s="40"/>
      <c r="MBH21" s="40"/>
      <c r="MBI21" s="40"/>
      <c r="MBJ21" s="40"/>
      <c r="MBK21" s="40"/>
      <c r="MBL21" s="40"/>
      <c r="MBM21" s="40"/>
      <c r="MBN21" s="40"/>
      <c r="MBO21" s="40"/>
      <c r="MBP21" s="40"/>
      <c r="MBQ21" s="40"/>
      <c r="MBR21" s="40"/>
      <c r="MBS21" s="40"/>
      <c r="MBT21" s="40"/>
      <c r="MBU21" s="40"/>
      <c r="MBV21" s="40"/>
      <c r="MBW21" s="40"/>
      <c r="MBX21" s="40"/>
      <c r="MBY21" s="40"/>
      <c r="MBZ21" s="40"/>
      <c r="MCA21" s="40"/>
      <c r="MCB21" s="40"/>
      <c r="MCC21" s="40"/>
      <c r="MCD21" s="40"/>
      <c r="MCE21" s="40"/>
      <c r="MCF21" s="40"/>
      <c r="MCG21" s="40"/>
      <c r="MCH21" s="40"/>
      <c r="MCI21" s="40"/>
      <c r="MCJ21" s="40"/>
      <c r="MCK21" s="40"/>
      <c r="MCL21" s="40"/>
      <c r="MCM21" s="40"/>
      <c r="MCN21" s="40"/>
      <c r="MCO21" s="40"/>
      <c r="MCP21" s="40"/>
      <c r="MCQ21" s="40"/>
      <c r="MCR21" s="40"/>
      <c r="MCS21" s="40"/>
      <c r="MCT21" s="40"/>
      <c r="MCU21" s="40"/>
      <c r="MCV21" s="40"/>
      <c r="MCW21" s="40"/>
      <c r="MCX21" s="40"/>
      <c r="MCY21" s="40"/>
      <c r="MCZ21" s="40"/>
      <c r="MDA21" s="40"/>
      <c r="MDB21" s="40"/>
      <c r="MDC21" s="40"/>
      <c r="MDD21" s="40"/>
      <c r="MDE21" s="40"/>
      <c r="MDF21" s="40"/>
      <c r="MDG21" s="40"/>
      <c r="MDH21" s="40"/>
      <c r="MDI21" s="40"/>
      <c r="MDJ21" s="40"/>
      <c r="MDK21" s="40"/>
      <c r="MDL21" s="40"/>
      <c r="MDM21" s="40"/>
      <c r="MDN21" s="40"/>
      <c r="MDO21" s="40"/>
      <c r="MDP21" s="40"/>
      <c r="MDQ21" s="40"/>
      <c r="MDR21" s="40"/>
      <c r="MDS21" s="40"/>
      <c r="MDT21" s="40"/>
      <c r="MDU21" s="40"/>
      <c r="MDV21" s="40"/>
      <c r="MDW21" s="40"/>
      <c r="MDX21" s="40"/>
      <c r="MDY21" s="40"/>
      <c r="MDZ21" s="40"/>
      <c r="MEA21" s="40"/>
      <c r="MEB21" s="40"/>
      <c r="MEC21" s="40"/>
      <c r="MED21" s="40"/>
      <c r="MEE21" s="40"/>
      <c r="MEF21" s="40"/>
      <c r="MEG21" s="40"/>
      <c r="MEH21" s="40"/>
      <c r="MEI21" s="40"/>
      <c r="MEJ21" s="40"/>
      <c r="MEK21" s="40"/>
      <c r="MEL21" s="40"/>
      <c r="MEM21" s="40"/>
      <c r="MEN21" s="40"/>
      <c r="MEO21" s="40"/>
      <c r="MEP21" s="40"/>
      <c r="MEQ21" s="40"/>
      <c r="MER21" s="40"/>
      <c r="MES21" s="40"/>
      <c r="MET21" s="40"/>
      <c r="MEU21" s="40"/>
      <c r="MEV21" s="40"/>
      <c r="MEW21" s="40"/>
      <c r="MEX21" s="40"/>
      <c r="MEY21" s="40"/>
      <c r="MEZ21" s="40"/>
      <c r="MFA21" s="40"/>
      <c r="MFB21" s="40"/>
      <c r="MFC21" s="40"/>
      <c r="MFD21" s="40"/>
      <c r="MFE21" s="40"/>
      <c r="MFF21" s="40"/>
      <c r="MFG21" s="40"/>
      <c r="MFH21" s="40"/>
      <c r="MFI21" s="40"/>
      <c r="MFJ21" s="40"/>
      <c r="MFK21" s="40"/>
      <c r="MFL21" s="40"/>
      <c r="MFM21" s="40"/>
      <c r="MFN21" s="40"/>
      <c r="MFO21" s="40"/>
      <c r="MFP21" s="40"/>
      <c r="MFQ21" s="40"/>
      <c r="MFR21" s="40"/>
      <c r="MFS21" s="40"/>
      <c r="MFT21" s="40"/>
      <c r="MFU21" s="40"/>
      <c r="MFV21" s="40"/>
      <c r="MFW21" s="40"/>
      <c r="MFX21" s="40"/>
      <c r="MFY21" s="40"/>
      <c r="MFZ21" s="40"/>
      <c r="MGA21" s="40"/>
      <c r="MGB21" s="40"/>
      <c r="MGC21" s="40"/>
      <c r="MGD21" s="40"/>
      <c r="MGE21" s="40"/>
      <c r="MGF21" s="40"/>
      <c r="MGG21" s="40"/>
      <c r="MGH21" s="40"/>
      <c r="MGI21" s="40"/>
      <c r="MGJ21" s="40"/>
      <c r="MGK21" s="40"/>
      <c r="MGL21" s="40"/>
      <c r="MGM21" s="40"/>
      <c r="MGN21" s="40"/>
      <c r="MGO21" s="40"/>
      <c r="MGP21" s="40"/>
      <c r="MGQ21" s="40"/>
      <c r="MGR21" s="40"/>
      <c r="MGS21" s="40"/>
      <c r="MGT21" s="40"/>
      <c r="MGU21" s="40"/>
      <c r="MGV21" s="40"/>
      <c r="MGW21" s="40"/>
      <c r="MGX21" s="40"/>
      <c r="MGY21" s="40"/>
      <c r="MGZ21" s="40"/>
      <c r="MHA21" s="40"/>
      <c r="MHB21" s="40"/>
      <c r="MHC21" s="40"/>
      <c r="MHD21" s="40"/>
      <c r="MHE21" s="40"/>
      <c r="MHF21" s="40"/>
      <c r="MHG21" s="40"/>
      <c r="MHH21" s="40"/>
      <c r="MHI21" s="40"/>
      <c r="MHJ21" s="40"/>
      <c r="MHK21" s="40"/>
      <c r="MHL21" s="40"/>
      <c r="MHM21" s="40"/>
      <c r="MHN21" s="40"/>
      <c r="MHO21" s="40"/>
      <c r="MHP21" s="40"/>
      <c r="MHQ21" s="40"/>
      <c r="MHR21" s="40"/>
      <c r="MHS21" s="40"/>
      <c r="MHT21" s="40"/>
      <c r="MHU21" s="40"/>
      <c r="MHV21" s="40"/>
      <c r="MHW21" s="40"/>
      <c r="MHX21" s="40"/>
      <c r="MHY21" s="40"/>
      <c r="MHZ21" s="40"/>
      <c r="MIA21" s="40"/>
      <c r="MIB21" s="40"/>
      <c r="MIC21" s="40"/>
      <c r="MID21" s="40"/>
      <c r="MIE21" s="40"/>
      <c r="MIF21" s="40"/>
      <c r="MIG21" s="40"/>
      <c r="MIH21" s="40"/>
      <c r="MII21" s="40"/>
      <c r="MIJ21" s="40"/>
      <c r="MIK21" s="40"/>
      <c r="MIL21" s="40"/>
      <c r="MIM21" s="40"/>
      <c r="MIN21" s="40"/>
      <c r="MIO21" s="40"/>
      <c r="MIP21" s="40"/>
      <c r="MIQ21" s="40"/>
      <c r="MIR21" s="40"/>
      <c r="MIS21" s="40"/>
      <c r="MIT21" s="40"/>
      <c r="MIU21" s="40"/>
      <c r="MIV21" s="40"/>
      <c r="MIW21" s="40"/>
      <c r="MIX21" s="40"/>
      <c r="MIY21" s="40"/>
      <c r="MIZ21" s="40"/>
      <c r="MJA21" s="40"/>
      <c r="MJB21" s="40"/>
      <c r="MJC21" s="40"/>
      <c r="MJD21" s="40"/>
      <c r="MJE21" s="40"/>
      <c r="MJF21" s="40"/>
      <c r="MJG21" s="40"/>
      <c r="MJH21" s="40"/>
      <c r="MJI21" s="40"/>
      <c r="MJJ21" s="40"/>
      <c r="MJK21" s="40"/>
      <c r="MJL21" s="40"/>
      <c r="MJM21" s="40"/>
      <c r="MJN21" s="40"/>
      <c r="MJO21" s="40"/>
      <c r="MJP21" s="40"/>
      <c r="MJQ21" s="40"/>
      <c r="MJR21" s="40"/>
      <c r="MJS21" s="40"/>
      <c r="MJT21" s="40"/>
      <c r="MJU21" s="40"/>
      <c r="MJV21" s="40"/>
      <c r="MJW21" s="40"/>
      <c r="MJX21" s="40"/>
      <c r="MJY21" s="40"/>
      <c r="MJZ21" s="40"/>
      <c r="MKA21" s="40"/>
      <c r="MKB21" s="40"/>
      <c r="MKC21" s="40"/>
      <c r="MKD21" s="40"/>
      <c r="MKE21" s="40"/>
      <c r="MKF21" s="40"/>
      <c r="MKG21" s="40"/>
      <c r="MKH21" s="40"/>
      <c r="MKI21" s="40"/>
      <c r="MKJ21" s="40"/>
      <c r="MKK21" s="40"/>
      <c r="MKL21" s="40"/>
      <c r="MKM21" s="40"/>
      <c r="MKN21" s="40"/>
      <c r="MKO21" s="40"/>
      <c r="MKP21" s="40"/>
      <c r="MKQ21" s="40"/>
      <c r="MKR21" s="40"/>
      <c r="MKS21" s="40"/>
      <c r="MKT21" s="40"/>
      <c r="MKU21" s="40"/>
      <c r="MKV21" s="40"/>
      <c r="MKW21" s="40"/>
      <c r="MKX21" s="40"/>
      <c r="MKY21" s="40"/>
      <c r="MKZ21" s="40"/>
      <c r="MLA21" s="40"/>
      <c r="MLB21" s="40"/>
      <c r="MLC21" s="40"/>
      <c r="MLD21" s="40"/>
      <c r="MLE21" s="40"/>
      <c r="MLF21" s="40"/>
      <c r="MLG21" s="40"/>
      <c r="MLH21" s="40"/>
      <c r="MLI21" s="40"/>
      <c r="MLJ21" s="40"/>
      <c r="MLK21" s="40"/>
      <c r="MLL21" s="40"/>
      <c r="MLM21" s="40"/>
      <c r="MLN21" s="40"/>
      <c r="MLO21" s="40"/>
      <c r="MLP21" s="40"/>
      <c r="MLQ21" s="40"/>
      <c r="MLR21" s="40"/>
      <c r="MLS21" s="40"/>
      <c r="MLT21" s="40"/>
      <c r="MLU21" s="40"/>
      <c r="MLV21" s="40"/>
      <c r="MLW21" s="40"/>
      <c r="MLX21" s="40"/>
      <c r="MLY21" s="40"/>
      <c r="MLZ21" s="40"/>
      <c r="MMA21" s="40"/>
      <c r="MMB21" s="40"/>
      <c r="MMC21" s="40"/>
      <c r="MMD21" s="40"/>
      <c r="MME21" s="40"/>
      <c r="MMF21" s="40"/>
      <c r="MMG21" s="40"/>
      <c r="MMH21" s="40"/>
      <c r="MMI21" s="40"/>
      <c r="MMJ21" s="40"/>
      <c r="MMK21" s="40"/>
      <c r="MML21" s="40"/>
      <c r="MMM21" s="40"/>
      <c r="MMN21" s="40"/>
      <c r="MMO21" s="40"/>
      <c r="MMP21" s="40"/>
      <c r="MMQ21" s="40"/>
      <c r="MMR21" s="40"/>
      <c r="MMS21" s="40"/>
      <c r="MMT21" s="40"/>
      <c r="MMU21" s="40"/>
      <c r="MMV21" s="40"/>
      <c r="MMW21" s="40"/>
      <c r="MMX21" s="40"/>
      <c r="MMY21" s="40"/>
      <c r="MMZ21" s="40"/>
      <c r="MNA21" s="40"/>
      <c r="MNB21" s="40"/>
      <c r="MNC21" s="40"/>
      <c r="MND21" s="40"/>
      <c r="MNE21" s="40"/>
      <c r="MNF21" s="40"/>
      <c r="MNG21" s="40"/>
      <c r="MNH21" s="40"/>
      <c r="MNI21" s="40"/>
      <c r="MNJ21" s="40"/>
      <c r="MNK21" s="40"/>
      <c r="MNL21" s="40"/>
      <c r="MNM21" s="40"/>
      <c r="MNN21" s="40"/>
      <c r="MNO21" s="40"/>
      <c r="MNP21" s="40"/>
      <c r="MNQ21" s="40"/>
      <c r="MNR21" s="40"/>
      <c r="MNS21" s="40"/>
      <c r="MNT21" s="40"/>
      <c r="MNU21" s="40"/>
      <c r="MNV21" s="40"/>
      <c r="MNW21" s="40"/>
      <c r="MNX21" s="40"/>
      <c r="MNY21" s="40"/>
      <c r="MNZ21" s="40"/>
      <c r="MOA21" s="40"/>
      <c r="MOB21" s="40"/>
      <c r="MOC21" s="40"/>
      <c r="MOD21" s="40"/>
      <c r="MOE21" s="40"/>
      <c r="MOF21" s="40"/>
      <c r="MOG21" s="40"/>
      <c r="MOH21" s="40"/>
      <c r="MOI21" s="40"/>
      <c r="MOJ21" s="40"/>
      <c r="MOK21" s="40"/>
      <c r="MOL21" s="40"/>
      <c r="MOM21" s="40"/>
      <c r="MON21" s="40"/>
      <c r="MOO21" s="40"/>
      <c r="MOP21" s="40"/>
      <c r="MOQ21" s="40"/>
      <c r="MOR21" s="40"/>
      <c r="MOS21" s="40"/>
      <c r="MOT21" s="40"/>
      <c r="MOU21" s="40"/>
      <c r="MOV21" s="40"/>
      <c r="MOW21" s="40"/>
      <c r="MOX21" s="40"/>
      <c r="MOY21" s="40"/>
      <c r="MOZ21" s="40"/>
      <c r="MPA21" s="40"/>
      <c r="MPB21" s="40"/>
      <c r="MPC21" s="40"/>
      <c r="MPD21" s="40"/>
      <c r="MPE21" s="40"/>
      <c r="MPF21" s="40"/>
      <c r="MPG21" s="40"/>
      <c r="MPH21" s="40"/>
      <c r="MPI21" s="40"/>
      <c r="MPJ21" s="40"/>
      <c r="MPK21" s="40"/>
      <c r="MPL21" s="40"/>
      <c r="MPM21" s="40"/>
      <c r="MPN21" s="40"/>
      <c r="MPO21" s="40"/>
      <c r="MPP21" s="40"/>
      <c r="MPQ21" s="40"/>
      <c r="MPR21" s="40"/>
      <c r="MPS21" s="40"/>
      <c r="MPT21" s="40"/>
      <c r="MPU21" s="40"/>
      <c r="MPV21" s="40"/>
      <c r="MPW21" s="40"/>
      <c r="MPX21" s="40"/>
      <c r="MPY21" s="40"/>
      <c r="MPZ21" s="40"/>
      <c r="MQA21" s="40"/>
      <c r="MQB21" s="40"/>
      <c r="MQC21" s="40"/>
      <c r="MQD21" s="40"/>
      <c r="MQE21" s="40"/>
      <c r="MQF21" s="40"/>
      <c r="MQG21" s="40"/>
      <c r="MQH21" s="40"/>
      <c r="MQI21" s="40"/>
      <c r="MQJ21" s="40"/>
      <c r="MQK21" s="40"/>
      <c r="MQL21" s="40"/>
      <c r="MQM21" s="40"/>
      <c r="MQN21" s="40"/>
      <c r="MQO21" s="40"/>
      <c r="MQP21" s="40"/>
      <c r="MQQ21" s="40"/>
      <c r="MQR21" s="40"/>
      <c r="MQS21" s="40"/>
      <c r="MQT21" s="40"/>
      <c r="MQU21" s="40"/>
      <c r="MQV21" s="40"/>
      <c r="MQW21" s="40"/>
      <c r="MQX21" s="40"/>
      <c r="MQY21" s="40"/>
      <c r="MQZ21" s="40"/>
      <c r="MRA21" s="40"/>
      <c r="MRB21" s="40"/>
      <c r="MRC21" s="40"/>
      <c r="MRD21" s="40"/>
      <c r="MRE21" s="40"/>
      <c r="MRF21" s="40"/>
      <c r="MRG21" s="40"/>
      <c r="MRH21" s="40"/>
      <c r="MRI21" s="40"/>
      <c r="MRJ21" s="40"/>
      <c r="MRK21" s="40"/>
      <c r="MRL21" s="40"/>
      <c r="MRM21" s="40"/>
      <c r="MRN21" s="40"/>
      <c r="MRO21" s="40"/>
      <c r="MRP21" s="40"/>
      <c r="MRQ21" s="40"/>
      <c r="MRR21" s="40"/>
      <c r="MRS21" s="40"/>
      <c r="MRT21" s="40"/>
      <c r="MRU21" s="40"/>
      <c r="MRV21" s="40"/>
      <c r="MRW21" s="40"/>
      <c r="MRX21" s="40"/>
      <c r="MRY21" s="40"/>
      <c r="MRZ21" s="40"/>
      <c r="MSA21" s="40"/>
      <c r="MSB21" s="40"/>
      <c r="MSC21" s="40"/>
      <c r="MSD21" s="40"/>
      <c r="MSE21" s="40"/>
      <c r="MSF21" s="40"/>
      <c r="MSG21" s="40"/>
      <c r="MSH21" s="40"/>
      <c r="MSI21" s="40"/>
      <c r="MSJ21" s="40"/>
      <c r="MSK21" s="40"/>
      <c r="MSL21" s="40"/>
      <c r="MSM21" s="40"/>
      <c r="MSN21" s="40"/>
      <c r="MSO21" s="40"/>
      <c r="MSP21" s="40"/>
      <c r="MSQ21" s="40"/>
      <c r="MSR21" s="40"/>
      <c r="MSS21" s="40"/>
      <c r="MST21" s="40"/>
      <c r="MSU21" s="40"/>
      <c r="MSV21" s="40"/>
      <c r="MSW21" s="40"/>
      <c r="MSX21" s="40"/>
      <c r="MSY21" s="40"/>
      <c r="MSZ21" s="40"/>
      <c r="MTA21" s="40"/>
      <c r="MTB21" s="40"/>
      <c r="MTC21" s="40"/>
      <c r="MTD21" s="40"/>
      <c r="MTE21" s="40"/>
      <c r="MTF21" s="40"/>
      <c r="MTG21" s="40"/>
      <c r="MTH21" s="40"/>
      <c r="MTI21" s="40"/>
      <c r="MTJ21" s="40"/>
      <c r="MTK21" s="40"/>
      <c r="MTL21" s="40"/>
      <c r="MTM21" s="40"/>
      <c r="MTN21" s="40"/>
      <c r="MTO21" s="40"/>
      <c r="MTP21" s="40"/>
      <c r="MTQ21" s="40"/>
      <c r="MTR21" s="40"/>
      <c r="MTS21" s="40"/>
      <c r="MTT21" s="40"/>
      <c r="MTU21" s="40"/>
      <c r="MTV21" s="40"/>
      <c r="MTW21" s="40"/>
      <c r="MTX21" s="40"/>
      <c r="MTY21" s="40"/>
      <c r="MTZ21" s="40"/>
      <c r="MUA21" s="40"/>
      <c r="MUB21" s="40"/>
      <c r="MUC21" s="40"/>
      <c r="MUD21" s="40"/>
      <c r="MUE21" s="40"/>
      <c r="MUF21" s="40"/>
      <c r="MUG21" s="40"/>
      <c r="MUH21" s="40"/>
      <c r="MUI21" s="40"/>
      <c r="MUJ21" s="40"/>
      <c r="MUK21" s="40"/>
      <c r="MUL21" s="40"/>
      <c r="MUM21" s="40"/>
      <c r="MUN21" s="40"/>
      <c r="MUO21" s="40"/>
      <c r="MUP21" s="40"/>
      <c r="MUQ21" s="40"/>
      <c r="MUR21" s="40"/>
      <c r="MUS21" s="40"/>
      <c r="MUT21" s="40"/>
      <c r="MUU21" s="40"/>
      <c r="MUV21" s="40"/>
      <c r="MUW21" s="40"/>
      <c r="MUX21" s="40"/>
      <c r="MUY21" s="40"/>
      <c r="MUZ21" s="40"/>
      <c r="MVA21" s="40"/>
      <c r="MVB21" s="40"/>
      <c r="MVC21" s="40"/>
      <c r="MVD21" s="40"/>
      <c r="MVE21" s="40"/>
      <c r="MVF21" s="40"/>
      <c r="MVG21" s="40"/>
      <c r="MVH21" s="40"/>
      <c r="MVI21" s="40"/>
      <c r="MVJ21" s="40"/>
      <c r="MVK21" s="40"/>
      <c r="MVL21" s="40"/>
      <c r="MVM21" s="40"/>
      <c r="MVN21" s="40"/>
      <c r="MVO21" s="40"/>
      <c r="MVP21" s="40"/>
      <c r="MVQ21" s="40"/>
      <c r="MVR21" s="40"/>
      <c r="MVS21" s="40"/>
      <c r="MVT21" s="40"/>
      <c r="MVU21" s="40"/>
      <c r="MVV21" s="40"/>
      <c r="MVW21" s="40"/>
      <c r="MVX21" s="40"/>
      <c r="MVY21" s="40"/>
      <c r="MVZ21" s="40"/>
      <c r="MWA21" s="40"/>
      <c r="MWB21" s="40"/>
      <c r="MWC21" s="40"/>
      <c r="MWD21" s="40"/>
      <c r="MWE21" s="40"/>
      <c r="MWF21" s="40"/>
      <c r="MWG21" s="40"/>
      <c r="MWH21" s="40"/>
      <c r="MWI21" s="40"/>
      <c r="MWJ21" s="40"/>
      <c r="MWK21" s="40"/>
      <c r="MWL21" s="40"/>
      <c r="MWM21" s="40"/>
      <c r="MWN21" s="40"/>
      <c r="MWO21" s="40"/>
      <c r="MWP21" s="40"/>
      <c r="MWQ21" s="40"/>
      <c r="MWR21" s="40"/>
      <c r="MWS21" s="40"/>
      <c r="MWT21" s="40"/>
      <c r="MWU21" s="40"/>
      <c r="MWV21" s="40"/>
      <c r="MWW21" s="40"/>
      <c r="MWX21" s="40"/>
      <c r="MWY21" s="40"/>
      <c r="MWZ21" s="40"/>
      <c r="MXA21" s="40"/>
      <c r="MXB21" s="40"/>
      <c r="MXC21" s="40"/>
      <c r="MXD21" s="40"/>
      <c r="MXE21" s="40"/>
      <c r="MXF21" s="40"/>
      <c r="MXG21" s="40"/>
      <c r="MXH21" s="40"/>
      <c r="MXI21" s="40"/>
      <c r="MXJ21" s="40"/>
      <c r="MXK21" s="40"/>
      <c r="MXL21" s="40"/>
      <c r="MXM21" s="40"/>
      <c r="MXN21" s="40"/>
      <c r="MXO21" s="40"/>
      <c r="MXP21" s="40"/>
      <c r="MXQ21" s="40"/>
      <c r="MXR21" s="40"/>
      <c r="MXS21" s="40"/>
      <c r="MXT21" s="40"/>
      <c r="MXU21" s="40"/>
      <c r="MXV21" s="40"/>
      <c r="MXW21" s="40"/>
      <c r="MXX21" s="40"/>
      <c r="MXY21" s="40"/>
      <c r="MXZ21" s="40"/>
      <c r="MYA21" s="40"/>
      <c r="MYB21" s="40"/>
      <c r="MYC21" s="40"/>
      <c r="MYD21" s="40"/>
      <c r="MYE21" s="40"/>
      <c r="MYF21" s="40"/>
      <c r="MYG21" s="40"/>
      <c r="MYH21" s="40"/>
      <c r="MYI21" s="40"/>
      <c r="MYJ21" s="40"/>
      <c r="MYK21" s="40"/>
      <c r="MYL21" s="40"/>
      <c r="MYM21" s="40"/>
      <c r="MYN21" s="40"/>
      <c r="MYO21" s="40"/>
      <c r="MYP21" s="40"/>
      <c r="MYQ21" s="40"/>
      <c r="MYR21" s="40"/>
      <c r="MYS21" s="40"/>
      <c r="MYT21" s="40"/>
      <c r="MYU21" s="40"/>
      <c r="MYV21" s="40"/>
      <c r="MYW21" s="40"/>
      <c r="MYX21" s="40"/>
      <c r="MYY21" s="40"/>
      <c r="MYZ21" s="40"/>
      <c r="MZA21" s="40"/>
      <c r="MZB21" s="40"/>
      <c r="MZC21" s="40"/>
      <c r="MZD21" s="40"/>
      <c r="MZE21" s="40"/>
      <c r="MZF21" s="40"/>
      <c r="MZG21" s="40"/>
      <c r="MZH21" s="40"/>
      <c r="MZI21" s="40"/>
      <c r="MZJ21" s="40"/>
      <c r="MZK21" s="40"/>
      <c r="MZL21" s="40"/>
      <c r="MZM21" s="40"/>
      <c r="MZN21" s="40"/>
      <c r="MZO21" s="40"/>
      <c r="MZP21" s="40"/>
      <c r="MZQ21" s="40"/>
      <c r="MZR21" s="40"/>
      <c r="MZS21" s="40"/>
      <c r="MZT21" s="40"/>
      <c r="MZU21" s="40"/>
      <c r="MZV21" s="40"/>
      <c r="MZW21" s="40"/>
      <c r="MZX21" s="40"/>
      <c r="MZY21" s="40"/>
      <c r="MZZ21" s="40"/>
      <c r="NAA21" s="40"/>
      <c r="NAB21" s="40"/>
      <c r="NAC21" s="40"/>
      <c r="NAD21" s="40"/>
      <c r="NAE21" s="40"/>
      <c r="NAF21" s="40"/>
      <c r="NAG21" s="40"/>
      <c r="NAH21" s="40"/>
      <c r="NAI21" s="40"/>
      <c r="NAJ21" s="40"/>
      <c r="NAK21" s="40"/>
      <c r="NAL21" s="40"/>
      <c r="NAM21" s="40"/>
      <c r="NAN21" s="40"/>
      <c r="NAO21" s="40"/>
      <c r="NAP21" s="40"/>
      <c r="NAQ21" s="40"/>
      <c r="NAR21" s="40"/>
      <c r="NAS21" s="40"/>
      <c r="NAT21" s="40"/>
      <c r="NAU21" s="40"/>
      <c r="NAV21" s="40"/>
      <c r="NAW21" s="40"/>
      <c r="NAX21" s="40"/>
      <c r="NAY21" s="40"/>
      <c r="NAZ21" s="40"/>
      <c r="NBA21" s="40"/>
      <c r="NBB21" s="40"/>
      <c r="NBC21" s="40"/>
      <c r="NBD21" s="40"/>
      <c r="NBE21" s="40"/>
      <c r="NBF21" s="40"/>
      <c r="NBG21" s="40"/>
      <c r="NBH21" s="40"/>
      <c r="NBI21" s="40"/>
      <c r="NBJ21" s="40"/>
      <c r="NBK21" s="40"/>
      <c r="NBL21" s="40"/>
      <c r="NBM21" s="40"/>
      <c r="NBN21" s="40"/>
      <c r="NBO21" s="40"/>
      <c r="NBP21" s="40"/>
      <c r="NBQ21" s="40"/>
      <c r="NBR21" s="40"/>
      <c r="NBS21" s="40"/>
      <c r="NBT21" s="40"/>
      <c r="NBU21" s="40"/>
      <c r="NBV21" s="40"/>
      <c r="NBW21" s="40"/>
      <c r="NBX21" s="40"/>
      <c r="NBY21" s="40"/>
      <c r="NBZ21" s="40"/>
      <c r="NCA21" s="40"/>
      <c r="NCB21" s="40"/>
      <c r="NCC21" s="40"/>
      <c r="NCD21" s="40"/>
      <c r="NCE21" s="40"/>
      <c r="NCF21" s="40"/>
      <c r="NCG21" s="40"/>
      <c r="NCH21" s="40"/>
      <c r="NCI21" s="40"/>
      <c r="NCJ21" s="40"/>
      <c r="NCK21" s="40"/>
      <c r="NCL21" s="40"/>
      <c r="NCM21" s="40"/>
      <c r="NCN21" s="40"/>
      <c r="NCO21" s="40"/>
      <c r="NCP21" s="40"/>
      <c r="NCQ21" s="40"/>
      <c r="NCR21" s="40"/>
      <c r="NCS21" s="40"/>
      <c r="NCT21" s="40"/>
      <c r="NCU21" s="40"/>
      <c r="NCV21" s="40"/>
      <c r="NCW21" s="40"/>
      <c r="NCX21" s="40"/>
      <c r="NCY21" s="40"/>
      <c r="NCZ21" s="40"/>
      <c r="NDA21" s="40"/>
      <c r="NDB21" s="40"/>
      <c r="NDC21" s="40"/>
      <c r="NDD21" s="40"/>
      <c r="NDE21" s="40"/>
      <c r="NDF21" s="40"/>
      <c r="NDG21" s="40"/>
      <c r="NDH21" s="40"/>
      <c r="NDI21" s="40"/>
      <c r="NDJ21" s="40"/>
      <c r="NDK21" s="40"/>
      <c r="NDL21" s="40"/>
      <c r="NDM21" s="40"/>
      <c r="NDN21" s="40"/>
      <c r="NDO21" s="40"/>
      <c r="NDP21" s="40"/>
      <c r="NDQ21" s="40"/>
      <c r="NDR21" s="40"/>
      <c r="NDS21" s="40"/>
      <c r="NDT21" s="40"/>
      <c r="NDU21" s="40"/>
      <c r="NDV21" s="40"/>
      <c r="NDW21" s="40"/>
      <c r="NDX21" s="40"/>
      <c r="NDY21" s="40"/>
      <c r="NDZ21" s="40"/>
      <c r="NEA21" s="40"/>
      <c r="NEB21" s="40"/>
      <c r="NEC21" s="40"/>
      <c r="NED21" s="40"/>
      <c r="NEE21" s="40"/>
      <c r="NEF21" s="40"/>
      <c r="NEG21" s="40"/>
      <c r="NEH21" s="40"/>
      <c r="NEI21" s="40"/>
      <c r="NEJ21" s="40"/>
      <c r="NEK21" s="40"/>
      <c r="NEL21" s="40"/>
      <c r="NEM21" s="40"/>
      <c r="NEN21" s="40"/>
      <c r="NEO21" s="40"/>
      <c r="NEP21" s="40"/>
      <c r="NEQ21" s="40"/>
      <c r="NER21" s="40"/>
      <c r="NES21" s="40"/>
      <c r="NET21" s="40"/>
      <c r="NEU21" s="40"/>
      <c r="NEV21" s="40"/>
      <c r="NEW21" s="40"/>
      <c r="NEX21" s="40"/>
      <c r="NEY21" s="40"/>
      <c r="NEZ21" s="40"/>
      <c r="NFA21" s="40"/>
      <c r="NFB21" s="40"/>
      <c r="NFC21" s="40"/>
      <c r="NFD21" s="40"/>
      <c r="NFE21" s="40"/>
      <c r="NFF21" s="40"/>
      <c r="NFG21" s="40"/>
      <c r="NFH21" s="40"/>
      <c r="NFI21" s="40"/>
      <c r="NFJ21" s="40"/>
      <c r="NFK21" s="40"/>
      <c r="NFL21" s="40"/>
      <c r="NFM21" s="40"/>
      <c r="NFN21" s="40"/>
      <c r="NFO21" s="40"/>
      <c r="NFP21" s="40"/>
      <c r="NFQ21" s="40"/>
      <c r="NFR21" s="40"/>
      <c r="NFS21" s="40"/>
      <c r="NFT21" s="40"/>
      <c r="NFU21" s="40"/>
      <c r="NFV21" s="40"/>
      <c r="NFW21" s="40"/>
      <c r="NFX21" s="40"/>
      <c r="NFY21" s="40"/>
      <c r="NFZ21" s="40"/>
      <c r="NGA21" s="40"/>
      <c r="NGB21" s="40"/>
      <c r="NGC21" s="40"/>
      <c r="NGD21" s="40"/>
      <c r="NGE21" s="40"/>
      <c r="NGF21" s="40"/>
      <c r="NGG21" s="40"/>
      <c r="NGH21" s="40"/>
      <c r="NGI21" s="40"/>
      <c r="NGJ21" s="40"/>
      <c r="NGK21" s="40"/>
      <c r="NGL21" s="40"/>
      <c r="NGM21" s="40"/>
      <c r="NGN21" s="40"/>
      <c r="NGO21" s="40"/>
      <c r="NGP21" s="40"/>
      <c r="NGQ21" s="40"/>
      <c r="NGR21" s="40"/>
      <c r="NGS21" s="40"/>
      <c r="NGT21" s="40"/>
      <c r="NGU21" s="40"/>
      <c r="NGV21" s="40"/>
      <c r="NGW21" s="40"/>
      <c r="NGX21" s="40"/>
      <c r="NGY21" s="40"/>
      <c r="NGZ21" s="40"/>
      <c r="NHA21" s="40"/>
      <c r="NHB21" s="40"/>
      <c r="NHC21" s="40"/>
      <c r="NHD21" s="40"/>
      <c r="NHE21" s="40"/>
      <c r="NHF21" s="40"/>
      <c r="NHG21" s="40"/>
      <c r="NHH21" s="40"/>
      <c r="NHI21" s="40"/>
      <c r="NHJ21" s="40"/>
      <c r="NHK21" s="40"/>
      <c r="NHL21" s="40"/>
      <c r="NHM21" s="40"/>
      <c r="NHN21" s="40"/>
      <c r="NHO21" s="40"/>
      <c r="NHP21" s="40"/>
      <c r="NHQ21" s="40"/>
      <c r="NHR21" s="40"/>
      <c r="NHS21" s="40"/>
      <c r="NHT21" s="40"/>
      <c r="NHU21" s="40"/>
      <c r="NHV21" s="40"/>
      <c r="NHW21" s="40"/>
      <c r="NHX21" s="40"/>
      <c r="NHY21" s="40"/>
      <c r="NHZ21" s="40"/>
      <c r="NIA21" s="40"/>
      <c r="NIB21" s="40"/>
      <c r="NIC21" s="40"/>
      <c r="NID21" s="40"/>
      <c r="NIE21" s="40"/>
      <c r="NIF21" s="40"/>
      <c r="NIG21" s="40"/>
      <c r="NIH21" s="40"/>
      <c r="NII21" s="40"/>
      <c r="NIJ21" s="40"/>
      <c r="NIK21" s="40"/>
      <c r="NIL21" s="40"/>
      <c r="NIM21" s="40"/>
      <c r="NIN21" s="40"/>
      <c r="NIO21" s="40"/>
      <c r="NIP21" s="40"/>
      <c r="NIQ21" s="40"/>
      <c r="NIR21" s="40"/>
      <c r="NIS21" s="40"/>
      <c r="NIT21" s="40"/>
      <c r="NIU21" s="40"/>
      <c r="NIV21" s="40"/>
      <c r="NIW21" s="40"/>
      <c r="NIX21" s="40"/>
      <c r="NIY21" s="40"/>
      <c r="NIZ21" s="40"/>
      <c r="NJA21" s="40"/>
      <c r="NJB21" s="40"/>
      <c r="NJC21" s="40"/>
      <c r="NJD21" s="40"/>
      <c r="NJE21" s="40"/>
      <c r="NJF21" s="40"/>
      <c r="NJG21" s="40"/>
      <c r="NJH21" s="40"/>
      <c r="NJI21" s="40"/>
      <c r="NJJ21" s="40"/>
      <c r="NJK21" s="40"/>
      <c r="NJL21" s="40"/>
      <c r="NJM21" s="40"/>
      <c r="NJN21" s="40"/>
      <c r="NJO21" s="40"/>
      <c r="NJP21" s="40"/>
      <c r="NJQ21" s="40"/>
      <c r="NJR21" s="40"/>
      <c r="NJS21" s="40"/>
      <c r="NJT21" s="40"/>
      <c r="NJU21" s="40"/>
      <c r="NJV21" s="40"/>
      <c r="NJW21" s="40"/>
      <c r="NJX21" s="40"/>
      <c r="NJY21" s="40"/>
      <c r="NJZ21" s="40"/>
      <c r="NKA21" s="40"/>
      <c r="NKB21" s="40"/>
      <c r="NKC21" s="40"/>
      <c r="NKD21" s="40"/>
      <c r="NKE21" s="40"/>
      <c r="NKF21" s="40"/>
      <c r="NKG21" s="40"/>
      <c r="NKH21" s="40"/>
      <c r="NKI21" s="40"/>
      <c r="NKJ21" s="40"/>
      <c r="NKK21" s="40"/>
      <c r="NKL21" s="40"/>
      <c r="NKM21" s="40"/>
      <c r="NKN21" s="40"/>
      <c r="NKO21" s="40"/>
      <c r="NKP21" s="40"/>
      <c r="NKQ21" s="40"/>
      <c r="NKR21" s="40"/>
      <c r="NKS21" s="40"/>
      <c r="NKT21" s="40"/>
      <c r="NKU21" s="40"/>
      <c r="NKV21" s="40"/>
      <c r="NKW21" s="40"/>
      <c r="NKX21" s="40"/>
      <c r="NKY21" s="40"/>
      <c r="NKZ21" s="40"/>
      <c r="NLA21" s="40"/>
      <c r="NLB21" s="40"/>
      <c r="NLC21" s="40"/>
      <c r="NLD21" s="40"/>
      <c r="NLE21" s="40"/>
      <c r="NLF21" s="40"/>
      <c r="NLG21" s="40"/>
      <c r="NLH21" s="40"/>
      <c r="NLI21" s="40"/>
      <c r="NLJ21" s="40"/>
      <c r="NLK21" s="40"/>
      <c r="NLL21" s="40"/>
      <c r="NLM21" s="40"/>
      <c r="NLN21" s="40"/>
      <c r="NLO21" s="40"/>
      <c r="NLP21" s="40"/>
      <c r="NLQ21" s="40"/>
      <c r="NLR21" s="40"/>
      <c r="NLS21" s="40"/>
      <c r="NLT21" s="40"/>
      <c r="NLU21" s="40"/>
      <c r="NLV21" s="40"/>
      <c r="NLW21" s="40"/>
      <c r="NLX21" s="40"/>
      <c r="NLY21" s="40"/>
      <c r="NLZ21" s="40"/>
      <c r="NMA21" s="40"/>
      <c r="NMB21" s="40"/>
      <c r="NMC21" s="40"/>
      <c r="NMD21" s="40"/>
      <c r="NME21" s="40"/>
      <c r="NMF21" s="40"/>
      <c r="NMG21" s="40"/>
      <c r="NMH21" s="40"/>
      <c r="NMI21" s="40"/>
      <c r="NMJ21" s="40"/>
      <c r="NMK21" s="40"/>
      <c r="NML21" s="40"/>
      <c r="NMM21" s="40"/>
      <c r="NMN21" s="40"/>
      <c r="NMO21" s="40"/>
      <c r="NMP21" s="40"/>
      <c r="NMQ21" s="40"/>
      <c r="NMR21" s="40"/>
      <c r="NMS21" s="40"/>
      <c r="NMT21" s="40"/>
      <c r="NMU21" s="40"/>
      <c r="NMV21" s="40"/>
      <c r="NMW21" s="40"/>
      <c r="NMX21" s="40"/>
      <c r="NMY21" s="40"/>
      <c r="NMZ21" s="40"/>
      <c r="NNA21" s="40"/>
      <c r="NNB21" s="40"/>
      <c r="NNC21" s="40"/>
      <c r="NND21" s="40"/>
      <c r="NNE21" s="40"/>
      <c r="NNF21" s="40"/>
      <c r="NNG21" s="40"/>
      <c r="NNH21" s="40"/>
      <c r="NNI21" s="40"/>
      <c r="NNJ21" s="40"/>
      <c r="NNK21" s="40"/>
      <c r="NNL21" s="40"/>
      <c r="NNM21" s="40"/>
      <c r="NNN21" s="40"/>
      <c r="NNO21" s="40"/>
      <c r="NNP21" s="40"/>
      <c r="NNQ21" s="40"/>
      <c r="NNR21" s="40"/>
      <c r="NNS21" s="40"/>
      <c r="NNT21" s="40"/>
      <c r="NNU21" s="40"/>
      <c r="NNV21" s="40"/>
      <c r="NNW21" s="40"/>
      <c r="NNX21" s="40"/>
      <c r="NNY21" s="40"/>
      <c r="NNZ21" s="40"/>
      <c r="NOA21" s="40"/>
      <c r="NOB21" s="40"/>
      <c r="NOC21" s="40"/>
      <c r="NOD21" s="40"/>
      <c r="NOE21" s="40"/>
      <c r="NOF21" s="40"/>
      <c r="NOG21" s="40"/>
      <c r="NOH21" s="40"/>
      <c r="NOI21" s="40"/>
      <c r="NOJ21" s="40"/>
      <c r="NOK21" s="40"/>
      <c r="NOL21" s="40"/>
      <c r="NOM21" s="40"/>
      <c r="NON21" s="40"/>
      <c r="NOO21" s="40"/>
      <c r="NOP21" s="40"/>
      <c r="NOQ21" s="40"/>
      <c r="NOR21" s="40"/>
      <c r="NOS21" s="40"/>
      <c r="NOT21" s="40"/>
      <c r="NOU21" s="40"/>
      <c r="NOV21" s="40"/>
      <c r="NOW21" s="40"/>
      <c r="NOX21" s="40"/>
      <c r="NOY21" s="40"/>
      <c r="NOZ21" s="40"/>
      <c r="NPA21" s="40"/>
      <c r="NPB21" s="40"/>
      <c r="NPC21" s="40"/>
      <c r="NPD21" s="40"/>
      <c r="NPE21" s="40"/>
      <c r="NPF21" s="40"/>
      <c r="NPG21" s="40"/>
      <c r="NPH21" s="40"/>
      <c r="NPI21" s="40"/>
      <c r="NPJ21" s="40"/>
      <c r="NPK21" s="40"/>
      <c r="NPL21" s="40"/>
      <c r="NPM21" s="40"/>
      <c r="NPN21" s="40"/>
      <c r="NPO21" s="40"/>
      <c r="NPP21" s="40"/>
      <c r="NPQ21" s="40"/>
      <c r="NPR21" s="40"/>
      <c r="NPS21" s="40"/>
      <c r="NPT21" s="40"/>
      <c r="NPU21" s="40"/>
      <c r="NPV21" s="40"/>
      <c r="NPW21" s="40"/>
      <c r="NPX21" s="40"/>
      <c r="NPY21" s="40"/>
      <c r="NPZ21" s="40"/>
      <c r="NQA21" s="40"/>
      <c r="NQB21" s="40"/>
      <c r="NQC21" s="40"/>
      <c r="NQD21" s="40"/>
      <c r="NQE21" s="40"/>
      <c r="NQF21" s="40"/>
      <c r="NQG21" s="40"/>
      <c r="NQH21" s="40"/>
      <c r="NQI21" s="40"/>
      <c r="NQJ21" s="40"/>
      <c r="NQK21" s="40"/>
      <c r="NQL21" s="40"/>
      <c r="NQM21" s="40"/>
      <c r="NQN21" s="40"/>
      <c r="NQO21" s="40"/>
      <c r="NQP21" s="40"/>
      <c r="NQQ21" s="40"/>
      <c r="NQR21" s="40"/>
      <c r="NQS21" s="40"/>
      <c r="NQT21" s="40"/>
      <c r="NQU21" s="40"/>
      <c r="NQV21" s="40"/>
      <c r="NQW21" s="40"/>
      <c r="NQX21" s="40"/>
      <c r="NQY21" s="40"/>
      <c r="NQZ21" s="40"/>
      <c r="NRA21" s="40"/>
      <c r="NRB21" s="40"/>
      <c r="NRC21" s="40"/>
      <c r="NRD21" s="40"/>
      <c r="NRE21" s="40"/>
      <c r="NRF21" s="40"/>
      <c r="NRG21" s="40"/>
      <c r="NRH21" s="40"/>
      <c r="NRI21" s="40"/>
      <c r="NRJ21" s="40"/>
      <c r="NRK21" s="40"/>
      <c r="NRL21" s="40"/>
      <c r="NRM21" s="40"/>
      <c r="NRN21" s="40"/>
      <c r="NRO21" s="40"/>
      <c r="NRP21" s="40"/>
      <c r="NRQ21" s="40"/>
      <c r="NRR21" s="40"/>
      <c r="NRS21" s="40"/>
      <c r="NRT21" s="40"/>
      <c r="NRU21" s="40"/>
      <c r="NRV21" s="40"/>
      <c r="NRW21" s="40"/>
      <c r="NRX21" s="40"/>
      <c r="NRY21" s="40"/>
      <c r="NRZ21" s="40"/>
      <c r="NSA21" s="40"/>
      <c r="NSB21" s="40"/>
      <c r="NSC21" s="40"/>
      <c r="NSD21" s="40"/>
      <c r="NSE21" s="40"/>
      <c r="NSF21" s="40"/>
      <c r="NSG21" s="40"/>
      <c r="NSH21" s="40"/>
      <c r="NSI21" s="40"/>
      <c r="NSJ21" s="40"/>
      <c r="NSK21" s="40"/>
      <c r="NSL21" s="40"/>
      <c r="NSM21" s="40"/>
      <c r="NSN21" s="40"/>
      <c r="NSO21" s="40"/>
      <c r="NSP21" s="40"/>
      <c r="NSQ21" s="40"/>
      <c r="NSR21" s="40"/>
      <c r="NSS21" s="40"/>
      <c r="NST21" s="40"/>
      <c r="NSU21" s="40"/>
      <c r="NSV21" s="40"/>
      <c r="NSW21" s="40"/>
      <c r="NSX21" s="40"/>
      <c r="NSY21" s="40"/>
      <c r="NSZ21" s="40"/>
      <c r="NTA21" s="40"/>
      <c r="NTB21" s="40"/>
      <c r="NTC21" s="40"/>
      <c r="NTD21" s="40"/>
      <c r="NTE21" s="40"/>
      <c r="NTF21" s="40"/>
      <c r="NTG21" s="40"/>
      <c r="NTH21" s="40"/>
      <c r="NTI21" s="40"/>
      <c r="NTJ21" s="40"/>
      <c r="NTK21" s="40"/>
      <c r="NTL21" s="40"/>
      <c r="NTM21" s="40"/>
      <c r="NTN21" s="40"/>
      <c r="NTO21" s="40"/>
      <c r="NTP21" s="40"/>
      <c r="NTQ21" s="40"/>
      <c r="NTR21" s="40"/>
      <c r="NTS21" s="40"/>
      <c r="NTT21" s="40"/>
      <c r="NTU21" s="40"/>
      <c r="NTV21" s="40"/>
      <c r="NTW21" s="40"/>
      <c r="NTX21" s="40"/>
      <c r="NTY21" s="40"/>
      <c r="NTZ21" s="40"/>
      <c r="NUA21" s="40"/>
      <c r="NUB21" s="40"/>
      <c r="NUC21" s="40"/>
      <c r="NUD21" s="40"/>
      <c r="NUE21" s="40"/>
      <c r="NUF21" s="40"/>
      <c r="NUG21" s="40"/>
      <c r="NUH21" s="40"/>
      <c r="NUI21" s="40"/>
      <c r="NUJ21" s="40"/>
      <c r="NUK21" s="40"/>
      <c r="NUL21" s="40"/>
      <c r="NUM21" s="40"/>
      <c r="NUN21" s="40"/>
      <c r="NUO21" s="40"/>
      <c r="NUP21" s="40"/>
      <c r="NUQ21" s="40"/>
      <c r="NUR21" s="40"/>
      <c r="NUS21" s="40"/>
      <c r="NUT21" s="40"/>
      <c r="NUU21" s="40"/>
      <c r="NUV21" s="40"/>
      <c r="NUW21" s="40"/>
      <c r="NUX21" s="40"/>
      <c r="NUY21" s="40"/>
      <c r="NUZ21" s="40"/>
      <c r="NVA21" s="40"/>
      <c r="NVB21" s="40"/>
      <c r="NVC21" s="40"/>
      <c r="NVD21" s="40"/>
      <c r="NVE21" s="40"/>
      <c r="NVF21" s="40"/>
      <c r="NVG21" s="40"/>
      <c r="NVH21" s="40"/>
      <c r="NVI21" s="40"/>
      <c r="NVJ21" s="40"/>
      <c r="NVK21" s="40"/>
      <c r="NVL21" s="40"/>
      <c r="NVM21" s="40"/>
      <c r="NVN21" s="40"/>
      <c r="NVO21" s="40"/>
      <c r="NVP21" s="40"/>
      <c r="NVQ21" s="40"/>
      <c r="NVR21" s="40"/>
      <c r="NVS21" s="40"/>
      <c r="NVT21" s="40"/>
      <c r="NVU21" s="40"/>
      <c r="NVV21" s="40"/>
      <c r="NVW21" s="40"/>
      <c r="NVX21" s="40"/>
      <c r="NVY21" s="40"/>
      <c r="NVZ21" s="40"/>
      <c r="NWA21" s="40"/>
      <c r="NWB21" s="40"/>
      <c r="NWC21" s="40"/>
      <c r="NWD21" s="40"/>
      <c r="NWE21" s="40"/>
      <c r="NWF21" s="40"/>
      <c r="NWG21" s="40"/>
      <c r="NWH21" s="40"/>
      <c r="NWI21" s="40"/>
      <c r="NWJ21" s="40"/>
      <c r="NWK21" s="40"/>
      <c r="NWL21" s="40"/>
      <c r="NWM21" s="40"/>
      <c r="NWN21" s="40"/>
      <c r="NWO21" s="40"/>
      <c r="NWP21" s="40"/>
      <c r="NWQ21" s="40"/>
      <c r="NWR21" s="40"/>
      <c r="NWS21" s="40"/>
      <c r="NWT21" s="40"/>
      <c r="NWU21" s="40"/>
      <c r="NWV21" s="40"/>
      <c r="NWW21" s="40"/>
      <c r="NWX21" s="40"/>
      <c r="NWY21" s="40"/>
      <c r="NWZ21" s="40"/>
      <c r="NXA21" s="40"/>
      <c r="NXB21" s="40"/>
      <c r="NXC21" s="40"/>
      <c r="NXD21" s="40"/>
      <c r="NXE21" s="40"/>
      <c r="NXF21" s="40"/>
      <c r="NXG21" s="40"/>
      <c r="NXH21" s="40"/>
      <c r="NXI21" s="40"/>
      <c r="NXJ21" s="40"/>
      <c r="NXK21" s="40"/>
      <c r="NXL21" s="40"/>
      <c r="NXM21" s="40"/>
      <c r="NXN21" s="40"/>
      <c r="NXO21" s="40"/>
      <c r="NXP21" s="40"/>
      <c r="NXQ21" s="40"/>
      <c r="NXR21" s="40"/>
      <c r="NXS21" s="40"/>
      <c r="NXT21" s="40"/>
      <c r="NXU21" s="40"/>
      <c r="NXV21" s="40"/>
      <c r="NXW21" s="40"/>
      <c r="NXX21" s="40"/>
      <c r="NXY21" s="40"/>
      <c r="NXZ21" s="40"/>
      <c r="NYA21" s="40"/>
      <c r="NYB21" s="40"/>
      <c r="NYC21" s="40"/>
      <c r="NYD21" s="40"/>
      <c r="NYE21" s="40"/>
      <c r="NYF21" s="40"/>
      <c r="NYG21" s="40"/>
      <c r="NYH21" s="40"/>
      <c r="NYI21" s="40"/>
      <c r="NYJ21" s="40"/>
      <c r="NYK21" s="40"/>
      <c r="NYL21" s="40"/>
      <c r="NYM21" s="40"/>
      <c r="NYN21" s="40"/>
      <c r="NYO21" s="40"/>
      <c r="NYP21" s="40"/>
      <c r="NYQ21" s="40"/>
      <c r="NYR21" s="40"/>
      <c r="NYS21" s="40"/>
      <c r="NYT21" s="40"/>
      <c r="NYU21" s="40"/>
      <c r="NYV21" s="40"/>
      <c r="NYW21" s="40"/>
      <c r="NYX21" s="40"/>
      <c r="NYY21" s="40"/>
      <c r="NYZ21" s="40"/>
      <c r="NZA21" s="40"/>
      <c r="NZB21" s="40"/>
      <c r="NZC21" s="40"/>
      <c r="NZD21" s="40"/>
      <c r="NZE21" s="40"/>
      <c r="NZF21" s="40"/>
      <c r="NZG21" s="40"/>
      <c r="NZH21" s="40"/>
      <c r="NZI21" s="40"/>
      <c r="NZJ21" s="40"/>
      <c r="NZK21" s="40"/>
      <c r="NZL21" s="40"/>
      <c r="NZM21" s="40"/>
      <c r="NZN21" s="40"/>
      <c r="NZO21" s="40"/>
      <c r="NZP21" s="40"/>
      <c r="NZQ21" s="40"/>
      <c r="NZR21" s="40"/>
      <c r="NZS21" s="40"/>
      <c r="NZT21" s="40"/>
      <c r="NZU21" s="40"/>
      <c r="NZV21" s="40"/>
      <c r="NZW21" s="40"/>
      <c r="NZX21" s="40"/>
      <c r="NZY21" s="40"/>
      <c r="NZZ21" s="40"/>
      <c r="OAA21" s="40"/>
      <c r="OAB21" s="40"/>
      <c r="OAC21" s="40"/>
      <c r="OAD21" s="40"/>
      <c r="OAE21" s="40"/>
      <c r="OAF21" s="40"/>
      <c r="OAG21" s="40"/>
      <c r="OAH21" s="40"/>
      <c r="OAI21" s="40"/>
      <c r="OAJ21" s="40"/>
      <c r="OAK21" s="40"/>
      <c r="OAL21" s="40"/>
      <c r="OAM21" s="40"/>
      <c r="OAN21" s="40"/>
      <c r="OAO21" s="40"/>
      <c r="OAP21" s="40"/>
      <c r="OAQ21" s="40"/>
      <c r="OAR21" s="40"/>
      <c r="OAS21" s="40"/>
      <c r="OAT21" s="40"/>
      <c r="OAU21" s="40"/>
      <c r="OAV21" s="40"/>
      <c r="OAW21" s="40"/>
      <c r="OAX21" s="40"/>
      <c r="OAY21" s="40"/>
      <c r="OAZ21" s="40"/>
      <c r="OBA21" s="40"/>
      <c r="OBB21" s="40"/>
      <c r="OBC21" s="40"/>
      <c r="OBD21" s="40"/>
      <c r="OBE21" s="40"/>
      <c r="OBF21" s="40"/>
      <c r="OBG21" s="40"/>
      <c r="OBH21" s="40"/>
      <c r="OBI21" s="40"/>
      <c r="OBJ21" s="40"/>
      <c r="OBK21" s="40"/>
      <c r="OBL21" s="40"/>
      <c r="OBM21" s="40"/>
      <c r="OBN21" s="40"/>
      <c r="OBO21" s="40"/>
      <c r="OBP21" s="40"/>
      <c r="OBQ21" s="40"/>
      <c r="OBR21" s="40"/>
      <c r="OBS21" s="40"/>
      <c r="OBT21" s="40"/>
      <c r="OBU21" s="40"/>
      <c r="OBV21" s="40"/>
      <c r="OBW21" s="40"/>
      <c r="OBX21" s="40"/>
      <c r="OBY21" s="40"/>
      <c r="OBZ21" s="40"/>
      <c r="OCA21" s="40"/>
      <c r="OCB21" s="40"/>
      <c r="OCC21" s="40"/>
      <c r="OCD21" s="40"/>
      <c r="OCE21" s="40"/>
      <c r="OCF21" s="40"/>
      <c r="OCG21" s="40"/>
      <c r="OCH21" s="40"/>
      <c r="OCI21" s="40"/>
      <c r="OCJ21" s="40"/>
      <c r="OCK21" s="40"/>
      <c r="OCL21" s="40"/>
      <c r="OCM21" s="40"/>
      <c r="OCN21" s="40"/>
      <c r="OCO21" s="40"/>
      <c r="OCP21" s="40"/>
      <c r="OCQ21" s="40"/>
      <c r="OCR21" s="40"/>
      <c r="OCS21" s="40"/>
      <c r="OCT21" s="40"/>
      <c r="OCU21" s="40"/>
      <c r="OCV21" s="40"/>
      <c r="OCW21" s="40"/>
      <c r="OCX21" s="40"/>
      <c r="OCY21" s="40"/>
      <c r="OCZ21" s="40"/>
      <c r="ODA21" s="40"/>
      <c r="ODB21" s="40"/>
      <c r="ODC21" s="40"/>
      <c r="ODD21" s="40"/>
      <c r="ODE21" s="40"/>
      <c r="ODF21" s="40"/>
      <c r="ODG21" s="40"/>
      <c r="ODH21" s="40"/>
      <c r="ODI21" s="40"/>
      <c r="ODJ21" s="40"/>
      <c r="ODK21" s="40"/>
      <c r="ODL21" s="40"/>
      <c r="ODM21" s="40"/>
      <c r="ODN21" s="40"/>
      <c r="ODO21" s="40"/>
      <c r="ODP21" s="40"/>
      <c r="ODQ21" s="40"/>
      <c r="ODR21" s="40"/>
      <c r="ODS21" s="40"/>
      <c r="ODT21" s="40"/>
      <c r="ODU21" s="40"/>
      <c r="ODV21" s="40"/>
      <c r="ODW21" s="40"/>
      <c r="ODX21" s="40"/>
      <c r="ODY21" s="40"/>
      <c r="ODZ21" s="40"/>
      <c r="OEA21" s="40"/>
      <c r="OEB21" s="40"/>
      <c r="OEC21" s="40"/>
      <c r="OED21" s="40"/>
      <c r="OEE21" s="40"/>
      <c r="OEF21" s="40"/>
      <c r="OEG21" s="40"/>
      <c r="OEH21" s="40"/>
      <c r="OEI21" s="40"/>
      <c r="OEJ21" s="40"/>
      <c r="OEK21" s="40"/>
      <c r="OEL21" s="40"/>
      <c r="OEM21" s="40"/>
      <c r="OEN21" s="40"/>
      <c r="OEO21" s="40"/>
      <c r="OEP21" s="40"/>
      <c r="OEQ21" s="40"/>
      <c r="OER21" s="40"/>
      <c r="OES21" s="40"/>
      <c r="OET21" s="40"/>
      <c r="OEU21" s="40"/>
      <c r="OEV21" s="40"/>
      <c r="OEW21" s="40"/>
      <c r="OEX21" s="40"/>
      <c r="OEY21" s="40"/>
      <c r="OEZ21" s="40"/>
      <c r="OFA21" s="40"/>
      <c r="OFB21" s="40"/>
      <c r="OFC21" s="40"/>
      <c r="OFD21" s="40"/>
      <c r="OFE21" s="40"/>
      <c r="OFF21" s="40"/>
      <c r="OFG21" s="40"/>
      <c r="OFH21" s="40"/>
      <c r="OFI21" s="40"/>
      <c r="OFJ21" s="40"/>
      <c r="OFK21" s="40"/>
      <c r="OFL21" s="40"/>
      <c r="OFM21" s="40"/>
      <c r="OFN21" s="40"/>
      <c r="OFO21" s="40"/>
      <c r="OFP21" s="40"/>
      <c r="OFQ21" s="40"/>
      <c r="OFR21" s="40"/>
      <c r="OFS21" s="40"/>
      <c r="OFT21" s="40"/>
      <c r="OFU21" s="40"/>
      <c r="OFV21" s="40"/>
      <c r="OFW21" s="40"/>
      <c r="OFX21" s="40"/>
      <c r="OFY21" s="40"/>
      <c r="OFZ21" s="40"/>
      <c r="OGA21" s="40"/>
      <c r="OGB21" s="40"/>
      <c r="OGC21" s="40"/>
      <c r="OGD21" s="40"/>
      <c r="OGE21" s="40"/>
      <c r="OGF21" s="40"/>
      <c r="OGG21" s="40"/>
      <c r="OGH21" s="40"/>
      <c r="OGI21" s="40"/>
      <c r="OGJ21" s="40"/>
      <c r="OGK21" s="40"/>
      <c r="OGL21" s="40"/>
      <c r="OGM21" s="40"/>
      <c r="OGN21" s="40"/>
      <c r="OGO21" s="40"/>
      <c r="OGP21" s="40"/>
      <c r="OGQ21" s="40"/>
      <c r="OGR21" s="40"/>
      <c r="OGS21" s="40"/>
      <c r="OGT21" s="40"/>
      <c r="OGU21" s="40"/>
      <c r="OGV21" s="40"/>
      <c r="OGW21" s="40"/>
      <c r="OGX21" s="40"/>
      <c r="OGY21" s="40"/>
      <c r="OGZ21" s="40"/>
      <c r="OHA21" s="40"/>
      <c r="OHB21" s="40"/>
      <c r="OHC21" s="40"/>
      <c r="OHD21" s="40"/>
      <c r="OHE21" s="40"/>
      <c r="OHF21" s="40"/>
      <c r="OHG21" s="40"/>
      <c r="OHH21" s="40"/>
      <c r="OHI21" s="40"/>
      <c r="OHJ21" s="40"/>
      <c r="OHK21" s="40"/>
      <c r="OHL21" s="40"/>
      <c r="OHM21" s="40"/>
      <c r="OHN21" s="40"/>
      <c r="OHO21" s="40"/>
      <c r="OHP21" s="40"/>
      <c r="OHQ21" s="40"/>
      <c r="OHR21" s="40"/>
      <c r="OHS21" s="40"/>
      <c r="OHT21" s="40"/>
      <c r="OHU21" s="40"/>
      <c r="OHV21" s="40"/>
      <c r="OHW21" s="40"/>
      <c r="OHX21" s="40"/>
      <c r="OHY21" s="40"/>
      <c r="OHZ21" s="40"/>
      <c r="OIA21" s="40"/>
      <c r="OIB21" s="40"/>
      <c r="OIC21" s="40"/>
      <c r="OID21" s="40"/>
      <c r="OIE21" s="40"/>
      <c r="OIF21" s="40"/>
      <c r="OIG21" s="40"/>
      <c r="OIH21" s="40"/>
      <c r="OII21" s="40"/>
      <c r="OIJ21" s="40"/>
      <c r="OIK21" s="40"/>
      <c r="OIL21" s="40"/>
      <c r="OIM21" s="40"/>
      <c r="OIN21" s="40"/>
      <c r="OIO21" s="40"/>
      <c r="OIP21" s="40"/>
      <c r="OIQ21" s="40"/>
      <c r="OIR21" s="40"/>
      <c r="OIS21" s="40"/>
      <c r="OIT21" s="40"/>
      <c r="OIU21" s="40"/>
      <c r="OIV21" s="40"/>
      <c r="OIW21" s="40"/>
      <c r="OIX21" s="40"/>
      <c r="OIY21" s="40"/>
      <c r="OIZ21" s="40"/>
      <c r="OJA21" s="40"/>
      <c r="OJB21" s="40"/>
      <c r="OJC21" s="40"/>
      <c r="OJD21" s="40"/>
      <c r="OJE21" s="40"/>
      <c r="OJF21" s="40"/>
      <c r="OJG21" s="40"/>
      <c r="OJH21" s="40"/>
      <c r="OJI21" s="40"/>
      <c r="OJJ21" s="40"/>
      <c r="OJK21" s="40"/>
      <c r="OJL21" s="40"/>
      <c r="OJM21" s="40"/>
      <c r="OJN21" s="40"/>
      <c r="OJO21" s="40"/>
      <c r="OJP21" s="40"/>
      <c r="OJQ21" s="40"/>
      <c r="OJR21" s="40"/>
      <c r="OJS21" s="40"/>
      <c r="OJT21" s="40"/>
      <c r="OJU21" s="40"/>
      <c r="OJV21" s="40"/>
      <c r="OJW21" s="40"/>
      <c r="OJX21" s="40"/>
      <c r="OJY21" s="40"/>
      <c r="OJZ21" s="40"/>
      <c r="OKA21" s="40"/>
      <c r="OKB21" s="40"/>
      <c r="OKC21" s="40"/>
      <c r="OKD21" s="40"/>
      <c r="OKE21" s="40"/>
      <c r="OKF21" s="40"/>
      <c r="OKG21" s="40"/>
      <c r="OKH21" s="40"/>
      <c r="OKI21" s="40"/>
      <c r="OKJ21" s="40"/>
      <c r="OKK21" s="40"/>
      <c r="OKL21" s="40"/>
      <c r="OKM21" s="40"/>
      <c r="OKN21" s="40"/>
      <c r="OKO21" s="40"/>
      <c r="OKP21" s="40"/>
      <c r="OKQ21" s="40"/>
      <c r="OKR21" s="40"/>
      <c r="OKS21" s="40"/>
      <c r="OKT21" s="40"/>
      <c r="OKU21" s="40"/>
      <c r="OKV21" s="40"/>
      <c r="OKW21" s="40"/>
      <c r="OKX21" s="40"/>
      <c r="OKY21" s="40"/>
      <c r="OKZ21" s="40"/>
      <c r="OLA21" s="40"/>
      <c r="OLB21" s="40"/>
      <c r="OLC21" s="40"/>
      <c r="OLD21" s="40"/>
      <c r="OLE21" s="40"/>
      <c r="OLF21" s="40"/>
      <c r="OLG21" s="40"/>
      <c r="OLH21" s="40"/>
      <c r="OLI21" s="40"/>
      <c r="OLJ21" s="40"/>
      <c r="OLK21" s="40"/>
      <c r="OLL21" s="40"/>
      <c r="OLM21" s="40"/>
      <c r="OLN21" s="40"/>
      <c r="OLO21" s="40"/>
      <c r="OLP21" s="40"/>
      <c r="OLQ21" s="40"/>
      <c r="OLR21" s="40"/>
      <c r="OLS21" s="40"/>
      <c r="OLT21" s="40"/>
      <c r="OLU21" s="40"/>
      <c r="OLV21" s="40"/>
      <c r="OLW21" s="40"/>
      <c r="OLX21" s="40"/>
      <c r="OLY21" s="40"/>
      <c r="OLZ21" s="40"/>
      <c r="OMA21" s="40"/>
      <c r="OMB21" s="40"/>
      <c r="OMC21" s="40"/>
      <c r="OMD21" s="40"/>
      <c r="OME21" s="40"/>
      <c r="OMF21" s="40"/>
      <c r="OMG21" s="40"/>
      <c r="OMH21" s="40"/>
      <c r="OMI21" s="40"/>
      <c r="OMJ21" s="40"/>
      <c r="OMK21" s="40"/>
      <c r="OML21" s="40"/>
      <c r="OMM21" s="40"/>
      <c r="OMN21" s="40"/>
      <c r="OMO21" s="40"/>
      <c r="OMP21" s="40"/>
      <c r="OMQ21" s="40"/>
      <c r="OMR21" s="40"/>
      <c r="OMS21" s="40"/>
      <c r="OMT21" s="40"/>
      <c r="OMU21" s="40"/>
      <c r="OMV21" s="40"/>
      <c r="OMW21" s="40"/>
      <c r="OMX21" s="40"/>
      <c r="OMY21" s="40"/>
      <c r="OMZ21" s="40"/>
      <c r="ONA21" s="40"/>
      <c r="ONB21" s="40"/>
      <c r="ONC21" s="40"/>
      <c r="OND21" s="40"/>
      <c r="ONE21" s="40"/>
      <c r="ONF21" s="40"/>
      <c r="ONG21" s="40"/>
      <c r="ONH21" s="40"/>
      <c r="ONI21" s="40"/>
      <c r="ONJ21" s="40"/>
      <c r="ONK21" s="40"/>
      <c r="ONL21" s="40"/>
      <c r="ONM21" s="40"/>
      <c r="ONN21" s="40"/>
      <c r="ONO21" s="40"/>
      <c r="ONP21" s="40"/>
      <c r="ONQ21" s="40"/>
      <c r="ONR21" s="40"/>
      <c r="ONS21" s="40"/>
      <c r="ONT21" s="40"/>
      <c r="ONU21" s="40"/>
      <c r="ONV21" s="40"/>
      <c r="ONW21" s="40"/>
      <c r="ONX21" s="40"/>
      <c r="ONY21" s="40"/>
      <c r="ONZ21" s="40"/>
      <c r="OOA21" s="40"/>
      <c r="OOB21" s="40"/>
      <c r="OOC21" s="40"/>
      <c r="OOD21" s="40"/>
      <c r="OOE21" s="40"/>
      <c r="OOF21" s="40"/>
      <c r="OOG21" s="40"/>
      <c r="OOH21" s="40"/>
      <c r="OOI21" s="40"/>
      <c r="OOJ21" s="40"/>
      <c r="OOK21" s="40"/>
      <c r="OOL21" s="40"/>
      <c r="OOM21" s="40"/>
      <c r="OON21" s="40"/>
      <c r="OOO21" s="40"/>
      <c r="OOP21" s="40"/>
      <c r="OOQ21" s="40"/>
      <c r="OOR21" s="40"/>
      <c r="OOS21" s="40"/>
      <c r="OOT21" s="40"/>
      <c r="OOU21" s="40"/>
      <c r="OOV21" s="40"/>
      <c r="OOW21" s="40"/>
      <c r="OOX21" s="40"/>
      <c r="OOY21" s="40"/>
      <c r="OOZ21" s="40"/>
      <c r="OPA21" s="40"/>
      <c r="OPB21" s="40"/>
      <c r="OPC21" s="40"/>
      <c r="OPD21" s="40"/>
      <c r="OPE21" s="40"/>
      <c r="OPF21" s="40"/>
      <c r="OPG21" s="40"/>
      <c r="OPH21" s="40"/>
      <c r="OPI21" s="40"/>
      <c r="OPJ21" s="40"/>
      <c r="OPK21" s="40"/>
      <c r="OPL21" s="40"/>
      <c r="OPM21" s="40"/>
      <c r="OPN21" s="40"/>
      <c r="OPO21" s="40"/>
      <c r="OPP21" s="40"/>
      <c r="OPQ21" s="40"/>
      <c r="OPR21" s="40"/>
      <c r="OPS21" s="40"/>
      <c r="OPT21" s="40"/>
      <c r="OPU21" s="40"/>
      <c r="OPV21" s="40"/>
      <c r="OPW21" s="40"/>
      <c r="OPX21" s="40"/>
      <c r="OPY21" s="40"/>
      <c r="OPZ21" s="40"/>
      <c r="OQA21" s="40"/>
      <c r="OQB21" s="40"/>
      <c r="OQC21" s="40"/>
      <c r="OQD21" s="40"/>
      <c r="OQE21" s="40"/>
      <c r="OQF21" s="40"/>
      <c r="OQG21" s="40"/>
      <c r="OQH21" s="40"/>
      <c r="OQI21" s="40"/>
      <c r="OQJ21" s="40"/>
      <c r="OQK21" s="40"/>
      <c r="OQL21" s="40"/>
      <c r="OQM21" s="40"/>
      <c r="OQN21" s="40"/>
      <c r="OQO21" s="40"/>
      <c r="OQP21" s="40"/>
      <c r="OQQ21" s="40"/>
      <c r="OQR21" s="40"/>
      <c r="OQS21" s="40"/>
      <c r="OQT21" s="40"/>
      <c r="OQU21" s="40"/>
      <c r="OQV21" s="40"/>
      <c r="OQW21" s="40"/>
      <c r="OQX21" s="40"/>
      <c r="OQY21" s="40"/>
      <c r="OQZ21" s="40"/>
      <c r="ORA21" s="40"/>
      <c r="ORB21" s="40"/>
      <c r="ORC21" s="40"/>
      <c r="ORD21" s="40"/>
      <c r="ORE21" s="40"/>
      <c r="ORF21" s="40"/>
      <c r="ORG21" s="40"/>
      <c r="ORH21" s="40"/>
      <c r="ORI21" s="40"/>
      <c r="ORJ21" s="40"/>
      <c r="ORK21" s="40"/>
      <c r="ORL21" s="40"/>
      <c r="ORM21" s="40"/>
      <c r="ORN21" s="40"/>
      <c r="ORO21" s="40"/>
      <c r="ORP21" s="40"/>
      <c r="ORQ21" s="40"/>
      <c r="ORR21" s="40"/>
      <c r="ORS21" s="40"/>
      <c r="ORT21" s="40"/>
      <c r="ORU21" s="40"/>
      <c r="ORV21" s="40"/>
      <c r="ORW21" s="40"/>
      <c r="ORX21" s="40"/>
      <c r="ORY21" s="40"/>
      <c r="ORZ21" s="40"/>
      <c r="OSA21" s="40"/>
      <c r="OSB21" s="40"/>
      <c r="OSC21" s="40"/>
      <c r="OSD21" s="40"/>
      <c r="OSE21" s="40"/>
      <c r="OSF21" s="40"/>
      <c r="OSG21" s="40"/>
      <c r="OSH21" s="40"/>
      <c r="OSI21" s="40"/>
      <c r="OSJ21" s="40"/>
      <c r="OSK21" s="40"/>
      <c r="OSL21" s="40"/>
      <c r="OSM21" s="40"/>
      <c r="OSN21" s="40"/>
      <c r="OSO21" s="40"/>
      <c r="OSP21" s="40"/>
      <c r="OSQ21" s="40"/>
      <c r="OSR21" s="40"/>
      <c r="OSS21" s="40"/>
      <c r="OST21" s="40"/>
      <c r="OSU21" s="40"/>
      <c r="OSV21" s="40"/>
      <c r="OSW21" s="40"/>
      <c r="OSX21" s="40"/>
      <c r="OSY21" s="40"/>
      <c r="OSZ21" s="40"/>
      <c r="OTA21" s="40"/>
      <c r="OTB21" s="40"/>
      <c r="OTC21" s="40"/>
      <c r="OTD21" s="40"/>
      <c r="OTE21" s="40"/>
      <c r="OTF21" s="40"/>
      <c r="OTG21" s="40"/>
      <c r="OTH21" s="40"/>
      <c r="OTI21" s="40"/>
      <c r="OTJ21" s="40"/>
      <c r="OTK21" s="40"/>
      <c r="OTL21" s="40"/>
      <c r="OTM21" s="40"/>
      <c r="OTN21" s="40"/>
      <c r="OTO21" s="40"/>
      <c r="OTP21" s="40"/>
      <c r="OTQ21" s="40"/>
      <c r="OTR21" s="40"/>
      <c r="OTS21" s="40"/>
      <c r="OTT21" s="40"/>
      <c r="OTU21" s="40"/>
      <c r="OTV21" s="40"/>
      <c r="OTW21" s="40"/>
      <c r="OTX21" s="40"/>
      <c r="OTY21" s="40"/>
      <c r="OTZ21" s="40"/>
      <c r="OUA21" s="40"/>
      <c r="OUB21" s="40"/>
      <c r="OUC21" s="40"/>
      <c r="OUD21" s="40"/>
      <c r="OUE21" s="40"/>
      <c r="OUF21" s="40"/>
      <c r="OUG21" s="40"/>
      <c r="OUH21" s="40"/>
      <c r="OUI21" s="40"/>
      <c r="OUJ21" s="40"/>
      <c r="OUK21" s="40"/>
      <c r="OUL21" s="40"/>
      <c r="OUM21" s="40"/>
      <c r="OUN21" s="40"/>
      <c r="OUO21" s="40"/>
      <c r="OUP21" s="40"/>
      <c r="OUQ21" s="40"/>
      <c r="OUR21" s="40"/>
      <c r="OUS21" s="40"/>
      <c r="OUT21" s="40"/>
      <c r="OUU21" s="40"/>
      <c r="OUV21" s="40"/>
      <c r="OUW21" s="40"/>
      <c r="OUX21" s="40"/>
      <c r="OUY21" s="40"/>
      <c r="OUZ21" s="40"/>
      <c r="OVA21" s="40"/>
      <c r="OVB21" s="40"/>
      <c r="OVC21" s="40"/>
      <c r="OVD21" s="40"/>
      <c r="OVE21" s="40"/>
      <c r="OVF21" s="40"/>
      <c r="OVG21" s="40"/>
      <c r="OVH21" s="40"/>
      <c r="OVI21" s="40"/>
      <c r="OVJ21" s="40"/>
      <c r="OVK21" s="40"/>
      <c r="OVL21" s="40"/>
      <c r="OVM21" s="40"/>
      <c r="OVN21" s="40"/>
      <c r="OVO21" s="40"/>
      <c r="OVP21" s="40"/>
      <c r="OVQ21" s="40"/>
      <c r="OVR21" s="40"/>
      <c r="OVS21" s="40"/>
      <c r="OVT21" s="40"/>
      <c r="OVU21" s="40"/>
      <c r="OVV21" s="40"/>
      <c r="OVW21" s="40"/>
      <c r="OVX21" s="40"/>
      <c r="OVY21" s="40"/>
      <c r="OVZ21" s="40"/>
      <c r="OWA21" s="40"/>
      <c r="OWB21" s="40"/>
      <c r="OWC21" s="40"/>
      <c r="OWD21" s="40"/>
      <c r="OWE21" s="40"/>
      <c r="OWF21" s="40"/>
      <c r="OWG21" s="40"/>
      <c r="OWH21" s="40"/>
      <c r="OWI21" s="40"/>
      <c r="OWJ21" s="40"/>
      <c r="OWK21" s="40"/>
      <c r="OWL21" s="40"/>
      <c r="OWM21" s="40"/>
      <c r="OWN21" s="40"/>
      <c r="OWO21" s="40"/>
      <c r="OWP21" s="40"/>
      <c r="OWQ21" s="40"/>
      <c r="OWR21" s="40"/>
      <c r="OWS21" s="40"/>
      <c r="OWT21" s="40"/>
      <c r="OWU21" s="40"/>
      <c r="OWV21" s="40"/>
      <c r="OWW21" s="40"/>
      <c r="OWX21" s="40"/>
      <c r="OWY21" s="40"/>
      <c r="OWZ21" s="40"/>
      <c r="OXA21" s="40"/>
      <c r="OXB21" s="40"/>
      <c r="OXC21" s="40"/>
      <c r="OXD21" s="40"/>
      <c r="OXE21" s="40"/>
      <c r="OXF21" s="40"/>
      <c r="OXG21" s="40"/>
      <c r="OXH21" s="40"/>
      <c r="OXI21" s="40"/>
      <c r="OXJ21" s="40"/>
      <c r="OXK21" s="40"/>
      <c r="OXL21" s="40"/>
      <c r="OXM21" s="40"/>
      <c r="OXN21" s="40"/>
      <c r="OXO21" s="40"/>
      <c r="OXP21" s="40"/>
      <c r="OXQ21" s="40"/>
      <c r="OXR21" s="40"/>
      <c r="OXS21" s="40"/>
      <c r="OXT21" s="40"/>
      <c r="OXU21" s="40"/>
      <c r="OXV21" s="40"/>
      <c r="OXW21" s="40"/>
      <c r="OXX21" s="40"/>
      <c r="OXY21" s="40"/>
      <c r="OXZ21" s="40"/>
      <c r="OYA21" s="40"/>
      <c r="OYB21" s="40"/>
      <c r="OYC21" s="40"/>
      <c r="OYD21" s="40"/>
      <c r="OYE21" s="40"/>
      <c r="OYF21" s="40"/>
      <c r="OYG21" s="40"/>
      <c r="OYH21" s="40"/>
      <c r="OYI21" s="40"/>
      <c r="OYJ21" s="40"/>
      <c r="OYK21" s="40"/>
      <c r="OYL21" s="40"/>
      <c r="OYM21" s="40"/>
      <c r="OYN21" s="40"/>
      <c r="OYO21" s="40"/>
      <c r="OYP21" s="40"/>
      <c r="OYQ21" s="40"/>
      <c r="OYR21" s="40"/>
      <c r="OYS21" s="40"/>
      <c r="OYT21" s="40"/>
      <c r="OYU21" s="40"/>
      <c r="OYV21" s="40"/>
      <c r="OYW21" s="40"/>
      <c r="OYX21" s="40"/>
      <c r="OYY21" s="40"/>
      <c r="OYZ21" s="40"/>
      <c r="OZA21" s="40"/>
      <c r="OZB21" s="40"/>
      <c r="OZC21" s="40"/>
      <c r="OZD21" s="40"/>
      <c r="OZE21" s="40"/>
      <c r="OZF21" s="40"/>
      <c r="OZG21" s="40"/>
      <c r="OZH21" s="40"/>
      <c r="OZI21" s="40"/>
      <c r="OZJ21" s="40"/>
      <c r="OZK21" s="40"/>
      <c r="OZL21" s="40"/>
      <c r="OZM21" s="40"/>
      <c r="OZN21" s="40"/>
      <c r="OZO21" s="40"/>
      <c r="OZP21" s="40"/>
      <c r="OZQ21" s="40"/>
      <c r="OZR21" s="40"/>
      <c r="OZS21" s="40"/>
      <c r="OZT21" s="40"/>
      <c r="OZU21" s="40"/>
      <c r="OZV21" s="40"/>
      <c r="OZW21" s="40"/>
      <c r="OZX21" s="40"/>
      <c r="OZY21" s="40"/>
      <c r="OZZ21" s="40"/>
      <c r="PAA21" s="40"/>
      <c r="PAB21" s="40"/>
      <c r="PAC21" s="40"/>
      <c r="PAD21" s="40"/>
      <c r="PAE21" s="40"/>
      <c r="PAF21" s="40"/>
      <c r="PAG21" s="40"/>
      <c r="PAH21" s="40"/>
      <c r="PAI21" s="40"/>
      <c r="PAJ21" s="40"/>
      <c r="PAK21" s="40"/>
      <c r="PAL21" s="40"/>
      <c r="PAM21" s="40"/>
      <c r="PAN21" s="40"/>
      <c r="PAO21" s="40"/>
      <c r="PAP21" s="40"/>
      <c r="PAQ21" s="40"/>
      <c r="PAR21" s="40"/>
      <c r="PAS21" s="40"/>
      <c r="PAT21" s="40"/>
      <c r="PAU21" s="40"/>
      <c r="PAV21" s="40"/>
      <c r="PAW21" s="40"/>
      <c r="PAX21" s="40"/>
      <c r="PAY21" s="40"/>
      <c r="PAZ21" s="40"/>
      <c r="PBA21" s="40"/>
      <c r="PBB21" s="40"/>
      <c r="PBC21" s="40"/>
      <c r="PBD21" s="40"/>
      <c r="PBE21" s="40"/>
      <c r="PBF21" s="40"/>
      <c r="PBG21" s="40"/>
      <c r="PBH21" s="40"/>
      <c r="PBI21" s="40"/>
      <c r="PBJ21" s="40"/>
      <c r="PBK21" s="40"/>
      <c r="PBL21" s="40"/>
      <c r="PBM21" s="40"/>
      <c r="PBN21" s="40"/>
      <c r="PBO21" s="40"/>
      <c r="PBP21" s="40"/>
      <c r="PBQ21" s="40"/>
      <c r="PBR21" s="40"/>
      <c r="PBS21" s="40"/>
      <c r="PBT21" s="40"/>
      <c r="PBU21" s="40"/>
      <c r="PBV21" s="40"/>
      <c r="PBW21" s="40"/>
      <c r="PBX21" s="40"/>
      <c r="PBY21" s="40"/>
      <c r="PBZ21" s="40"/>
      <c r="PCA21" s="40"/>
      <c r="PCB21" s="40"/>
      <c r="PCC21" s="40"/>
      <c r="PCD21" s="40"/>
      <c r="PCE21" s="40"/>
      <c r="PCF21" s="40"/>
      <c r="PCG21" s="40"/>
      <c r="PCH21" s="40"/>
      <c r="PCI21" s="40"/>
      <c r="PCJ21" s="40"/>
      <c r="PCK21" s="40"/>
      <c r="PCL21" s="40"/>
      <c r="PCM21" s="40"/>
      <c r="PCN21" s="40"/>
      <c r="PCO21" s="40"/>
      <c r="PCP21" s="40"/>
      <c r="PCQ21" s="40"/>
      <c r="PCR21" s="40"/>
      <c r="PCS21" s="40"/>
      <c r="PCT21" s="40"/>
      <c r="PCU21" s="40"/>
      <c r="PCV21" s="40"/>
      <c r="PCW21" s="40"/>
      <c r="PCX21" s="40"/>
      <c r="PCY21" s="40"/>
      <c r="PCZ21" s="40"/>
      <c r="PDA21" s="40"/>
      <c r="PDB21" s="40"/>
      <c r="PDC21" s="40"/>
      <c r="PDD21" s="40"/>
      <c r="PDE21" s="40"/>
      <c r="PDF21" s="40"/>
      <c r="PDG21" s="40"/>
      <c r="PDH21" s="40"/>
      <c r="PDI21" s="40"/>
      <c r="PDJ21" s="40"/>
      <c r="PDK21" s="40"/>
      <c r="PDL21" s="40"/>
      <c r="PDM21" s="40"/>
      <c r="PDN21" s="40"/>
      <c r="PDO21" s="40"/>
      <c r="PDP21" s="40"/>
      <c r="PDQ21" s="40"/>
      <c r="PDR21" s="40"/>
      <c r="PDS21" s="40"/>
      <c r="PDT21" s="40"/>
      <c r="PDU21" s="40"/>
      <c r="PDV21" s="40"/>
      <c r="PDW21" s="40"/>
      <c r="PDX21" s="40"/>
      <c r="PDY21" s="40"/>
      <c r="PDZ21" s="40"/>
      <c r="PEA21" s="40"/>
      <c r="PEB21" s="40"/>
      <c r="PEC21" s="40"/>
      <c r="PED21" s="40"/>
      <c r="PEE21" s="40"/>
      <c r="PEF21" s="40"/>
      <c r="PEG21" s="40"/>
      <c r="PEH21" s="40"/>
      <c r="PEI21" s="40"/>
      <c r="PEJ21" s="40"/>
      <c r="PEK21" s="40"/>
      <c r="PEL21" s="40"/>
      <c r="PEM21" s="40"/>
      <c r="PEN21" s="40"/>
      <c r="PEO21" s="40"/>
      <c r="PEP21" s="40"/>
      <c r="PEQ21" s="40"/>
      <c r="PER21" s="40"/>
      <c r="PES21" s="40"/>
      <c r="PET21" s="40"/>
      <c r="PEU21" s="40"/>
      <c r="PEV21" s="40"/>
      <c r="PEW21" s="40"/>
      <c r="PEX21" s="40"/>
      <c r="PEY21" s="40"/>
      <c r="PEZ21" s="40"/>
      <c r="PFA21" s="40"/>
      <c r="PFB21" s="40"/>
      <c r="PFC21" s="40"/>
      <c r="PFD21" s="40"/>
      <c r="PFE21" s="40"/>
      <c r="PFF21" s="40"/>
      <c r="PFG21" s="40"/>
      <c r="PFH21" s="40"/>
      <c r="PFI21" s="40"/>
      <c r="PFJ21" s="40"/>
      <c r="PFK21" s="40"/>
      <c r="PFL21" s="40"/>
      <c r="PFM21" s="40"/>
      <c r="PFN21" s="40"/>
      <c r="PFO21" s="40"/>
      <c r="PFP21" s="40"/>
      <c r="PFQ21" s="40"/>
      <c r="PFR21" s="40"/>
      <c r="PFS21" s="40"/>
      <c r="PFT21" s="40"/>
      <c r="PFU21" s="40"/>
      <c r="PFV21" s="40"/>
      <c r="PFW21" s="40"/>
      <c r="PFX21" s="40"/>
      <c r="PFY21" s="40"/>
      <c r="PFZ21" s="40"/>
      <c r="PGA21" s="40"/>
      <c r="PGB21" s="40"/>
      <c r="PGC21" s="40"/>
      <c r="PGD21" s="40"/>
      <c r="PGE21" s="40"/>
      <c r="PGF21" s="40"/>
      <c r="PGG21" s="40"/>
      <c r="PGH21" s="40"/>
      <c r="PGI21" s="40"/>
      <c r="PGJ21" s="40"/>
      <c r="PGK21" s="40"/>
      <c r="PGL21" s="40"/>
      <c r="PGM21" s="40"/>
      <c r="PGN21" s="40"/>
      <c r="PGO21" s="40"/>
      <c r="PGP21" s="40"/>
      <c r="PGQ21" s="40"/>
      <c r="PGR21" s="40"/>
      <c r="PGS21" s="40"/>
      <c r="PGT21" s="40"/>
      <c r="PGU21" s="40"/>
      <c r="PGV21" s="40"/>
      <c r="PGW21" s="40"/>
      <c r="PGX21" s="40"/>
      <c r="PGY21" s="40"/>
      <c r="PGZ21" s="40"/>
      <c r="PHA21" s="40"/>
      <c r="PHB21" s="40"/>
      <c r="PHC21" s="40"/>
      <c r="PHD21" s="40"/>
      <c r="PHE21" s="40"/>
      <c r="PHF21" s="40"/>
      <c r="PHG21" s="40"/>
      <c r="PHH21" s="40"/>
      <c r="PHI21" s="40"/>
      <c r="PHJ21" s="40"/>
      <c r="PHK21" s="40"/>
      <c r="PHL21" s="40"/>
      <c r="PHM21" s="40"/>
      <c r="PHN21" s="40"/>
      <c r="PHO21" s="40"/>
      <c r="PHP21" s="40"/>
      <c r="PHQ21" s="40"/>
      <c r="PHR21" s="40"/>
      <c r="PHS21" s="40"/>
      <c r="PHT21" s="40"/>
      <c r="PHU21" s="40"/>
      <c r="PHV21" s="40"/>
      <c r="PHW21" s="40"/>
      <c r="PHX21" s="40"/>
      <c r="PHY21" s="40"/>
      <c r="PHZ21" s="40"/>
      <c r="PIA21" s="40"/>
      <c r="PIB21" s="40"/>
      <c r="PIC21" s="40"/>
      <c r="PID21" s="40"/>
      <c r="PIE21" s="40"/>
      <c r="PIF21" s="40"/>
      <c r="PIG21" s="40"/>
      <c r="PIH21" s="40"/>
      <c r="PII21" s="40"/>
      <c r="PIJ21" s="40"/>
      <c r="PIK21" s="40"/>
      <c r="PIL21" s="40"/>
      <c r="PIM21" s="40"/>
      <c r="PIN21" s="40"/>
      <c r="PIO21" s="40"/>
      <c r="PIP21" s="40"/>
      <c r="PIQ21" s="40"/>
      <c r="PIR21" s="40"/>
      <c r="PIS21" s="40"/>
      <c r="PIT21" s="40"/>
      <c r="PIU21" s="40"/>
      <c r="PIV21" s="40"/>
      <c r="PIW21" s="40"/>
      <c r="PIX21" s="40"/>
      <c r="PIY21" s="40"/>
      <c r="PIZ21" s="40"/>
      <c r="PJA21" s="40"/>
      <c r="PJB21" s="40"/>
      <c r="PJC21" s="40"/>
      <c r="PJD21" s="40"/>
      <c r="PJE21" s="40"/>
      <c r="PJF21" s="40"/>
      <c r="PJG21" s="40"/>
      <c r="PJH21" s="40"/>
      <c r="PJI21" s="40"/>
      <c r="PJJ21" s="40"/>
      <c r="PJK21" s="40"/>
      <c r="PJL21" s="40"/>
      <c r="PJM21" s="40"/>
      <c r="PJN21" s="40"/>
      <c r="PJO21" s="40"/>
      <c r="PJP21" s="40"/>
      <c r="PJQ21" s="40"/>
      <c r="PJR21" s="40"/>
      <c r="PJS21" s="40"/>
      <c r="PJT21" s="40"/>
      <c r="PJU21" s="40"/>
      <c r="PJV21" s="40"/>
      <c r="PJW21" s="40"/>
      <c r="PJX21" s="40"/>
      <c r="PJY21" s="40"/>
      <c r="PJZ21" s="40"/>
      <c r="PKA21" s="40"/>
      <c r="PKB21" s="40"/>
      <c r="PKC21" s="40"/>
      <c r="PKD21" s="40"/>
      <c r="PKE21" s="40"/>
      <c r="PKF21" s="40"/>
      <c r="PKG21" s="40"/>
      <c r="PKH21" s="40"/>
      <c r="PKI21" s="40"/>
      <c r="PKJ21" s="40"/>
      <c r="PKK21" s="40"/>
      <c r="PKL21" s="40"/>
      <c r="PKM21" s="40"/>
      <c r="PKN21" s="40"/>
      <c r="PKO21" s="40"/>
      <c r="PKP21" s="40"/>
      <c r="PKQ21" s="40"/>
      <c r="PKR21" s="40"/>
      <c r="PKS21" s="40"/>
      <c r="PKT21" s="40"/>
      <c r="PKU21" s="40"/>
      <c r="PKV21" s="40"/>
      <c r="PKW21" s="40"/>
      <c r="PKX21" s="40"/>
      <c r="PKY21" s="40"/>
      <c r="PKZ21" s="40"/>
      <c r="PLA21" s="40"/>
      <c r="PLB21" s="40"/>
      <c r="PLC21" s="40"/>
      <c r="PLD21" s="40"/>
      <c r="PLE21" s="40"/>
      <c r="PLF21" s="40"/>
      <c r="PLG21" s="40"/>
      <c r="PLH21" s="40"/>
      <c r="PLI21" s="40"/>
      <c r="PLJ21" s="40"/>
      <c r="PLK21" s="40"/>
      <c r="PLL21" s="40"/>
      <c r="PLM21" s="40"/>
      <c r="PLN21" s="40"/>
      <c r="PLO21" s="40"/>
      <c r="PLP21" s="40"/>
      <c r="PLQ21" s="40"/>
      <c r="PLR21" s="40"/>
      <c r="PLS21" s="40"/>
      <c r="PLT21" s="40"/>
      <c r="PLU21" s="40"/>
      <c r="PLV21" s="40"/>
      <c r="PLW21" s="40"/>
      <c r="PLX21" s="40"/>
      <c r="PLY21" s="40"/>
      <c r="PLZ21" s="40"/>
      <c r="PMA21" s="40"/>
      <c r="PMB21" s="40"/>
      <c r="PMC21" s="40"/>
      <c r="PMD21" s="40"/>
      <c r="PME21" s="40"/>
      <c r="PMF21" s="40"/>
      <c r="PMG21" s="40"/>
      <c r="PMH21" s="40"/>
      <c r="PMI21" s="40"/>
      <c r="PMJ21" s="40"/>
      <c r="PMK21" s="40"/>
      <c r="PML21" s="40"/>
      <c r="PMM21" s="40"/>
      <c r="PMN21" s="40"/>
      <c r="PMO21" s="40"/>
      <c r="PMP21" s="40"/>
      <c r="PMQ21" s="40"/>
      <c r="PMR21" s="40"/>
      <c r="PMS21" s="40"/>
      <c r="PMT21" s="40"/>
      <c r="PMU21" s="40"/>
      <c r="PMV21" s="40"/>
      <c r="PMW21" s="40"/>
      <c r="PMX21" s="40"/>
      <c r="PMY21" s="40"/>
      <c r="PMZ21" s="40"/>
      <c r="PNA21" s="40"/>
      <c r="PNB21" s="40"/>
      <c r="PNC21" s="40"/>
      <c r="PND21" s="40"/>
      <c r="PNE21" s="40"/>
      <c r="PNF21" s="40"/>
      <c r="PNG21" s="40"/>
      <c r="PNH21" s="40"/>
      <c r="PNI21" s="40"/>
      <c r="PNJ21" s="40"/>
      <c r="PNK21" s="40"/>
      <c r="PNL21" s="40"/>
      <c r="PNM21" s="40"/>
      <c r="PNN21" s="40"/>
      <c r="PNO21" s="40"/>
      <c r="PNP21" s="40"/>
      <c r="PNQ21" s="40"/>
      <c r="PNR21" s="40"/>
      <c r="PNS21" s="40"/>
      <c r="PNT21" s="40"/>
      <c r="PNU21" s="40"/>
      <c r="PNV21" s="40"/>
      <c r="PNW21" s="40"/>
      <c r="PNX21" s="40"/>
      <c r="PNY21" s="40"/>
      <c r="PNZ21" s="40"/>
      <c r="POA21" s="40"/>
      <c r="POB21" s="40"/>
      <c r="POC21" s="40"/>
      <c r="POD21" s="40"/>
      <c r="POE21" s="40"/>
      <c r="POF21" s="40"/>
      <c r="POG21" s="40"/>
      <c r="POH21" s="40"/>
      <c r="POI21" s="40"/>
      <c r="POJ21" s="40"/>
      <c r="POK21" s="40"/>
      <c r="POL21" s="40"/>
      <c r="POM21" s="40"/>
      <c r="PON21" s="40"/>
      <c r="POO21" s="40"/>
      <c r="POP21" s="40"/>
      <c r="POQ21" s="40"/>
      <c r="POR21" s="40"/>
      <c r="POS21" s="40"/>
      <c r="POT21" s="40"/>
      <c r="POU21" s="40"/>
      <c r="POV21" s="40"/>
      <c r="POW21" s="40"/>
      <c r="POX21" s="40"/>
      <c r="POY21" s="40"/>
      <c r="POZ21" s="40"/>
      <c r="PPA21" s="40"/>
      <c r="PPB21" s="40"/>
      <c r="PPC21" s="40"/>
      <c r="PPD21" s="40"/>
      <c r="PPE21" s="40"/>
      <c r="PPF21" s="40"/>
      <c r="PPG21" s="40"/>
      <c r="PPH21" s="40"/>
      <c r="PPI21" s="40"/>
      <c r="PPJ21" s="40"/>
      <c r="PPK21" s="40"/>
      <c r="PPL21" s="40"/>
      <c r="PPM21" s="40"/>
      <c r="PPN21" s="40"/>
      <c r="PPO21" s="40"/>
      <c r="PPP21" s="40"/>
      <c r="PPQ21" s="40"/>
      <c r="PPR21" s="40"/>
      <c r="PPS21" s="40"/>
      <c r="PPT21" s="40"/>
      <c r="PPU21" s="40"/>
      <c r="PPV21" s="40"/>
      <c r="PPW21" s="40"/>
      <c r="PPX21" s="40"/>
      <c r="PPY21" s="40"/>
      <c r="PPZ21" s="40"/>
      <c r="PQA21" s="40"/>
      <c r="PQB21" s="40"/>
      <c r="PQC21" s="40"/>
      <c r="PQD21" s="40"/>
      <c r="PQE21" s="40"/>
      <c r="PQF21" s="40"/>
      <c r="PQG21" s="40"/>
      <c r="PQH21" s="40"/>
      <c r="PQI21" s="40"/>
      <c r="PQJ21" s="40"/>
      <c r="PQK21" s="40"/>
      <c r="PQL21" s="40"/>
      <c r="PQM21" s="40"/>
      <c r="PQN21" s="40"/>
      <c r="PQO21" s="40"/>
      <c r="PQP21" s="40"/>
      <c r="PQQ21" s="40"/>
      <c r="PQR21" s="40"/>
      <c r="PQS21" s="40"/>
      <c r="PQT21" s="40"/>
      <c r="PQU21" s="40"/>
      <c r="PQV21" s="40"/>
      <c r="PQW21" s="40"/>
      <c r="PQX21" s="40"/>
      <c r="PQY21" s="40"/>
      <c r="PQZ21" s="40"/>
      <c r="PRA21" s="40"/>
      <c r="PRB21" s="40"/>
      <c r="PRC21" s="40"/>
      <c r="PRD21" s="40"/>
      <c r="PRE21" s="40"/>
      <c r="PRF21" s="40"/>
      <c r="PRG21" s="40"/>
      <c r="PRH21" s="40"/>
      <c r="PRI21" s="40"/>
      <c r="PRJ21" s="40"/>
      <c r="PRK21" s="40"/>
      <c r="PRL21" s="40"/>
      <c r="PRM21" s="40"/>
      <c r="PRN21" s="40"/>
      <c r="PRO21" s="40"/>
      <c r="PRP21" s="40"/>
      <c r="PRQ21" s="40"/>
      <c r="PRR21" s="40"/>
      <c r="PRS21" s="40"/>
      <c r="PRT21" s="40"/>
      <c r="PRU21" s="40"/>
      <c r="PRV21" s="40"/>
      <c r="PRW21" s="40"/>
      <c r="PRX21" s="40"/>
      <c r="PRY21" s="40"/>
      <c r="PRZ21" s="40"/>
      <c r="PSA21" s="40"/>
      <c r="PSB21" s="40"/>
      <c r="PSC21" s="40"/>
      <c r="PSD21" s="40"/>
      <c r="PSE21" s="40"/>
      <c r="PSF21" s="40"/>
      <c r="PSG21" s="40"/>
      <c r="PSH21" s="40"/>
      <c r="PSI21" s="40"/>
      <c r="PSJ21" s="40"/>
      <c r="PSK21" s="40"/>
      <c r="PSL21" s="40"/>
      <c r="PSM21" s="40"/>
      <c r="PSN21" s="40"/>
      <c r="PSO21" s="40"/>
      <c r="PSP21" s="40"/>
      <c r="PSQ21" s="40"/>
      <c r="PSR21" s="40"/>
      <c r="PSS21" s="40"/>
      <c r="PST21" s="40"/>
      <c r="PSU21" s="40"/>
      <c r="PSV21" s="40"/>
      <c r="PSW21" s="40"/>
      <c r="PSX21" s="40"/>
      <c r="PSY21" s="40"/>
      <c r="PSZ21" s="40"/>
      <c r="PTA21" s="40"/>
      <c r="PTB21" s="40"/>
      <c r="PTC21" s="40"/>
      <c r="PTD21" s="40"/>
      <c r="PTE21" s="40"/>
      <c r="PTF21" s="40"/>
      <c r="PTG21" s="40"/>
      <c r="PTH21" s="40"/>
      <c r="PTI21" s="40"/>
      <c r="PTJ21" s="40"/>
      <c r="PTK21" s="40"/>
      <c r="PTL21" s="40"/>
      <c r="PTM21" s="40"/>
      <c r="PTN21" s="40"/>
      <c r="PTO21" s="40"/>
      <c r="PTP21" s="40"/>
      <c r="PTQ21" s="40"/>
      <c r="PTR21" s="40"/>
      <c r="PTS21" s="40"/>
      <c r="PTT21" s="40"/>
      <c r="PTU21" s="40"/>
      <c r="PTV21" s="40"/>
      <c r="PTW21" s="40"/>
      <c r="PTX21" s="40"/>
      <c r="PTY21" s="40"/>
      <c r="PTZ21" s="40"/>
      <c r="PUA21" s="40"/>
      <c r="PUB21" s="40"/>
      <c r="PUC21" s="40"/>
      <c r="PUD21" s="40"/>
      <c r="PUE21" s="40"/>
      <c r="PUF21" s="40"/>
      <c r="PUG21" s="40"/>
      <c r="PUH21" s="40"/>
      <c r="PUI21" s="40"/>
      <c r="PUJ21" s="40"/>
      <c r="PUK21" s="40"/>
      <c r="PUL21" s="40"/>
      <c r="PUM21" s="40"/>
      <c r="PUN21" s="40"/>
      <c r="PUO21" s="40"/>
      <c r="PUP21" s="40"/>
      <c r="PUQ21" s="40"/>
      <c r="PUR21" s="40"/>
      <c r="PUS21" s="40"/>
      <c r="PUT21" s="40"/>
      <c r="PUU21" s="40"/>
      <c r="PUV21" s="40"/>
      <c r="PUW21" s="40"/>
      <c r="PUX21" s="40"/>
      <c r="PUY21" s="40"/>
      <c r="PUZ21" s="40"/>
      <c r="PVA21" s="40"/>
      <c r="PVB21" s="40"/>
      <c r="PVC21" s="40"/>
      <c r="PVD21" s="40"/>
      <c r="PVE21" s="40"/>
      <c r="PVF21" s="40"/>
      <c r="PVG21" s="40"/>
      <c r="PVH21" s="40"/>
      <c r="PVI21" s="40"/>
      <c r="PVJ21" s="40"/>
      <c r="PVK21" s="40"/>
      <c r="PVL21" s="40"/>
      <c r="PVM21" s="40"/>
      <c r="PVN21" s="40"/>
      <c r="PVO21" s="40"/>
      <c r="PVP21" s="40"/>
      <c r="PVQ21" s="40"/>
      <c r="PVR21" s="40"/>
      <c r="PVS21" s="40"/>
      <c r="PVT21" s="40"/>
      <c r="PVU21" s="40"/>
      <c r="PVV21" s="40"/>
      <c r="PVW21" s="40"/>
      <c r="PVX21" s="40"/>
      <c r="PVY21" s="40"/>
      <c r="PVZ21" s="40"/>
      <c r="PWA21" s="40"/>
      <c r="PWB21" s="40"/>
      <c r="PWC21" s="40"/>
      <c r="PWD21" s="40"/>
      <c r="PWE21" s="40"/>
      <c r="PWF21" s="40"/>
      <c r="PWG21" s="40"/>
      <c r="PWH21" s="40"/>
      <c r="PWI21" s="40"/>
      <c r="PWJ21" s="40"/>
      <c r="PWK21" s="40"/>
      <c r="PWL21" s="40"/>
      <c r="PWM21" s="40"/>
      <c r="PWN21" s="40"/>
      <c r="PWO21" s="40"/>
      <c r="PWP21" s="40"/>
      <c r="PWQ21" s="40"/>
      <c r="PWR21" s="40"/>
      <c r="PWS21" s="40"/>
      <c r="PWT21" s="40"/>
      <c r="PWU21" s="40"/>
      <c r="PWV21" s="40"/>
      <c r="PWW21" s="40"/>
      <c r="PWX21" s="40"/>
      <c r="PWY21" s="40"/>
      <c r="PWZ21" s="40"/>
      <c r="PXA21" s="40"/>
      <c r="PXB21" s="40"/>
      <c r="PXC21" s="40"/>
      <c r="PXD21" s="40"/>
      <c r="PXE21" s="40"/>
      <c r="PXF21" s="40"/>
      <c r="PXG21" s="40"/>
      <c r="PXH21" s="40"/>
      <c r="PXI21" s="40"/>
      <c r="PXJ21" s="40"/>
      <c r="PXK21" s="40"/>
      <c r="PXL21" s="40"/>
      <c r="PXM21" s="40"/>
      <c r="PXN21" s="40"/>
      <c r="PXO21" s="40"/>
      <c r="PXP21" s="40"/>
      <c r="PXQ21" s="40"/>
      <c r="PXR21" s="40"/>
      <c r="PXS21" s="40"/>
      <c r="PXT21" s="40"/>
      <c r="PXU21" s="40"/>
      <c r="PXV21" s="40"/>
      <c r="PXW21" s="40"/>
      <c r="PXX21" s="40"/>
      <c r="PXY21" s="40"/>
      <c r="PXZ21" s="40"/>
      <c r="PYA21" s="40"/>
      <c r="PYB21" s="40"/>
      <c r="PYC21" s="40"/>
      <c r="PYD21" s="40"/>
      <c r="PYE21" s="40"/>
      <c r="PYF21" s="40"/>
      <c r="PYG21" s="40"/>
      <c r="PYH21" s="40"/>
      <c r="PYI21" s="40"/>
      <c r="PYJ21" s="40"/>
      <c r="PYK21" s="40"/>
      <c r="PYL21" s="40"/>
      <c r="PYM21" s="40"/>
      <c r="PYN21" s="40"/>
      <c r="PYO21" s="40"/>
      <c r="PYP21" s="40"/>
      <c r="PYQ21" s="40"/>
      <c r="PYR21" s="40"/>
      <c r="PYS21" s="40"/>
      <c r="PYT21" s="40"/>
      <c r="PYU21" s="40"/>
      <c r="PYV21" s="40"/>
      <c r="PYW21" s="40"/>
      <c r="PYX21" s="40"/>
      <c r="PYY21" s="40"/>
      <c r="PYZ21" s="40"/>
      <c r="PZA21" s="40"/>
      <c r="PZB21" s="40"/>
      <c r="PZC21" s="40"/>
      <c r="PZD21" s="40"/>
      <c r="PZE21" s="40"/>
      <c r="PZF21" s="40"/>
      <c r="PZG21" s="40"/>
      <c r="PZH21" s="40"/>
      <c r="PZI21" s="40"/>
      <c r="PZJ21" s="40"/>
      <c r="PZK21" s="40"/>
      <c r="PZL21" s="40"/>
      <c r="PZM21" s="40"/>
      <c r="PZN21" s="40"/>
      <c r="PZO21" s="40"/>
      <c r="PZP21" s="40"/>
      <c r="PZQ21" s="40"/>
      <c r="PZR21" s="40"/>
      <c r="PZS21" s="40"/>
      <c r="PZT21" s="40"/>
      <c r="PZU21" s="40"/>
      <c r="PZV21" s="40"/>
      <c r="PZW21" s="40"/>
      <c r="PZX21" s="40"/>
      <c r="PZY21" s="40"/>
      <c r="PZZ21" s="40"/>
      <c r="QAA21" s="40"/>
      <c r="QAB21" s="40"/>
      <c r="QAC21" s="40"/>
      <c r="QAD21" s="40"/>
      <c r="QAE21" s="40"/>
      <c r="QAF21" s="40"/>
      <c r="QAG21" s="40"/>
      <c r="QAH21" s="40"/>
      <c r="QAI21" s="40"/>
      <c r="QAJ21" s="40"/>
      <c r="QAK21" s="40"/>
      <c r="QAL21" s="40"/>
      <c r="QAM21" s="40"/>
      <c r="QAN21" s="40"/>
      <c r="QAO21" s="40"/>
      <c r="QAP21" s="40"/>
      <c r="QAQ21" s="40"/>
      <c r="QAR21" s="40"/>
      <c r="QAS21" s="40"/>
      <c r="QAT21" s="40"/>
      <c r="QAU21" s="40"/>
      <c r="QAV21" s="40"/>
      <c r="QAW21" s="40"/>
      <c r="QAX21" s="40"/>
      <c r="QAY21" s="40"/>
      <c r="QAZ21" s="40"/>
      <c r="QBA21" s="40"/>
      <c r="QBB21" s="40"/>
      <c r="QBC21" s="40"/>
      <c r="QBD21" s="40"/>
      <c r="QBE21" s="40"/>
      <c r="QBF21" s="40"/>
      <c r="QBG21" s="40"/>
      <c r="QBH21" s="40"/>
      <c r="QBI21" s="40"/>
      <c r="QBJ21" s="40"/>
      <c r="QBK21" s="40"/>
      <c r="QBL21" s="40"/>
      <c r="QBM21" s="40"/>
      <c r="QBN21" s="40"/>
      <c r="QBO21" s="40"/>
      <c r="QBP21" s="40"/>
      <c r="QBQ21" s="40"/>
      <c r="QBR21" s="40"/>
      <c r="QBS21" s="40"/>
      <c r="QBT21" s="40"/>
      <c r="QBU21" s="40"/>
      <c r="QBV21" s="40"/>
      <c r="QBW21" s="40"/>
      <c r="QBX21" s="40"/>
      <c r="QBY21" s="40"/>
      <c r="QBZ21" s="40"/>
      <c r="QCA21" s="40"/>
      <c r="QCB21" s="40"/>
      <c r="QCC21" s="40"/>
      <c r="QCD21" s="40"/>
      <c r="QCE21" s="40"/>
      <c r="QCF21" s="40"/>
      <c r="QCG21" s="40"/>
      <c r="QCH21" s="40"/>
      <c r="QCI21" s="40"/>
      <c r="QCJ21" s="40"/>
      <c r="QCK21" s="40"/>
      <c r="QCL21" s="40"/>
      <c r="QCM21" s="40"/>
      <c r="QCN21" s="40"/>
      <c r="QCO21" s="40"/>
      <c r="QCP21" s="40"/>
      <c r="QCQ21" s="40"/>
      <c r="QCR21" s="40"/>
      <c r="QCS21" s="40"/>
      <c r="QCT21" s="40"/>
      <c r="QCU21" s="40"/>
      <c r="QCV21" s="40"/>
      <c r="QCW21" s="40"/>
      <c r="QCX21" s="40"/>
      <c r="QCY21" s="40"/>
      <c r="QCZ21" s="40"/>
      <c r="QDA21" s="40"/>
      <c r="QDB21" s="40"/>
      <c r="QDC21" s="40"/>
      <c r="QDD21" s="40"/>
      <c r="QDE21" s="40"/>
      <c r="QDF21" s="40"/>
      <c r="QDG21" s="40"/>
      <c r="QDH21" s="40"/>
      <c r="QDI21" s="40"/>
      <c r="QDJ21" s="40"/>
      <c r="QDK21" s="40"/>
      <c r="QDL21" s="40"/>
      <c r="QDM21" s="40"/>
      <c r="QDN21" s="40"/>
      <c r="QDO21" s="40"/>
      <c r="QDP21" s="40"/>
      <c r="QDQ21" s="40"/>
      <c r="QDR21" s="40"/>
      <c r="QDS21" s="40"/>
      <c r="QDT21" s="40"/>
      <c r="QDU21" s="40"/>
      <c r="QDV21" s="40"/>
      <c r="QDW21" s="40"/>
      <c r="QDX21" s="40"/>
      <c r="QDY21" s="40"/>
      <c r="QDZ21" s="40"/>
      <c r="QEA21" s="40"/>
      <c r="QEB21" s="40"/>
      <c r="QEC21" s="40"/>
      <c r="QED21" s="40"/>
      <c r="QEE21" s="40"/>
      <c r="QEF21" s="40"/>
      <c r="QEG21" s="40"/>
      <c r="QEH21" s="40"/>
      <c r="QEI21" s="40"/>
      <c r="QEJ21" s="40"/>
      <c r="QEK21" s="40"/>
      <c r="QEL21" s="40"/>
      <c r="QEM21" s="40"/>
      <c r="QEN21" s="40"/>
      <c r="QEO21" s="40"/>
      <c r="QEP21" s="40"/>
      <c r="QEQ21" s="40"/>
      <c r="QER21" s="40"/>
      <c r="QES21" s="40"/>
      <c r="QET21" s="40"/>
      <c r="QEU21" s="40"/>
      <c r="QEV21" s="40"/>
      <c r="QEW21" s="40"/>
      <c r="QEX21" s="40"/>
      <c r="QEY21" s="40"/>
      <c r="QEZ21" s="40"/>
      <c r="QFA21" s="40"/>
      <c r="QFB21" s="40"/>
      <c r="QFC21" s="40"/>
      <c r="QFD21" s="40"/>
      <c r="QFE21" s="40"/>
      <c r="QFF21" s="40"/>
      <c r="QFG21" s="40"/>
      <c r="QFH21" s="40"/>
      <c r="QFI21" s="40"/>
      <c r="QFJ21" s="40"/>
      <c r="QFK21" s="40"/>
      <c r="QFL21" s="40"/>
      <c r="QFM21" s="40"/>
      <c r="QFN21" s="40"/>
      <c r="QFO21" s="40"/>
      <c r="QFP21" s="40"/>
      <c r="QFQ21" s="40"/>
      <c r="QFR21" s="40"/>
      <c r="QFS21" s="40"/>
      <c r="QFT21" s="40"/>
      <c r="QFU21" s="40"/>
      <c r="QFV21" s="40"/>
      <c r="QFW21" s="40"/>
      <c r="QFX21" s="40"/>
      <c r="QFY21" s="40"/>
      <c r="QFZ21" s="40"/>
      <c r="QGA21" s="40"/>
      <c r="QGB21" s="40"/>
      <c r="QGC21" s="40"/>
      <c r="QGD21" s="40"/>
      <c r="QGE21" s="40"/>
      <c r="QGF21" s="40"/>
      <c r="QGG21" s="40"/>
      <c r="QGH21" s="40"/>
      <c r="QGI21" s="40"/>
      <c r="QGJ21" s="40"/>
      <c r="QGK21" s="40"/>
      <c r="QGL21" s="40"/>
      <c r="QGM21" s="40"/>
      <c r="QGN21" s="40"/>
      <c r="QGO21" s="40"/>
      <c r="QGP21" s="40"/>
      <c r="QGQ21" s="40"/>
      <c r="QGR21" s="40"/>
      <c r="QGS21" s="40"/>
      <c r="QGT21" s="40"/>
      <c r="QGU21" s="40"/>
      <c r="QGV21" s="40"/>
      <c r="QGW21" s="40"/>
      <c r="QGX21" s="40"/>
      <c r="QGY21" s="40"/>
      <c r="QGZ21" s="40"/>
      <c r="QHA21" s="40"/>
      <c r="QHB21" s="40"/>
      <c r="QHC21" s="40"/>
      <c r="QHD21" s="40"/>
      <c r="QHE21" s="40"/>
      <c r="QHF21" s="40"/>
      <c r="QHG21" s="40"/>
      <c r="QHH21" s="40"/>
      <c r="QHI21" s="40"/>
      <c r="QHJ21" s="40"/>
      <c r="QHK21" s="40"/>
      <c r="QHL21" s="40"/>
      <c r="QHM21" s="40"/>
      <c r="QHN21" s="40"/>
      <c r="QHO21" s="40"/>
      <c r="QHP21" s="40"/>
      <c r="QHQ21" s="40"/>
      <c r="QHR21" s="40"/>
      <c r="QHS21" s="40"/>
      <c r="QHT21" s="40"/>
      <c r="QHU21" s="40"/>
      <c r="QHV21" s="40"/>
      <c r="QHW21" s="40"/>
      <c r="QHX21" s="40"/>
      <c r="QHY21" s="40"/>
      <c r="QHZ21" s="40"/>
      <c r="QIA21" s="40"/>
      <c r="QIB21" s="40"/>
      <c r="QIC21" s="40"/>
      <c r="QID21" s="40"/>
      <c r="QIE21" s="40"/>
      <c r="QIF21" s="40"/>
      <c r="QIG21" s="40"/>
      <c r="QIH21" s="40"/>
      <c r="QII21" s="40"/>
      <c r="QIJ21" s="40"/>
      <c r="QIK21" s="40"/>
      <c r="QIL21" s="40"/>
      <c r="QIM21" s="40"/>
      <c r="QIN21" s="40"/>
      <c r="QIO21" s="40"/>
      <c r="QIP21" s="40"/>
      <c r="QIQ21" s="40"/>
      <c r="QIR21" s="40"/>
      <c r="QIS21" s="40"/>
      <c r="QIT21" s="40"/>
      <c r="QIU21" s="40"/>
      <c r="QIV21" s="40"/>
      <c r="QIW21" s="40"/>
      <c r="QIX21" s="40"/>
      <c r="QIY21" s="40"/>
      <c r="QIZ21" s="40"/>
      <c r="QJA21" s="40"/>
      <c r="QJB21" s="40"/>
      <c r="QJC21" s="40"/>
      <c r="QJD21" s="40"/>
      <c r="QJE21" s="40"/>
      <c r="QJF21" s="40"/>
      <c r="QJG21" s="40"/>
      <c r="QJH21" s="40"/>
      <c r="QJI21" s="40"/>
      <c r="QJJ21" s="40"/>
      <c r="QJK21" s="40"/>
      <c r="QJL21" s="40"/>
      <c r="QJM21" s="40"/>
      <c r="QJN21" s="40"/>
      <c r="QJO21" s="40"/>
      <c r="QJP21" s="40"/>
      <c r="QJQ21" s="40"/>
      <c r="QJR21" s="40"/>
      <c r="QJS21" s="40"/>
      <c r="QJT21" s="40"/>
      <c r="QJU21" s="40"/>
      <c r="QJV21" s="40"/>
      <c r="QJW21" s="40"/>
      <c r="QJX21" s="40"/>
      <c r="QJY21" s="40"/>
      <c r="QJZ21" s="40"/>
      <c r="QKA21" s="40"/>
      <c r="QKB21" s="40"/>
      <c r="QKC21" s="40"/>
      <c r="QKD21" s="40"/>
      <c r="QKE21" s="40"/>
      <c r="QKF21" s="40"/>
      <c r="QKG21" s="40"/>
      <c r="QKH21" s="40"/>
      <c r="QKI21" s="40"/>
      <c r="QKJ21" s="40"/>
      <c r="QKK21" s="40"/>
      <c r="QKL21" s="40"/>
      <c r="QKM21" s="40"/>
      <c r="QKN21" s="40"/>
      <c r="QKO21" s="40"/>
      <c r="QKP21" s="40"/>
      <c r="QKQ21" s="40"/>
      <c r="QKR21" s="40"/>
      <c r="QKS21" s="40"/>
      <c r="QKT21" s="40"/>
      <c r="QKU21" s="40"/>
      <c r="QKV21" s="40"/>
      <c r="QKW21" s="40"/>
      <c r="QKX21" s="40"/>
      <c r="QKY21" s="40"/>
      <c r="QKZ21" s="40"/>
      <c r="QLA21" s="40"/>
      <c r="QLB21" s="40"/>
      <c r="QLC21" s="40"/>
      <c r="QLD21" s="40"/>
      <c r="QLE21" s="40"/>
      <c r="QLF21" s="40"/>
      <c r="QLG21" s="40"/>
      <c r="QLH21" s="40"/>
      <c r="QLI21" s="40"/>
      <c r="QLJ21" s="40"/>
      <c r="QLK21" s="40"/>
      <c r="QLL21" s="40"/>
      <c r="QLM21" s="40"/>
      <c r="QLN21" s="40"/>
      <c r="QLO21" s="40"/>
      <c r="QLP21" s="40"/>
      <c r="QLQ21" s="40"/>
      <c r="QLR21" s="40"/>
      <c r="QLS21" s="40"/>
      <c r="QLT21" s="40"/>
      <c r="QLU21" s="40"/>
      <c r="QLV21" s="40"/>
      <c r="QLW21" s="40"/>
      <c r="QLX21" s="40"/>
      <c r="QLY21" s="40"/>
      <c r="QLZ21" s="40"/>
      <c r="QMA21" s="40"/>
      <c r="QMB21" s="40"/>
      <c r="QMC21" s="40"/>
      <c r="QMD21" s="40"/>
      <c r="QME21" s="40"/>
      <c r="QMF21" s="40"/>
      <c r="QMG21" s="40"/>
      <c r="QMH21" s="40"/>
      <c r="QMI21" s="40"/>
      <c r="QMJ21" s="40"/>
      <c r="QMK21" s="40"/>
      <c r="QML21" s="40"/>
      <c r="QMM21" s="40"/>
      <c r="QMN21" s="40"/>
      <c r="QMO21" s="40"/>
      <c r="QMP21" s="40"/>
      <c r="QMQ21" s="40"/>
      <c r="QMR21" s="40"/>
      <c r="QMS21" s="40"/>
      <c r="QMT21" s="40"/>
      <c r="QMU21" s="40"/>
      <c r="QMV21" s="40"/>
      <c r="QMW21" s="40"/>
      <c r="QMX21" s="40"/>
      <c r="QMY21" s="40"/>
      <c r="QMZ21" s="40"/>
      <c r="QNA21" s="40"/>
      <c r="QNB21" s="40"/>
      <c r="QNC21" s="40"/>
      <c r="QND21" s="40"/>
      <c r="QNE21" s="40"/>
      <c r="QNF21" s="40"/>
      <c r="QNG21" s="40"/>
      <c r="QNH21" s="40"/>
      <c r="QNI21" s="40"/>
      <c r="QNJ21" s="40"/>
      <c r="QNK21" s="40"/>
      <c r="QNL21" s="40"/>
      <c r="QNM21" s="40"/>
      <c r="QNN21" s="40"/>
      <c r="QNO21" s="40"/>
      <c r="QNP21" s="40"/>
      <c r="QNQ21" s="40"/>
      <c r="QNR21" s="40"/>
      <c r="QNS21" s="40"/>
      <c r="QNT21" s="40"/>
      <c r="QNU21" s="40"/>
      <c r="QNV21" s="40"/>
      <c r="QNW21" s="40"/>
      <c r="QNX21" s="40"/>
      <c r="QNY21" s="40"/>
      <c r="QNZ21" s="40"/>
      <c r="QOA21" s="40"/>
      <c r="QOB21" s="40"/>
      <c r="QOC21" s="40"/>
      <c r="QOD21" s="40"/>
      <c r="QOE21" s="40"/>
      <c r="QOF21" s="40"/>
      <c r="QOG21" s="40"/>
      <c r="QOH21" s="40"/>
      <c r="QOI21" s="40"/>
      <c r="QOJ21" s="40"/>
      <c r="QOK21" s="40"/>
      <c r="QOL21" s="40"/>
      <c r="QOM21" s="40"/>
      <c r="QON21" s="40"/>
      <c r="QOO21" s="40"/>
      <c r="QOP21" s="40"/>
      <c r="QOQ21" s="40"/>
      <c r="QOR21" s="40"/>
      <c r="QOS21" s="40"/>
      <c r="QOT21" s="40"/>
      <c r="QOU21" s="40"/>
      <c r="QOV21" s="40"/>
      <c r="QOW21" s="40"/>
      <c r="QOX21" s="40"/>
      <c r="QOY21" s="40"/>
      <c r="QOZ21" s="40"/>
      <c r="QPA21" s="40"/>
      <c r="QPB21" s="40"/>
      <c r="QPC21" s="40"/>
      <c r="QPD21" s="40"/>
      <c r="QPE21" s="40"/>
      <c r="QPF21" s="40"/>
      <c r="QPG21" s="40"/>
      <c r="QPH21" s="40"/>
      <c r="QPI21" s="40"/>
      <c r="QPJ21" s="40"/>
      <c r="QPK21" s="40"/>
      <c r="QPL21" s="40"/>
      <c r="QPM21" s="40"/>
      <c r="QPN21" s="40"/>
      <c r="QPO21" s="40"/>
      <c r="QPP21" s="40"/>
      <c r="QPQ21" s="40"/>
      <c r="QPR21" s="40"/>
      <c r="QPS21" s="40"/>
      <c r="QPT21" s="40"/>
      <c r="QPU21" s="40"/>
      <c r="QPV21" s="40"/>
      <c r="QPW21" s="40"/>
      <c r="QPX21" s="40"/>
      <c r="QPY21" s="40"/>
      <c r="QPZ21" s="40"/>
      <c r="QQA21" s="40"/>
      <c r="QQB21" s="40"/>
      <c r="QQC21" s="40"/>
      <c r="QQD21" s="40"/>
      <c r="QQE21" s="40"/>
      <c r="QQF21" s="40"/>
      <c r="QQG21" s="40"/>
      <c r="QQH21" s="40"/>
      <c r="QQI21" s="40"/>
      <c r="QQJ21" s="40"/>
      <c r="QQK21" s="40"/>
      <c r="QQL21" s="40"/>
      <c r="QQM21" s="40"/>
      <c r="QQN21" s="40"/>
      <c r="QQO21" s="40"/>
      <c r="QQP21" s="40"/>
      <c r="QQQ21" s="40"/>
      <c r="QQR21" s="40"/>
      <c r="QQS21" s="40"/>
      <c r="QQT21" s="40"/>
      <c r="QQU21" s="40"/>
      <c r="QQV21" s="40"/>
      <c r="QQW21" s="40"/>
      <c r="QQX21" s="40"/>
      <c r="QQY21" s="40"/>
      <c r="QQZ21" s="40"/>
      <c r="QRA21" s="40"/>
      <c r="QRB21" s="40"/>
      <c r="QRC21" s="40"/>
      <c r="QRD21" s="40"/>
      <c r="QRE21" s="40"/>
      <c r="QRF21" s="40"/>
      <c r="QRG21" s="40"/>
      <c r="QRH21" s="40"/>
      <c r="QRI21" s="40"/>
      <c r="QRJ21" s="40"/>
      <c r="QRK21" s="40"/>
      <c r="QRL21" s="40"/>
      <c r="QRM21" s="40"/>
      <c r="QRN21" s="40"/>
      <c r="QRO21" s="40"/>
      <c r="QRP21" s="40"/>
      <c r="QRQ21" s="40"/>
      <c r="QRR21" s="40"/>
      <c r="QRS21" s="40"/>
      <c r="QRT21" s="40"/>
      <c r="QRU21" s="40"/>
      <c r="QRV21" s="40"/>
      <c r="QRW21" s="40"/>
      <c r="QRX21" s="40"/>
      <c r="QRY21" s="40"/>
      <c r="QRZ21" s="40"/>
      <c r="QSA21" s="40"/>
      <c r="QSB21" s="40"/>
      <c r="QSC21" s="40"/>
      <c r="QSD21" s="40"/>
      <c r="QSE21" s="40"/>
      <c r="QSF21" s="40"/>
      <c r="QSG21" s="40"/>
      <c r="QSH21" s="40"/>
      <c r="QSI21" s="40"/>
      <c r="QSJ21" s="40"/>
      <c r="QSK21" s="40"/>
      <c r="QSL21" s="40"/>
      <c r="QSM21" s="40"/>
      <c r="QSN21" s="40"/>
      <c r="QSO21" s="40"/>
      <c r="QSP21" s="40"/>
      <c r="QSQ21" s="40"/>
      <c r="QSR21" s="40"/>
      <c r="QSS21" s="40"/>
      <c r="QST21" s="40"/>
      <c r="QSU21" s="40"/>
      <c r="QSV21" s="40"/>
      <c r="QSW21" s="40"/>
      <c r="QSX21" s="40"/>
      <c r="QSY21" s="40"/>
      <c r="QSZ21" s="40"/>
      <c r="QTA21" s="40"/>
      <c r="QTB21" s="40"/>
      <c r="QTC21" s="40"/>
      <c r="QTD21" s="40"/>
      <c r="QTE21" s="40"/>
      <c r="QTF21" s="40"/>
      <c r="QTG21" s="40"/>
      <c r="QTH21" s="40"/>
      <c r="QTI21" s="40"/>
      <c r="QTJ21" s="40"/>
      <c r="QTK21" s="40"/>
      <c r="QTL21" s="40"/>
      <c r="QTM21" s="40"/>
      <c r="QTN21" s="40"/>
      <c r="QTO21" s="40"/>
      <c r="QTP21" s="40"/>
      <c r="QTQ21" s="40"/>
      <c r="QTR21" s="40"/>
      <c r="QTS21" s="40"/>
      <c r="QTT21" s="40"/>
      <c r="QTU21" s="40"/>
      <c r="QTV21" s="40"/>
      <c r="QTW21" s="40"/>
      <c r="QTX21" s="40"/>
      <c r="QTY21" s="40"/>
      <c r="QTZ21" s="40"/>
      <c r="QUA21" s="40"/>
      <c r="QUB21" s="40"/>
      <c r="QUC21" s="40"/>
      <c r="QUD21" s="40"/>
      <c r="QUE21" s="40"/>
      <c r="QUF21" s="40"/>
      <c r="QUG21" s="40"/>
      <c r="QUH21" s="40"/>
      <c r="QUI21" s="40"/>
      <c r="QUJ21" s="40"/>
      <c r="QUK21" s="40"/>
      <c r="QUL21" s="40"/>
      <c r="QUM21" s="40"/>
      <c r="QUN21" s="40"/>
      <c r="QUO21" s="40"/>
      <c r="QUP21" s="40"/>
      <c r="QUQ21" s="40"/>
      <c r="QUR21" s="40"/>
      <c r="QUS21" s="40"/>
      <c r="QUT21" s="40"/>
      <c r="QUU21" s="40"/>
      <c r="QUV21" s="40"/>
      <c r="QUW21" s="40"/>
      <c r="QUX21" s="40"/>
      <c r="QUY21" s="40"/>
      <c r="QUZ21" s="40"/>
      <c r="QVA21" s="40"/>
      <c r="QVB21" s="40"/>
      <c r="QVC21" s="40"/>
      <c r="QVD21" s="40"/>
      <c r="QVE21" s="40"/>
      <c r="QVF21" s="40"/>
      <c r="QVG21" s="40"/>
      <c r="QVH21" s="40"/>
      <c r="QVI21" s="40"/>
      <c r="QVJ21" s="40"/>
      <c r="QVK21" s="40"/>
      <c r="QVL21" s="40"/>
      <c r="QVM21" s="40"/>
      <c r="QVN21" s="40"/>
      <c r="QVO21" s="40"/>
      <c r="QVP21" s="40"/>
      <c r="QVQ21" s="40"/>
      <c r="QVR21" s="40"/>
      <c r="QVS21" s="40"/>
      <c r="QVT21" s="40"/>
      <c r="QVU21" s="40"/>
      <c r="QVV21" s="40"/>
      <c r="QVW21" s="40"/>
      <c r="QVX21" s="40"/>
      <c r="QVY21" s="40"/>
      <c r="QVZ21" s="40"/>
      <c r="QWA21" s="40"/>
      <c r="QWB21" s="40"/>
      <c r="QWC21" s="40"/>
      <c r="QWD21" s="40"/>
      <c r="QWE21" s="40"/>
      <c r="QWF21" s="40"/>
      <c r="QWG21" s="40"/>
      <c r="QWH21" s="40"/>
      <c r="QWI21" s="40"/>
      <c r="QWJ21" s="40"/>
      <c r="QWK21" s="40"/>
      <c r="QWL21" s="40"/>
      <c r="QWM21" s="40"/>
      <c r="QWN21" s="40"/>
      <c r="QWO21" s="40"/>
      <c r="QWP21" s="40"/>
      <c r="QWQ21" s="40"/>
      <c r="QWR21" s="40"/>
      <c r="QWS21" s="40"/>
      <c r="QWT21" s="40"/>
      <c r="QWU21" s="40"/>
      <c r="QWV21" s="40"/>
      <c r="QWW21" s="40"/>
      <c r="QWX21" s="40"/>
      <c r="QWY21" s="40"/>
      <c r="QWZ21" s="40"/>
      <c r="QXA21" s="40"/>
      <c r="QXB21" s="40"/>
      <c r="QXC21" s="40"/>
      <c r="QXD21" s="40"/>
      <c r="QXE21" s="40"/>
      <c r="QXF21" s="40"/>
      <c r="QXG21" s="40"/>
      <c r="QXH21" s="40"/>
      <c r="QXI21" s="40"/>
      <c r="QXJ21" s="40"/>
      <c r="QXK21" s="40"/>
      <c r="QXL21" s="40"/>
      <c r="QXM21" s="40"/>
      <c r="QXN21" s="40"/>
      <c r="QXO21" s="40"/>
      <c r="QXP21" s="40"/>
      <c r="QXQ21" s="40"/>
      <c r="QXR21" s="40"/>
      <c r="QXS21" s="40"/>
      <c r="QXT21" s="40"/>
      <c r="QXU21" s="40"/>
      <c r="QXV21" s="40"/>
      <c r="QXW21" s="40"/>
      <c r="QXX21" s="40"/>
      <c r="QXY21" s="40"/>
      <c r="QXZ21" s="40"/>
      <c r="QYA21" s="40"/>
      <c r="QYB21" s="40"/>
      <c r="QYC21" s="40"/>
      <c r="QYD21" s="40"/>
      <c r="QYE21" s="40"/>
      <c r="QYF21" s="40"/>
      <c r="QYG21" s="40"/>
      <c r="QYH21" s="40"/>
      <c r="QYI21" s="40"/>
      <c r="QYJ21" s="40"/>
      <c r="QYK21" s="40"/>
      <c r="QYL21" s="40"/>
      <c r="QYM21" s="40"/>
      <c r="QYN21" s="40"/>
      <c r="QYO21" s="40"/>
      <c r="QYP21" s="40"/>
      <c r="QYQ21" s="40"/>
      <c r="QYR21" s="40"/>
      <c r="QYS21" s="40"/>
      <c r="QYT21" s="40"/>
      <c r="QYU21" s="40"/>
      <c r="QYV21" s="40"/>
      <c r="QYW21" s="40"/>
      <c r="QYX21" s="40"/>
      <c r="QYY21" s="40"/>
      <c r="QYZ21" s="40"/>
      <c r="QZA21" s="40"/>
      <c r="QZB21" s="40"/>
      <c r="QZC21" s="40"/>
      <c r="QZD21" s="40"/>
      <c r="QZE21" s="40"/>
      <c r="QZF21" s="40"/>
      <c r="QZG21" s="40"/>
      <c r="QZH21" s="40"/>
      <c r="QZI21" s="40"/>
      <c r="QZJ21" s="40"/>
      <c r="QZK21" s="40"/>
      <c r="QZL21" s="40"/>
      <c r="QZM21" s="40"/>
      <c r="QZN21" s="40"/>
      <c r="QZO21" s="40"/>
      <c r="QZP21" s="40"/>
      <c r="QZQ21" s="40"/>
      <c r="QZR21" s="40"/>
      <c r="QZS21" s="40"/>
      <c r="QZT21" s="40"/>
      <c r="QZU21" s="40"/>
      <c r="QZV21" s="40"/>
      <c r="QZW21" s="40"/>
      <c r="QZX21" s="40"/>
      <c r="QZY21" s="40"/>
      <c r="QZZ21" s="40"/>
      <c r="RAA21" s="40"/>
      <c r="RAB21" s="40"/>
      <c r="RAC21" s="40"/>
      <c r="RAD21" s="40"/>
      <c r="RAE21" s="40"/>
      <c r="RAF21" s="40"/>
      <c r="RAG21" s="40"/>
      <c r="RAH21" s="40"/>
      <c r="RAI21" s="40"/>
      <c r="RAJ21" s="40"/>
      <c r="RAK21" s="40"/>
      <c r="RAL21" s="40"/>
      <c r="RAM21" s="40"/>
      <c r="RAN21" s="40"/>
      <c r="RAO21" s="40"/>
      <c r="RAP21" s="40"/>
      <c r="RAQ21" s="40"/>
      <c r="RAR21" s="40"/>
      <c r="RAS21" s="40"/>
      <c r="RAT21" s="40"/>
      <c r="RAU21" s="40"/>
      <c r="RAV21" s="40"/>
      <c r="RAW21" s="40"/>
      <c r="RAX21" s="40"/>
      <c r="RAY21" s="40"/>
      <c r="RAZ21" s="40"/>
      <c r="RBA21" s="40"/>
      <c r="RBB21" s="40"/>
      <c r="RBC21" s="40"/>
      <c r="RBD21" s="40"/>
      <c r="RBE21" s="40"/>
      <c r="RBF21" s="40"/>
      <c r="RBG21" s="40"/>
      <c r="RBH21" s="40"/>
      <c r="RBI21" s="40"/>
      <c r="RBJ21" s="40"/>
      <c r="RBK21" s="40"/>
      <c r="RBL21" s="40"/>
      <c r="RBM21" s="40"/>
      <c r="RBN21" s="40"/>
      <c r="RBO21" s="40"/>
      <c r="RBP21" s="40"/>
      <c r="RBQ21" s="40"/>
      <c r="RBR21" s="40"/>
      <c r="RBS21" s="40"/>
      <c r="RBT21" s="40"/>
      <c r="RBU21" s="40"/>
      <c r="RBV21" s="40"/>
      <c r="RBW21" s="40"/>
      <c r="RBX21" s="40"/>
      <c r="RBY21" s="40"/>
      <c r="RBZ21" s="40"/>
      <c r="RCA21" s="40"/>
      <c r="RCB21" s="40"/>
      <c r="RCC21" s="40"/>
      <c r="RCD21" s="40"/>
      <c r="RCE21" s="40"/>
      <c r="RCF21" s="40"/>
      <c r="RCG21" s="40"/>
      <c r="RCH21" s="40"/>
      <c r="RCI21" s="40"/>
      <c r="RCJ21" s="40"/>
      <c r="RCK21" s="40"/>
      <c r="RCL21" s="40"/>
      <c r="RCM21" s="40"/>
      <c r="RCN21" s="40"/>
      <c r="RCO21" s="40"/>
      <c r="RCP21" s="40"/>
      <c r="RCQ21" s="40"/>
      <c r="RCR21" s="40"/>
      <c r="RCS21" s="40"/>
      <c r="RCT21" s="40"/>
      <c r="RCU21" s="40"/>
      <c r="RCV21" s="40"/>
      <c r="RCW21" s="40"/>
      <c r="RCX21" s="40"/>
      <c r="RCY21" s="40"/>
      <c r="RCZ21" s="40"/>
      <c r="RDA21" s="40"/>
      <c r="RDB21" s="40"/>
      <c r="RDC21" s="40"/>
      <c r="RDD21" s="40"/>
      <c r="RDE21" s="40"/>
      <c r="RDF21" s="40"/>
      <c r="RDG21" s="40"/>
      <c r="RDH21" s="40"/>
      <c r="RDI21" s="40"/>
      <c r="RDJ21" s="40"/>
      <c r="RDK21" s="40"/>
      <c r="RDL21" s="40"/>
      <c r="RDM21" s="40"/>
      <c r="RDN21" s="40"/>
      <c r="RDO21" s="40"/>
      <c r="RDP21" s="40"/>
      <c r="RDQ21" s="40"/>
      <c r="RDR21" s="40"/>
      <c r="RDS21" s="40"/>
      <c r="RDT21" s="40"/>
      <c r="RDU21" s="40"/>
      <c r="RDV21" s="40"/>
      <c r="RDW21" s="40"/>
      <c r="RDX21" s="40"/>
      <c r="RDY21" s="40"/>
      <c r="RDZ21" s="40"/>
      <c r="REA21" s="40"/>
      <c r="REB21" s="40"/>
      <c r="REC21" s="40"/>
      <c r="RED21" s="40"/>
      <c r="REE21" s="40"/>
      <c r="REF21" s="40"/>
      <c r="REG21" s="40"/>
      <c r="REH21" s="40"/>
      <c r="REI21" s="40"/>
      <c r="REJ21" s="40"/>
      <c r="REK21" s="40"/>
      <c r="REL21" s="40"/>
      <c r="REM21" s="40"/>
      <c r="REN21" s="40"/>
      <c r="REO21" s="40"/>
      <c r="REP21" s="40"/>
      <c r="REQ21" s="40"/>
      <c r="RER21" s="40"/>
      <c r="RES21" s="40"/>
      <c r="RET21" s="40"/>
      <c r="REU21" s="40"/>
      <c r="REV21" s="40"/>
      <c r="REW21" s="40"/>
      <c r="REX21" s="40"/>
      <c r="REY21" s="40"/>
      <c r="REZ21" s="40"/>
      <c r="RFA21" s="40"/>
      <c r="RFB21" s="40"/>
      <c r="RFC21" s="40"/>
      <c r="RFD21" s="40"/>
      <c r="RFE21" s="40"/>
      <c r="RFF21" s="40"/>
      <c r="RFG21" s="40"/>
      <c r="RFH21" s="40"/>
      <c r="RFI21" s="40"/>
      <c r="RFJ21" s="40"/>
      <c r="RFK21" s="40"/>
      <c r="RFL21" s="40"/>
      <c r="RFM21" s="40"/>
      <c r="RFN21" s="40"/>
      <c r="RFO21" s="40"/>
      <c r="RFP21" s="40"/>
      <c r="RFQ21" s="40"/>
      <c r="RFR21" s="40"/>
      <c r="RFS21" s="40"/>
      <c r="RFT21" s="40"/>
      <c r="RFU21" s="40"/>
      <c r="RFV21" s="40"/>
      <c r="RFW21" s="40"/>
      <c r="RFX21" s="40"/>
      <c r="RFY21" s="40"/>
      <c r="RFZ21" s="40"/>
      <c r="RGA21" s="40"/>
      <c r="RGB21" s="40"/>
      <c r="RGC21" s="40"/>
      <c r="RGD21" s="40"/>
      <c r="RGE21" s="40"/>
      <c r="RGF21" s="40"/>
      <c r="RGG21" s="40"/>
      <c r="RGH21" s="40"/>
      <c r="RGI21" s="40"/>
      <c r="RGJ21" s="40"/>
      <c r="RGK21" s="40"/>
      <c r="RGL21" s="40"/>
      <c r="RGM21" s="40"/>
      <c r="RGN21" s="40"/>
      <c r="RGO21" s="40"/>
      <c r="RGP21" s="40"/>
      <c r="RGQ21" s="40"/>
      <c r="RGR21" s="40"/>
      <c r="RGS21" s="40"/>
      <c r="RGT21" s="40"/>
      <c r="RGU21" s="40"/>
      <c r="RGV21" s="40"/>
      <c r="RGW21" s="40"/>
      <c r="RGX21" s="40"/>
      <c r="RGY21" s="40"/>
      <c r="RGZ21" s="40"/>
      <c r="RHA21" s="40"/>
      <c r="RHB21" s="40"/>
      <c r="RHC21" s="40"/>
      <c r="RHD21" s="40"/>
      <c r="RHE21" s="40"/>
      <c r="RHF21" s="40"/>
      <c r="RHG21" s="40"/>
      <c r="RHH21" s="40"/>
      <c r="RHI21" s="40"/>
      <c r="RHJ21" s="40"/>
      <c r="RHK21" s="40"/>
      <c r="RHL21" s="40"/>
      <c r="RHM21" s="40"/>
      <c r="RHN21" s="40"/>
      <c r="RHO21" s="40"/>
      <c r="RHP21" s="40"/>
      <c r="RHQ21" s="40"/>
      <c r="RHR21" s="40"/>
      <c r="RHS21" s="40"/>
      <c r="RHT21" s="40"/>
      <c r="RHU21" s="40"/>
      <c r="RHV21" s="40"/>
      <c r="RHW21" s="40"/>
      <c r="RHX21" s="40"/>
      <c r="RHY21" s="40"/>
      <c r="RHZ21" s="40"/>
      <c r="RIA21" s="40"/>
      <c r="RIB21" s="40"/>
      <c r="RIC21" s="40"/>
      <c r="RID21" s="40"/>
      <c r="RIE21" s="40"/>
      <c r="RIF21" s="40"/>
      <c r="RIG21" s="40"/>
      <c r="RIH21" s="40"/>
      <c r="RII21" s="40"/>
      <c r="RIJ21" s="40"/>
      <c r="RIK21" s="40"/>
      <c r="RIL21" s="40"/>
      <c r="RIM21" s="40"/>
      <c r="RIN21" s="40"/>
      <c r="RIO21" s="40"/>
      <c r="RIP21" s="40"/>
      <c r="RIQ21" s="40"/>
      <c r="RIR21" s="40"/>
      <c r="RIS21" s="40"/>
      <c r="RIT21" s="40"/>
      <c r="RIU21" s="40"/>
      <c r="RIV21" s="40"/>
      <c r="RIW21" s="40"/>
      <c r="RIX21" s="40"/>
      <c r="RIY21" s="40"/>
      <c r="RIZ21" s="40"/>
      <c r="RJA21" s="40"/>
      <c r="RJB21" s="40"/>
      <c r="RJC21" s="40"/>
      <c r="RJD21" s="40"/>
      <c r="RJE21" s="40"/>
      <c r="RJF21" s="40"/>
      <c r="RJG21" s="40"/>
      <c r="RJH21" s="40"/>
      <c r="RJI21" s="40"/>
      <c r="RJJ21" s="40"/>
      <c r="RJK21" s="40"/>
      <c r="RJL21" s="40"/>
      <c r="RJM21" s="40"/>
      <c r="RJN21" s="40"/>
      <c r="RJO21" s="40"/>
      <c r="RJP21" s="40"/>
      <c r="RJQ21" s="40"/>
      <c r="RJR21" s="40"/>
      <c r="RJS21" s="40"/>
      <c r="RJT21" s="40"/>
      <c r="RJU21" s="40"/>
      <c r="RJV21" s="40"/>
      <c r="RJW21" s="40"/>
      <c r="RJX21" s="40"/>
      <c r="RJY21" s="40"/>
      <c r="RJZ21" s="40"/>
      <c r="RKA21" s="40"/>
      <c r="RKB21" s="40"/>
      <c r="RKC21" s="40"/>
      <c r="RKD21" s="40"/>
      <c r="RKE21" s="40"/>
      <c r="RKF21" s="40"/>
      <c r="RKG21" s="40"/>
      <c r="RKH21" s="40"/>
      <c r="RKI21" s="40"/>
      <c r="RKJ21" s="40"/>
      <c r="RKK21" s="40"/>
      <c r="RKL21" s="40"/>
      <c r="RKM21" s="40"/>
      <c r="RKN21" s="40"/>
      <c r="RKO21" s="40"/>
      <c r="RKP21" s="40"/>
      <c r="RKQ21" s="40"/>
      <c r="RKR21" s="40"/>
      <c r="RKS21" s="40"/>
      <c r="RKT21" s="40"/>
      <c r="RKU21" s="40"/>
      <c r="RKV21" s="40"/>
      <c r="RKW21" s="40"/>
      <c r="RKX21" s="40"/>
      <c r="RKY21" s="40"/>
      <c r="RKZ21" s="40"/>
      <c r="RLA21" s="40"/>
      <c r="RLB21" s="40"/>
      <c r="RLC21" s="40"/>
      <c r="RLD21" s="40"/>
      <c r="RLE21" s="40"/>
      <c r="RLF21" s="40"/>
      <c r="RLG21" s="40"/>
      <c r="RLH21" s="40"/>
      <c r="RLI21" s="40"/>
      <c r="RLJ21" s="40"/>
      <c r="RLK21" s="40"/>
      <c r="RLL21" s="40"/>
      <c r="RLM21" s="40"/>
      <c r="RLN21" s="40"/>
      <c r="RLO21" s="40"/>
      <c r="RLP21" s="40"/>
      <c r="RLQ21" s="40"/>
      <c r="RLR21" s="40"/>
      <c r="RLS21" s="40"/>
      <c r="RLT21" s="40"/>
      <c r="RLU21" s="40"/>
      <c r="RLV21" s="40"/>
      <c r="RLW21" s="40"/>
      <c r="RLX21" s="40"/>
      <c r="RLY21" s="40"/>
      <c r="RLZ21" s="40"/>
      <c r="RMA21" s="40"/>
      <c r="RMB21" s="40"/>
      <c r="RMC21" s="40"/>
      <c r="RMD21" s="40"/>
      <c r="RME21" s="40"/>
      <c r="RMF21" s="40"/>
      <c r="RMG21" s="40"/>
      <c r="RMH21" s="40"/>
      <c r="RMI21" s="40"/>
      <c r="RMJ21" s="40"/>
      <c r="RMK21" s="40"/>
      <c r="RML21" s="40"/>
      <c r="RMM21" s="40"/>
      <c r="RMN21" s="40"/>
      <c r="RMO21" s="40"/>
      <c r="RMP21" s="40"/>
      <c r="RMQ21" s="40"/>
      <c r="RMR21" s="40"/>
      <c r="RMS21" s="40"/>
      <c r="RMT21" s="40"/>
      <c r="RMU21" s="40"/>
      <c r="RMV21" s="40"/>
      <c r="RMW21" s="40"/>
      <c r="RMX21" s="40"/>
      <c r="RMY21" s="40"/>
      <c r="RMZ21" s="40"/>
      <c r="RNA21" s="40"/>
      <c r="RNB21" s="40"/>
      <c r="RNC21" s="40"/>
      <c r="RND21" s="40"/>
      <c r="RNE21" s="40"/>
      <c r="RNF21" s="40"/>
      <c r="RNG21" s="40"/>
      <c r="RNH21" s="40"/>
      <c r="RNI21" s="40"/>
      <c r="RNJ21" s="40"/>
      <c r="RNK21" s="40"/>
      <c r="RNL21" s="40"/>
      <c r="RNM21" s="40"/>
      <c r="RNN21" s="40"/>
      <c r="RNO21" s="40"/>
      <c r="RNP21" s="40"/>
      <c r="RNQ21" s="40"/>
      <c r="RNR21" s="40"/>
      <c r="RNS21" s="40"/>
      <c r="RNT21" s="40"/>
      <c r="RNU21" s="40"/>
      <c r="RNV21" s="40"/>
      <c r="RNW21" s="40"/>
      <c r="RNX21" s="40"/>
      <c r="RNY21" s="40"/>
      <c r="RNZ21" s="40"/>
      <c r="ROA21" s="40"/>
      <c r="ROB21" s="40"/>
      <c r="ROC21" s="40"/>
      <c r="ROD21" s="40"/>
      <c r="ROE21" s="40"/>
      <c r="ROF21" s="40"/>
      <c r="ROG21" s="40"/>
      <c r="ROH21" s="40"/>
      <c r="ROI21" s="40"/>
      <c r="ROJ21" s="40"/>
      <c r="ROK21" s="40"/>
      <c r="ROL21" s="40"/>
      <c r="ROM21" s="40"/>
      <c r="RON21" s="40"/>
      <c r="ROO21" s="40"/>
      <c r="ROP21" s="40"/>
      <c r="ROQ21" s="40"/>
      <c r="ROR21" s="40"/>
      <c r="ROS21" s="40"/>
      <c r="ROT21" s="40"/>
      <c r="ROU21" s="40"/>
      <c r="ROV21" s="40"/>
      <c r="ROW21" s="40"/>
      <c r="ROX21" s="40"/>
      <c r="ROY21" s="40"/>
      <c r="ROZ21" s="40"/>
      <c r="RPA21" s="40"/>
      <c r="RPB21" s="40"/>
      <c r="RPC21" s="40"/>
      <c r="RPD21" s="40"/>
      <c r="RPE21" s="40"/>
      <c r="RPF21" s="40"/>
      <c r="RPG21" s="40"/>
      <c r="RPH21" s="40"/>
      <c r="RPI21" s="40"/>
      <c r="RPJ21" s="40"/>
      <c r="RPK21" s="40"/>
      <c r="RPL21" s="40"/>
      <c r="RPM21" s="40"/>
      <c r="RPN21" s="40"/>
      <c r="RPO21" s="40"/>
      <c r="RPP21" s="40"/>
      <c r="RPQ21" s="40"/>
      <c r="RPR21" s="40"/>
      <c r="RPS21" s="40"/>
      <c r="RPT21" s="40"/>
      <c r="RPU21" s="40"/>
      <c r="RPV21" s="40"/>
      <c r="RPW21" s="40"/>
      <c r="RPX21" s="40"/>
      <c r="RPY21" s="40"/>
      <c r="RPZ21" s="40"/>
      <c r="RQA21" s="40"/>
      <c r="RQB21" s="40"/>
      <c r="RQC21" s="40"/>
      <c r="RQD21" s="40"/>
      <c r="RQE21" s="40"/>
      <c r="RQF21" s="40"/>
      <c r="RQG21" s="40"/>
      <c r="RQH21" s="40"/>
      <c r="RQI21" s="40"/>
      <c r="RQJ21" s="40"/>
      <c r="RQK21" s="40"/>
      <c r="RQL21" s="40"/>
      <c r="RQM21" s="40"/>
      <c r="RQN21" s="40"/>
      <c r="RQO21" s="40"/>
      <c r="RQP21" s="40"/>
      <c r="RQQ21" s="40"/>
      <c r="RQR21" s="40"/>
      <c r="RQS21" s="40"/>
      <c r="RQT21" s="40"/>
      <c r="RQU21" s="40"/>
      <c r="RQV21" s="40"/>
      <c r="RQW21" s="40"/>
      <c r="RQX21" s="40"/>
      <c r="RQY21" s="40"/>
      <c r="RQZ21" s="40"/>
      <c r="RRA21" s="40"/>
      <c r="RRB21" s="40"/>
      <c r="RRC21" s="40"/>
      <c r="RRD21" s="40"/>
      <c r="RRE21" s="40"/>
      <c r="RRF21" s="40"/>
      <c r="RRG21" s="40"/>
      <c r="RRH21" s="40"/>
      <c r="RRI21" s="40"/>
      <c r="RRJ21" s="40"/>
      <c r="RRK21" s="40"/>
      <c r="RRL21" s="40"/>
      <c r="RRM21" s="40"/>
      <c r="RRN21" s="40"/>
      <c r="RRO21" s="40"/>
      <c r="RRP21" s="40"/>
      <c r="RRQ21" s="40"/>
      <c r="RRR21" s="40"/>
      <c r="RRS21" s="40"/>
      <c r="RRT21" s="40"/>
      <c r="RRU21" s="40"/>
      <c r="RRV21" s="40"/>
      <c r="RRW21" s="40"/>
      <c r="RRX21" s="40"/>
      <c r="RRY21" s="40"/>
      <c r="RRZ21" s="40"/>
      <c r="RSA21" s="40"/>
      <c r="RSB21" s="40"/>
      <c r="RSC21" s="40"/>
      <c r="RSD21" s="40"/>
      <c r="RSE21" s="40"/>
      <c r="RSF21" s="40"/>
      <c r="RSG21" s="40"/>
      <c r="RSH21" s="40"/>
      <c r="RSI21" s="40"/>
      <c r="RSJ21" s="40"/>
      <c r="RSK21" s="40"/>
      <c r="RSL21" s="40"/>
      <c r="RSM21" s="40"/>
      <c r="RSN21" s="40"/>
      <c r="RSO21" s="40"/>
      <c r="RSP21" s="40"/>
      <c r="RSQ21" s="40"/>
      <c r="RSR21" s="40"/>
      <c r="RSS21" s="40"/>
      <c r="RST21" s="40"/>
      <c r="RSU21" s="40"/>
      <c r="RSV21" s="40"/>
      <c r="RSW21" s="40"/>
      <c r="RSX21" s="40"/>
      <c r="RSY21" s="40"/>
      <c r="RSZ21" s="40"/>
      <c r="RTA21" s="40"/>
      <c r="RTB21" s="40"/>
      <c r="RTC21" s="40"/>
      <c r="RTD21" s="40"/>
      <c r="RTE21" s="40"/>
      <c r="RTF21" s="40"/>
      <c r="RTG21" s="40"/>
      <c r="RTH21" s="40"/>
      <c r="RTI21" s="40"/>
      <c r="RTJ21" s="40"/>
      <c r="RTK21" s="40"/>
      <c r="RTL21" s="40"/>
      <c r="RTM21" s="40"/>
      <c r="RTN21" s="40"/>
      <c r="RTO21" s="40"/>
      <c r="RTP21" s="40"/>
      <c r="RTQ21" s="40"/>
      <c r="RTR21" s="40"/>
      <c r="RTS21" s="40"/>
      <c r="RTT21" s="40"/>
      <c r="RTU21" s="40"/>
      <c r="RTV21" s="40"/>
      <c r="RTW21" s="40"/>
      <c r="RTX21" s="40"/>
      <c r="RTY21" s="40"/>
      <c r="RTZ21" s="40"/>
      <c r="RUA21" s="40"/>
      <c r="RUB21" s="40"/>
      <c r="RUC21" s="40"/>
      <c r="RUD21" s="40"/>
      <c r="RUE21" s="40"/>
      <c r="RUF21" s="40"/>
      <c r="RUG21" s="40"/>
      <c r="RUH21" s="40"/>
      <c r="RUI21" s="40"/>
      <c r="RUJ21" s="40"/>
      <c r="RUK21" s="40"/>
      <c r="RUL21" s="40"/>
      <c r="RUM21" s="40"/>
      <c r="RUN21" s="40"/>
      <c r="RUO21" s="40"/>
      <c r="RUP21" s="40"/>
      <c r="RUQ21" s="40"/>
      <c r="RUR21" s="40"/>
      <c r="RUS21" s="40"/>
      <c r="RUT21" s="40"/>
      <c r="RUU21" s="40"/>
      <c r="RUV21" s="40"/>
      <c r="RUW21" s="40"/>
      <c r="RUX21" s="40"/>
      <c r="RUY21" s="40"/>
      <c r="RUZ21" s="40"/>
      <c r="RVA21" s="40"/>
      <c r="RVB21" s="40"/>
      <c r="RVC21" s="40"/>
      <c r="RVD21" s="40"/>
      <c r="RVE21" s="40"/>
      <c r="RVF21" s="40"/>
      <c r="RVG21" s="40"/>
      <c r="RVH21" s="40"/>
      <c r="RVI21" s="40"/>
      <c r="RVJ21" s="40"/>
      <c r="RVK21" s="40"/>
      <c r="RVL21" s="40"/>
      <c r="RVM21" s="40"/>
      <c r="RVN21" s="40"/>
      <c r="RVO21" s="40"/>
      <c r="RVP21" s="40"/>
      <c r="RVQ21" s="40"/>
      <c r="RVR21" s="40"/>
      <c r="RVS21" s="40"/>
      <c r="RVT21" s="40"/>
      <c r="RVU21" s="40"/>
      <c r="RVV21" s="40"/>
      <c r="RVW21" s="40"/>
      <c r="RVX21" s="40"/>
      <c r="RVY21" s="40"/>
      <c r="RVZ21" s="40"/>
      <c r="RWA21" s="40"/>
      <c r="RWB21" s="40"/>
      <c r="RWC21" s="40"/>
      <c r="RWD21" s="40"/>
      <c r="RWE21" s="40"/>
      <c r="RWF21" s="40"/>
      <c r="RWG21" s="40"/>
      <c r="RWH21" s="40"/>
      <c r="RWI21" s="40"/>
      <c r="RWJ21" s="40"/>
      <c r="RWK21" s="40"/>
      <c r="RWL21" s="40"/>
      <c r="RWM21" s="40"/>
      <c r="RWN21" s="40"/>
      <c r="RWO21" s="40"/>
      <c r="RWP21" s="40"/>
      <c r="RWQ21" s="40"/>
      <c r="RWR21" s="40"/>
      <c r="RWS21" s="40"/>
      <c r="RWT21" s="40"/>
      <c r="RWU21" s="40"/>
      <c r="RWV21" s="40"/>
      <c r="RWW21" s="40"/>
      <c r="RWX21" s="40"/>
      <c r="RWY21" s="40"/>
      <c r="RWZ21" s="40"/>
      <c r="RXA21" s="40"/>
      <c r="RXB21" s="40"/>
      <c r="RXC21" s="40"/>
      <c r="RXD21" s="40"/>
      <c r="RXE21" s="40"/>
      <c r="RXF21" s="40"/>
      <c r="RXG21" s="40"/>
      <c r="RXH21" s="40"/>
      <c r="RXI21" s="40"/>
      <c r="RXJ21" s="40"/>
      <c r="RXK21" s="40"/>
      <c r="RXL21" s="40"/>
      <c r="RXM21" s="40"/>
      <c r="RXN21" s="40"/>
      <c r="RXO21" s="40"/>
      <c r="RXP21" s="40"/>
      <c r="RXQ21" s="40"/>
      <c r="RXR21" s="40"/>
      <c r="RXS21" s="40"/>
      <c r="RXT21" s="40"/>
      <c r="RXU21" s="40"/>
      <c r="RXV21" s="40"/>
      <c r="RXW21" s="40"/>
      <c r="RXX21" s="40"/>
      <c r="RXY21" s="40"/>
      <c r="RXZ21" s="40"/>
      <c r="RYA21" s="40"/>
      <c r="RYB21" s="40"/>
      <c r="RYC21" s="40"/>
      <c r="RYD21" s="40"/>
      <c r="RYE21" s="40"/>
      <c r="RYF21" s="40"/>
      <c r="RYG21" s="40"/>
      <c r="RYH21" s="40"/>
      <c r="RYI21" s="40"/>
      <c r="RYJ21" s="40"/>
      <c r="RYK21" s="40"/>
      <c r="RYL21" s="40"/>
      <c r="RYM21" s="40"/>
      <c r="RYN21" s="40"/>
      <c r="RYO21" s="40"/>
      <c r="RYP21" s="40"/>
      <c r="RYQ21" s="40"/>
      <c r="RYR21" s="40"/>
      <c r="RYS21" s="40"/>
      <c r="RYT21" s="40"/>
      <c r="RYU21" s="40"/>
      <c r="RYV21" s="40"/>
      <c r="RYW21" s="40"/>
      <c r="RYX21" s="40"/>
      <c r="RYY21" s="40"/>
      <c r="RYZ21" s="40"/>
      <c r="RZA21" s="40"/>
      <c r="RZB21" s="40"/>
      <c r="RZC21" s="40"/>
      <c r="RZD21" s="40"/>
      <c r="RZE21" s="40"/>
      <c r="RZF21" s="40"/>
      <c r="RZG21" s="40"/>
      <c r="RZH21" s="40"/>
      <c r="RZI21" s="40"/>
      <c r="RZJ21" s="40"/>
      <c r="RZK21" s="40"/>
      <c r="RZL21" s="40"/>
      <c r="RZM21" s="40"/>
      <c r="RZN21" s="40"/>
      <c r="RZO21" s="40"/>
      <c r="RZP21" s="40"/>
      <c r="RZQ21" s="40"/>
      <c r="RZR21" s="40"/>
      <c r="RZS21" s="40"/>
      <c r="RZT21" s="40"/>
      <c r="RZU21" s="40"/>
      <c r="RZV21" s="40"/>
      <c r="RZW21" s="40"/>
      <c r="RZX21" s="40"/>
      <c r="RZY21" s="40"/>
      <c r="RZZ21" s="40"/>
      <c r="SAA21" s="40"/>
      <c r="SAB21" s="40"/>
      <c r="SAC21" s="40"/>
      <c r="SAD21" s="40"/>
      <c r="SAE21" s="40"/>
      <c r="SAF21" s="40"/>
      <c r="SAG21" s="40"/>
      <c r="SAH21" s="40"/>
      <c r="SAI21" s="40"/>
      <c r="SAJ21" s="40"/>
      <c r="SAK21" s="40"/>
      <c r="SAL21" s="40"/>
      <c r="SAM21" s="40"/>
      <c r="SAN21" s="40"/>
      <c r="SAO21" s="40"/>
      <c r="SAP21" s="40"/>
      <c r="SAQ21" s="40"/>
      <c r="SAR21" s="40"/>
      <c r="SAS21" s="40"/>
      <c r="SAT21" s="40"/>
      <c r="SAU21" s="40"/>
      <c r="SAV21" s="40"/>
      <c r="SAW21" s="40"/>
      <c r="SAX21" s="40"/>
      <c r="SAY21" s="40"/>
      <c r="SAZ21" s="40"/>
      <c r="SBA21" s="40"/>
      <c r="SBB21" s="40"/>
      <c r="SBC21" s="40"/>
      <c r="SBD21" s="40"/>
      <c r="SBE21" s="40"/>
      <c r="SBF21" s="40"/>
      <c r="SBG21" s="40"/>
      <c r="SBH21" s="40"/>
      <c r="SBI21" s="40"/>
      <c r="SBJ21" s="40"/>
      <c r="SBK21" s="40"/>
      <c r="SBL21" s="40"/>
      <c r="SBM21" s="40"/>
      <c r="SBN21" s="40"/>
      <c r="SBO21" s="40"/>
      <c r="SBP21" s="40"/>
      <c r="SBQ21" s="40"/>
      <c r="SBR21" s="40"/>
      <c r="SBS21" s="40"/>
      <c r="SBT21" s="40"/>
      <c r="SBU21" s="40"/>
      <c r="SBV21" s="40"/>
      <c r="SBW21" s="40"/>
      <c r="SBX21" s="40"/>
      <c r="SBY21" s="40"/>
      <c r="SBZ21" s="40"/>
      <c r="SCA21" s="40"/>
      <c r="SCB21" s="40"/>
      <c r="SCC21" s="40"/>
      <c r="SCD21" s="40"/>
      <c r="SCE21" s="40"/>
      <c r="SCF21" s="40"/>
      <c r="SCG21" s="40"/>
      <c r="SCH21" s="40"/>
      <c r="SCI21" s="40"/>
      <c r="SCJ21" s="40"/>
      <c r="SCK21" s="40"/>
      <c r="SCL21" s="40"/>
      <c r="SCM21" s="40"/>
      <c r="SCN21" s="40"/>
      <c r="SCO21" s="40"/>
      <c r="SCP21" s="40"/>
      <c r="SCQ21" s="40"/>
      <c r="SCR21" s="40"/>
      <c r="SCS21" s="40"/>
      <c r="SCT21" s="40"/>
      <c r="SCU21" s="40"/>
      <c r="SCV21" s="40"/>
      <c r="SCW21" s="40"/>
      <c r="SCX21" s="40"/>
      <c r="SCY21" s="40"/>
      <c r="SCZ21" s="40"/>
      <c r="SDA21" s="40"/>
      <c r="SDB21" s="40"/>
      <c r="SDC21" s="40"/>
      <c r="SDD21" s="40"/>
      <c r="SDE21" s="40"/>
      <c r="SDF21" s="40"/>
      <c r="SDG21" s="40"/>
      <c r="SDH21" s="40"/>
      <c r="SDI21" s="40"/>
      <c r="SDJ21" s="40"/>
      <c r="SDK21" s="40"/>
      <c r="SDL21" s="40"/>
      <c r="SDM21" s="40"/>
      <c r="SDN21" s="40"/>
      <c r="SDO21" s="40"/>
      <c r="SDP21" s="40"/>
      <c r="SDQ21" s="40"/>
      <c r="SDR21" s="40"/>
      <c r="SDS21" s="40"/>
      <c r="SDT21" s="40"/>
      <c r="SDU21" s="40"/>
      <c r="SDV21" s="40"/>
      <c r="SDW21" s="40"/>
      <c r="SDX21" s="40"/>
      <c r="SDY21" s="40"/>
      <c r="SDZ21" s="40"/>
      <c r="SEA21" s="40"/>
      <c r="SEB21" s="40"/>
      <c r="SEC21" s="40"/>
      <c r="SED21" s="40"/>
      <c r="SEE21" s="40"/>
      <c r="SEF21" s="40"/>
      <c r="SEG21" s="40"/>
      <c r="SEH21" s="40"/>
      <c r="SEI21" s="40"/>
      <c r="SEJ21" s="40"/>
      <c r="SEK21" s="40"/>
      <c r="SEL21" s="40"/>
      <c r="SEM21" s="40"/>
      <c r="SEN21" s="40"/>
      <c r="SEO21" s="40"/>
      <c r="SEP21" s="40"/>
      <c r="SEQ21" s="40"/>
      <c r="SER21" s="40"/>
      <c r="SES21" s="40"/>
      <c r="SET21" s="40"/>
      <c r="SEU21" s="40"/>
      <c r="SEV21" s="40"/>
      <c r="SEW21" s="40"/>
      <c r="SEX21" s="40"/>
      <c r="SEY21" s="40"/>
      <c r="SEZ21" s="40"/>
      <c r="SFA21" s="40"/>
      <c r="SFB21" s="40"/>
      <c r="SFC21" s="40"/>
      <c r="SFD21" s="40"/>
      <c r="SFE21" s="40"/>
      <c r="SFF21" s="40"/>
      <c r="SFG21" s="40"/>
      <c r="SFH21" s="40"/>
      <c r="SFI21" s="40"/>
      <c r="SFJ21" s="40"/>
      <c r="SFK21" s="40"/>
      <c r="SFL21" s="40"/>
      <c r="SFM21" s="40"/>
      <c r="SFN21" s="40"/>
      <c r="SFO21" s="40"/>
      <c r="SFP21" s="40"/>
      <c r="SFQ21" s="40"/>
      <c r="SFR21" s="40"/>
      <c r="SFS21" s="40"/>
      <c r="SFT21" s="40"/>
      <c r="SFU21" s="40"/>
      <c r="SFV21" s="40"/>
      <c r="SFW21" s="40"/>
      <c r="SFX21" s="40"/>
      <c r="SFY21" s="40"/>
      <c r="SFZ21" s="40"/>
      <c r="SGA21" s="40"/>
      <c r="SGB21" s="40"/>
      <c r="SGC21" s="40"/>
      <c r="SGD21" s="40"/>
      <c r="SGE21" s="40"/>
      <c r="SGF21" s="40"/>
      <c r="SGG21" s="40"/>
      <c r="SGH21" s="40"/>
      <c r="SGI21" s="40"/>
      <c r="SGJ21" s="40"/>
      <c r="SGK21" s="40"/>
      <c r="SGL21" s="40"/>
      <c r="SGM21" s="40"/>
      <c r="SGN21" s="40"/>
      <c r="SGO21" s="40"/>
      <c r="SGP21" s="40"/>
      <c r="SGQ21" s="40"/>
      <c r="SGR21" s="40"/>
      <c r="SGS21" s="40"/>
      <c r="SGT21" s="40"/>
      <c r="SGU21" s="40"/>
      <c r="SGV21" s="40"/>
      <c r="SGW21" s="40"/>
      <c r="SGX21" s="40"/>
      <c r="SGY21" s="40"/>
      <c r="SGZ21" s="40"/>
      <c r="SHA21" s="40"/>
      <c r="SHB21" s="40"/>
      <c r="SHC21" s="40"/>
      <c r="SHD21" s="40"/>
      <c r="SHE21" s="40"/>
      <c r="SHF21" s="40"/>
      <c r="SHG21" s="40"/>
      <c r="SHH21" s="40"/>
      <c r="SHI21" s="40"/>
      <c r="SHJ21" s="40"/>
      <c r="SHK21" s="40"/>
      <c r="SHL21" s="40"/>
      <c r="SHM21" s="40"/>
      <c r="SHN21" s="40"/>
      <c r="SHO21" s="40"/>
      <c r="SHP21" s="40"/>
      <c r="SHQ21" s="40"/>
      <c r="SHR21" s="40"/>
      <c r="SHS21" s="40"/>
      <c r="SHT21" s="40"/>
      <c r="SHU21" s="40"/>
      <c r="SHV21" s="40"/>
      <c r="SHW21" s="40"/>
      <c r="SHX21" s="40"/>
      <c r="SHY21" s="40"/>
      <c r="SHZ21" s="40"/>
      <c r="SIA21" s="40"/>
      <c r="SIB21" s="40"/>
      <c r="SIC21" s="40"/>
      <c r="SID21" s="40"/>
      <c r="SIE21" s="40"/>
      <c r="SIF21" s="40"/>
      <c r="SIG21" s="40"/>
      <c r="SIH21" s="40"/>
      <c r="SII21" s="40"/>
      <c r="SIJ21" s="40"/>
      <c r="SIK21" s="40"/>
      <c r="SIL21" s="40"/>
      <c r="SIM21" s="40"/>
      <c r="SIN21" s="40"/>
      <c r="SIO21" s="40"/>
      <c r="SIP21" s="40"/>
      <c r="SIQ21" s="40"/>
      <c r="SIR21" s="40"/>
      <c r="SIS21" s="40"/>
      <c r="SIT21" s="40"/>
      <c r="SIU21" s="40"/>
      <c r="SIV21" s="40"/>
      <c r="SIW21" s="40"/>
      <c r="SIX21" s="40"/>
      <c r="SIY21" s="40"/>
      <c r="SIZ21" s="40"/>
      <c r="SJA21" s="40"/>
      <c r="SJB21" s="40"/>
      <c r="SJC21" s="40"/>
      <c r="SJD21" s="40"/>
      <c r="SJE21" s="40"/>
      <c r="SJF21" s="40"/>
      <c r="SJG21" s="40"/>
      <c r="SJH21" s="40"/>
      <c r="SJI21" s="40"/>
      <c r="SJJ21" s="40"/>
      <c r="SJK21" s="40"/>
      <c r="SJL21" s="40"/>
      <c r="SJM21" s="40"/>
      <c r="SJN21" s="40"/>
      <c r="SJO21" s="40"/>
      <c r="SJP21" s="40"/>
      <c r="SJQ21" s="40"/>
      <c r="SJR21" s="40"/>
      <c r="SJS21" s="40"/>
      <c r="SJT21" s="40"/>
      <c r="SJU21" s="40"/>
      <c r="SJV21" s="40"/>
      <c r="SJW21" s="40"/>
      <c r="SJX21" s="40"/>
      <c r="SJY21" s="40"/>
      <c r="SJZ21" s="40"/>
      <c r="SKA21" s="40"/>
      <c r="SKB21" s="40"/>
      <c r="SKC21" s="40"/>
      <c r="SKD21" s="40"/>
      <c r="SKE21" s="40"/>
      <c r="SKF21" s="40"/>
      <c r="SKG21" s="40"/>
      <c r="SKH21" s="40"/>
      <c r="SKI21" s="40"/>
      <c r="SKJ21" s="40"/>
      <c r="SKK21" s="40"/>
      <c r="SKL21" s="40"/>
      <c r="SKM21" s="40"/>
      <c r="SKN21" s="40"/>
      <c r="SKO21" s="40"/>
      <c r="SKP21" s="40"/>
      <c r="SKQ21" s="40"/>
      <c r="SKR21" s="40"/>
      <c r="SKS21" s="40"/>
      <c r="SKT21" s="40"/>
      <c r="SKU21" s="40"/>
      <c r="SKV21" s="40"/>
      <c r="SKW21" s="40"/>
      <c r="SKX21" s="40"/>
      <c r="SKY21" s="40"/>
      <c r="SKZ21" s="40"/>
      <c r="SLA21" s="40"/>
      <c r="SLB21" s="40"/>
      <c r="SLC21" s="40"/>
      <c r="SLD21" s="40"/>
      <c r="SLE21" s="40"/>
      <c r="SLF21" s="40"/>
      <c r="SLG21" s="40"/>
      <c r="SLH21" s="40"/>
      <c r="SLI21" s="40"/>
      <c r="SLJ21" s="40"/>
      <c r="SLK21" s="40"/>
      <c r="SLL21" s="40"/>
      <c r="SLM21" s="40"/>
      <c r="SLN21" s="40"/>
      <c r="SLO21" s="40"/>
      <c r="SLP21" s="40"/>
      <c r="SLQ21" s="40"/>
      <c r="SLR21" s="40"/>
      <c r="SLS21" s="40"/>
      <c r="SLT21" s="40"/>
      <c r="SLU21" s="40"/>
      <c r="SLV21" s="40"/>
      <c r="SLW21" s="40"/>
      <c r="SLX21" s="40"/>
      <c r="SLY21" s="40"/>
      <c r="SLZ21" s="40"/>
      <c r="SMA21" s="40"/>
      <c r="SMB21" s="40"/>
      <c r="SMC21" s="40"/>
      <c r="SMD21" s="40"/>
      <c r="SME21" s="40"/>
      <c r="SMF21" s="40"/>
      <c r="SMG21" s="40"/>
      <c r="SMH21" s="40"/>
      <c r="SMI21" s="40"/>
      <c r="SMJ21" s="40"/>
      <c r="SMK21" s="40"/>
      <c r="SML21" s="40"/>
      <c r="SMM21" s="40"/>
      <c r="SMN21" s="40"/>
      <c r="SMO21" s="40"/>
      <c r="SMP21" s="40"/>
      <c r="SMQ21" s="40"/>
      <c r="SMR21" s="40"/>
      <c r="SMS21" s="40"/>
      <c r="SMT21" s="40"/>
      <c r="SMU21" s="40"/>
      <c r="SMV21" s="40"/>
      <c r="SMW21" s="40"/>
      <c r="SMX21" s="40"/>
      <c r="SMY21" s="40"/>
      <c r="SMZ21" s="40"/>
      <c r="SNA21" s="40"/>
      <c r="SNB21" s="40"/>
      <c r="SNC21" s="40"/>
      <c r="SND21" s="40"/>
      <c r="SNE21" s="40"/>
      <c r="SNF21" s="40"/>
      <c r="SNG21" s="40"/>
      <c r="SNH21" s="40"/>
      <c r="SNI21" s="40"/>
      <c r="SNJ21" s="40"/>
      <c r="SNK21" s="40"/>
      <c r="SNL21" s="40"/>
      <c r="SNM21" s="40"/>
      <c r="SNN21" s="40"/>
      <c r="SNO21" s="40"/>
      <c r="SNP21" s="40"/>
      <c r="SNQ21" s="40"/>
      <c r="SNR21" s="40"/>
      <c r="SNS21" s="40"/>
      <c r="SNT21" s="40"/>
      <c r="SNU21" s="40"/>
      <c r="SNV21" s="40"/>
      <c r="SNW21" s="40"/>
      <c r="SNX21" s="40"/>
      <c r="SNY21" s="40"/>
      <c r="SNZ21" s="40"/>
      <c r="SOA21" s="40"/>
      <c r="SOB21" s="40"/>
      <c r="SOC21" s="40"/>
      <c r="SOD21" s="40"/>
      <c r="SOE21" s="40"/>
      <c r="SOF21" s="40"/>
      <c r="SOG21" s="40"/>
      <c r="SOH21" s="40"/>
      <c r="SOI21" s="40"/>
      <c r="SOJ21" s="40"/>
      <c r="SOK21" s="40"/>
      <c r="SOL21" s="40"/>
      <c r="SOM21" s="40"/>
      <c r="SON21" s="40"/>
      <c r="SOO21" s="40"/>
      <c r="SOP21" s="40"/>
      <c r="SOQ21" s="40"/>
      <c r="SOR21" s="40"/>
      <c r="SOS21" s="40"/>
      <c r="SOT21" s="40"/>
      <c r="SOU21" s="40"/>
      <c r="SOV21" s="40"/>
      <c r="SOW21" s="40"/>
      <c r="SOX21" s="40"/>
      <c r="SOY21" s="40"/>
      <c r="SOZ21" s="40"/>
      <c r="SPA21" s="40"/>
      <c r="SPB21" s="40"/>
      <c r="SPC21" s="40"/>
      <c r="SPD21" s="40"/>
      <c r="SPE21" s="40"/>
      <c r="SPF21" s="40"/>
      <c r="SPG21" s="40"/>
      <c r="SPH21" s="40"/>
      <c r="SPI21" s="40"/>
      <c r="SPJ21" s="40"/>
      <c r="SPK21" s="40"/>
      <c r="SPL21" s="40"/>
      <c r="SPM21" s="40"/>
      <c r="SPN21" s="40"/>
      <c r="SPO21" s="40"/>
      <c r="SPP21" s="40"/>
      <c r="SPQ21" s="40"/>
      <c r="SPR21" s="40"/>
      <c r="SPS21" s="40"/>
      <c r="SPT21" s="40"/>
      <c r="SPU21" s="40"/>
      <c r="SPV21" s="40"/>
      <c r="SPW21" s="40"/>
      <c r="SPX21" s="40"/>
      <c r="SPY21" s="40"/>
      <c r="SPZ21" s="40"/>
      <c r="SQA21" s="40"/>
      <c r="SQB21" s="40"/>
      <c r="SQC21" s="40"/>
      <c r="SQD21" s="40"/>
      <c r="SQE21" s="40"/>
      <c r="SQF21" s="40"/>
      <c r="SQG21" s="40"/>
      <c r="SQH21" s="40"/>
      <c r="SQI21" s="40"/>
      <c r="SQJ21" s="40"/>
      <c r="SQK21" s="40"/>
      <c r="SQL21" s="40"/>
      <c r="SQM21" s="40"/>
      <c r="SQN21" s="40"/>
      <c r="SQO21" s="40"/>
      <c r="SQP21" s="40"/>
      <c r="SQQ21" s="40"/>
      <c r="SQR21" s="40"/>
      <c r="SQS21" s="40"/>
      <c r="SQT21" s="40"/>
      <c r="SQU21" s="40"/>
      <c r="SQV21" s="40"/>
      <c r="SQW21" s="40"/>
      <c r="SQX21" s="40"/>
      <c r="SQY21" s="40"/>
      <c r="SQZ21" s="40"/>
      <c r="SRA21" s="40"/>
      <c r="SRB21" s="40"/>
      <c r="SRC21" s="40"/>
      <c r="SRD21" s="40"/>
      <c r="SRE21" s="40"/>
      <c r="SRF21" s="40"/>
      <c r="SRG21" s="40"/>
      <c r="SRH21" s="40"/>
      <c r="SRI21" s="40"/>
      <c r="SRJ21" s="40"/>
      <c r="SRK21" s="40"/>
      <c r="SRL21" s="40"/>
      <c r="SRM21" s="40"/>
      <c r="SRN21" s="40"/>
      <c r="SRO21" s="40"/>
      <c r="SRP21" s="40"/>
      <c r="SRQ21" s="40"/>
      <c r="SRR21" s="40"/>
      <c r="SRS21" s="40"/>
      <c r="SRT21" s="40"/>
      <c r="SRU21" s="40"/>
      <c r="SRV21" s="40"/>
      <c r="SRW21" s="40"/>
      <c r="SRX21" s="40"/>
      <c r="SRY21" s="40"/>
      <c r="SRZ21" s="40"/>
      <c r="SSA21" s="40"/>
      <c r="SSB21" s="40"/>
      <c r="SSC21" s="40"/>
      <c r="SSD21" s="40"/>
      <c r="SSE21" s="40"/>
      <c r="SSF21" s="40"/>
      <c r="SSG21" s="40"/>
      <c r="SSH21" s="40"/>
      <c r="SSI21" s="40"/>
      <c r="SSJ21" s="40"/>
      <c r="SSK21" s="40"/>
      <c r="SSL21" s="40"/>
      <c r="SSM21" s="40"/>
      <c r="SSN21" s="40"/>
      <c r="SSO21" s="40"/>
      <c r="SSP21" s="40"/>
      <c r="SSQ21" s="40"/>
      <c r="SSR21" s="40"/>
      <c r="SSS21" s="40"/>
      <c r="SST21" s="40"/>
      <c r="SSU21" s="40"/>
      <c r="SSV21" s="40"/>
      <c r="SSW21" s="40"/>
      <c r="SSX21" s="40"/>
      <c r="SSY21" s="40"/>
      <c r="SSZ21" s="40"/>
      <c r="STA21" s="40"/>
      <c r="STB21" s="40"/>
      <c r="STC21" s="40"/>
      <c r="STD21" s="40"/>
      <c r="STE21" s="40"/>
      <c r="STF21" s="40"/>
      <c r="STG21" s="40"/>
      <c r="STH21" s="40"/>
      <c r="STI21" s="40"/>
      <c r="STJ21" s="40"/>
      <c r="STK21" s="40"/>
      <c r="STL21" s="40"/>
      <c r="STM21" s="40"/>
      <c r="STN21" s="40"/>
      <c r="STO21" s="40"/>
      <c r="STP21" s="40"/>
      <c r="STQ21" s="40"/>
      <c r="STR21" s="40"/>
      <c r="STS21" s="40"/>
      <c r="STT21" s="40"/>
      <c r="STU21" s="40"/>
      <c r="STV21" s="40"/>
      <c r="STW21" s="40"/>
      <c r="STX21" s="40"/>
      <c r="STY21" s="40"/>
      <c r="STZ21" s="40"/>
      <c r="SUA21" s="40"/>
      <c r="SUB21" s="40"/>
      <c r="SUC21" s="40"/>
      <c r="SUD21" s="40"/>
      <c r="SUE21" s="40"/>
      <c r="SUF21" s="40"/>
      <c r="SUG21" s="40"/>
      <c r="SUH21" s="40"/>
      <c r="SUI21" s="40"/>
      <c r="SUJ21" s="40"/>
      <c r="SUK21" s="40"/>
      <c r="SUL21" s="40"/>
      <c r="SUM21" s="40"/>
      <c r="SUN21" s="40"/>
      <c r="SUO21" s="40"/>
      <c r="SUP21" s="40"/>
      <c r="SUQ21" s="40"/>
      <c r="SUR21" s="40"/>
      <c r="SUS21" s="40"/>
      <c r="SUT21" s="40"/>
      <c r="SUU21" s="40"/>
      <c r="SUV21" s="40"/>
      <c r="SUW21" s="40"/>
      <c r="SUX21" s="40"/>
      <c r="SUY21" s="40"/>
      <c r="SUZ21" s="40"/>
      <c r="SVA21" s="40"/>
      <c r="SVB21" s="40"/>
      <c r="SVC21" s="40"/>
      <c r="SVD21" s="40"/>
      <c r="SVE21" s="40"/>
      <c r="SVF21" s="40"/>
      <c r="SVG21" s="40"/>
      <c r="SVH21" s="40"/>
      <c r="SVI21" s="40"/>
      <c r="SVJ21" s="40"/>
      <c r="SVK21" s="40"/>
      <c r="SVL21" s="40"/>
      <c r="SVM21" s="40"/>
      <c r="SVN21" s="40"/>
      <c r="SVO21" s="40"/>
      <c r="SVP21" s="40"/>
      <c r="SVQ21" s="40"/>
      <c r="SVR21" s="40"/>
      <c r="SVS21" s="40"/>
      <c r="SVT21" s="40"/>
      <c r="SVU21" s="40"/>
      <c r="SVV21" s="40"/>
      <c r="SVW21" s="40"/>
      <c r="SVX21" s="40"/>
      <c r="SVY21" s="40"/>
      <c r="SVZ21" s="40"/>
      <c r="SWA21" s="40"/>
      <c r="SWB21" s="40"/>
      <c r="SWC21" s="40"/>
      <c r="SWD21" s="40"/>
      <c r="SWE21" s="40"/>
      <c r="SWF21" s="40"/>
      <c r="SWG21" s="40"/>
      <c r="SWH21" s="40"/>
      <c r="SWI21" s="40"/>
      <c r="SWJ21" s="40"/>
      <c r="SWK21" s="40"/>
      <c r="SWL21" s="40"/>
      <c r="SWM21" s="40"/>
      <c r="SWN21" s="40"/>
      <c r="SWO21" s="40"/>
      <c r="SWP21" s="40"/>
      <c r="SWQ21" s="40"/>
      <c r="SWR21" s="40"/>
      <c r="SWS21" s="40"/>
      <c r="SWT21" s="40"/>
      <c r="SWU21" s="40"/>
      <c r="SWV21" s="40"/>
      <c r="SWW21" s="40"/>
      <c r="SWX21" s="40"/>
      <c r="SWY21" s="40"/>
      <c r="SWZ21" s="40"/>
      <c r="SXA21" s="40"/>
      <c r="SXB21" s="40"/>
      <c r="SXC21" s="40"/>
      <c r="SXD21" s="40"/>
      <c r="SXE21" s="40"/>
      <c r="SXF21" s="40"/>
      <c r="SXG21" s="40"/>
      <c r="SXH21" s="40"/>
      <c r="SXI21" s="40"/>
      <c r="SXJ21" s="40"/>
      <c r="SXK21" s="40"/>
      <c r="SXL21" s="40"/>
      <c r="SXM21" s="40"/>
      <c r="SXN21" s="40"/>
      <c r="SXO21" s="40"/>
      <c r="SXP21" s="40"/>
      <c r="SXQ21" s="40"/>
      <c r="SXR21" s="40"/>
      <c r="SXS21" s="40"/>
      <c r="SXT21" s="40"/>
      <c r="SXU21" s="40"/>
      <c r="SXV21" s="40"/>
      <c r="SXW21" s="40"/>
      <c r="SXX21" s="40"/>
      <c r="SXY21" s="40"/>
      <c r="SXZ21" s="40"/>
      <c r="SYA21" s="40"/>
      <c r="SYB21" s="40"/>
      <c r="SYC21" s="40"/>
      <c r="SYD21" s="40"/>
      <c r="SYE21" s="40"/>
      <c r="SYF21" s="40"/>
      <c r="SYG21" s="40"/>
      <c r="SYH21" s="40"/>
      <c r="SYI21" s="40"/>
      <c r="SYJ21" s="40"/>
      <c r="SYK21" s="40"/>
      <c r="SYL21" s="40"/>
      <c r="SYM21" s="40"/>
      <c r="SYN21" s="40"/>
      <c r="SYO21" s="40"/>
      <c r="SYP21" s="40"/>
      <c r="SYQ21" s="40"/>
      <c r="SYR21" s="40"/>
      <c r="SYS21" s="40"/>
      <c r="SYT21" s="40"/>
      <c r="SYU21" s="40"/>
      <c r="SYV21" s="40"/>
      <c r="SYW21" s="40"/>
      <c r="SYX21" s="40"/>
      <c r="SYY21" s="40"/>
      <c r="SYZ21" s="40"/>
      <c r="SZA21" s="40"/>
      <c r="SZB21" s="40"/>
      <c r="SZC21" s="40"/>
      <c r="SZD21" s="40"/>
      <c r="SZE21" s="40"/>
      <c r="SZF21" s="40"/>
      <c r="SZG21" s="40"/>
      <c r="SZH21" s="40"/>
      <c r="SZI21" s="40"/>
      <c r="SZJ21" s="40"/>
      <c r="SZK21" s="40"/>
      <c r="SZL21" s="40"/>
      <c r="SZM21" s="40"/>
      <c r="SZN21" s="40"/>
      <c r="SZO21" s="40"/>
      <c r="SZP21" s="40"/>
      <c r="SZQ21" s="40"/>
      <c r="SZR21" s="40"/>
      <c r="SZS21" s="40"/>
      <c r="SZT21" s="40"/>
      <c r="SZU21" s="40"/>
      <c r="SZV21" s="40"/>
      <c r="SZW21" s="40"/>
      <c r="SZX21" s="40"/>
      <c r="SZY21" s="40"/>
      <c r="SZZ21" s="40"/>
      <c r="TAA21" s="40"/>
      <c r="TAB21" s="40"/>
      <c r="TAC21" s="40"/>
      <c r="TAD21" s="40"/>
      <c r="TAE21" s="40"/>
      <c r="TAF21" s="40"/>
      <c r="TAG21" s="40"/>
      <c r="TAH21" s="40"/>
      <c r="TAI21" s="40"/>
      <c r="TAJ21" s="40"/>
      <c r="TAK21" s="40"/>
      <c r="TAL21" s="40"/>
      <c r="TAM21" s="40"/>
      <c r="TAN21" s="40"/>
      <c r="TAO21" s="40"/>
      <c r="TAP21" s="40"/>
      <c r="TAQ21" s="40"/>
      <c r="TAR21" s="40"/>
      <c r="TAS21" s="40"/>
      <c r="TAT21" s="40"/>
      <c r="TAU21" s="40"/>
      <c r="TAV21" s="40"/>
      <c r="TAW21" s="40"/>
      <c r="TAX21" s="40"/>
      <c r="TAY21" s="40"/>
      <c r="TAZ21" s="40"/>
      <c r="TBA21" s="40"/>
      <c r="TBB21" s="40"/>
      <c r="TBC21" s="40"/>
      <c r="TBD21" s="40"/>
      <c r="TBE21" s="40"/>
      <c r="TBF21" s="40"/>
      <c r="TBG21" s="40"/>
      <c r="TBH21" s="40"/>
      <c r="TBI21" s="40"/>
      <c r="TBJ21" s="40"/>
      <c r="TBK21" s="40"/>
      <c r="TBL21" s="40"/>
      <c r="TBM21" s="40"/>
      <c r="TBN21" s="40"/>
      <c r="TBO21" s="40"/>
      <c r="TBP21" s="40"/>
      <c r="TBQ21" s="40"/>
      <c r="TBR21" s="40"/>
      <c r="TBS21" s="40"/>
      <c r="TBT21" s="40"/>
      <c r="TBU21" s="40"/>
      <c r="TBV21" s="40"/>
      <c r="TBW21" s="40"/>
      <c r="TBX21" s="40"/>
      <c r="TBY21" s="40"/>
      <c r="TBZ21" s="40"/>
      <c r="TCA21" s="40"/>
      <c r="TCB21" s="40"/>
      <c r="TCC21" s="40"/>
      <c r="TCD21" s="40"/>
      <c r="TCE21" s="40"/>
      <c r="TCF21" s="40"/>
      <c r="TCG21" s="40"/>
      <c r="TCH21" s="40"/>
      <c r="TCI21" s="40"/>
      <c r="TCJ21" s="40"/>
      <c r="TCK21" s="40"/>
      <c r="TCL21" s="40"/>
      <c r="TCM21" s="40"/>
      <c r="TCN21" s="40"/>
      <c r="TCO21" s="40"/>
      <c r="TCP21" s="40"/>
      <c r="TCQ21" s="40"/>
      <c r="TCR21" s="40"/>
      <c r="TCS21" s="40"/>
      <c r="TCT21" s="40"/>
      <c r="TCU21" s="40"/>
      <c r="TCV21" s="40"/>
      <c r="TCW21" s="40"/>
      <c r="TCX21" s="40"/>
      <c r="TCY21" s="40"/>
      <c r="TCZ21" s="40"/>
      <c r="TDA21" s="40"/>
      <c r="TDB21" s="40"/>
      <c r="TDC21" s="40"/>
      <c r="TDD21" s="40"/>
      <c r="TDE21" s="40"/>
      <c r="TDF21" s="40"/>
      <c r="TDG21" s="40"/>
      <c r="TDH21" s="40"/>
      <c r="TDI21" s="40"/>
      <c r="TDJ21" s="40"/>
      <c r="TDK21" s="40"/>
      <c r="TDL21" s="40"/>
      <c r="TDM21" s="40"/>
      <c r="TDN21" s="40"/>
      <c r="TDO21" s="40"/>
      <c r="TDP21" s="40"/>
      <c r="TDQ21" s="40"/>
      <c r="TDR21" s="40"/>
      <c r="TDS21" s="40"/>
      <c r="TDT21" s="40"/>
      <c r="TDU21" s="40"/>
      <c r="TDV21" s="40"/>
      <c r="TDW21" s="40"/>
      <c r="TDX21" s="40"/>
      <c r="TDY21" s="40"/>
      <c r="TDZ21" s="40"/>
      <c r="TEA21" s="40"/>
      <c r="TEB21" s="40"/>
      <c r="TEC21" s="40"/>
      <c r="TED21" s="40"/>
      <c r="TEE21" s="40"/>
      <c r="TEF21" s="40"/>
      <c r="TEG21" s="40"/>
      <c r="TEH21" s="40"/>
      <c r="TEI21" s="40"/>
      <c r="TEJ21" s="40"/>
      <c r="TEK21" s="40"/>
      <c r="TEL21" s="40"/>
      <c r="TEM21" s="40"/>
      <c r="TEN21" s="40"/>
      <c r="TEO21" s="40"/>
      <c r="TEP21" s="40"/>
      <c r="TEQ21" s="40"/>
      <c r="TER21" s="40"/>
      <c r="TES21" s="40"/>
      <c r="TET21" s="40"/>
      <c r="TEU21" s="40"/>
      <c r="TEV21" s="40"/>
      <c r="TEW21" s="40"/>
      <c r="TEX21" s="40"/>
      <c r="TEY21" s="40"/>
      <c r="TEZ21" s="40"/>
      <c r="TFA21" s="40"/>
      <c r="TFB21" s="40"/>
      <c r="TFC21" s="40"/>
      <c r="TFD21" s="40"/>
      <c r="TFE21" s="40"/>
      <c r="TFF21" s="40"/>
      <c r="TFG21" s="40"/>
      <c r="TFH21" s="40"/>
      <c r="TFI21" s="40"/>
      <c r="TFJ21" s="40"/>
      <c r="TFK21" s="40"/>
      <c r="TFL21" s="40"/>
      <c r="TFM21" s="40"/>
      <c r="TFN21" s="40"/>
      <c r="TFO21" s="40"/>
      <c r="TFP21" s="40"/>
      <c r="TFQ21" s="40"/>
      <c r="TFR21" s="40"/>
      <c r="TFS21" s="40"/>
      <c r="TFT21" s="40"/>
      <c r="TFU21" s="40"/>
      <c r="TFV21" s="40"/>
      <c r="TFW21" s="40"/>
      <c r="TFX21" s="40"/>
      <c r="TFY21" s="40"/>
      <c r="TFZ21" s="40"/>
      <c r="TGA21" s="40"/>
      <c r="TGB21" s="40"/>
      <c r="TGC21" s="40"/>
      <c r="TGD21" s="40"/>
      <c r="TGE21" s="40"/>
      <c r="TGF21" s="40"/>
      <c r="TGG21" s="40"/>
      <c r="TGH21" s="40"/>
      <c r="TGI21" s="40"/>
      <c r="TGJ21" s="40"/>
      <c r="TGK21" s="40"/>
      <c r="TGL21" s="40"/>
      <c r="TGM21" s="40"/>
      <c r="TGN21" s="40"/>
      <c r="TGO21" s="40"/>
      <c r="TGP21" s="40"/>
      <c r="TGQ21" s="40"/>
      <c r="TGR21" s="40"/>
      <c r="TGS21" s="40"/>
      <c r="TGT21" s="40"/>
      <c r="TGU21" s="40"/>
      <c r="TGV21" s="40"/>
      <c r="TGW21" s="40"/>
      <c r="TGX21" s="40"/>
      <c r="TGY21" s="40"/>
      <c r="TGZ21" s="40"/>
      <c r="THA21" s="40"/>
      <c r="THB21" s="40"/>
      <c r="THC21" s="40"/>
      <c r="THD21" s="40"/>
      <c r="THE21" s="40"/>
      <c r="THF21" s="40"/>
      <c r="THG21" s="40"/>
      <c r="THH21" s="40"/>
      <c r="THI21" s="40"/>
      <c r="THJ21" s="40"/>
      <c r="THK21" s="40"/>
      <c r="THL21" s="40"/>
      <c r="THM21" s="40"/>
      <c r="THN21" s="40"/>
      <c r="THO21" s="40"/>
      <c r="THP21" s="40"/>
      <c r="THQ21" s="40"/>
      <c r="THR21" s="40"/>
      <c r="THS21" s="40"/>
      <c r="THT21" s="40"/>
      <c r="THU21" s="40"/>
      <c r="THV21" s="40"/>
      <c r="THW21" s="40"/>
      <c r="THX21" s="40"/>
      <c r="THY21" s="40"/>
      <c r="THZ21" s="40"/>
      <c r="TIA21" s="40"/>
      <c r="TIB21" s="40"/>
      <c r="TIC21" s="40"/>
      <c r="TID21" s="40"/>
      <c r="TIE21" s="40"/>
      <c r="TIF21" s="40"/>
      <c r="TIG21" s="40"/>
      <c r="TIH21" s="40"/>
      <c r="TII21" s="40"/>
      <c r="TIJ21" s="40"/>
      <c r="TIK21" s="40"/>
      <c r="TIL21" s="40"/>
      <c r="TIM21" s="40"/>
      <c r="TIN21" s="40"/>
      <c r="TIO21" s="40"/>
      <c r="TIP21" s="40"/>
      <c r="TIQ21" s="40"/>
      <c r="TIR21" s="40"/>
      <c r="TIS21" s="40"/>
      <c r="TIT21" s="40"/>
      <c r="TIU21" s="40"/>
      <c r="TIV21" s="40"/>
      <c r="TIW21" s="40"/>
      <c r="TIX21" s="40"/>
      <c r="TIY21" s="40"/>
      <c r="TIZ21" s="40"/>
      <c r="TJA21" s="40"/>
      <c r="TJB21" s="40"/>
      <c r="TJC21" s="40"/>
      <c r="TJD21" s="40"/>
      <c r="TJE21" s="40"/>
      <c r="TJF21" s="40"/>
      <c r="TJG21" s="40"/>
      <c r="TJH21" s="40"/>
      <c r="TJI21" s="40"/>
      <c r="TJJ21" s="40"/>
      <c r="TJK21" s="40"/>
      <c r="TJL21" s="40"/>
      <c r="TJM21" s="40"/>
      <c r="TJN21" s="40"/>
      <c r="TJO21" s="40"/>
      <c r="TJP21" s="40"/>
      <c r="TJQ21" s="40"/>
      <c r="TJR21" s="40"/>
      <c r="TJS21" s="40"/>
      <c r="TJT21" s="40"/>
      <c r="TJU21" s="40"/>
      <c r="TJV21" s="40"/>
      <c r="TJW21" s="40"/>
      <c r="TJX21" s="40"/>
      <c r="TJY21" s="40"/>
      <c r="TJZ21" s="40"/>
      <c r="TKA21" s="40"/>
      <c r="TKB21" s="40"/>
      <c r="TKC21" s="40"/>
      <c r="TKD21" s="40"/>
      <c r="TKE21" s="40"/>
      <c r="TKF21" s="40"/>
      <c r="TKG21" s="40"/>
      <c r="TKH21" s="40"/>
      <c r="TKI21" s="40"/>
      <c r="TKJ21" s="40"/>
      <c r="TKK21" s="40"/>
      <c r="TKL21" s="40"/>
      <c r="TKM21" s="40"/>
      <c r="TKN21" s="40"/>
      <c r="TKO21" s="40"/>
      <c r="TKP21" s="40"/>
      <c r="TKQ21" s="40"/>
      <c r="TKR21" s="40"/>
      <c r="TKS21" s="40"/>
      <c r="TKT21" s="40"/>
      <c r="TKU21" s="40"/>
      <c r="TKV21" s="40"/>
      <c r="TKW21" s="40"/>
      <c r="TKX21" s="40"/>
      <c r="TKY21" s="40"/>
      <c r="TKZ21" s="40"/>
      <c r="TLA21" s="40"/>
      <c r="TLB21" s="40"/>
      <c r="TLC21" s="40"/>
      <c r="TLD21" s="40"/>
      <c r="TLE21" s="40"/>
      <c r="TLF21" s="40"/>
      <c r="TLG21" s="40"/>
      <c r="TLH21" s="40"/>
      <c r="TLI21" s="40"/>
      <c r="TLJ21" s="40"/>
      <c r="TLK21" s="40"/>
      <c r="TLL21" s="40"/>
      <c r="TLM21" s="40"/>
      <c r="TLN21" s="40"/>
      <c r="TLO21" s="40"/>
      <c r="TLP21" s="40"/>
      <c r="TLQ21" s="40"/>
      <c r="TLR21" s="40"/>
      <c r="TLS21" s="40"/>
      <c r="TLT21" s="40"/>
      <c r="TLU21" s="40"/>
      <c r="TLV21" s="40"/>
      <c r="TLW21" s="40"/>
      <c r="TLX21" s="40"/>
      <c r="TLY21" s="40"/>
      <c r="TLZ21" s="40"/>
      <c r="TMA21" s="40"/>
      <c r="TMB21" s="40"/>
      <c r="TMC21" s="40"/>
      <c r="TMD21" s="40"/>
      <c r="TME21" s="40"/>
      <c r="TMF21" s="40"/>
      <c r="TMG21" s="40"/>
      <c r="TMH21" s="40"/>
      <c r="TMI21" s="40"/>
      <c r="TMJ21" s="40"/>
      <c r="TMK21" s="40"/>
      <c r="TML21" s="40"/>
      <c r="TMM21" s="40"/>
      <c r="TMN21" s="40"/>
      <c r="TMO21" s="40"/>
      <c r="TMP21" s="40"/>
      <c r="TMQ21" s="40"/>
      <c r="TMR21" s="40"/>
      <c r="TMS21" s="40"/>
      <c r="TMT21" s="40"/>
      <c r="TMU21" s="40"/>
      <c r="TMV21" s="40"/>
      <c r="TMW21" s="40"/>
      <c r="TMX21" s="40"/>
      <c r="TMY21" s="40"/>
      <c r="TMZ21" s="40"/>
      <c r="TNA21" s="40"/>
      <c r="TNB21" s="40"/>
      <c r="TNC21" s="40"/>
      <c r="TND21" s="40"/>
      <c r="TNE21" s="40"/>
      <c r="TNF21" s="40"/>
      <c r="TNG21" s="40"/>
      <c r="TNH21" s="40"/>
      <c r="TNI21" s="40"/>
      <c r="TNJ21" s="40"/>
      <c r="TNK21" s="40"/>
      <c r="TNL21" s="40"/>
      <c r="TNM21" s="40"/>
      <c r="TNN21" s="40"/>
      <c r="TNO21" s="40"/>
      <c r="TNP21" s="40"/>
      <c r="TNQ21" s="40"/>
      <c r="TNR21" s="40"/>
      <c r="TNS21" s="40"/>
      <c r="TNT21" s="40"/>
      <c r="TNU21" s="40"/>
      <c r="TNV21" s="40"/>
      <c r="TNW21" s="40"/>
      <c r="TNX21" s="40"/>
      <c r="TNY21" s="40"/>
      <c r="TNZ21" s="40"/>
      <c r="TOA21" s="40"/>
      <c r="TOB21" s="40"/>
      <c r="TOC21" s="40"/>
      <c r="TOD21" s="40"/>
      <c r="TOE21" s="40"/>
      <c r="TOF21" s="40"/>
      <c r="TOG21" s="40"/>
      <c r="TOH21" s="40"/>
      <c r="TOI21" s="40"/>
      <c r="TOJ21" s="40"/>
      <c r="TOK21" s="40"/>
      <c r="TOL21" s="40"/>
      <c r="TOM21" s="40"/>
      <c r="TON21" s="40"/>
      <c r="TOO21" s="40"/>
      <c r="TOP21" s="40"/>
      <c r="TOQ21" s="40"/>
      <c r="TOR21" s="40"/>
      <c r="TOS21" s="40"/>
      <c r="TOT21" s="40"/>
      <c r="TOU21" s="40"/>
      <c r="TOV21" s="40"/>
      <c r="TOW21" s="40"/>
      <c r="TOX21" s="40"/>
      <c r="TOY21" s="40"/>
      <c r="TOZ21" s="40"/>
      <c r="TPA21" s="40"/>
      <c r="TPB21" s="40"/>
      <c r="TPC21" s="40"/>
      <c r="TPD21" s="40"/>
      <c r="TPE21" s="40"/>
      <c r="TPF21" s="40"/>
      <c r="TPG21" s="40"/>
      <c r="TPH21" s="40"/>
      <c r="TPI21" s="40"/>
      <c r="TPJ21" s="40"/>
      <c r="TPK21" s="40"/>
      <c r="TPL21" s="40"/>
      <c r="TPM21" s="40"/>
      <c r="TPN21" s="40"/>
      <c r="TPO21" s="40"/>
      <c r="TPP21" s="40"/>
      <c r="TPQ21" s="40"/>
      <c r="TPR21" s="40"/>
      <c r="TPS21" s="40"/>
      <c r="TPT21" s="40"/>
      <c r="TPU21" s="40"/>
      <c r="TPV21" s="40"/>
      <c r="TPW21" s="40"/>
      <c r="TPX21" s="40"/>
      <c r="TPY21" s="40"/>
      <c r="TPZ21" s="40"/>
      <c r="TQA21" s="40"/>
      <c r="TQB21" s="40"/>
      <c r="TQC21" s="40"/>
      <c r="TQD21" s="40"/>
      <c r="TQE21" s="40"/>
      <c r="TQF21" s="40"/>
      <c r="TQG21" s="40"/>
      <c r="TQH21" s="40"/>
      <c r="TQI21" s="40"/>
      <c r="TQJ21" s="40"/>
      <c r="TQK21" s="40"/>
      <c r="TQL21" s="40"/>
      <c r="TQM21" s="40"/>
      <c r="TQN21" s="40"/>
      <c r="TQO21" s="40"/>
      <c r="TQP21" s="40"/>
      <c r="TQQ21" s="40"/>
      <c r="TQR21" s="40"/>
      <c r="TQS21" s="40"/>
      <c r="TQT21" s="40"/>
      <c r="TQU21" s="40"/>
      <c r="TQV21" s="40"/>
      <c r="TQW21" s="40"/>
      <c r="TQX21" s="40"/>
      <c r="TQY21" s="40"/>
      <c r="TQZ21" s="40"/>
      <c r="TRA21" s="40"/>
      <c r="TRB21" s="40"/>
      <c r="TRC21" s="40"/>
      <c r="TRD21" s="40"/>
      <c r="TRE21" s="40"/>
      <c r="TRF21" s="40"/>
      <c r="TRG21" s="40"/>
      <c r="TRH21" s="40"/>
      <c r="TRI21" s="40"/>
      <c r="TRJ21" s="40"/>
      <c r="TRK21" s="40"/>
      <c r="TRL21" s="40"/>
      <c r="TRM21" s="40"/>
      <c r="TRN21" s="40"/>
      <c r="TRO21" s="40"/>
      <c r="TRP21" s="40"/>
      <c r="TRQ21" s="40"/>
      <c r="TRR21" s="40"/>
      <c r="TRS21" s="40"/>
      <c r="TRT21" s="40"/>
      <c r="TRU21" s="40"/>
      <c r="TRV21" s="40"/>
      <c r="TRW21" s="40"/>
      <c r="TRX21" s="40"/>
      <c r="TRY21" s="40"/>
      <c r="TRZ21" s="40"/>
      <c r="TSA21" s="40"/>
      <c r="TSB21" s="40"/>
      <c r="TSC21" s="40"/>
      <c r="TSD21" s="40"/>
      <c r="TSE21" s="40"/>
      <c r="TSF21" s="40"/>
      <c r="TSG21" s="40"/>
      <c r="TSH21" s="40"/>
      <c r="TSI21" s="40"/>
      <c r="TSJ21" s="40"/>
      <c r="TSK21" s="40"/>
      <c r="TSL21" s="40"/>
      <c r="TSM21" s="40"/>
      <c r="TSN21" s="40"/>
      <c r="TSO21" s="40"/>
      <c r="TSP21" s="40"/>
      <c r="TSQ21" s="40"/>
      <c r="TSR21" s="40"/>
      <c r="TSS21" s="40"/>
      <c r="TST21" s="40"/>
      <c r="TSU21" s="40"/>
      <c r="TSV21" s="40"/>
      <c r="TSW21" s="40"/>
      <c r="TSX21" s="40"/>
      <c r="TSY21" s="40"/>
      <c r="TSZ21" s="40"/>
      <c r="TTA21" s="40"/>
      <c r="TTB21" s="40"/>
      <c r="TTC21" s="40"/>
      <c r="TTD21" s="40"/>
      <c r="TTE21" s="40"/>
      <c r="TTF21" s="40"/>
      <c r="TTG21" s="40"/>
      <c r="TTH21" s="40"/>
      <c r="TTI21" s="40"/>
      <c r="TTJ21" s="40"/>
      <c r="TTK21" s="40"/>
      <c r="TTL21" s="40"/>
      <c r="TTM21" s="40"/>
      <c r="TTN21" s="40"/>
      <c r="TTO21" s="40"/>
      <c r="TTP21" s="40"/>
      <c r="TTQ21" s="40"/>
      <c r="TTR21" s="40"/>
      <c r="TTS21" s="40"/>
      <c r="TTT21" s="40"/>
      <c r="TTU21" s="40"/>
      <c r="TTV21" s="40"/>
      <c r="TTW21" s="40"/>
      <c r="TTX21" s="40"/>
      <c r="TTY21" s="40"/>
      <c r="TTZ21" s="40"/>
      <c r="TUA21" s="40"/>
      <c r="TUB21" s="40"/>
      <c r="TUC21" s="40"/>
      <c r="TUD21" s="40"/>
      <c r="TUE21" s="40"/>
      <c r="TUF21" s="40"/>
      <c r="TUG21" s="40"/>
      <c r="TUH21" s="40"/>
      <c r="TUI21" s="40"/>
      <c r="TUJ21" s="40"/>
      <c r="TUK21" s="40"/>
      <c r="TUL21" s="40"/>
      <c r="TUM21" s="40"/>
      <c r="TUN21" s="40"/>
      <c r="TUO21" s="40"/>
      <c r="TUP21" s="40"/>
      <c r="TUQ21" s="40"/>
      <c r="TUR21" s="40"/>
      <c r="TUS21" s="40"/>
      <c r="TUT21" s="40"/>
      <c r="TUU21" s="40"/>
      <c r="TUV21" s="40"/>
      <c r="TUW21" s="40"/>
      <c r="TUX21" s="40"/>
      <c r="TUY21" s="40"/>
      <c r="TUZ21" s="40"/>
      <c r="TVA21" s="40"/>
      <c r="TVB21" s="40"/>
      <c r="TVC21" s="40"/>
      <c r="TVD21" s="40"/>
      <c r="TVE21" s="40"/>
      <c r="TVF21" s="40"/>
      <c r="TVG21" s="40"/>
      <c r="TVH21" s="40"/>
      <c r="TVI21" s="40"/>
      <c r="TVJ21" s="40"/>
      <c r="TVK21" s="40"/>
      <c r="TVL21" s="40"/>
      <c r="TVM21" s="40"/>
      <c r="TVN21" s="40"/>
      <c r="TVO21" s="40"/>
      <c r="TVP21" s="40"/>
      <c r="TVQ21" s="40"/>
      <c r="TVR21" s="40"/>
      <c r="TVS21" s="40"/>
      <c r="TVT21" s="40"/>
      <c r="TVU21" s="40"/>
      <c r="TVV21" s="40"/>
      <c r="TVW21" s="40"/>
      <c r="TVX21" s="40"/>
      <c r="TVY21" s="40"/>
      <c r="TVZ21" s="40"/>
      <c r="TWA21" s="40"/>
      <c r="TWB21" s="40"/>
      <c r="TWC21" s="40"/>
      <c r="TWD21" s="40"/>
      <c r="TWE21" s="40"/>
      <c r="TWF21" s="40"/>
      <c r="TWG21" s="40"/>
      <c r="TWH21" s="40"/>
      <c r="TWI21" s="40"/>
      <c r="TWJ21" s="40"/>
      <c r="TWK21" s="40"/>
      <c r="TWL21" s="40"/>
      <c r="TWM21" s="40"/>
      <c r="TWN21" s="40"/>
      <c r="TWO21" s="40"/>
      <c r="TWP21" s="40"/>
      <c r="TWQ21" s="40"/>
      <c r="TWR21" s="40"/>
      <c r="TWS21" s="40"/>
      <c r="TWT21" s="40"/>
      <c r="TWU21" s="40"/>
      <c r="TWV21" s="40"/>
      <c r="TWW21" s="40"/>
      <c r="TWX21" s="40"/>
      <c r="TWY21" s="40"/>
      <c r="TWZ21" s="40"/>
      <c r="TXA21" s="40"/>
      <c r="TXB21" s="40"/>
      <c r="TXC21" s="40"/>
      <c r="TXD21" s="40"/>
      <c r="TXE21" s="40"/>
      <c r="TXF21" s="40"/>
      <c r="TXG21" s="40"/>
      <c r="TXH21" s="40"/>
      <c r="TXI21" s="40"/>
      <c r="TXJ21" s="40"/>
      <c r="TXK21" s="40"/>
      <c r="TXL21" s="40"/>
      <c r="TXM21" s="40"/>
      <c r="TXN21" s="40"/>
      <c r="TXO21" s="40"/>
      <c r="TXP21" s="40"/>
      <c r="TXQ21" s="40"/>
      <c r="TXR21" s="40"/>
      <c r="TXS21" s="40"/>
      <c r="TXT21" s="40"/>
      <c r="TXU21" s="40"/>
      <c r="TXV21" s="40"/>
      <c r="TXW21" s="40"/>
      <c r="TXX21" s="40"/>
      <c r="TXY21" s="40"/>
      <c r="TXZ21" s="40"/>
      <c r="TYA21" s="40"/>
      <c r="TYB21" s="40"/>
      <c r="TYC21" s="40"/>
      <c r="TYD21" s="40"/>
      <c r="TYE21" s="40"/>
      <c r="TYF21" s="40"/>
      <c r="TYG21" s="40"/>
      <c r="TYH21" s="40"/>
      <c r="TYI21" s="40"/>
      <c r="TYJ21" s="40"/>
      <c r="TYK21" s="40"/>
      <c r="TYL21" s="40"/>
      <c r="TYM21" s="40"/>
      <c r="TYN21" s="40"/>
      <c r="TYO21" s="40"/>
      <c r="TYP21" s="40"/>
      <c r="TYQ21" s="40"/>
      <c r="TYR21" s="40"/>
      <c r="TYS21" s="40"/>
      <c r="TYT21" s="40"/>
      <c r="TYU21" s="40"/>
      <c r="TYV21" s="40"/>
      <c r="TYW21" s="40"/>
      <c r="TYX21" s="40"/>
      <c r="TYY21" s="40"/>
      <c r="TYZ21" s="40"/>
      <c r="TZA21" s="40"/>
      <c r="TZB21" s="40"/>
      <c r="TZC21" s="40"/>
      <c r="TZD21" s="40"/>
      <c r="TZE21" s="40"/>
      <c r="TZF21" s="40"/>
      <c r="TZG21" s="40"/>
      <c r="TZH21" s="40"/>
      <c r="TZI21" s="40"/>
      <c r="TZJ21" s="40"/>
      <c r="TZK21" s="40"/>
      <c r="TZL21" s="40"/>
      <c r="TZM21" s="40"/>
      <c r="TZN21" s="40"/>
      <c r="TZO21" s="40"/>
      <c r="TZP21" s="40"/>
      <c r="TZQ21" s="40"/>
      <c r="TZR21" s="40"/>
      <c r="TZS21" s="40"/>
      <c r="TZT21" s="40"/>
      <c r="TZU21" s="40"/>
      <c r="TZV21" s="40"/>
      <c r="TZW21" s="40"/>
      <c r="TZX21" s="40"/>
      <c r="TZY21" s="40"/>
      <c r="TZZ21" s="40"/>
      <c r="UAA21" s="40"/>
      <c r="UAB21" s="40"/>
      <c r="UAC21" s="40"/>
      <c r="UAD21" s="40"/>
      <c r="UAE21" s="40"/>
      <c r="UAF21" s="40"/>
      <c r="UAG21" s="40"/>
      <c r="UAH21" s="40"/>
      <c r="UAI21" s="40"/>
      <c r="UAJ21" s="40"/>
      <c r="UAK21" s="40"/>
      <c r="UAL21" s="40"/>
      <c r="UAM21" s="40"/>
      <c r="UAN21" s="40"/>
      <c r="UAO21" s="40"/>
      <c r="UAP21" s="40"/>
      <c r="UAQ21" s="40"/>
      <c r="UAR21" s="40"/>
      <c r="UAS21" s="40"/>
      <c r="UAT21" s="40"/>
      <c r="UAU21" s="40"/>
      <c r="UAV21" s="40"/>
      <c r="UAW21" s="40"/>
      <c r="UAX21" s="40"/>
      <c r="UAY21" s="40"/>
      <c r="UAZ21" s="40"/>
      <c r="UBA21" s="40"/>
      <c r="UBB21" s="40"/>
      <c r="UBC21" s="40"/>
      <c r="UBD21" s="40"/>
      <c r="UBE21" s="40"/>
      <c r="UBF21" s="40"/>
      <c r="UBG21" s="40"/>
      <c r="UBH21" s="40"/>
      <c r="UBI21" s="40"/>
      <c r="UBJ21" s="40"/>
      <c r="UBK21" s="40"/>
      <c r="UBL21" s="40"/>
      <c r="UBM21" s="40"/>
      <c r="UBN21" s="40"/>
      <c r="UBO21" s="40"/>
      <c r="UBP21" s="40"/>
      <c r="UBQ21" s="40"/>
      <c r="UBR21" s="40"/>
      <c r="UBS21" s="40"/>
      <c r="UBT21" s="40"/>
      <c r="UBU21" s="40"/>
      <c r="UBV21" s="40"/>
      <c r="UBW21" s="40"/>
      <c r="UBX21" s="40"/>
      <c r="UBY21" s="40"/>
      <c r="UBZ21" s="40"/>
      <c r="UCA21" s="40"/>
      <c r="UCB21" s="40"/>
      <c r="UCC21" s="40"/>
      <c r="UCD21" s="40"/>
      <c r="UCE21" s="40"/>
      <c r="UCF21" s="40"/>
      <c r="UCG21" s="40"/>
      <c r="UCH21" s="40"/>
      <c r="UCI21" s="40"/>
      <c r="UCJ21" s="40"/>
      <c r="UCK21" s="40"/>
      <c r="UCL21" s="40"/>
      <c r="UCM21" s="40"/>
      <c r="UCN21" s="40"/>
      <c r="UCO21" s="40"/>
      <c r="UCP21" s="40"/>
      <c r="UCQ21" s="40"/>
      <c r="UCR21" s="40"/>
      <c r="UCS21" s="40"/>
      <c r="UCT21" s="40"/>
      <c r="UCU21" s="40"/>
      <c r="UCV21" s="40"/>
      <c r="UCW21" s="40"/>
      <c r="UCX21" s="40"/>
      <c r="UCY21" s="40"/>
      <c r="UCZ21" s="40"/>
      <c r="UDA21" s="40"/>
      <c r="UDB21" s="40"/>
      <c r="UDC21" s="40"/>
      <c r="UDD21" s="40"/>
      <c r="UDE21" s="40"/>
      <c r="UDF21" s="40"/>
      <c r="UDG21" s="40"/>
      <c r="UDH21" s="40"/>
      <c r="UDI21" s="40"/>
      <c r="UDJ21" s="40"/>
      <c r="UDK21" s="40"/>
      <c r="UDL21" s="40"/>
      <c r="UDM21" s="40"/>
      <c r="UDN21" s="40"/>
      <c r="UDO21" s="40"/>
      <c r="UDP21" s="40"/>
      <c r="UDQ21" s="40"/>
      <c r="UDR21" s="40"/>
      <c r="UDS21" s="40"/>
      <c r="UDT21" s="40"/>
      <c r="UDU21" s="40"/>
      <c r="UDV21" s="40"/>
      <c r="UDW21" s="40"/>
      <c r="UDX21" s="40"/>
      <c r="UDY21" s="40"/>
      <c r="UDZ21" s="40"/>
      <c r="UEA21" s="40"/>
      <c r="UEB21" s="40"/>
      <c r="UEC21" s="40"/>
      <c r="UED21" s="40"/>
      <c r="UEE21" s="40"/>
      <c r="UEF21" s="40"/>
      <c r="UEG21" s="40"/>
      <c r="UEH21" s="40"/>
      <c r="UEI21" s="40"/>
      <c r="UEJ21" s="40"/>
      <c r="UEK21" s="40"/>
      <c r="UEL21" s="40"/>
      <c r="UEM21" s="40"/>
      <c r="UEN21" s="40"/>
      <c r="UEO21" s="40"/>
      <c r="UEP21" s="40"/>
      <c r="UEQ21" s="40"/>
      <c r="UER21" s="40"/>
      <c r="UES21" s="40"/>
      <c r="UET21" s="40"/>
      <c r="UEU21" s="40"/>
      <c r="UEV21" s="40"/>
      <c r="UEW21" s="40"/>
      <c r="UEX21" s="40"/>
      <c r="UEY21" s="40"/>
      <c r="UEZ21" s="40"/>
      <c r="UFA21" s="40"/>
      <c r="UFB21" s="40"/>
      <c r="UFC21" s="40"/>
      <c r="UFD21" s="40"/>
      <c r="UFE21" s="40"/>
      <c r="UFF21" s="40"/>
      <c r="UFG21" s="40"/>
      <c r="UFH21" s="40"/>
      <c r="UFI21" s="40"/>
      <c r="UFJ21" s="40"/>
      <c r="UFK21" s="40"/>
      <c r="UFL21" s="40"/>
      <c r="UFM21" s="40"/>
      <c r="UFN21" s="40"/>
      <c r="UFO21" s="40"/>
      <c r="UFP21" s="40"/>
      <c r="UFQ21" s="40"/>
      <c r="UFR21" s="40"/>
      <c r="UFS21" s="40"/>
      <c r="UFT21" s="40"/>
      <c r="UFU21" s="40"/>
      <c r="UFV21" s="40"/>
      <c r="UFW21" s="40"/>
      <c r="UFX21" s="40"/>
      <c r="UFY21" s="40"/>
      <c r="UFZ21" s="40"/>
      <c r="UGA21" s="40"/>
      <c r="UGB21" s="40"/>
      <c r="UGC21" s="40"/>
      <c r="UGD21" s="40"/>
      <c r="UGE21" s="40"/>
      <c r="UGF21" s="40"/>
      <c r="UGG21" s="40"/>
      <c r="UGH21" s="40"/>
      <c r="UGI21" s="40"/>
      <c r="UGJ21" s="40"/>
      <c r="UGK21" s="40"/>
      <c r="UGL21" s="40"/>
      <c r="UGM21" s="40"/>
      <c r="UGN21" s="40"/>
      <c r="UGO21" s="40"/>
      <c r="UGP21" s="40"/>
      <c r="UGQ21" s="40"/>
      <c r="UGR21" s="40"/>
      <c r="UGS21" s="40"/>
      <c r="UGT21" s="40"/>
      <c r="UGU21" s="40"/>
      <c r="UGV21" s="40"/>
      <c r="UGW21" s="40"/>
      <c r="UGX21" s="40"/>
      <c r="UGY21" s="40"/>
      <c r="UGZ21" s="40"/>
      <c r="UHA21" s="40"/>
      <c r="UHB21" s="40"/>
      <c r="UHC21" s="40"/>
      <c r="UHD21" s="40"/>
      <c r="UHE21" s="40"/>
      <c r="UHF21" s="40"/>
      <c r="UHG21" s="40"/>
      <c r="UHH21" s="40"/>
      <c r="UHI21" s="40"/>
      <c r="UHJ21" s="40"/>
      <c r="UHK21" s="40"/>
      <c r="UHL21" s="40"/>
      <c r="UHM21" s="40"/>
      <c r="UHN21" s="40"/>
      <c r="UHO21" s="40"/>
      <c r="UHP21" s="40"/>
      <c r="UHQ21" s="40"/>
      <c r="UHR21" s="40"/>
      <c r="UHS21" s="40"/>
      <c r="UHT21" s="40"/>
      <c r="UHU21" s="40"/>
      <c r="UHV21" s="40"/>
      <c r="UHW21" s="40"/>
      <c r="UHX21" s="40"/>
      <c r="UHY21" s="40"/>
      <c r="UHZ21" s="40"/>
      <c r="UIA21" s="40"/>
      <c r="UIB21" s="40"/>
      <c r="UIC21" s="40"/>
      <c r="UID21" s="40"/>
      <c r="UIE21" s="40"/>
      <c r="UIF21" s="40"/>
      <c r="UIG21" s="40"/>
      <c r="UIH21" s="40"/>
      <c r="UII21" s="40"/>
      <c r="UIJ21" s="40"/>
      <c r="UIK21" s="40"/>
      <c r="UIL21" s="40"/>
      <c r="UIM21" s="40"/>
      <c r="UIN21" s="40"/>
      <c r="UIO21" s="40"/>
      <c r="UIP21" s="40"/>
      <c r="UIQ21" s="40"/>
      <c r="UIR21" s="40"/>
      <c r="UIS21" s="40"/>
      <c r="UIT21" s="40"/>
      <c r="UIU21" s="40"/>
      <c r="UIV21" s="40"/>
      <c r="UIW21" s="40"/>
      <c r="UIX21" s="40"/>
      <c r="UIY21" s="40"/>
      <c r="UIZ21" s="40"/>
      <c r="UJA21" s="40"/>
      <c r="UJB21" s="40"/>
      <c r="UJC21" s="40"/>
      <c r="UJD21" s="40"/>
      <c r="UJE21" s="40"/>
      <c r="UJF21" s="40"/>
      <c r="UJG21" s="40"/>
      <c r="UJH21" s="40"/>
      <c r="UJI21" s="40"/>
      <c r="UJJ21" s="40"/>
      <c r="UJK21" s="40"/>
      <c r="UJL21" s="40"/>
      <c r="UJM21" s="40"/>
      <c r="UJN21" s="40"/>
      <c r="UJO21" s="40"/>
      <c r="UJP21" s="40"/>
      <c r="UJQ21" s="40"/>
      <c r="UJR21" s="40"/>
      <c r="UJS21" s="40"/>
      <c r="UJT21" s="40"/>
      <c r="UJU21" s="40"/>
      <c r="UJV21" s="40"/>
      <c r="UJW21" s="40"/>
      <c r="UJX21" s="40"/>
      <c r="UJY21" s="40"/>
      <c r="UJZ21" s="40"/>
      <c r="UKA21" s="40"/>
      <c r="UKB21" s="40"/>
      <c r="UKC21" s="40"/>
      <c r="UKD21" s="40"/>
      <c r="UKE21" s="40"/>
      <c r="UKF21" s="40"/>
      <c r="UKG21" s="40"/>
      <c r="UKH21" s="40"/>
      <c r="UKI21" s="40"/>
      <c r="UKJ21" s="40"/>
      <c r="UKK21" s="40"/>
      <c r="UKL21" s="40"/>
      <c r="UKM21" s="40"/>
      <c r="UKN21" s="40"/>
      <c r="UKO21" s="40"/>
      <c r="UKP21" s="40"/>
      <c r="UKQ21" s="40"/>
      <c r="UKR21" s="40"/>
      <c r="UKS21" s="40"/>
      <c r="UKT21" s="40"/>
      <c r="UKU21" s="40"/>
      <c r="UKV21" s="40"/>
      <c r="UKW21" s="40"/>
      <c r="UKX21" s="40"/>
      <c r="UKY21" s="40"/>
      <c r="UKZ21" s="40"/>
      <c r="ULA21" s="40"/>
      <c r="ULB21" s="40"/>
      <c r="ULC21" s="40"/>
      <c r="ULD21" s="40"/>
      <c r="ULE21" s="40"/>
      <c r="ULF21" s="40"/>
      <c r="ULG21" s="40"/>
      <c r="ULH21" s="40"/>
      <c r="ULI21" s="40"/>
      <c r="ULJ21" s="40"/>
      <c r="ULK21" s="40"/>
      <c r="ULL21" s="40"/>
      <c r="ULM21" s="40"/>
      <c r="ULN21" s="40"/>
      <c r="ULO21" s="40"/>
      <c r="ULP21" s="40"/>
      <c r="ULQ21" s="40"/>
      <c r="ULR21" s="40"/>
      <c r="ULS21" s="40"/>
      <c r="ULT21" s="40"/>
      <c r="ULU21" s="40"/>
      <c r="ULV21" s="40"/>
      <c r="ULW21" s="40"/>
      <c r="ULX21" s="40"/>
      <c r="ULY21" s="40"/>
      <c r="ULZ21" s="40"/>
      <c r="UMA21" s="40"/>
      <c r="UMB21" s="40"/>
      <c r="UMC21" s="40"/>
      <c r="UMD21" s="40"/>
      <c r="UME21" s="40"/>
      <c r="UMF21" s="40"/>
      <c r="UMG21" s="40"/>
      <c r="UMH21" s="40"/>
      <c r="UMI21" s="40"/>
      <c r="UMJ21" s="40"/>
      <c r="UMK21" s="40"/>
      <c r="UML21" s="40"/>
      <c r="UMM21" s="40"/>
      <c r="UMN21" s="40"/>
      <c r="UMO21" s="40"/>
      <c r="UMP21" s="40"/>
      <c r="UMQ21" s="40"/>
      <c r="UMR21" s="40"/>
      <c r="UMS21" s="40"/>
      <c r="UMT21" s="40"/>
      <c r="UMU21" s="40"/>
      <c r="UMV21" s="40"/>
      <c r="UMW21" s="40"/>
      <c r="UMX21" s="40"/>
      <c r="UMY21" s="40"/>
      <c r="UMZ21" s="40"/>
      <c r="UNA21" s="40"/>
      <c r="UNB21" s="40"/>
      <c r="UNC21" s="40"/>
      <c r="UND21" s="40"/>
      <c r="UNE21" s="40"/>
      <c r="UNF21" s="40"/>
      <c r="UNG21" s="40"/>
      <c r="UNH21" s="40"/>
      <c r="UNI21" s="40"/>
      <c r="UNJ21" s="40"/>
      <c r="UNK21" s="40"/>
      <c r="UNL21" s="40"/>
      <c r="UNM21" s="40"/>
      <c r="UNN21" s="40"/>
      <c r="UNO21" s="40"/>
      <c r="UNP21" s="40"/>
      <c r="UNQ21" s="40"/>
      <c r="UNR21" s="40"/>
      <c r="UNS21" s="40"/>
      <c r="UNT21" s="40"/>
      <c r="UNU21" s="40"/>
      <c r="UNV21" s="40"/>
      <c r="UNW21" s="40"/>
      <c r="UNX21" s="40"/>
      <c r="UNY21" s="40"/>
      <c r="UNZ21" s="40"/>
      <c r="UOA21" s="40"/>
      <c r="UOB21" s="40"/>
      <c r="UOC21" s="40"/>
      <c r="UOD21" s="40"/>
      <c r="UOE21" s="40"/>
      <c r="UOF21" s="40"/>
      <c r="UOG21" s="40"/>
      <c r="UOH21" s="40"/>
      <c r="UOI21" s="40"/>
      <c r="UOJ21" s="40"/>
      <c r="UOK21" s="40"/>
      <c r="UOL21" s="40"/>
      <c r="UOM21" s="40"/>
      <c r="UON21" s="40"/>
      <c r="UOO21" s="40"/>
      <c r="UOP21" s="40"/>
      <c r="UOQ21" s="40"/>
      <c r="UOR21" s="40"/>
      <c r="UOS21" s="40"/>
      <c r="UOT21" s="40"/>
      <c r="UOU21" s="40"/>
      <c r="UOV21" s="40"/>
      <c r="UOW21" s="40"/>
      <c r="UOX21" s="40"/>
      <c r="UOY21" s="40"/>
      <c r="UOZ21" s="40"/>
      <c r="UPA21" s="40"/>
      <c r="UPB21" s="40"/>
      <c r="UPC21" s="40"/>
      <c r="UPD21" s="40"/>
      <c r="UPE21" s="40"/>
      <c r="UPF21" s="40"/>
      <c r="UPG21" s="40"/>
      <c r="UPH21" s="40"/>
      <c r="UPI21" s="40"/>
      <c r="UPJ21" s="40"/>
      <c r="UPK21" s="40"/>
      <c r="UPL21" s="40"/>
      <c r="UPM21" s="40"/>
      <c r="UPN21" s="40"/>
      <c r="UPO21" s="40"/>
      <c r="UPP21" s="40"/>
      <c r="UPQ21" s="40"/>
      <c r="UPR21" s="40"/>
      <c r="UPS21" s="40"/>
      <c r="UPT21" s="40"/>
      <c r="UPU21" s="40"/>
      <c r="UPV21" s="40"/>
      <c r="UPW21" s="40"/>
      <c r="UPX21" s="40"/>
      <c r="UPY21" s="40"/>
      <c r="UPZ21" s="40"/>
      <c r="UQA21" s="40"/>
      <c r="UQB21" s="40"/>
      <c r="UQC21" s="40"/>
      <c r="UQD21" s="40"/>
      <c r="UQE21" s="40"/>
      <c r="UQF21" s="40"/>
      <c r="UQG21" s="40"/>
      <c r="UQH21" s="40"/>
      <c r="UQI21" s="40"/>
      <c r="UQJ21" s="40"/>
      <c r="UQK21" s="40"/>
      <c r="UQL21" s="40"/>
      <c r="UQM21" s="40"/>
      <c r="UQN21" s="40"/>
      <c r="UQO21" s="40"/>
      <c r="UQP21" s="40"/>
      <c r="UQQ21" s="40"/>
      <c r="UQR21" s="40"/>
      <c r="UQS21" s="40"/>
      <c r="UQT21" s="40"/>
      <c r="UQU21" s="40"/>
      <c r="UQV21" s="40"/>
      <c r="UQW21" s="40"/>
      <c r="UQX21" s="40"/>
      <c r="UQY21" s="40"/>
      <c r="UQZ21" s="40"/>
      <c r="URA21" s="40"/>
      <c r="URB21" s="40"/>
      <c r="URC21" s="40"/>
      <c r="URD21" s="40"/>
      <c r="URE21" s="40"/>
      <c r="URF21" s="40"/>
      <c r="URG21" s="40"/>
      <c r="URH21" s="40"/>
      <c r="URI21" s="40"/>
      <c r="URJ21" s="40"/>
      <c r="URK21" s="40"/>
      <c r="URL21" s="40"/>
      <c r="URM21" s="40"/>
      <c r="URN21" s="40"/>
      <c r="URO21" s="40"/>
      <c r="URP21" s="40"/>
      <c r="URQ21" s="40"/>
      <c r="URR21" s="40"/>
      <c r="URS21" s="40"/>
      <c r="URT21" s="40"/>
      <c r="URU21" s="40"/>
      <c r="URV21" s="40"/>
      <c r="URW21" s="40"/>
      <c r="URX21" s="40"/>
      <c r="URY21" s="40"/>
      <c r="URZ21" s="40"/>
      <c r="USA21" s="40"/>
      <c r="USB21" s="40"/>
      <c r="USC21" s="40"/>
      <c r="USD21" s="40"/>
      <c r="USE21" s="40"/>
      <c r="USF21" s="40"/>
      <c r="USG21" s="40"/>
      <c r="USH21" s="40"/>
      <c r="USI21" s="40"/>
      <c r="USJ21" s="40"/>
      <c r="USK21" s="40"/>
      <c r="USL21" s="40"/>
      <c r="USM21" s="40"/>
      <c r="USN21" s="40"/>
      <c r="USO21" s="40"/>
      <c r="USP21" s="40"/>
      <c r="USQ21" s="40"/>
      <c r="USR21" s="40"/>
      <c r="USS21" s="40"/>
      <c r="UST21" s="40"/>
      <c r="USU21" s="40"/>
      <c r="USV21" s="40"/>
      <c r="USW21" s="40"/>
      <c r="USX21" s="40"/>
      <c r="USY21" s="40"/>
      <c r="USZ21" s="40"/>
      <c r="UTA21" s="40"/>
      <c r="UTB21" s="40"/>
      <c r="UTC21" s="40"/>
      <c r="UTD21" s="40"/>
      <c r="UTE21" s="40"/>
      <c r="UTF21" s="40"/>
      <c r="UTG21" s="40"/>
      <c r="UTH21" s="40"/>
      <c r="UTI21" s="40"/>
      <c r="UTJ21" s="40"/>
      <c r="UTK21" s="40"/>
      <c r="UTL21" s="40"/>
      <c r="UTM21" s="40"/>
      <c r="UTN21" s="40"/>
      <c r="UTO21" s="40"/>
      <c r="UTP21" s="40"/>
      <c r="UTQ21" s="40"/>
      <c r="UTR21" s="40"/>
      <c r="UTS21" s="40"/>
      <c r="UTT21" s="40"/>
      <c r="UTU21" s="40"/>
      <c r="UTV21" s="40"/>
      <c r="UTW21" s="40"/>
      <c r="UTX21" s="40"/>
      <c r="UTY21" s="40"/>
      <c r="UTZ21" s="40"/>
      <c r="UUA21" s="40"/>
      <c r="UUB21" s="40"/>
      <c r="UUC21" s="40"/>
      <c r="UUD21" s="40"/>
      <c r="UUE21" s="40"/>
      <c r="UUF21" s="40"/>
      <c r="UUG21" s="40"/>
      <c r="UUH21" s="40"/>
      <c r="UUI21" s="40"/>
      <c r="UUJ21" s="40"/>
      <c r="UUK21" s="40"/>
      <c r="UUL21" s="40"/>
      <c r="UUM21" s="40"/>
      <c r="UUN21" s="40"/>
      <c r="UUO21" s="40"/>
      <c r="UUP21" s="40"/>
      <c r="UUQ21" s="40"/>
      <c r="UUR21" s="40"/>
      <c r="UUS21" s="40"/>
      <c r="UUT21" s="40"/>
      <c r="UUU21" s="40"/>
      <c r="UUV21" s="40"/>
      <c r="UUW21" s="40"/>
      <c r="UUX21" s="40"/>
      <c r="UUY21" s="40"/>
      <c r="UUZ21" s="40"/>
      <c r="UVA21" s="40"/>
      <c r="UVB21" s="40"/>
      <c r="UVC21" s="40"/>
      <c r="UVD21" s="40"/>
      <c r="UVE21" s="40"/>
      <c r="UVF21" s="40"/>
      <c r="UVG21" s="40"/>
      <c r="UVH21" s="40"/>
      <c r="UVI21" s="40"/>
      <c r="UVJ21" s="40"/>
      <c r="UVK21" s="40"/>
      <c r="UVL21" s="40"/>
      <c r="UVM21" s="40"/>
      <c r="UVN21" s="40"/>
      <c r="UVO21" s="40"/>
      <c r="UVP21" s="40"/>
      <c r="UVQ21" s="40"/>
      <c r="UVR21" s="40"/>
      <c r="UVS21" s="40"/>
      <c r="UVT21" s="40"/>
      <c r="UVU21" s="40"/>
      <c r="UVV21" s="40"/>
      <c r="UVW21" s="40"/>
      <c r="UVX21" s="40"/>
      <c r="UVY21" s="40"/>
      <c r="UVZ21" s="40"/>
      <c r="UWA21" s="40"/>
      <c r="UWB21" s="40"/>
      <c r="UWC21" s="40"/>
      <c r="UWD21" s="40"/>
      <c r="UWE21" s="40"/>
      <c r="UWF21" s="40"/>
      <c r="UWG21" s="40"/>
      <c r="UWH21" s="40"/>
      <c r="UWI21" s="40"/>
      <c r="UWJ21" s="40"/>
      <c r="UWK21" s="40"/>
      <c r="UWL21" s="40"/>
      <c r="UWM21" s="40"/>
      <c r="UWN21" s="40"/>
      <c r="UWO21" s="40"/>
      <c r="UWP21" s="40"/>
      <c r="UWQ21" s="40"/>
      <c r="UWR21" s="40"/>
      <c r="UWS21" s="40"/>
      <c r="UWT21" s="40"/>
      <c r="UWU21" s="40"/>
      <c r="UWV21" s="40"/>
      <c r="UWW21" s="40"/>
      <c r="UWX21" s="40"/>
      <c r="UWY21" s="40"/>
      <c r="UWZ21" s="40"/>
      <c r="UXA21" s="40"/>
      <c r="UXB21" s="40"/>
      <c r="UXC21" s="40"/>
      <c r="UXD21" s="40"/>
      <c r="UXE21" s="40"/>
      <c r="UXF21" s="40"/>
      <c r="UXG21" s="40"/>
      <c r="UXH21" s="40"/>
      <c r="UXI21" s="40"/>
      <c r="UXJ21" s="40"/>
      <c r="UXK21" s="40"/>
      <c r="UXL21" s="40"/>
      <c r="UXM21" s="40"/>
      <c r="UXN21" s="40"/>
      <c r="UXO21" s="40"/>
      <c r="UXP21" s="40"/>
      <c r="UXQ21" s="40"/>
      <c r="UXR21" s="40"/>
      <c r="UXS21" s="40"/>
      <c r="UXT21" s="40"/>
      <c r="UXU21" s="40"/>
      <c r="UXV21" s="40"/>
      <c r="UXW21" s="40"/>
      <c r="UXX21" s="40"/>
      <c r="UXY21" s="40"/>
      <c r="UXZ21" s="40"/>
      <c r="UYA21" s="40"/>
      <c r="UYB21" s="40"/>
      <c r="UYC21" s="40"/>
      <c r="UYD21" s="40"/>
      <c r="UYE21" s="40"/>
      <c r="UYF21" s="40"/>
      <c r="UYG21" s="40"/>
      <c r="UYH21" s="40"/>
      <c r="UYI21" s="40"/>
      <c r="UYJ21" s="40"/>
      <c r="UYK21" s="40"/>
      <c r="UYL21" s="40"/>
      <c r="UYM21" s="40"/>
      <c r="UYN21" s="40"/>
      <c r="UYO21" s="40"/>
      <c r="UYP21" s="40"/>
      <c r="UYQ21" s="40"/>
      <c r="UYR21" s="40"/>
      <c r="UYS21" s="40"/>
      <c r="UYT21" s="40"/>
      <c r="UYU21" s="40"/>
      <c r="UYV21" s="40"/>
      <c r="UYW21" s="40"/>
      <c r="UYX21" s="40"/>
      <c r="UYY21" s="40"/>
      <c r="UYZ21" s="40"/>
      <c r="UZA21" s="40"/>
      <c r="UZB21" s="40"/>
      <c r="UZC21" s="40"/>
      <c r="UZD21" s="40"/>
      <c r="UZE21" s="40"/>
      <c r="UZF21" s="40"/>
      <c r="UZG21" s="40"/>
      <c r="UZH21" s="40"/>
      <c r="UZI21" s="40"/>
      <c r="UZJ21" s="40"/>
      <c r="UZK21" s="40"/>
      <c r="UZL21" s="40"/>
      <c r="UZM21" s="40"/>
      <c r="UZN21" s="40"/>
      <c r="UZO21" s="40"/>
      <c r="UZP21" s="40"/>
      <c r="UZQ21" s="40"/>
      <c r="UZR21" s="40"/>
      <c r="UZS21" s="40"/>
      <c r="UZT21" s="40"/>
      <c r="UZU21" s="40"/>
      <c r="UZV21" s="40"/>
      <c r="UZW21" s="40"/>
      <c r="UZX21" s="40"/>
      <c r="UZY21" s="40"/>
      <c r="UZZ21" s="40"/>
      <c r="VAA21" s="40"/>
      <c r="VAB21" s="40"/>
      <c r="VAC21" s="40"/>
      <c r="VAD21" s="40"/>
      <c r="VAE21" s="40"/>
      <c r="VAF21" s="40"/>
      <c r="VAG21" s="40"/>
      <c r="VAH21" s="40"/>
      <c r="VAI21" s="40"/>
      <c r="VAJ21" s="40"/>
      <c r="VAK21" s="40"/>
      <c r="VAL21" s="40"/>
      <c r="VAM21" s="40"/>
      <c r="VAN21" s="40"/>
      <c r="VAO21" s="40"/>
      <c r="VAP21" s="40"/>
      <c r="VAQ21" s="40"/>
      <c r="VAR21" s="40"/>
      <c r="VAS21" s="40"/>
      <c r="VAT21" s="40"/>
      <c r="VAU21" s="40"/>
      <c r="VAV21" s="40"/>
      <c r="VAW21" s="40"/>
      <c r="VAX21" s="40"/>
      <c r="VAY21" s="40"/>
      <c r="VAZ21" s="40"/>
      <c r="VBA21" s="40"/>
      <c r="VBB21" s="40"/>
      <c r="VBC21" s="40"/>
      <c r="VBD21" s="40"/>
      <c r="VBE21" s="40"/>
      <c r="VBF21" s="40"/>
      <c r="VBG21" s="40"/>
      <c r="VBH21" s="40"/>
      <c r="VBI21" s="40"/>
      <c r="VBJ21" s="40"/>
      <c r="VBK21" s="40"/>
      <c r="VBL21" s="40"/>
      <c r="VBM21" s="40"/>
      <c r="VBN21" s="40"/>
      <c r="VBO21" s="40"/>
      <c r="VBP21" s="40"/>
      <c r="VBQ21" s="40"/>
      <c r="VBR21" s="40"/>
      <c r="VBS21" s="40"/>
      <c r="VBT21" s="40"/>
      <c r="VBU21" s="40"/>
      <c r="VBV21" s="40"/>
      <c r="VBW21" s="40"/>
      <c r="VBX21" s="40"/>
      <c r="VBY21" s="40"/>
      <c r="VBZ21" s="40"/>
      <c r="VCA21" s="40"/>
      <c r="VCB21" s="40"/>
      <c r="VCC21" s="40"/>
      <c r="VCD21" s="40"/>
      <c r="VCE21" s="40"/>
      <c r="VCF21" s="40"/>
      <c r="VCG21" s="40"/>
      <c r="VCH21" s="40"/>
      <c r="VCI21" s="40"/>
      <c r="VCJ21" s="40"/>
      <c r="VCK21" s="40"/>
      <c r="VCL21" s="40"/>
      <c r="VCM21" s="40"/>
      <c r="VCN21" s="40"/>
      <c r="VCO21" s="40"/>
      <c r="VCP21" s="40"/>
      <c r="VCQ21" s="40"/>
      <c r="VCR21" s="40"/>
      <c r="VCS21" s="40"/>
      <c r="VCT21" s="40"/>
      <c r="VCU21" s="40"/>
      <c r="VCV21" s="40"/>
      <c r="VCW21" s="40"/>
      <c r="VCX21" s="40"/>
      <c r="VCY21" s="40"/>
      <c r="VCZ21" s="40"/>
      <c r="VDA21" s="40"/>
      <c r="VDB21" s="40"/>
      <c r="VDC21" s="40"/>
      <c r="VDD21" s="40"/>
      <c r="VDE21" s="40"/>
      <c r="VDF21" s="40"/>
      <c r="VDG21" s="40"/>
      <c r="VDH21" s="40"/>
      <c r="VDI21" s="40"/>
      <c r="VDJ21" s="40"/>
      <c r="VDK21" s="40"/>
      <c r="VDL21" s="40"/>
      <c r="VDM21" s="40"/>
      <c r="VDN21" s="40"/>
      <c r="VDO21" s="40"/>
      <c r="VDP21" s="40"/>
      <c r="VDQ21" s="40"/>
      <c r="VDR21" s="40"/>
      <c r="VDS21" s="40"/>
      <c r="VDT21" s="40"/>
      <c r="VDU21" s="40"/>
      <c r="VDV21" s="40"/>
      <c r="VDW21" s="40"/>
      <c r="VDX21" s="40"/>
      <c r="VDY21" s="40"/>
      <c r="VDZ21" s="40"/>
      <c r="VEA21" s="40"/>
      <c r="VEB21" s="40"/>
      <c r="VEC21" s="40"/>
      <c r="VED21" s="40"/>
      <c r="VEE21" s="40"/>
      <c r="VEF21" s="40"/>
      <c r="VEG21" s="40"/>
      <c r="VEH21" s="40"/>
      <c r="VEI21" s="40"/>
      <c r="VEJ21" s="40"/>
      <c r="VEK21" s="40"/>
      <c r="VEL21" s="40"/>
      <c r="VEM21" s="40"/>
      <c r="VEN21" s="40"/>
      <c r="VEO21" s="40"/>
      <c r="VEP21" s="40"/>
      <c r="VEQ21" s="40"/>
      <c r="VER21" s="40"/>
      <c r="VES21" s="40"/>
      <c r="VET21" s="40"/>
      <c r="VEU21" s="40"/>
      <c r="VEV21" s="40"/>
      <c r="VEW21" s="40"/>
      <c r="VEX21" s="40"/>
      <c r="VEY21" s="40"/>
      <c r="VEZ21" s="40"/>
      <c r="VFA21" s="40"/>
      <c r="VFB21" s="40"/>
      <c r="VFC21" s="40"/>
      <c r="VFD21" s="40"/>
      <c r="VFE21" s="40"/>
      <c r="VFF21" s="40"/>
      <c r="VFG21" s="40"/>
      <c r="VFH21" s="40"/>
      <c r="VFI21" s="40"/>
      <c r="VFJ21" s="40"/>
      <c r="VFK21" s="40"/>
      <c r="VFL21" s="40"/>
      <c r="VFM21" s="40"/>
      <c r="VFN21" s="40"/>
      <c r="VFO21" s="40"/>
      <c r="VFP21" s="40"/>
      <c r="VFQ21" s="40"/>
      <c r="VFR21" s="40"/>
      <c r="VFS21" s="40"/>
      <c r="VFT21" s="40"/>
      <c r="VFU21" s="40"/>
      <c r="VFV21" s="40"/>
      <c r="VFW21" s="40"/>
      <c r="VFX21" s="40"/>
      <c r="VFY21" s="40"/>
      <c r="VFZ21" s="40"/>
      <c r="VGA21" s="40"/>
      <c r="VGB21" s="40"/>
      <c r="VGC21" s="40"/>
      <c r="VGD21" s="40"/>
      <c r="VGE21" s="40"/>
      <c r="VGF21" s="40"/>
      <c r="VGG21" s="40"/>
      <c r="VGH21" s="40"/>
      <c r="VGI21" s="40"/>
      <c r="VGJ21" s="40"/>
      <c r="VGK21" s="40"/>
      <c r="VGL21" s="40"/>
      <c r="VGM21" s="40"/>
      <c r="VGN21" s="40"/>
      <c r="VGO21" s="40"/>
      <c r="VGP21" s="40"/>
      <c r="VGQ21" s="40"/>
      <c r="VGR21" s="40"/>
      <c r="VGS21" s="40"/>
      <c r="VGT21" s="40"/>
      <c r="VGU21" s="40"/>
      <c r="VGV21" s="40"/>
      <c r="VGW21" s="40"/>
      <c r="VGX21" s="40"/>
      <c r="VGY21" s="40"/>
      <c r="VGZ21" s="40"/>
      <c r="VHA21" s="40"/>
      <c r="VHB21" s="40"/>
      <c r="VHC21" s="40"/>
      <c r="VHD21" s="40"/>
      <c r="VHE21" s="40"/>
      <c r="VHF21" s="40"/>
      <c r="VHG21" s="40"/>
      <c r="VHH21" s="40"/>
      <c r="VHI21" s="40"/>
      <c r="VHJ21" s="40"/>
      <c r="VHK21" s="40"/>
      <c r="VHL21" s="40"/>
      <c r="VHM21" s="40"/>
      <c r="VHN21" s="40"/>
      <c r="VHO21" s="40"/>
      <c r="VHP21" s="40"/>
      <c r="VHQ21" s="40"/>
      <c r="VHR21" s="40"/>
      <c r="VHS21" s="40"/>
      <c r="VHT21" s="40"/>
      <c r="VHU21" s="40"/>
      <c r="VHV21" s="40"/>
      <c r="VHW21" s="40"/>
      <c r="VHX21" s="40"/>
      <c r="VHY21" s="40"/>
      <c r="VHZ21" s="40"/>
      <c r="VIA21" s="40"/>
      <c r="VIB21" s="40"/>
      <c r="VIC21" s="40"/>
      <c r="VID21" s="40"/>
      <c r="VIE21" s="40"/>
      <c r="VIF21" s="40"/>
      <c r="VIG21" s="40"/>
      <c r="VIH21" s="40"/>
      <c r="VII21" s="40"/>
      <c r="VIJ21" s="40"/>
      <c r="VIK21" s="40"/>
      <c r="VIL21" s="40"/>
      <c r="VIM21" s="40"/>
      <c r="VIN21" s="40"/>
      <c r="VIO21" s="40"/>
      <c r="VIP21" s="40"/>
      <c r="VIQ21" s="40"/>
      <c r="VIR21" s="40"/>
      <c r="VIS21" s="40"/>
      <c r="VIT21" s="40"/>
      <c r="VIU21" s="40"/>
      <c r="VIV21" s="40"/>
      <c r="VIW21" s="40"/>
      <c r="VIX21" s="40"/>
      <c r="VIY21" s="40"/>
      <c r="VIZ21" s="40"/>
      <c r="VJA21" s="40"/>
      <c r="VJB21" s="40"/>
      <c r="VJC21" s="40"/>
      <c r="VJD21" s="40"/>
      <c r="VJE21" s="40"/>
      <c r="VJF21" s="40"/>
      <c r="VJG21" s="40"/>
      <c r="VJH21" s="40"/>
      <c r="VJI21" s="40"/>
      <c r="VJJ21" s="40"/>
      <c r="VJK21" s="40"/>
      <c r="VJL21" s="40"/>
      <c r="VJM21" s="40"/>
      <c r="VJN21" s="40"/>
      <c r="VJO21" s="40"/>
      <c r="VJP21" s="40"/>
      <c r="VJQ21" s="40"/>
      <c r="VJR21" s="40"/>
      <c r="VJS21" s="40"/>
      <c r="VJT21" s="40"/>
      <c r="VJU21" s="40"/>
      <c r="VJV21" s="40"/>
      <c r="VJW21" s="40"/>
      <c r="VJX21" s="40"/>
      <c r="VJY21" s="40"/>
      <c r="VJZ21" s="40"/>
      <c r="VKA21" s="40"/>
      <c r="VKB21" s="40"/>
      <c r="VKC21" s="40"/>
      <c r="VKD21" s="40"/>
      <c r="VKE21" s="40"/>
      <c r="VKF21" s="40"/>
      <c r="VKG21" s="40"/>
      <c r="VKH21" s="40"/>
      <c r="VKI21" s="40"/>
      <c r="VKJ21" s="40"/>
      <c r="VKK21" s="40"/>
      <c r="VKL21" s="40"/>
      <c r="VKM21" s="40"/>
      <c r="VKN21" s="40"/>
      <c r="VKO21" s="40"/>
      <c r="VKP21" s="40"/>
      <c r="VKQ21" s="40"/>
      <c r="VKR21" s="40"/>
      <c r="VKS21" s="40"/>
      <c r="VKT21" s="40"/>
      <c r="VKU21" s="40"/>
      <c r="VKV21" s="40"/>
      <c r="VKW21" s="40"/>
      <c r="VKX21" s="40"/>
      <c r="VKY21" s="40"/>
      <c r="VKZ21" s="40"/>
      <c r="VLA21" s="40"/>
      <c r="VLB21" s="40"/>
      <c r="VLC21" s="40"/>
      <c r="VLD21" s="40"/>
      <c r="VLE21" s="40"/>
      <c r="VLF21" s="40"/>
      <c r="VLG21" s="40"/>
      <c r="VLH21" s="40"/>
      <c r="VLI21" s="40"/>
      <c r="VLJ21" s="40"/>
      <c r="VLK21" s="40"/>
      <c r="VLL21" s="40"/>
      <c r="VLM21" s="40"/>
      <c r="VLN21" s="40"/>
      <c r="VLO21" s="40"/>
      <c r="VLP21" s="40"/>
      <c r="VLQ21" s="40"/>
      <c r="VLR21" s="40"/>
      <c r="VLS21" s="40"/>
      <c r="VLT21" s="40"/>
      <c r="VLU21" s="40"/>
      <c r="VLV21" s="40"/>
      <c r="VLW21" s="40"/>
      <c r="VLX21" s="40"/>
      <c r="VLY21" s="40"/>
      <c r="VLZ21" s="40"/>
      <c r="VMA21" s="40"/>
      <c r="VMB21" s="40"/>
      <c r="VMC21" s="40"/>
      <c r="VMD21" s="40"/>
      <c r="VME21" s="40"/>
      <c r="VMF21" s="40"/>
      <c r="VMG21" s="40"/>
      <c r="VMH21" s="40"/>
      <c r="VMI21" s="40"/>
      <c r="VMJ21" s="40"/>
      <c r="VMK21" s="40"/>
      <c r="VML21" s="40"/>
      <c r="VMM21" s="40"/>
      <c r="VMN21" s="40"/>
      <c r="VMO21" s="40"/>
      <c r="VMP21" s="40"/>
      <c r="VMQ21" s="40"/>
      <c r="VMR21" s="40"/>
      <c r="VMS21" s="40"/>
      <c r="VMT21" s="40"/>
      <c r="VMU21" s="40"/>
      <c r="VMV21" s="40"/>
      <c r="VMW21" s="40"/>
      <c r="VMX21" s="40"/>
      <c r="VMY21" s="40"/>
      <c r="VMZ21" s="40"/>
      <c r="VNA21" s="40"/>
      <c r="VNB21" s="40"/>
      <c r="VNC21" s="40"/>
      <c r="VND21" s="40"/>
      <c r="VNE21" s="40"/>
      <c r="VNF21" s="40"/>
      <c r="VNG21" s="40"/>
      <c r="VNH21" s="40"/>
      <c r="VNI21" s="40"/>
      <c r="VNJ21" s="40"/>
      <c r="VNK21" s="40"/>
      <c r="VNL21" s="40"/>
      <c r="VNM21" s="40"/>
      <c r="VNN21" s="40"/>
      <c r="VNO21" s="40"/>
      <c r="VNP21" s="40"/>
      <c r="VNQ21" s="40"/>
      <c r="VNR21" s="40"/>
      <c r="VNS21" s="40"/>
      <c r="VNT21" s="40"/>
      <c r="VNU21" s="40"/>
      <c r="VNV21" s="40"/>
      <c r="VNW21" s="40"/>
      <c r="VNX21" s="40"/>
      <c r="VNY21" s="40"/>
      <c r="VNZ21" s="40"/>
      <c r="VOA21" s="40"/>
      <c r="VOB21" s="40"/>
      <c r="VOC21" s="40"/>
      <c r="VOD21" s="40"/>
      <c r="VOE21" s="40"/>
      <c r="VOF21" s="40"/>
      <c r="VOG21" s="40"/>
      <c r="VOH21" s="40"/>
      <c r="VOI21" s="40"/>
      <c r="VOJ21" s="40"/>
      <c r="VOK21" s="40"/>
      <c r="VOL21" s="40"/>
      <c r="VOM21" s="40"/>
      <c r="VON21" s="40"/>
      <c r="VOO21" s="40"/>
      <c r="VOP21" s="40"/>
      <c r="VOQ21" s="40"/>
      <c r="VOR21" s="40"/>
      <c r="VOS21" s="40"/>
      <c r="VOT21" s="40"/>
      <c r="VOU21" s="40"/>
      <c r="VOV21" s="40"/>
      <c r="VOW21" s="40"/>
      <c r="VOX21" s="40"/>
      <c r="VOY21" s="40"/>
      <c r="VOZ21" s="40"/>
      <c r="VPA21" s="40"/>
      <c r="VPB21" s="40"/>
      <c r="VPC21" s="40"/>
      <c r="VPD21" s="40"/>
      <c r="VPE21" s="40"/>
      <c r="VPF21" s="40"/>
      <c r="VPG21" s="40"/>
      <c r="VPH21" s="40"/>
      <c r="VPI21" s="40"/>
      <c r="VPJ21" s="40"/>
      <c r="VPK21" s="40"/>
      <c r="VPL21" s="40"/>
      <c r="VPM21" s="40"/>
      <c r="VPN21" s="40"/>
      <c r="VPO21" s="40"/>
      <c r="VPP21" s="40"/>
      <c r="VPQ21" s="40"/>
      <c r="VPR21" s="40"/>
      <c r="VPS21" s="40"/>
      <c r="VPT21" s="40"/>
      <c r="VPU21" s="40"/>
      <c r="VPV21" s="40"/>
      <c r="VPW21" s="40"/>
      <c r="VPX21" s="40"/>
      <c r="VPY21" s="40"/>
      <c r="VPZ21" s="40"/>
      <c r="VQA21" s="40"/>
      <c r="VQB21" s="40"/>
      <c r="VQC21" s="40"/>
      <c r="VQD21" s="40"/>
      <c r="VQE21" s="40"/>
      <c r="VQF21" s="40"/>
      <c r="VQG21" s="40"/>
      <c r="VQH21" s="40"/>
      <c r="VQI21" s="40"/>
      <c r="VQJ21" s="40"/>
      <c r="VQK21" s="40"/>
      <c r="VQL21" s="40"/>
      <c r="VQM21" s="40"/>
      <c r="VQN21" s="40"/>
      <c r="VQO21" s="40"/>
      <c r="VQP21" s="40"/>
      <c r="VQQ21" s="40"/>
      <c r="VQR21" s="40"/>
      <c r="VQS21" s="40"/>
      <c r="VQT21" s="40"/>
      <c r="VQU21" s="40"/>
      <c r="VQV21" s="40"/>
      <c r="VQW21" s="40"/>
      <c r="VQX21" s="40"/>
      <c r="VQY21" s="40"/>
      <c r="VQZ21" s="40"/>
      <c r="VRA21" s="40"/>
      <c r="VRB21" s="40"/>
      <c r="VRC21" s="40"/>
      <c r="VRD21" s="40"/>
      <c r="VRE21" s="40"/>
      <c r="VRF21" s="40"/>
      <c r="VRG21" s="40"/>
      <c r="VRH21" s="40"/>
      <c r="VRI21" s="40"/>
      <c r="VRJ21" s="40"/>
      <c r="VRK21" s="40"/>
      <c r="VRL21" s="40"/>
      <c r="VRM21" s="40"/>
      <c r="VRN21" s="40"/>
      <c r="VRO21" s="40"/>
      <c r="VRP21" s="40"/>
      <c r="VRQ21" s="40"/>
      <c r="VRR21" s="40"/>
      <c r="VRS21" s="40"/>
      <c r="VRT21" s="40"/>
      <c r="VRU21" s="40"/>
      <c r="VRV21" s="40"/>
      <c r="VRW21" s="40"/>
      <c r="VRX21" s="40"/>
      <c r="VRY21" s="40"/>
      <c r="VRZ21" s="40"/>
      <c r="VSA21" s="40"/>
      <c r="VSB21" s="40"/>
      <c r="VSC21" s="40"/>
      <c r="VSD21" s="40"/>
      <c r="VSE21" s="40"/>
      <c r="VSF21" s="40"/>
      <c r="VSG21" s="40"/>
      <c r="VSH21" s="40"/>
      <c r="VSI21" s="40"/>
      <c r="VSJ21" s="40"/>
      <c r="VSK21" s="40"/>
      <c r="VSL21" s="40"/>
      <c r="VSM21" s="40"/>
      <c r="VSN21" s="40"/>
      <c r="VSO21" s="40"/>
      <c r="VSP21" s="40"/>
      <c r="VSQ21" s="40"/>
      <c r="VSR21" s="40"/>
      <c r="VSS21" s="40"/>
      <c r="VST21" s="40"/>
      <c r="VSU21" s="40"/>
      <c r="VSV21" s="40"/>
      <c r="VSW21" s="40"/>
      <c r="VSX21" s="40"/>
      <c r="VSY21" s="40"/>
      <c r="VSZ21" s="40"/>
      <c r="VTA21" s="40"/>
      <c r="VTB21" s="40"/>
      <c r="VTC21" s="40"/>
      <c r="VTD21" s="40"/>
      <c r="VTE21" s="40"/>
      <c r="VTF21" s="40"/>
      <c r="VTG21" s="40"/>
      <c r="VTH21" s="40"/>
      <c r="VTI21" s="40"/>
      <c r="VTJ21" s="40"/>
      <c r="VTK21" s="40"/>
      <c r="VTL21" s="40"/>
      <c r="VTM21" s="40"/>
      <c r="VTN21" s="40"/>
      <c r="VTO21" s="40"/>
      <c r="VTP21" s="40"/>
      <c r="VTQ21" s="40"/>
      <c r="VTR21" s="40"/>
      <c r="VTS21" s="40"/>
      <c r="VTT21" s="40"/>
      <c r="VTU21" s="40"/>
      <c r="VTV21" s="40"/>
      <c r="VTW21" s="40"/>
      <c r="VTX21" s="40"/>
      <c r="VTY21" s="40"/>
      <c r="VTZ21" s="40"/>
      <c r="VUA21" s="40"/>
      <c r="VUB21" s="40"/>
      <c r="VUC21" s="40"/>
      <c r="VUD21" s="40"/>
      <c r="VUE21" s="40"/>
      <c r="VUF21" s="40"/>
      <c r="VUG21" s="40"/>
      <c r="VUH21" s="40"/>
      <c r="VUI21" s="40"/>
      <c r="VUJ21" s="40"/>
      <c r="VUK21" s="40"/>
      <c r="VUL21" s="40"/>
      <c r="VUM21" s="40"/>
      <c r="VUN21" s="40"/>
      <c r="VUO21" s="40"/>
      <c r="VUP21" s="40"/>
      <c r="VUQ21" s="40"/>
      <c r="VUR21" s="40"/>
      <c r="VUS21" s="40"/>
      <c r="VUT21" s="40"/>
      <c r="VUU21" s="40"/>
      <c r="VUV21" s="40"/>
      <c r="VUW21" s="40"/>
      <c r="VUX21" s="40"/>
      <c r="VUY21" s="40"/>
      <c r="VUZ21" s="40"/>
      <c r="VVA21" s="40"/>
      <c r="VVB21" s="40"/>
      <c r="VVC21" s="40"/>
      <c r="VVD21" s="40"/>
      <c r="VVE21" s="40"/>
      <c r="VVF21" s="40"/>
      <c r="VVG21" s="40"/>
      <c r="VVH21" s="40"/>
      <c r="VVI21" s="40"/>
      <c r="VVJ21" s="40"/>
      <c r="VVK21" s="40"/>
      <c r="VVL21" s="40"/>
      <c r="VVM21" s="40"/>
      <c r="VVN21" s="40"/>
      <c r="VVO21" s="40"/>
      <c r="VVP21" s="40"/>
      <c r="VVQ21" s="40"/>
      <c r="VVR21" s="40"/>
      <c r="VVS21" s="40"/>
      <c r="VVT21" s="40"/>
      <c r="VVU21" s="40"/>
      <c r="VVV21" s="40"/>
      <c r="VVW21" s="40"/>
      <c r="VVX21" s="40"/>
      <c r="VVY21" s="40"/>
      <c r="VVZ21" s="40"/>
      <c r="VWA21" s="40"/>
      <c r="VWB21" s="40"/>
      <c r="VWC21" s="40"/>
      <c r="VWD21" s="40"/>
      <c r="VWE21" s="40"/>
      <c r="VWF21" s="40"/>
      <c r="VWG21" s="40"/>
      <c r="VWH21" s="40"/>
      <c r="VWI21" s="40"/>
      <c r="VWJ21" s="40"/>
      <c r="VWK21" s="40"/>
      <c r="VWL21" s="40"/>
      <c r="VWM21" s="40"/>
      <c r="VWN21" s="40"/>
      <c r="VWO21" s="40"/>
      <c r="VWP21" s="40"/>
      <c r="VWQ21" s="40"/>
      <c r="VWR21" s="40"/>
      <c r="VWS21" s="40"/>
      <c r="VWT21" s="40"/>
      <c r="VWU21" s="40"/>
      <c r="VWV21" s="40"/>
      <c r="VWW21" s="40"/>
      <c r="VWX21" s="40"/>
      <c r="VWY21" s="40"/>
      <c r="VWZ21" s="40"/>
      <c r="VXA21" s="40"/>
      <c r="VXB21" s="40"/>
      <c r="VXC21" s="40"/>
      <c r="VXD21" s="40"/>
      <c r="VXE21" s="40"/>
      <c r="VXF21" s="40"/>
      <c r="VXG21" s="40"/>
      <c r="VXH21" s="40"/>
      <c r="VXI21" s="40"/>
      <c r="VXJ21" s="40"/>
      <c r="VXK21" s="40"/>
      <c r="VXL21" s="40"/>
      <c r="VXM21" s="40"/>
      <c r="VXN21" s="40"/>
      <c r="VXO21" s="40"/>
      <c r="VXP21" s="40"/>
      <c r="VXQ21" s="40"/>
      <c r="VXR21" s="40"/>
      <c r="VXS21" s="40"/>
      <c r="VXT21" s="40"/>
      <c r="VXU21" s="40"/>
      <c r="VXV21" s="40"/>
      <c r="VXW21" s="40"/>
      <c r="VXX21" s="40"/>
      <c r="VXY21" s="40"/>
      <c r="VXZ21" s="40"/>
      <c r="VYA21" s="40"/>
      <c r="VYB21" s="40"/>
      <c r="VYC21" s="40"/>
      <c r="VYD21" s="40"/>
      <c r="VYE21" s="40"/>
      <c r="VYF21" s="40"/>
      <c r="VYG21" s="40"/>
      <c r="VYH21" s="40"/>
      <c r="VYI21" s="40"/>
      <c r="VYJ21" s="40"/>
      <c r="VYK21" s="40"/>
      <c r="VYL21" s="40"/>
      <c r="VYM21" s="40"/>
      <c r="VYN21" s="40"/>
      <c r="VYO21" s="40"/>
      <c r="VYP21" s="40"/>
      <c r="VYQ21" s="40"/>
      <c r="VYR21" s="40"/>
      <c r="VYS21" s="40"/>
      <c r="VYT21" s="40"/>
      <c r="VYU21" s="40"/>
      <c r="VYV21" s="40"/>
      <c r="VYW21" s="40"/>
      <c r="VYX21" s="40"/>
      <c r="VYY21" s="40"/>
      <c r="VYZ21" s="40"/>
      <c r="VZA21" s="40"/>
      <c r="VZB21" s="40"/>
      <c r="VZC21" s="40"/>
      <c r="VZD21" s="40"/>
      <c r="VZE21" s="40"/>
      <c r="VZF21" s="40"/>
      <c r="VZG21" s="40"/>
      <c r="VZH21" s="40"/>
      <c r="VZI21" s="40"/>
      <c r="VZJ21" s="40"/>
      <c r="VZK21" s="40"/>
      <c r="VZL21" s="40"/>
      <c r="VZM21" s="40"/>
      <c r="VZN21" s="40"/>
      <c r="VZO21" s="40"/>
      <c r="VZP21" s="40"/>
      <c r="VZQ21" s="40"/>
      <c r="VZR21" s="40"/>
      <c r="VZS21" s="40"/>
      <c r="VZT21" s="40"/>
      <c r="VZU21" s="40"/>
      <c r="VZV21" s="40"/>
      <c r="VZW21" s="40"/>
      <c r="VZX21" s="40"/>
      <c r="VZY21" s="40"/>
      <c r="VZZ21" s="40"/>
      <c r="WAA21" s="40"/>
      <c r="WAB21" s="40"/>
      <c r="WAC21" s="40"/>
      <c r="WAD21" s="40"/>
      <c r="WAE21" s="40"/>
      <c r="WAF21" s="40"/>
      <c r="WAG21" s="40"/>
      <c r="WAH21" s="40"/>
      <c r="WAI21" s="40"/>
      <c r="WAJ21" s="40"/>
      <c r="WAK21" s="40"/>
      <c r="WAL21" s="40"/>
      <c r="WAM21" s="40"/>
      <c r="WAN21" s="40"/>
      <c r="WAO21" s="40"/>
      <c r="WAP21" s="40"/>
      <c r="WAQ21" s="40"/>
      <c r="WAR21" s="40"/>
      <c r="WAS21" s="40"/>
      <c r="WAT21" s="40"/>
      <c r="WAU21" s="40"/>
      <c r="WAV21" s="40"/>
      <c r="WAW21" s="40"/>
      <c r="WAX21" s="40"/>
      <c r="WAY21" s="40"/>
      <c r="WAZ21" s="40"/>
      <c r="WBA21" s="40"/>
      <c r="WBB21" s="40"/>
      <c r="WBC21" s="40"/>
      <c r="WBD21" s="40"/>
      <c r="WBE21" s="40"/>
      <c r="WBF21" s="40"/>
      <c r="WBG21" s="40"/>
      <c r="WBH21" s="40"/>
      <c r="WBI21" s="40"/>
      <c r="WBJ21" s="40"/>
      <c r="WBK21" s="40"/>
      <c r="WBL21" s="40"/>
      <c r="WBM21" s="40"/>
      <c r="WBN21" s="40"/>
      <c r="WBO21" s="40"/>
      <c r="WBP21" s="40"/>
      <c r="WBQ21" s="40"/>
      <c r="WBR21" s="40"/>
      <c r="WBS21" s="40"/>
      <c r="WBT21" s="40"/>
      <c r="WBU21" s="40"/>
      <c r="WBV21" s="40"/>
      <c r="WBW21" s="40"/>
      <c r="WBX21" s="40"/>
      <c r="WBY21" s="40"/>
      <c r="WBZ21" s="40"/>
      <c r="WCA21" s="40"/>
      <c r="WCB21" s="40"/>
      <c r="WCC21" s="40"/>
      <c r="WCD21" s="40"/>
      <c r="WCE21" s="40"/>
      <c r="WCF21" s="40"/>
      <c r="WCG21" s="40"/>
      <c r="WCH21" s="40"/>
      <c r="WCI21" s="40"/>
      <c r="WCJ21" s="40"/>
      <c r="WCK21" s="40"/>
      <c r="WCL21" s="40"/>
      <c r="WCM21" s="40"/>
      <c r="WCN21" s="40"/>
      <c r="WCO21" s="40"/>
      <c r="WCP21" s="40"/>
      <c r="WCQ21" s="40"/>
      <c r="WCR21" s="40"/>
      <c r="WCS21" s="40"/>
      <c r="WCT21" s="40"/>
      <c r="WCU21" s="40"/>
      <c r="WCV21" s="40"/>
      <c r="WCW21" s="40"/>
      <c r="WCX21" s="40"/>
      <c r="WCY21" s="40"/>
      <c r="WCZ21" s="40"/>
      <c r="WDA21" s="40"/>
      <c r="WDB21" s="40"/>
      <c r="WDC21" s="40"/>
      <c r="WDD21" s="40"/>
      <c r="WDE21" s="40"/>
      <c r="WDF21" s="40"/>
      <c r="WDG21" s="40"/>
      <c r="WDH21" s="40"/>
      <c r="WDI21" s="40"/>
      <c r="WDJ21" s="40"/>
      <c r="WDK21" s="40"/>
      <c r="WDL21" s="40"/>
      <c r="WDM21" s="40"/>
      <c r="WDN21" s="40"/>
      <c r="WDO21" s="40"/>
      <c r="WDP21" s="40"/>
      <c r="WDQ21" s="40"/>
      <c r="WDR21" s="40"/>
      <c r="WDS21" s="40"/>
      <c r="WDT21" s="40"/>
      <c r="WDU21" s="40"/>
      <c r="WDV21" s="40"/>
      <c r="WDW21" s="40"/>
      <c r="WDX21" s="40"/>
      <c r="WDY21" s="40"/>
      <c r="WDZ21" s="40"/>
      <c r="WEA21" s="40"/>
      <c r="WEB21" s="40"/>
      <c r="WEC21" s="40"/>
      <c r="WED21" s="40"/>
      <c r="WEE21" s="40"/>
      <c r="WEF21" s="40"/>
      <c r="WEG21" s="40"/>
      <c r="WEH21" s="40"/>
      <c r="WEI21" s="40"/>
      <c r="WEJ21" s="40"/>
      <c r="WEK21" s="40"/>
      <c r="WEL21" s="40"/>
      <c r="WEM21" s="40"/>
      <c r="WEN21" s="40"/>
      <c r="WEO21" s="40"/>
      <c r="WEP21" s="40"/>
      <c r="WEQ21" s="40"/>
      <c r="WER21" s="40"/>
      <c r="WES21" s="40"/>
      <c r="WET21" s="40"/>
      <c r="WEU21" s="40"/>
      <c r="WEV21" s="40"/>
      <c r="WEW21" s="40"/>
      <c r="WEX21" s="40"/>
      <c r="WEY21" s="40"/>
      <c r="WEZ21" s="40"/>
      <c r="WFA21" s="40"/>
      <c r="WFB21" s="40"/>
      <c r="WFC21" s="40"/>
      <c r="WFD21" s="40"/>
      <c r="WFE21" s="40"/>
      <c r="WFF21" s="40"/>
      <c r="WFG21" s="40"/>
      <c r="WFH21" s="40"/>
      <c r="WFI21" s="40"/>
      <c r="WFJ21" s="40"/>
      <c r="WFK21" s="40"/>
      <c r="WFL21" s="40"/>
      <c r="WFM21" s="40"/>
      <c r="WFN21" s="40"/>
      <c r="WFO21" s="40"/>
      <c r="WFP21" s="40"/>
      <c r="WFQ21" s="40"/>
      <c r="WFR21" s="40"/>
      <c r="WFS21" s="40"/>
      <c r="WFT21" s="40"/>
      <c r="WFU21" s="40"/>
      <c r="WFV21" s="40"/>
      <c r="WFW21" s="40"/>
      <c r="WFX21" s="40"/>
      <c r="WFY21" s="40"/>
      <c r="WFZ21" s="40"/>
      <c r="WGA21" s="40"/>
      <c r="WGB21" s="40"/>
      <c r="WGC21" s="40"/>
      <c r="WGD21" s="40"/>
      <c r="WGE21" s="40"/>
      <c r="WGF21" s="40"/>
      <c r="WGG21" s="40"/>
      <c r="WGH21" s="40"/>
      <c r="WGI21" s="40"/>
      <c r="WGJ21" s="40"/>
      <c r="WGK21" s="40"/>
      <c r="WGL21" s="40"/>
      <c r="WGM21" s="40"/>
      <c r="WGN21" s="40"/>
      <c r="WGO21" s="40"/>
      <c r="WGP21" s="40"/>
      <c r="WGQ21" s="40"/>
      <c r="WGR21" s="40"/>
      <c r="WGS21" s="40"/>
      <c r="WGT21" s="40"/>
      <c r="WGU21" s="40"/>
      <c r="WGV21" s="40"/>
      <c r="WGW21" s="40"/>
      <c r="WGX21" s="40"/>
      <c r="WGY21" s="40"/>
      <c r="WGZ21" s="40"/>
      <c r="WHA21" s="40"/>
      <c r="WHB21" s="40"/>
      <c r="WHC21" s="40"/>
      <c r="WHD21" s="40"/>
      <c r="WHE21" s="40"/>
      <c r="WHF21" s="40"/>
      <c r="WHG21" s="40"/>
      <c r="WHH21" s="40"/>
      <c r="WHI21" s="40"/>
      <c r="WHJ21" s="40"/>
      <c r="WHK21" s="40"/>
      <c r="WHL21" s="40"/>
      <c r="WHM21" s="40"/>
      <c r="WHN21" s="40"/>
      <c r="WHO21" s="40"/>
      <c r="WHP21" s="40"/>
      <c r="WHQ21" s="40"/>
      <c r="WHR21" s="40"/>
      <c r="WHS21" s="40"/>
      <c r="WHT21" s="40"/>
      <c r="WHU21" s="40"/>
      <c r="WHV21" s="40"/>
      <c r="WHW21" s="40"/>
      <c r="WHX21" s="40"/>
      <c r="WHY21" s="40"/>
      <c r="WHZ21" s="40"/>
      <c r="WIA21" s="40"/>
      <c r="WIB21" s="40"/>
      <c r="WIC21" s="40"/>
      <c r="WID21" s="40"/>
      <c r="WIE21" s="40"/>
      <c r="WIF21" s="40"/>
      <c r="WIG21" s="40"/>
      <c r="WIH21" s="40"/>
      <c r="WII21" s="40"/>
      <c r="WIJ21" s="40"/>
      <c r="WIK21" s="40"/>
      <c r="WIL21" s="40"/>
      <c r="WIM21" s="40"/>
      <c r="WIN21" s="40"/>
      <c r="WIO21" s="40"/>
      <c r="WIP21" s="40"/>
      <c r="WIQ21" s="40"/>
      <c r="WIR21" s="40"/>
      <c r="WIS21" s="40"/>
      <c r="WIT21" s="40"/>
      <c r="WIU21" s="40"/>
      <c r="WIV21" s="40"/>
      <c r="WIW21" s="40"/>
      <c r="WIX21" s="40"/>
      <c r="WIY21" s="40"/>
      <c r="WIZ21" s="40"/>
      <c r="WJA21" s="40"/>
      <c r="WJB21" s="40"/>
      <c r="WJC21" s="40"/>
      <c r="WJD21" s="40"/>
      <c r="WJE21" s="40"/>
      <c r="WJF21" s="40"/>
      <c r="WJG21" s="40"/>
      <c r="WJH21" s="40"/>
      <c r="WJI21" s="40"/>
      <c r="WJJ21" s="40"/>
      <c r="WJK21" s="40"/>
      <c r="WJL21" s="40"/>
      <c r="WJM21" s="40"/>
      <c r="WJN21" s="40"/>
      <c r="WJO21" s="40"/>
      <c r="WJP21" s="40"/>
      <c r="WJQ21" s="40"/>
      <c r="WJR21" s="40"/>
      <c r="WJS21" s="40"/>
      <c r="WJT21" s="40"/>
      <c r="WJU21" s="40"/>
      <c r="WJV21" s="40"/>
      <c r="WJW21" s="40"/>
      <c r="WJX21" s="40"/>
      <c r="WJY21" s="40"/>
      <c r="WJZ21" s="40"/>
      <c r="WKA21" s="40"/>
      <c r="WKB21" s="40"/>
      <c r="WKC21" s="40"/>
      <c r="WKD21" s="40"/>
      <c r="WKE21" s="40"/>
      <c r="WKF21" s="40"/>
      <c r="WKG21" s="40"/>
      <c r="WKH21" s="40"/>
      <c r="WKI21" s="40"/>
      <c r="WKJ21" s="40"/>
      <c r="WKK21" s="40"/>
      <c r="WKL21" s="40"/>
      <c r="WKM21" s="40"/>
      <c r="WKN21" s="40"/>
      <c r="WKO21" s="40"/>
      <c r="WKP21" s="40"/>
      <c r="WKQ21" s="40"/>
      <c r="WKR21" s="40"/>
      <c r="WKS21" s="40"/>
      <c r="WKT21" s="40"/>
      <c r="WKU21" s="40"/>
      <c r="WKV21" s="40"/>
      <c r="WKW21" s="40"/>
      <c r="WKX21" s="40"/>
      <c r="WKY21" s="40"/>
      <c r="WKZ21" s="40"/>
      <c r="WLA21" s="40"/>
      <c r="WLB21" s="40"/>
      <c r="WLC21" s="40"/>
      <c r="WLD21" s="40"/>
      <c r="WLE21" s="40"/>
      <c r="WLF21" s="40"/>
      <c r="WLG21" s="40"/>
      <c r="WLH21" s="40"/>
      <c r="WLI21" s="40"/>
      <c r="WLJ21" s="40"/>
      <c r="WLK21" s="40"/>
      <c r="WLL21" s="40"/>
      <c r="WLM21" s="40"/>
      <c r="WLN21" s="40"/>
      <c r="WLO21" s="40"/>
      <c r="WLP21" s="40"/>
      <c r="WLQ21" s="40"/>
      <c r="WLR21" s="40"/>
      <c r="WLS21" s="40"/>
      <c r="WLT21" s="40"/>
      <c r="WLU21" s="40"/>
      <c r="WLV21" s="40"/>
      <c r="WLW21" s="40"/>
      <c r="WLX21" s="40"/>
      <c r="WLY21" s="40"/>
      <c r="WLZ21" s="40"/>
      <c r="WMA21" s="40"/>
      <c r="WMB21" s="40"/>
      <c r="WMC21" s="40"/>
      <c r="WMD21" s="40"/>
      <c r="WME21" s="40"/>
      <c r="WMF21" s="40"/>
      <c r="WMG21" s="40"/>
      <c r="WMH21" s="40"/>
      <c r="WMI21" s="40"/>
      <c r="WMJ21" s="40"/>
      <c r="WMK21" s="40"/>
      <c r="WML21" s="40"/>
      <c r="WMM21" s="40"/>
      <c r="WMN21" s="40"/>
      <c r="WMO21" s="40"/>
      <c r="WMP21" s="40"/>
      <c r="WMQ21" s="40"/>
      <c r="WMR21" s="40"/>
      <c r="WMS21" s="40"/>
      <c r="WMT21" s="40"/>
      <c r="WMU21" s="40"/>
      <c r="WMV21" s="40"/>
      <c r="WMW21" s="40"/>
      <c r="WMX21" s="40"/>
      <c r="WMY21" s="40"/>
      <c r="WMZ21" s="40"/>
      <c r="WNA21" s="40"/>
      <c r="WNB21" s="40"/>
      <c r="WNC21" s="40"/>
      <c r="WND21" s="40"/>
      <c r="WNE21" s="40"/>
      <c r="WNF21" s="40"/>
      <c r="WNG21" s="40"/>
      <c r="WNH21" s="40"/>
      <c r="WNI21" s="40"/>
      <c r="WNJ21" s="40"/>
      <c r="WNK21" s="40"/>
      <c r="WNL21" s="40"/>
      <c r="WNM21" s="40"/>
      <c r="WNN21" s="40"/>
      <c r="WNO21" s="40"/>
      <c r="WNP21" s="40"/>
      <c r="WNQ21" s="40"/>
      <c r="WNR21" s="40"/>
      <c r="WNS21" s="40"/>
      <c r="WNT21" s="40"/>
      <c r="WNU21" s="40"/>
      <c r="WNV21" s="40"/>
      <c r="WNW21" s="40"/>
      <c r="WNX21" s="40"/>
      <c r="WNY21" s="40"/>
      <c r="WNZ21" s="40"/>
      <c r="WOA21" s="40"/>
      <c r="WOB21" s="40"/>
      <c r="WOC21" s="40"/>
      <c r="WOD21" s="40"/>
      <c r="WOE21" s="40"/>
      <c r="WOF21" s="40"/>
      <c r="WOG21" s="40"/>
      <c r="WOH21" s="40"/>
      <c r="WOI21" s="40"/>
      <c r="WOJ21" s="40"/>
      <c r="WOK21" s="40"/>
      <c r="WOL21" s="40"/>
      <c r="WOM21" s="40"/>
      <c r="WON21" s="40"/>
      <c r="WOO21" s="40"/>
      <c r="WOP21" s="40"/>
      <c r="WOQ21" s="40"/>
      <c r="WOR21" s="40"/>
      <c r="WOS21" s="40"/>
      <c r="WOT21" s="40"/>
      <c r="WOU21" s="40"/>
      <c r="WOV21" s="40"/>
      <c r="WOW21" s="40"/>
      <c r="WOX21" s="40"/>
      <c r="WOY21" s="40"/>
      <c r="WOZ21" s="40"/>
      <c r="WPA21" s="40"/>
      <c r="WPB21" s="40"/>
      <c r="WPC21" s="40"/>
      <c r="WPD21" s="40"/>
      <c r="WPE21" s="40"/>
      <c r="WPF21" s="40"/>
      <c r="WPG21" s="40"/>
      <c r="WPH21" s="40"/>
      <c r="WPI21" s="40"/>
      <c r="WPJ21" s="40"/>
      <c r="WPK21" s="40"/>
      <c r="WPL21" s="40"/>
      <c r="WPM21" s="40"/>
      <c r="WPN21" s="40"/>
      <c r="WPO21" s="40"/>
      <c r="WPP21" s="40"/>
      <c r="WPQ21" s="40"/>
      <c r="WPR21" s="40"/>
      <c r="WPS21" s="40"/>
      <c r="WPT21" s="40"/>
      <c r="WPU21" s="40"/>
      <c r="WPV21" s="40"/>
      <c r="WPW21" s="40"/>
      <c r="WPX21" s="40"/>
      <c r="WPY21" s="40"/>
      <c r="WPZ21" s="40"/>
      <c r="WQA21" s="40"/>
      <c r="WQB21" s="40"/>
      <c r="WQC21" s="40"/>
      <c r="WQD21" s="40"/>
      <c r="WQE21" s="40"/>
      <c r="WQF21" s="40"/>
      <c r="WQG21" s="40"/>
      <c r="WQH21" s="40"/>
      <c r="WQI21" s="40"/>
      <c r="WQJ21" s="40"/>
      <c r="WQK21" s="40"/>
      <c r="WQL21" s="40"/>
      <c r="WQM21" s="40"/>
      <c r="WQN21" s="40"/>
      <c r="WQO21" s="40"/>
      <c r="WQP21" s="40"/>
      <c r="WQQ21" s="40"/>
      <c r="WQR21" s="40"/>
      <c r="WQS21" s="40"/>
      <c r="WQT21" s="40"/>
      <c r="WQU21" s="40"/>
      <c r="WQV21" s="40"/>
      <c r="WQW21" s="40"/>
      <c r="WQX21" s="40"/>
      <c r="WQY21" s="40"/>
      <c r="WQZ21" s="40"/>
      <c r="WRA21" s="40"/>
      <c r="WRB21" s="40"/>
      <c r="WRC21" s="40"/>
      <c r="WRD21" s="40"/>
      <c r="WRE21" s="40"/>
      <c r="WRF21" s="40"/>
      <c r="WRG21" s="40"/>
      <c r="WRH21" s="40"/>
      <c r="WRI21" s="40"/>
      <c r="WRJ21" s="40"/>
      <c r="WRK21" s="40"/>
      <c r="WRL21" s="40"/>
      <c r="WRM21" s="40"/>
      <c r="WRN21" s="40"/>
      <c r="WRO21" s="40"/>
      <c r="WRP21" s="40"/>
      <c r="WRQ21" s="40"/>
      <c r="WRR21" s="40"/>
      <c r="WRS21" s="40"/>
      <c r="WRT21" s="40"/>
      <c r="WRU21" s="40"/>
      <c r="WRV21" s="40"/>
      <c r="WRW21" s="40"/>
      <c r="WRX21" s="40"/>
      <c r="WRY21" s="40"/>
      <c r="WRZ21" s="40"/>
      <c r="WSA21" s="40"/>
      <c r="WSB21" s="40"/>
      <c r="WSC21" s="40"/>
      <c r="WSD21" s="40"/>
      <c r="WSE21" s="40"/>
      <c r="WSF21" s="40"/>
      <c r="WSG21" s="40"/>
      <c r="WSH21" s="40"/>
      <c r="WSI21" s="40"/>
      <c r="WSJ21" s="40"/>
      <c r="WSK21" s="40"/>
      <c r="WSL21" s="40"/>
      <c r="WSM21" s="40"/>
      <c r="WSN21" s="40"/>
      <c r="WSO21" s="40"/>
      <c r="WSP21" s="40"/>
      <c r="WSQ21" s="40"/>
      <c r="WSR21" s="40"/>
      <c r="WSS21" s="40"/>
      <c r="WST21" s="40"/>
      <c r="WSU21" s="40"/>
      <c r="WSV21" s="40"/>
      <c r="WSW21" s="40"/>
      <c r="WSX21" s="40"/>
      <c r="WSY21" s="40"/>
      <c r="WSZ21" s="40"/>
      <c r="WTA21" s="40"/>
      <c r="WTB21" s="40"/>
      <c r="WTC21" s="40"/>
      <c r="WTD21" s="40"/>
      <c r="WTE21" s="40"/>
      <c r="WTF21" s="40"/>
      <c r="WTG21" s="40"/>
      <c r="WTH21" s="40"/>
      <c r="WTI21" s="40"/>
      <c r="WTJ21" s="40"/>
      <c r="WTK21" s="40"/>
      <c r="WTL21" s="40"/>
      <c r="WTM21" s="40"/>
      <c r="WTN21" s="40"/>
      <c r="WTO21" s="40"/>
      <c r="WTP21" s="40"/>
      <c r="WTQ21" s="40"/>
      <c r="WTR21" s="40"/>
      <c r="WTS21" s="40"/>
      <c r="WTT21" s="40"/>
      <c r="WTU21" s="40"/>
      <c r="WTV21" s="40"/>
      <c r="WTW21" s="40"/>
      <c r="WTX21" s="40"/>
      <c r="WTY21" s="40"/>
      <c r="WTZ21" s="40"/>
      <c r="WUA21" s="40"/>
      <c r="WUB21" s="40"/>
      <c r="WUC21" s="40"/>
      <c r="WUD21" s="40"/>
      <c r="WUE21" s="40"/>
      <c r="WUF21" s="40"/>
      <c r="WUG21" s="40"/>
      <c r="WUH21" s="40"/>
      <c r="WUI21" s="40"/>
      <c r="WUJ21" s="40"/>
      <c r="WUK21" s="40"/>
      <c r="WUL21" s="40"/>
      <c r="WUM21" s="40"/>
      <c r="WUN21" s="40"/>
      <c r="WUO21" s="40"/>
      <c r="WUP21" s="40"/>
      <c r="WUQ21" s="40"/>
      <c r="WUR21" s="40"/>
      <c r="WUS21" s="40"/>
      <c r="WUT21" s="40"/>
      <c r="WUU21" s="40"/>
      <c r="WUV21" s="40"/>
      <c r="WUW21" s="40"/>
      <c r="WUX21" s="40"/>
      <c r="WUY21" s="40"/>
      <c r="WUZ21" s="40"/>
      <c r="WVA21" s="40"/>
      <c r="WVB21" s="40"/>
      <c r="WVC21" s="40"/>
      <c r="WVD21" s="40"/>
      <c r="WVE21" s="40"/>
      <c r="WVF21" s="40"/>
      <c r="WVG21" s="40"/>
      <c r="WVH21" s="40"/>
      <c r="WVI21" s="40"/>
      <c r="WVJ21" s="40"/>
      <c r="WVK21" s="40"/>
      <c r="WVL21" s="40"/>
      <c r="WVM21" s="40"/>
      <c r="WVN21" s="40"/>
      <c r="WVO21" s="40"/>
      <c r="WVP21" s="40"/>
      <c r="WVQ21" s="40"/>
      <c r="WVR21" s="40"/>
      <c r="WVS21" s="40"/>
      <c r="WVT21" s="40"/>
      <c r="WVU21" s="40"/>
      <c r="WVV21" s="40"/>
      <c r="WVW21" s="40"/>
      <c r="WVX21" s="40"/>
      <c r="WVY21" s="40"/>
      <c r="WVZ21" s="40"/>
      <c r="WWA21" s="40"/>
      <c r="WWB21" s="40"/>
      <c r="WWC21" s="40"/>
      <c r="WWD21" s="40"/>
      <c r="WWE21" s="40"/>
      <c r="WWF21" s="40"/>
      <c r="WWG21" s="40"/>
      <c r="WWH21" s="40"/>
      <c r="WWI21" s="40"/>
      <c r="WWJ21" s="40"/>
      <c r="WWK21" s="40"/>
      <c r="WWL21" s="40"/>
      <c r="WWM21" s="40"/>
      <c r="WWN21" s="40"/>
      <c r="WWO21" s="40"/>
      <c r="WWP21" s="40"/>
      <c r="WWQ21" s="40"/>
      <c r="WWR21" s="40"/>
      <c r="WWS21" s="40"/>
      <c r="WWT21" s="40"/>
      <c r="WWU21" s="40"/>
      <c r="WWV21" s="40"/>
      <c r="WWW21" s="40"/>
      <c r="WWX21" s="40"/>
      <c r="WWY21" s="40"/>
      <c r="WWZ21" s="40"/>
      <c r="WXA21" s="40"/>
      <c r="WXB21" s="40"/>
      <c r="WXC21" s="40"/>
      <c r="WXD21" s="40"/>
      <c r="WXE21" s="40"/>
      <c r="WXF21" s="40"/>
      <c r="WXG21" s="40"/>
      <c r="WXH21" s="40"/>
      <c r="WXI21" s="40"/>
      <c r="WXJ21" s="40"/>
      <c r="WXK21" s="40"/>
      <c r="WXL21" s="40"/>
      <c r="WXM21" s="40"/>
      <c r="WXN21" s="40"/>
      <c r="WXO21" s="40"/>
      <c r="WXP21" s="40"/>
      <c r="WXQ21" s="40"/>
      <c r="WXR21" s="40"/>
      <c r="WXS21" s="40"/>
      <c r="WXT21" s="40"/>
      <c r="WXU21" s="40"/>
      <c r="WXV21" s="40"/>
      <c r="WXW21" s="40"/>
      <c r="WXX21" s="40"/>
      <c r="WXY21" s="40"/>
      <c r="WXZ21" s="40"/>
      <c r="WYA21" s="40"/>
      <c r="WYB21" s="40"/>
      <c r="WYC21" s="40"/>
      <c r="WYD21" s="40"/>
      <c r="WYE21" s="40"/>
      <c r="WYF21" s="40"/>
      <c r="WYG21" s="40"/>
      <c r="WYH21" s="40"/>
      <c r="WYI21" s="40"/>
      <c r="WYJ21" s="40"/>
      <c r="WYK21" s="40"/>
      <c r="WYL21" s="40"/>
      <c r="WYM21" s="40"/>
      <c r="WYN21" s="40"/>
      <c r="WYO21" s="40"/>
      <c r="WYP21" s="40"/>
      <c r="WYQ21" s="40"/>
      <c r="WYR21" s="40"/>
      <c r="WYS21" s="40"/>
      <c r="WYT21" s="40"/>
      <c r="WYU21" s="40"/>
      <c r="WYV21" s="40"/>
      <c r="WYW21" s="40"/>
      <c r="WYX21" s="40"/>
      <c r="WYY21" s="40"/>
      <c r="WYZ21" s="40"/>
      <c r="WZA21" s="40"/>
      <c r="WZB21" s="40"/>
      <c r="WZC21" s="40"/>
      <c r="WZD21" s="40"/>
      <c r="WZE21" s="40"/>
      <c r="WZF21" s="40"/>
      <c r="WZG21" s="40"/>
      <c r="WZH21" s="40"/>
      <c r="WZI21" s="40"/>
      <c r="WZJ21" s="40"/>
      <c r="WZK21" s="40"/>
      <c r="WZL21" s="40"/>
      <c r="WZM21" s="40"/>
      <c r="WZN21" s="40"/>
      <c r="WZO21" s="40"/>
      <c r="WZP21" s="40"/>
      <c r="WZQ21" s="40"/>
      <c r="WZR21" s="40"/>
      <c r="WZS21" s="40"/>
      <c r="WZT21" s="40"/>
      <c r="WZU21" s="40"/>
      <c r="WZV21" s="40"/>
      <c r="WZW21" s="40"/>
      <c r="WZX21" s="40"/>
      <c r="WZY21" s="40"/>
      <c r="WZZ21" s="40"/>
      <c r="XAA21" s="40"/>
      <c r="XAB21" s="40"/>
      <c r="XAC21" s="40"/>
      <c r="XAD21" s="40"/>
      <c r="XAE21" s="40"/>
      <c r="XAF21" s="40"/>
      <c r="XAG21" s="40"/>
      <c r="XAH21" s="40"/>
      <c r="XAI21" s="40"/>
      <c r="XAJ21" s="40"/>
      <c r="XAK21" s="40"/>
      <c r="XAL21" s="40"/>
      <c r="XAM21" s="40"/>
      <c r="XAN21" s="40"/>
      <c r="XAO21" s="40"/>
      <c r="XAP21" s="40"/>
      <c r="XAQ21" s="40"/>
      <c r="XAR21" s="40"/>
      <c r="XAS21" s="40"/>
      <c r="XAT21" s="40"/>
      <c r="XAU21" s="40"/>
      <c r="XAV21" s="40"/>
      <c r="XAW21" s="40"/>
      <c r="XAX21" s="40"/>
      <c r="XAY21" s="40"/>
      <c r="XAZ21" s="40"/>
      <c r="XBA21" s="40"/>
      <c r="XBB21" s="40"/>
      <c r="XBC21" s="40"/>
      <c r="XBD21" s="40"/>
      <c r="XBE21" s="40"/>
      <c r="XBF21" s="40"/>
      <c r="XBG21" s="40"/>
      <c r="XBH21" s="40"/>
      <c r="XBI21" s="40"/>
      <c r="XBJ21" s="40"/>
      <c r="XBK21" s="40"/>
      <c r="XBL21" s="40"/>
      <c r="XBM21" s="40"/>
      <c r="XBN21" s="40"/>
      <c r="XBO21" s="40"/>
      <c r="XBP21" s="40"/>
      <c r="XBQ21" s="40"/>
      <c r="XBR21" s="40"/>
      <c r="XBS21" s="40"/>
      <c r="XBT21" s="40"/>
      <c r="XBU21" s="40"/>
      <c r="XBV21" s="40"/>
      <c r="XBW21" s="40"/>
      <c r="XBX21" s="40"/>
      <c r="XBY21" s="40"/>
      <c r="XBZ21" s="40"/>
      <c r="XCA21" s="40"/>
      <c r="XCB21" s="40"/>
      <c r="XCC21" s="40"/>
      <c r="XCD21" s="40"/>
      <c r="XCE21" s="40"/>
      <c r="XCF21" s="40"/>
      <c r="XCG21" s="40"/>
      <c r="XCH21" s="40"/>
      <c r="XCI21" s="40"/>
      <c r="XCJ21" s="40"/>
      <c r="XCK21" s="40"/>
      <c r="XCL21" s="40"/>
      <c r="XCM21" s="40"/>
      <c r="XCN21" s="40"/>
      <c r="XCO21" s="40"/>
      <c r="XCP21" s="40"/>
      <c r="XCQ21" s="40"/>
      <c r="XCR21" s="40"/>
      <c r="XCS21" s="40"/>
      <c r="XCT21" s="40"/>
      <c r="XCU21" s="40"/>
      <c r="XCV21" s="40"/>
      <c r="XCW21" s="40"/>
      <c r="XCX21" s="40"/>
      <c r="XCY21" s="40"/>
      <c r="XCZ21" s="40"/>
      <c r="XDA21" s="40"/>
      <c r="XDB21" s="40"/>
      <c r="XDC21" s="40"/>
      <c r="XDD21" s="40"/>
      <c r="XDE21" s="40"/>
      <c r="XDF21" s="40"/>
      <c r="XDG21" s="40"/>
      <c r="XDH21" s="40"/>
      <c r="XDI21" s="40"/>
      <c r="XDJ21" s="40"/>
      <c r="XDK21" s="40"/>
      <c r="XDL21" s="40"/>
      <c r="XDM21" s="40"/>
      <c r="XDN21" s="40"/>
      <c r="XDO21" s="40"/>
      <c r="XDP21" s="40"/>
      <c r="XDQ21" s="40"/>
      <c r="XDR21" s="40"/>
      <c r="XDS21" s="40"/>
      <c r="XDT21" s="40"/>
      <c r="XDU21" s="40"/>
      <c r="XDV21" s="40"/>
      <c r="XDW21" s="40"/>
      <c r="XDX21" s="40"/>
      <c r="XDY21" s="40"/>
      <c r="XDZ21" s="40"/>
      <c r="XEA21" s="40"/>
      <c r="XEB21" s="40"/>
      <c r="XEC21" s="40"/>
      <c r="XED21" s="40"/>
      <c r="XEE21" s="40"/>
      <c r="XEF21" s="40"/>
      <c r="XEG21" s="40"/>
      <c r="XEH21" s="40"/>
      <c r="XEI21" s="40"/>
      <c r="XEJ21" s="40"/>
      <c r="XEK21" s="40"/>
      <c r="XEL21" s="40"/>
      <c r="XEM21" s="40"/>
      <c r="XEN21" s="40"/>
      <c r="XEO21" s="40"/>
      <c r="XEP21" s="40"/>
      <c r="XEQ21" s="40"/>
      <c r="XER21" s="40"/>
      <c r="XES21" s="40"/>
      <c r="XET21" s="40"/>
      <c r="XEU21" s="40"/>
      <c r="XEV21" s="40"/>
      <c r="XEW21" s="40"/>
      <c r="XEX21" s="40"/>
      <c r="XEY21" s="40"/>
      <c r="XEZ21" s="40"/>
      <c r="XFA21" s="40"/>
      <c r="XFB21" s="40"/>
      <c r="XFC21" s="40"/>
      <c r="XFD21" s="40"/>
    </row>
  </sheetData>
  <mergeCells count="7">
    <mergeCell ref="A1:F1"/>
    <mergeCell ref="D2:E2"/>
    <mergeCell ref="A19:B19"/>
    <mergeCell ref="A3:A4"/>
    <mergeCell ref="A5:A11"/>
    <mergeCell ref="A12:A18"/>
    <mergeCell ref="B3:B4"/>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8">
    <pageSetUpPr fitToPage="1"/>
  </sheetPr>
  <dimension ref="A1:IV21"/>
  <sheetViews>
    <sheetView workbookViewId="0">
      <selection activeCell="A21" sqref="A21:B21"/>
    </sheetView>
  </sheetViews>
  <sheetFormatPr defaultColWidth="9" defaultRowHeight="13.5"/>
  <cols>
    <col min="1" max="1" width="6.5" style="12" customWidth="1"/>
    <col min="2" max="2" width="33.1666666666667" style="12" customWidth="1"/>
    <col min="3" max="3" width="11.1666666666667" style="12" customWidth="1"/>
    <col min="4" max="8" width="9" style="12"/>
    <col min="9" max="9" width="10.5" style="12" customWidth="1"/>
    <col min="10" max="16384" width="9" style="12"/>
  </cols>
  <sheetData>
    <row r="1" s="313" customFormat="1" ht="20.25" spans="2:19">
      <c r="B1" s="315" t="s">
        <v>305</v>
      </c>
      <c r="C1" s="315"/>
      <c r="D1" s="315"/>
      <c r="E1" s="315"/>
      <c r="F1" s="315"/>
      <c r="G1" s="315"/>
      <c r="H1" s="315"/>
      <c r="I1" s="315"/>
      <c r="J1" s="332"/>
      <c r="K1" s="332"/>
      <c r="L1" s="332"/>
      <c r="M1" s="332"/>
      <c r="N1" s="332"/>
      <c r="O1" s="332"/>
      <c r="P1" s="332"/>
      <c r="Q1" s="332"/>
      <c r="R1" s="332"/>
      <c r="S1" s="332"/>
    </row>
    <row r="2" s="7" customFormat="1" ht="14.25" spans="1:256">
      <c r="A2" s="316" t="s">
        <v>1</v>
      </c>
      <c r="B2" s="317"/>
      <c r="C2" s="317"/>
      <c r="D2" s="316" t="s">
        <v>306</v>
      </c>
      <c r="E2" s="317"/>
      <c r="F2" s="317"/>
      <c r="G2" s="317"/>
      <c r="H2" s="331" t="s">
        <v>292</v>
      </c>
      <c r="I2" s="331"/>
      <c r="J2" s="333"/>
      <c r="K2" s="333"/>
      <c r="L2" s="333"/>
      <c r="M2" s="333"/>
      <c r="N2" s="333"/>
      <c r="O2" s="333"/>
      <c r="P2" s="333"/>
      <c r="Q2" s="333"/>
      <c r="R2" s="333"/>
      <c r="S2" s="333"/>
      <c r="T2" s="333"/>
      <c r="U2" s="333"/>
      <c r="V2" s="333"/>
      <c r="W2" s="333"/>
      <c r="X2" s="333"/>
      <c r="Y2" s="333"/>
      <c r="Z2" s="333"/>
      <c r="AA2" s="333"/>
      <c r="AB2" s="333"/>
      <c r="AC2" s="333"/>
      <c r="AD2" s="333"/>
      <c r="AE2" s="333"/>
      <c r="AF2" s="333"/>
      <c r="AG2" s="333"/>
      <c r="AH2" s="333"/>
      <c r="AI2" s="333"/>
      <c r="AJ2" s="333"/>
      <c r="AK2" s="333"/>
      <c r="AL2" s="333"/>
      <c r="AM2" s="333"/>
      <c r="AN2" s="333"/>
      <c r="AO2" s="333"/>
      <c r="AP2" s="333"/>
      <c r="AQ2" s="333"/>
      <c r="AR2" s="333"/>
      <c r="AS2" s="333"/>
      <c r="AT2" s="333"/>
      <c r="AU2" s="333"/>
      <c r="AV2" s="333"/>
      <c r="AW2" s="333"/>
      <c r="AX2" s="333"/>
      <c r="AY2" s="333"/>
      <c r="AZ2" s="333"/>
      <c r="BA2" s="333"/>
      <c r="BB2" s="333"/>
      <c r="BC2" s="333"/>
      <c r="BD2" s="333"/>
      <c r="BE2" s="333"/>
      <c r="BF2" s="333"/>
      <c r="BG2" s="333"/>
      <c r="BH2" s="333"/>
      <c r="BI2" s="333"/>
      <c r="BJ2" s="333"/>
      <c r="BK2" s="333"/>
      <c r="BL2" s="333"/>
      <c r="BM2" s="333"/>
      <c r="BN2" s="333"/>
      <c r="BO2" s="333"/>
      <c r="BP2" s="333"/>
      <c r="BQ2" s="333"/>
      <c r="BR2" s="333"/>
      <c r="BS2" s="333"/>
      <c r="BT2" s="333"/>
      <c r="BU2" s="333"/>
      <c r="BV2" s="333"/>
      <c r="BW2" s="333"/>
      <c r="BX2" s="333"/>
      <c r="BY2" s="333"/>
      <c r="BZ2" s="333"/>
      <c r="CA2" s="333"/>
      <c r="CB2" s="333"/>
      <c r="CC2" s="333"/>
      <c r="CD2" s="333"/>
      <c r="CE2" s="333"/>
      <c r="CF2" s="333"/>
      <c r="CG2" s="333"/>
      <c r="CH2" s="333"/>
      <c r="CI2" s="333"/>
      <c r="CJ2" s="333"/>
      <c r="CK2" s="333"/>
      <c r="CL2" s="333"/>
      <c r="CM2" s="333"/>
      <c r="CN2" s="333"/>
      <c r="CO2" s="333"/>
      <c r="CP2" s="333"/>
      <c r="CQ2" s="333"/>
      <c r="CR2" s="333"/>
      <c r="CS2" s="333"/>
      <c r="CT2" s="333"/>
      <c r="CU2" s="333"/>
      <c r="CV2" s="333"/>
      <c r="CW2" s="333"/>
      <c r="CX2" s="333"/>
      <c r="CY2" s="333"/>
      <c r="CZ2" s="333"/>
      <c r="DA2" s="333"/>
      <c r="DB2" s="333"/>
      <c r="DC2" s="333"/>
      <c r="DD2" s="333"/>
      <c r="DE2" s="333"/>
      <c r="DF2" s="333"/>
      <c r="DG2" s="333"/>
      <c r="DH2" s="333"/>
      <c r="DI2" s="333"/>
      <c r="DJ2" s="333"/>
      <c r="DK2" s="333"/>
      <c r="DL2" s="333"/>
      <c r="DM2" s="333"/>
      <c r="DN2" s="333"/>
      <c r="DO2" s="333"/>
      <c r="DP2" s="333"/>
      <c r="DQ2" s="333"/>
      <c r="DR2" s="333"/>
      <c r="DS2" s="333"/>
      <c r="DT2" s="333"/>
      <c r="DU2" s="333"/>
      <c r="DV2" s="333"/>
      <c r="DW2" s="333"/>
      <c r="DX2" s="333"/>
      <c r="DY2" s="333"/>
      <c r="DZ2" s="333"/>
      <c r="EA2" s="333"/>
      <c r="EB2" s="333"/>
      <c r="EC2" s="333"/>
      <c r="ED2" s="333"/>
      <c r="EE2" s="333"/>
      <c r="EF2" s="333"/>
      <c r="EG2" s="333"/>
      <c r="EH2" s="333"/>
      <c r="EI2" s="333"/>
      <c r="EJ2" s="333"/>
      <c r="EK2" s="333"/>
      <c r="EL2" s="333"/>
      <c r="EM2" s="333"/>
      <c r="EN2" s="333"/>
      <c r="EO2" s="333"/>
      <c r="EP2" s="333"/>
      <c r="EQ2" s="333"/>
      <c r="ER2" s="333"/>
      <c r="ES2" s="333"/>
      <c r="ET2" s="333"/>
      <c r="EU2" s="333"/>
      <c r="EV2" s="333"/>
      <c r="EW2" s="333"/>
      <c r="EX2" s="333"/>
      <c r="EY2" s="333"/>
      <c r="EZ2" s="333"/>
      <c r="FA2" s="333"/>
      <c r="FB2" s="333"/>
      <c r="FC2" s="333"/>
      <c r="FD2" s="333"/>
      <c r="FE2" s="333"/>
      <c r="FF2" s="333"/>
      <c r="FG2" s="333"/>
      <c r="FH2" s="333"/>
      <c r="FI2" s="333"/>
      <c r="FJ2" s="333"/>
      <c r="FK2" s="333"/>
      <c r="FL2" s="333"/>
      <c r="FM2" s="333"/>
      <c r="FN2" s="333"/>
      <c r="FO2" s="333"/>
      <c r="FP2" s="333"/>
      <c r="FQ2" s="333"/>
      <c r="FR2" s="333"/>
      <c r="FS2" s="333"/>
      <c r="FT2" s="333"/>
      <c r="FU2" s="333"/>
      <c r="FV2" s="333"/>
      <c r="FW2" s="333"/>
      <c r="FX2" s="333"/>
      <c r="FY2" s="333"/>
      <c r="FZ2" s="333"/>
      <c r="GA2" s="333"/>
      <c r="GB2" s="333"/>
      <c r="GC2" s="333"/>
      <c r="GD2" s="333"/>
      <c r="GE2" s="333"/>
      <c r="GF2" s="333"/>
      <c r="GG2" s="333"/>
      <c r="GH2" s="333"/>
      <c r="GI2" s="333"/>
      <c r="GJ2" s="333"/>
      <c r="GK2" s="333"/>
      <c r="GL2" s="333"/>
      <c r="GM2" s="333"/>
      <c r="GN2" s="333"/>
      <c r="GO2" s="333"/>
      <c r="GP2" s="333"/>
      <c r="GQ2" s="333"/>
      <c r="GR2" s="333"/>
      <c r="GS2" s="333"/>
      <c r="GT2" s="333"/>
      <c r="GU2" s="333"/>
      <c r="GV2" s="333"/>
      <c r="GW2" s="333"/>
      <c r="GX2" s="333"/>
      <c r="GY2" s="333"/>
      <c r="GZ2" s="333"/>
      <c r="HA2" s="333"/>
      <c r="HB2" s="333"/>
      <c r="HC2" s="333"/>
      <c r="HD2" s="333"/>
      <c r="HE2" s="333"/>
      <c r="HF2" s="333"/>
      <c r="HG2" s="333"/>
      <c r="HH2" s="333"/>
      <c r="HI2" s="333"/>
      <c r="HJ2" s="333"/>
      <c r="HK2" s="333"/>
      <c r="HL2" s="333"/>
      <c r="HM2" s="333"/>
      <c r="HN2" s="333"/>
      <c r="HO2" s="333"/>
      <c r="HP2" s="333"/>
      <c r="HQ2" s="333"/>
      <c r="HR2" s="333"/>
      <c r="HS2" s="333"/>
      <c r="HT2" s="333"/>
      <c r="HU2" s="333"/>
      <c r="HV2" s="333"/>
      <c r="HW2" s="333"/>
      <c r="HX2" s="333"/>
      <c r="HY2" s="333"/>
      <c r="HZ2" s="333"/>
      <c r="IA2" s="333"/>
      <c r="IB2" s="333"/>
      <c r="IC2" s="333"/>
      <c r="ID2" s="333"/>
      <c r="IE2" s="333"/>
      <c r="IF2" s="333"/>
      <c r="IG2" s="333"/>
      <c r="IH2" s="333"/>
      <c r="II2" s="333"/>
      <c r="IJ2" s="333"/>
      <c r="IK2" s="333"/>
      <c r="IL2" s="333"/>
      <c r="IM2" s="333"/>
      <c r="IN2" s="333"/>
      <c r="IO2" s="333"/>
      <c r="IP2" s="333"/>
      <c r="IQ2" s="333"/>
      <c r="IR2" s="333"/>
      <c r="IS2" s="333"/>
      <c r="IT2" s="333"/>
      <c r="IU2" s="333"/>
      <c r="IV2" s="335"/>
    </row>
    <row r="3" s="7" customFormat="1" ht="14.25" spans="1:256">
      <c r="A3" s="318" t="s">
        <v>4</v>
      </c>
      <c r="B3" s="319" t="s">
        <v>17</v>
      </c>
      <c r="C3" s="320" t="s">
        <v>6</v>
      </c>
      <c r="D3" s="320" t="s">
        <v>7</v>
      </c>
      <c r="E3" s="320" t="s">
        <v>8</v>
      </c>
      <c r="F3" s="320" t="s">
        <v>9</v>
      </c>
      <c r="G3" s="321" t="s">
        <v>10</v>
      </c>
      <c r="H3" s="320" t="s">
        <v>11</v>
      </c>
      <c r="I3" s="320" t="s">
        <v>12</v>
      </c>
      <c r="J3" s="333"/>
      <c r="K3" s="333"/>
      <c r="L3" s="333"/>
      <c r="M3" s="333"/>
      <c r="N3" s="333"/>
      <c r="O3" s="333"/>
      <c r="P3" s="333"/>
      <c r="Q3" s="333"/>
      <c r="R3" s="333"/>
      <c r="S3" s="333"/>
      <c r="T3" s="333"/>
      <c r="U3" s="333"/>
      <c r="V3" s="333"/>
      <c r="W3" s="333"/>
      <c r="X3" s="333"/>
      <c r="Y3" s="333"/>
      <c r="Z3" s="333"/>
      <c r="AA3" s="333"/>
      <c r="AB3" s="333"/>
      <c r="AC3" s="333"/>
      <c r="AD3" s="333"/>
      <c r="AE3" s="333"/>
      <c r="AF3" s="333"/>
      <c r="AG3" s="333"/>
      <c r="AH3" s="333"/>
      <c r="AI3" s="333"/>
      <c r="AJ3" s="333"/>
      <c r="AK3" s="333"/>
      <c r="AL3" s="333"/>
      <c r="AM3" s="333"/>
      <c r="AN3" s="333"/>
      <c r="AO3" s="333"/>
      <c r="AP3" s="333"/>
      <c r="AQ3" s="333"/>
      <c r="AR3" s="333"/>
      <c r="AS3" s="333"/>
      <c r="AT3" s="333"/>
      <c r="AU3" s="333"/>
      <c r="AV3" s="333"/>
      <c r="AW3" s="333"/>
      <c r="AX3" s="333"/>
      <c r="AY3" s="333"/>
      <c r="AZ3" s="333"/>
      <c r="BA3" s="333"/>
      <c r="BB3" s="333"/>
      <c r="BC3" s="333"/>
      <c r="BD3" s="333"/>
      <c r="BE3" s="333"/>
      <c r="BF3" s="333"/>
      <c r="BG3" s="333"/>
      <c r="BH3" s="333"/>
      <c r="BI3" s="333"/>
      <c r="BJ3" s="333"/>
      <c r="BK3" s="333"/>
      <c r="BL3" s="333"/>
      <c r="BM3" s="333"/>
      <c r="BN3" s="333"/>
      <c r="BO3" s="333"/>
      <c r="BP3" s="333"/>
      <c r="BQ3" s="333"/>
      <c r="BR3" s="333"/>
      <c r="BS3" s="333"/>
      <c r="BT3" s="333"/>
      <c r="BU3" s="333"/>
      <c r="BV3" s="333"/>
      <c r="BW3" s="333"/>
      <c r="BX3" s="333"/>
      <c r="BY3" s="333"/>
      <c r="BZ3" s="333"/>
      <c r="CA3" s="333"/>
      <c r="CB3" s="333"/>
      <c r="CC3" s="333"/>
      <c r="CD3" s="333"/>
      <c r="CE3" s="333"/>
      <c r="CF3" s="333"/>
      <c r="CG3" s="333"/>
      <c r="CH3" s="333"/>
      <c r="CI3" s="333"/>
      <c r="CJ3" s="333"/>
      <c r="CK3" s="333"/>
      <c r="CL3" s="333"/>
      <c r="CM3" s="333"/>
      <c r="CN3" s="333"/>
      <c r="CO3" s="333"/>
      <c r="CP3" s="333"/>
      <c r="CQ3" s="333"/>
      <c r="CR3" s="333"/>
      <c r="CS3" s="333"/>
      <c r="CT3" s="333"/>
      <c r="CU3" s="333"/>
      <c r="CV3" s="333"/>
      <c r="CW3" s="333"/>
      <c r="CX3" s="333"/>
      <c r="CY3" s="333"/>
      <c r="CZ3" s="333"/>
      <c r="DA3" s="333"/>
      <c r="DB3" s="333"/>
      <c r="DC3" s="333"/>
      <c r="DD3" s="333"/>
      <c r="DE3" s="333"/>
      <c r="DF3" s="333"/>
      <c r="DG3" s="333"/>
      <c r="DH3" s="333"/>
      <c r="DI3" s="333"/>
      <c r="DJ3" s="333"/>
      <c r="DK3" s="333"/>
      <c r="DL3" s="333"/>
      <c r="DM3" s="333"/>
      <c r="DN3" s="333"/>
      <c r="DO3" s="333"/>
      <c r="DP3" s="333"/>
      <c r="DQ3" s="333"/>
      <c r="DR3" s="333"/>
      <c r="DS3" s="333"/>
      <c r="DT3" s="333"/>
      <c r="DU3" s="333"/>
      <c r="DV3" s="333"/>
      <c r="DW3" s="333"/>
      <c r="DX3" s="333"/>
      <c r="DY3" s="333"/>
      <c r="DZ3" s="333"/>
      <c r="EA3" s="333"/>
      <c r="EB3" s="333"/>
      <c r="EC3" s="333"/>
      <c r="ED3" s="333"/>
      <c r="EE3" s="333"/>
      <c r="EF3" s="333"/>
      <c r="EG3" s="333"/>
      <c r="EH3" s="333"/>
      <c r="EI3" s="333"/>
      <c r="EJ3" s="333"/>
      <c r="EK3" s="333"/>
      <c r="EL3" s="333"/>
      <c r="EM3" s="333"/>
      <c r="EN3" s="333"/>
      <c r="EO3" s="333"/>
      <c r="EP3" s="333"/>
      <c r="EQ3" s="333"/>
      <c r="ER3" s="333"/>
      <c r="ES3" s="333"/>
      <c r="ET3" s="333"/>
      <c r="EU3" s="333"/>
      <c r="EV3" s="333"/>
      <c r="EW3" s="333"/>
      <c r="EX3" s="333"/>
      <c r="EY3" s="333"/>
      <c r="EZ3" s="333"/>
      <c r="FA3" s="333"/>
      <c r="FB3" s="333"/>
      <c r="FC3" s="333"/>
      <c r="FD3" s="333"/>
      <c r="FE3" s="333"/>
      <c r="FF3" s="333"/>
      <c r="FG3" s="333"/>
      <c r="FH3" s="333"/>
      <c r="FI3" s="333"/>
      <c r="FJ3" s="333"/>
      <c r="FK3" s="333"/>
      <c r="FL3" s="333"/>
      <c r="FM3" s="333"/>
      <c r="FN3" s="333"/>
      <c r="FO3" s="333"/>
      <c r="FP3" s="333"/>
      <c r="FQ3" s="333"/>
      <c r="FR3" s="333"/>
      <c r="FS3" s="333"/>
      <c r="FT3" s="333"/>
      <c r="FU3" s="333"/>
      <c r="FV3" s="333"/>
      <c r="FW3" s="333"/>
      <c r="FX3" s="333"/>
      <c r="FY3" s="333"/>
      <c r="FZ3" s="333"/>
      <c r="GA3" s="333"/>
      <c r="GB3" s="333"/>
      <c r="GC3" s="333"/>
      <c r="GD3" s="333"/>
      <c r="GE3" s="333"/>
      <c r="GF3" s="333"/>
      <c r="GG3" s="333"/>
      <c r="GH3" s="333"/>
      <c r="GI3" s="333"/>
      <c r="GJ3" s="333"/>
      <c r="GK3" s="333"/>
      <c r="GL3" s="333"/>
      <c r="GM3" s="333"/>
      <c r="GN3" s="333"/>
      <c r="GO3" s="333"/>
      <c r="GP3" s="333"/>
      <c r="GQ3" s="333"/>
      <c r="GR3" s="333"/>
      <c r="GS3" s="333"/>
      <c r="GT3" s="333"/>
      <c r="GU3" s="333"/>
      <c r="GV3" s="333"/>
      <c r="GW3" s="333"/>
      <c r="GX3" s="333"/>
      <c r="GY3" s="333"/>
      <c r="GZ3" s="333"/>
      <c r="HA3" s="333"/>
      <c r="HB3" s="333"/>
      <c r="HC3" s="333"/>
      <c r="HD3" s="333"/>
      <c r="HE3" s="333"/>
      <c r="HF3" s="333"/>
      <c r="HG3" s="333"/>
      <c r="HH3" s="333"/>
      <c r="HI3" s="333"/>
      <c r="HJ3" s="333"/>
      <c r="HK3" s="333"/>
      <c r="HL3" s="333"/>
      <c r="HM3" s="333"/>
      <c r="HN3" s="333"/>
      <c r="HO3" s="333"/>
      <c r="HP3" s="333"/>
      <c r="HQ3" s="333"/>
      <c r="HR3" s="333"/>
      <c r="HS3" s="333"/>
      <c r="HT3" s="333"/>
      <c r="HU3" s="333"/>
      <c r="HV3" s="333"/>
      <c r="HW3" s="333"/>
      <c r="HX3" s="333"/>
      <c r="HY3" s="333"/>
      <c r="HZ3" s="333"/>
      <c r="IA3" s="333"/>
      <c r="IB3" s="333"/>
      <c r="IC3" s="333"/>
      <c r="ID3" s="333"/>
      <c r="IE3" s="333"/>
      <c r="IF3" s="333"/>
      <c r="IG3" s="333"/>
      <c r="IH3" s="333"/>
      <c r="II3" s="333"/>
      <c r="IJ3" s="333"/>
      <c r="IK3" s="333"/>
      <c r="IL3" s="333"/>
      <c r="IM3" s="333"/>
      <c r="IN3" s="333"/>
      <c r="IO3" s="333"/>
      <c r="IP3" s="333"/>
      <c r="IQ3" s="333"/>
      <c r="IR3" s="333"/>
      <c r="IS3" s="333"/>
      <c r="IT3" s="333"/>
      <c r="IU3" s="333"/>
      <c r="IV3" s="335"/>
    </row>
    <row r="4" s="7" customFormat="1" ht="14.25" spans="1:256">
      <c r="A4" s="318"/>
      <c r="B4" s="319"/>
      <c r="C4" s="321" t="s">
        <v>307</v>
      </c>
      <c r="D4" s="321"/>
      <c r="E4" s="321"/>
      <c r="F4" s="321"/>
      <c r="G4" s="321" t="s">
        <v>308</v>
      </c>
      <c r="H4" s="321" t="s">
        <v>309</v>
      </c>
      <c r="I4" s="321" t="s">
        <v>310</v>
      </c>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3"/>
      <c r="AR4" s="333"/>
      <c r="AS4" s="333"/>
      <c r="AT4" s="333"/>
      <c r="AU4" s="333"/>
      <c r="AV4" s="333"/>
      <c r="AW4" s="333"/>
      <c r="AX4" s="333"/>
      <c r="AY4" s="333"/>
      <c r="AZ4" s="333"/>
      <c r="BA4" s="333"/>
      <c r="BB4" s="333"/>
      <c r="BC4" s="333"/>
      <c r="BD4" s="333"/>
      <c r="BE4" s="333"/>
      <c r="BF4" s="333"/>
      <c r="BG4" s="333"/>
      <c r="BH4" s="333"/>
      <c r="BI4" s="333"/>
      <c r="BJ4" s="333"/>
      <c r="BK4" s="333"/>
      <c r="BL4" s="333"/>
      <c r="BM4" s="333"/>
      <c r="BN4" s="333"/>
      <c r="BO4" s="333"/>
      <c r="BP4" s="333"/>
      <c r="BQ4" s="333"/>
      <c r="BR4" s="333"/>
      <c r="BS4" s="333"/>
      <c r="BT4" s="333"/>
      <c r="BU4" s="333"/>
      <c r="BV4" s="333"/>
      <c r="BW4" s="333"/>
      <c r="BX4" s="333"/>
      <c r="BY4" s="333"/>
      <c r="BZ4" s="333"/>
      <c r="CA4" s="333"/>
      <c r="CB4" s="333"/>
      <c r="CC4" s="333"/>
      <c r="CD4" s="333"/>
      <c r="CE4" s="333"/>
      <c r="CF4" s="333"/>
      <c r="CG4" s="333"/>
      <c r="CH4" s="333"/>
      <c r="CI4" s="333"/>
      <c r="CJ4" s="333"/>
      <c r="CK4" s="333"/>
      <c r="CL4" s="333"/>
      <c r="CM4" s="333"/>
      <c r="CN4" s="333"/>
      <c r="CO4" s="333"/>
      <c r="CP4" s="333"/>
      <c r="CQ4" s="333"/>
      <c r="CR4" s="333"/>
      <c r="CS4" s="333"/>
      <c r="CT4" s="333"/>
      <c r="CU4" s="333"/>
      <c r="CV4" s="333"/>
      <c r="CW4" s="333"/>
      <c r="CX4" s="333"/>
      <c r="CY4" s="333"/>
      <c r="CZ4" s="333"/>
      <c r="DA4" s="333"/>
      <c r="DB4" s="333"/>
      <c r="DC4" s="333"/>
      <c r="DD4" s="333"/>
      <c r="DE4" s="333"/>
      <c r="DF4" s="333"/>
      <c r="DG4" s="333"/>
      <c r="DH4" s="333"/>
      <c r="DI4" s="333"/>
      <c r="DJ4" s="333"/>
      <c r="DK4" s="333"/>
      <c r="DL4" s="333"/>
      <c r="DM4" s="333"/>
      <c r="DN4" s="333"/>
      <c r="DO4" s="333"/>
      <c r="DP4" s="333"/>
      <c r="DQ4" s="333"/>
      <c r="DR4" s="333"/>
      <c r="DS4" s="333"/>
      <c r="DT4" s="333"/>
      <c r="DU4" s="333"/>
      <c r="DV4" s="333"/>
      <c r="DW4" s="333"/>
      <c r="DX4" s="333"/>
      <c r="DY4" s="333"/>
      <c r="DZ4" s="333"/>
      <c r="EA4" s="333"/>
      <c r="EB4" s="333"/>
      <c r="EC4" s="333"/>
      <c r="ED4" s="333"/>
      <c r="EE4" s="333"/>
      <c r="EF4" s="333"/>
      <c r="EG4" s="333"/>
      <c r="EH4" s="333"/>
      <c r="EI4" s="333"/>
      <c r="EJ4" s="333"/>
      <c r="EK4" s="333"/>
      <c r="EL4" s="333"/>
      <c r="EM4" s="333"/>
      <c r="EN4" s="333"/>
      <c r="EO4" s="333"/>
      <c r="EP4" s="333"/>
      <c r="EQ4" s="333"/>
      <c r="ER4" s="333"/>
      <c r="ES4" s="333"/>
      <c r="ET4" s="333"/>
      <c r="EU4" s="333"/>
      <c r="EV4" s="333"/>
      <c r="EW4" s="333"/>
      <c r="EX4" s="333"/>
      <c r="EY4" s="333"/>
      <c r="EZ4" s="333"/>
      <c r="FA4" s="333"/>
      <c r="FB4" s="333"/>
      <c r="FC4" s="333"/>
      <c r="FD4" s="333"/>
      <c r="FE4" s="333"/>
      <c r="FF4" s="333"/>
      <c r="FG4" s="333"/>
      <c r="FH4" s="333"/>
      <c r="FI4" s="333"/>
      <c r="FJ4" s="333"/>
      <c r="FK4" s="333"/>
      <c r="FL4" s="333"/>
      <c r="FM4" s="333"/>
      <c r="FN4" s="333"/>
      <c r="FO4" s="333"/>
      <c r="FP4" s="333"/>
      <c r="FQ4" s="333"/>
      <c r="FR4" s="333"/>
      <c r="FS4" s="333"/>
      <c r="FT4" s="333"/>
      <c r="FU4" s="333"/>
      <c r="FV4" s="333"/>
      <c r="FW4" s="333"/>
      <c r="FX4" s="333"/>
      <c r="FY4" s="333"/>
      <c r="FZ4" s="333"/>
      <c r="GA4" s="333"/>
      <c r="GB4" s="333"/>
      <c r="GC4" s="333"/>
      <c r="GD4" s="333"/>
      <c r="GE4" s="333"/>
      <c r="GF4" s="333"/>
      <c r="GG4" s="333"/>
      <c r="GH4" s="333"/>
      <c r="GI4" s="333"/>
      <c r="GJ4" s="333"/>
      <c r="GK4" s="333"/>
      <c r="GL4" s="333"/>
      <c r="GM4" s="333"/>
      <c r="GN4" s="333"/>
      <c r="GO4" s="333"/>
      <c r="GP4" s="333"/>
      <c r="GQ4" s="333"/>
      <c r="GR4" s="333"/>
      <c r="GS4" s="333"/>
      <c r="GT4" s="333"/>
      <c r="GU4" s="333"/>
      <c r="GV4" s="333"/>
      <c r="GW4" s="333"/>
      <c r="GX4" s="333"/>
      <c r="GY4" s="333"/>
      <c r="GZ4" s="333"/>
      <c r="HA4" s="333"/>
      <c r="HB4" s="333"/>
      <c r="HC4" s="333"/>
      <c r="HD4" s="333"/>
      <c r="HE4" s="333"/>
      <c r="HF4" s="333"/>
      <c r="HG4" s="333"/>
      <c r="HH4" s="333"/>
      <c r="HI4" s="333"/>
      <c r="HJ4" s="333"/>
      <c r="HK4" s="333"/>
      <c r="HL4" s="333"/>
      <c r="HM4" s="333"/>
      <c r="HN4" s="333"/>
      <c r="HO4" s="333"/>
      <c r="HP4" s="333"/>
      <c r="HQ4" s="333"/>
      <c r="HR4" s="333"/>
      <c r="HS4" s="333"/>
      <c r="HT4" s="333"/>
      <c r="HU4" s="333"/>
      <c r="HV4" s="333"/>
      <c r="HW4" s="333"/>
      <c r="HX4" s="333"/>
      <c r="HY4" s="333"/>
      <c r="HZ4" s="333"/>
      <c r="IA4" s="333"/>
      <c r="IB4" s="333"/>
      <c r="IC4" s="333"/>
      <c r="ID4" s="333"/>
      <c r="IE4" s="333"/>
      <c r="IF4" s="333"/>
      <c r="IG4" s="333"/>
      <c r="IH4" s="333"/>
      <c r="II4" s="333"/>
      <c r="IJ4" s="333"/>
      <c r="IK4" s="333"/>
      <c r="IL4" s="333"/>
      <c r="IM4" s="333"/>
      <c r="IN4" s="333"/>
      <c r="IO4" s="333"/>
      <c r="IP4" s="333"/>
      <c r="IQ4" s="333"/>
      <c r="IR4" s="333"/>
      <c r="IS4" s="333"/>
      <c r="IT4" s="333"/>
      <c r="IU4" s="333"/>
      <c r="IV4" s="335"/>
    </row>
    <row r="5" s="7" customFormat="1" ht="24" spans="1:256">
      <c r="A5" s="318"/>
      <c r="B5" s="319"/>
      <c r="C5" s="321" t="s">
        <v>311</v>
      </c>
      <c r="D5" s="321" t="s">
        <v>312</v>
      </c>
      <c r="E5" s="321" t="s">
        <v>313</v>
      </c>
      <c r="F5" s="321" t="s">
        <v>314</v>
      </c>
      <c r="G5" s="321"/>
      <c r="H5" s="321"/>
      <c r="I5" s="321"/>
      <c r="J5" s="333"/>
      <c r="K5" s="333"/>
      <c r="L5" s="333"/>
      <c r="M5" s="333"/>
      <c r="N5" s="333"/>
      <c r="O5" s="333"/>
      <c r="P5" s="333"/>
      <c r="Q5" s="333"/>
      <c r="R5" s="333"/>
      <c r="S5" s="333"/>
      <c r="T5" s="333"/>
      <c r="U5" s="333"/>
      <c r="V5" s="333"/>
      <c r="W5" s="333"/>
      <c r="X5" s="333"/>
      <c r="Y5" s="333"/>
      <c r="Z5" s="333"/>
      <c r="AA5" s="333"/>
      <c r="AB5" s="333"/>
      <c r="AC5" s="333"/>
      <c r="AD5" s="333"/>
      <c r="AE5" s="333"/>
      <c r="AF5" s="333"/>
      <c r="AG5" s="333"/>
      <c r="AH5" s="333"/>
      <c r="AI5" s="333"/>
      <c r="AJ5" s="333"/>
      <c r="AK5" s="333"/>
      <c r="AL5" s="333"/>
      <c r="AM5" s="333"/>
      <c r="AN5" s="333"/>
      <c r="AO5" s="333"/>
      <c r="AP5" s="333"/>
      <c r="AQ5" s="333"/>
      <c r="AR5" s="333"/>
      <c r="AS5" s="333"/>
      <c r="AT5" s="333"/>
      <c r="AU5" s="333"/>
      <c r="AV5" s="333"/>
      <c r="AW5" s="333"/>
      <c r="AX5" s="333"/>
      <c r="AY5" s="333"/>
      <c r="AZ5" s="333"/>
      <c r="BA5" s="333"/>
      <c r="BB5" s="333"/>
      <c r="BC5" s="333"/>
      <c r="BD5" s="333"/>
      <c r="BE5" s="333"/>
      <c r="BF5" s="333"/>
      <c r="BG5" s="333"/>
      <c r="BH5" s="333"/>
      <c r="BI5" s="333"/>
      <c r="BJ5" s="333"/>
      <c r="BK5" s="333"/>
      <c r="BL5" s="333"/>
      <c r="BM5" s="333"/>
      <c r="BN5" s="333"/>
      <c r="BO5" s="333"/>
      <c r="BP5" s="333"/>
      <c r="BQ5" s="333"/>
      <c r="BR5" s="333"/>
      <c r="BS5" s="333"/>
      <c r="BT5" s="333"/>
      <c r="BU5" s="333"/>
      <c r="BV5" s="333"/>
      <c r="BW5" s="333"/>
      <c r="BX5" s="333"/>
      <c r="BY5" s="333"/>
      <c r="BZ5" s="333"/>
      <c r="CA5" s="333"/>
      <c r="CB5" s="333"/>
      <c r="CC5" s="333"/>
      <c r="CD5" s="333"/>
      <c r="CE5" s="333"/>
      <c r="CF5" s="333"/>
      <c r="CG5" s="333"/>
      <c r="CH5" s="333"/>
      <c r="CI5" s="333"/>
      <c r="CJ5" s="333"/>
      <c r="CK5" s="333"/>
      <c r="CL5" s="333"/>
      <c r="CM5" s="333"/>
      <c r="CN5" s="333"/>
      <c r="CO5" s="333"/>
      <c r="CP5" s="333"/>
      <c r="CQ5" s="333"/>
      <c r="CR5" s="333"/>
      <c r="CS5" s="333"/>
      <c r="CT5" s="333"/>
      <c r="CU5" s="333"/>
      <c r="CV5" s="333"/>
      <c r="CW5" s="333"/>
      <c r="CX5" s="333"/>
      <c r="CY5" s="333"/>
      <c r="CZ5" s="333"/>
      <c r="DA5" s="333"/>
      <c r="DB5" s="333"/>
      <c r="DC5" s="333"/>
      <c r="DD5" s="333"/>
      <c r="DE5" s="333"/>
      <c r="DF5" s="333"/>
      <c r="DG5" s="333"/>
      <c r="DH5" s="333"/>
      <c r="DI5" s="333"/>
      <c r="DJ5" s="333"/>
      <c r="DK5" s="333"/>
      <c r="DL5" s="333"/>
      <c r="DM5" s="333"/>
      <c r="DN5" s="333"/>
      <c r="DO5" s="333"/>
      <c r="DP5" s="333"/>
      <c r="DQ5" s="333"/>
      <c r="DR5" s="333"/>
      <c r="DS5" s="333"/>
      <c r="DT5" s="333"/>
      <c r="DU5" s="333"/>
      <c r="DV5" s="333"/>
      <c r="DW5" s="333"/>
      <c r="DX5" s="333"/>
      <c r="DY5" s="333"/>
      <c r="DZ5" s="333"/>
      <c r="EA5" s="333"/>
      <c r="EB5" s="333"/>
      <c r="EC5" s="333"/>
      <c r="ED5" s="333"/>
      <c r="EE5" s="333"/>
      <c r="EF5" s="333"/>
      <c r="EG5" s="333"/>
      <c r="EH5" s="333"/>
      <c r="EI5" s="333"/>
      <c r="EJ5" s="333"/>
      <c r="EK5" s="333"/>
      <c r="EL5" s="333"/>
      <c r="EM5" s="333"/>
      <c r="EN5" s="333"/>
      <c r="EO5" s="333"/>
      <c r="EP5" s="333"/>
      <c r="EQ5" s="333"/>
      <c r="ER5" s="333"/>
      <c r="ES5" s="333"/>
      <c r="ET5" s="333"/>
      <c r="EU5" s="333"/>
      <c r="EV5" s="333"/>
      <c r="EW5" s="333"/>
      <c r="EX5" s="333"/>
      <c r="EY5" s="333"/>
      <c r="EZ5" s="333"/>
      <c r="FA5" s="333"/>
      <c r="FB5" s="333"/>
      <c r="FC5" s="333"/>
      <c r="FD5" s="333"/>
      <c r="FE5" s="333"/>
      <c r="FF5" s="333"/>
      <c r="FG5" s="333"/>
      <c r="FH5" s="333"/>
      <c r="FI5" s="333"/>
      <c r="FJ5" s="333"/>
      <c r="FK5" s="333"/>
      <c r="FL5" s="333"/>
      <c r="FM5" s="333"/>
      <c r="FN5" s="333"/>
      <c r="FO5" s="333"/>
      <c r="FP5" s="333"/>
      <c r="FQ5" s="333"/>
      <c r="FR5" s="333"/>
      <c r="FS5" s="333"/>
      <c r="FT5" s="333"/>
      <c r="FU5" s="333"/>
      <c r="FV5" s="333"/>
      <c r="FW5" s="333"/>
      <c r="FX5" s="333"/>
      <c r="FY5" s="333"/>
      <c r="FZ5" s="333"/>
      <c r="GA5" s="333"/>
      <c r="GB5" s="333"/>
      <c r="GC5" s="333"/>
      <c r="GD5" s="333"/>
      <c r="GE5" s="333"/>
      <c r="GF5" s="333"/>
      <c r="GG5" s="333"/>
      <c r="GH5" s="333"/>
      <c r="GI5" s="333"/>
      <c r="GJ5" s="333"/>
      <c r="GK5" s="333"/>
      <c r="GL5" s="333"/>
      <c r="GM5" s="333"/>
      <c r="GN5" s="333"/>
      <c r="GO5" s="333"/>
      <c r="GP5" s="333"/>
      <c r="GQ5" s="333"/>
      <c r="GR5" s="333"/>
      <c r="GS5" s="333"/>
      <c r="GT5" s="333"/>
      <c r="GU5" s="333"/>
      <c r="GV5" s="333"/>
      <c r="GW5" s="333"/>
      <c r="GX5" s="333"/>
      <c r="GY5" s="333"/>
      <c r="GZ5" s="333"/>
      <c r="HA5" s="333"/>
      <c r="HB5" s="333"/>
      <c r="HC5" s="333"/>
      <c r="HD5" s="333"/>
      <c r="HE5" s="333"/>
      <c r="HF5" s="333"/>
      <c r="HG5" s="333"/>
      <c r="HH5" s="333"/>
      <c r="HI5" s="333"/>
      <c r="HJ5" s="333"/>
      <c r="HK5" s="333"/>
      <c r="HL5" s="333"/>
      <c r="HM5" s="333"/>
      <c r="HN5" s="333"/>
      <c r="HO5" s="333"/>
      <c r="HP5" s="333"/>
      <c r="HQ5" s="333"/>
      <c r="HR5" s="333"/>
      <c r="HS5" s="333"/>
      <c r="HT5" s="333"/>
      <c r="HU5" s="333"/>
      <c r="HV5" s="333"/>
      <c r="HW5" s="333"/>
      <c r="HX5" s="333"/>
      <c r="HY5" s="333"/>
      <c r="HZ5" s="333"/>
      <c r="IA5" s="333"/>
      <c r="IB5" s="333"/>
      <c r="IC5" s="333"/>
      <c r="ID5" s="333"/>
      <c r="IE5" s="333"/>
      <c r="IF5" s="333"/>
      <c r="IG5" s="333"/>
      <c r="IH5" s="333"/>
      <c r="II5" s="333"/>
      <c r="IJ5" s="333"/>
      <c r="IK5" s="333"/>
      <c r="IL5" s="333"/>
      <c r="IM5" s="333"/>
      <c r="IN5" s="333"/>
      <c r="IO5" s="333"/>
      <c r="IP5" s="333"/>
      <c r="IQ5" s="333"/>
      <c r="IR5" s="333"/>
      <c r="IS5" s="333"/>
      <c r="IT5" s="333"/>
      <c r="IU5" s="333"/>
      <c r="IV5" s="335"/>
    </row>
    <row r="6" s="7" customFormat="1" ht="14.25" spans="1:256">
      <c r="A6" s="318">
        <v>1</v>
      </c>
      <c r="B6" s="322" t="s">
        <v>23</v>
      </c>
      <c r="C6" s="323">
        <f>C7+C8+C9</f>
        <v>0</v>
      </c>
      <c r="D6" s="323">
        <f t="shared" ref="D6:I6" si="0">D7+D8+D9</f>
        <v>0</v>
      </c>
      <c r="E6" s="323">
        <f t="shared" si="0"/>
        <v>0</v>
      </c>
      <c r="F6" s="323">
        <f t="shared" si="0"/>
        <v>0</v>
      </c>
      <c r="G6" s="323">
        <f t="shared" si="0"/>
        <v>0</v>
      </c>
      <c r="H6" s="323">
        <f t="shared" si="0"/>
        <v>0</v>
      </c>
      <c r="I6" s="323">
        <f t="shared" si="0"/>
        <v>0</v>
      </c>
      <c r="J6" s="333"/>
      <c r="K6" s="333"/>
      <c r="L6" s="333"/>
      <c r="M6" s="333"/>
      <c r="N6" s="333"/>
      <c r="O6" s="333"/>
      <c r="P6" s="333"/>
      <c r="Q6" s="333"/>
      <c r="R6" s="333"/>
      <c r="S6" s="333"/>
      <c r="T6" s="333"/>
      <c r="U6" s="333"/>
      <c r="V6" s="333"/>
      <c r="W6" s="333"/>
      <c r="X6" s="333"/>
      <c r="Y6" s="333"/>
      <c r="Z6" s="333"/>
      <c r="AA6" s="333"/>
      <c r="AB6" s="333"/>
      <c r="AC6" s="333"/>
      <c r="AD6" s="333"/>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333"/>
      <c r="BF6" s="333"/>
      <c r="BG6" s="333"/>
      <c r="BH6" s="333"/>
      <c r="BI6" s="333"/>
      <c r="BJ6" s="333"/>
      <c r="BK6" s="333"/>
      <c r="BL6" s="333"/>
      <c r="BM6" s="333"/>
      <c r="BN6" s="333"/>
      <c r="BO6" s="333"/>
      <c r="BP6" s="333"/>
      <c r="BQ6" s="333"/>
      <c r="BR6" s="333"/>
      <c r="BS6" s="333"/>
      <c r="BT6" s="333"/>
      <c r="BU6" s="333"/>
      <c r="BV6" s="333"/>
      <c r="BW6" s="333"/>
      <c r="BX6" s="333"/>
      <c r="BY6" s="333"/>
      <c r="BZ6" s="333"/>
      <c r="CA6" s="333"/>
      <c r="CB6" s="333"/>
      <c r="CC6" s="333"/>
      <c r="CD6" s="333"/>
      <c r="CE6" s="333"/>
      <c r="CF6" s="333"/>
      <c r="CG6" s="333"/>
      <c r="CH6" s="333"/>
      <c r="CI6" s="333"/>
      <c r="CJ6" s="333"/>
      <c r="CK6" s="333"/>
      <c r="CL6" s="333"/>
      <c r="CM6" s="333"/>
      <c r="CN6" s="333"/>
      <c r="CO6" s="333"/>
      <c r="CP6" s="333"/>
      <c r="CQ6" s="333"/>
      <c r="CR6" s="333"/>
      <c r="CS6" s="333"/>
      <c r="CT6" s="333"/>
      <c r="CU6" s="333"/>
      <c r="CV6" s="333"/>
      <c r="CW6" s="333"/>
      <c r="CX6" s="333"/>
      <c r="CY6" s="333"/>
      <c r="CZ6" s="333"/>
      <c r="DA6" s="333"/>
      <c r="DB6" s="333"/>
      <c r="DC6" s="333"/>
      <c r="DD6" s="333"/>
      <c r="DE6" s="333"/>
      <c r="DF6" s="333"/>
      <c r="DG6" s="333"/>
      <c r="DH6" s="333"/>
      <c r="DI6" s="333"/>
      <c r="DJ6" s="333"/>
      <c r="DK6" s="333"/>
      <c r="DL6" s="333"/>
      <c r="DM6" s="333"/>
      <c r="DN6" s="333"/>
      <c r="DO6" s="333"/>
      <c r="DP6" s="333"/>
      <c r="DQ6" s="333"/>
      <c r="DR6" s="333"/>
      <c r="DS6" s="333"/>
      <c r="DT6" s="333"/>
      <c r="DU6" s="333"/>
      <c r="DV6" s="333"/>
      <c r="DW6" s="333"/>
      <c r="DX6" s="333"/>
      <c r="DY6" s="333"/>
      <c r="DZ6" s="333"/>
      <c r="EA6" s="333"/>
      <c r="EB6" s="333"/>
      <c r="EC6" s="333"/>
      <c r="ED6" s="333"/>
      <c r="EE6" s="333"/>
      <c r="EF6" s="333"/>
      <c r="EG6" s="333"/>
      <c r="EH6" s="333"/>
      <c r="EI6" s="333"/>
      <c r="EJ6" s="333"/>
      <c r="EK6" s="333"/>
      <c r="EL6" s="333"/>
      <c r="EM6" s="333"/>
      <c r="EN6" s="333"/>
      <c r="EO6" s="333"/>
      <c r="EP6" s="333"/>
      <c r="EQ6" s="333"/>
      <c r="ER6" s="333"/>
      <c r="ES6" s="333"/>
      <c r="ET6" s="333"/>
      <c r="EU6" s="333"/>
      <c r="EV6" s="333"/>
      <c r="EW6" s="333"/>
      <c r="EX6" s="333"/>
      <c r="EY6" s="333"/>
      <c r="EZ6" s="333"/>
      <c r="FA6" s="333"/>
      <c r="FB6" s="333"/>
      <c r="FC6" s="333"/>
      <c r="FD6" s="333"/>
      <c r="FE6" s="333"/>
      <c r="FF6" s="333"/>
      <c r="FG6" s="333"/>
      <c r="FH6" s="333"/>
      <c r="FI6" s="333"/>
      <c r="FJ6" s="333"/>
      <c r="FK6" s="333"/>
      <c r="FL6" s="333"/>
      <c r="FM6" s="333"/>
      <c r="FN6" s="333"/>
      <c r="FO6" s="333"/>
      <c r="FP6" s="333"/>
      <c r="FQ6" s="333"/>
      <c r="FR6" s="333"/>
      <c r="FS6" s="333"/>
      <c r="FT6" s="333"/>
      <c r="FU6" s="333"/>
      <c r="FV6" s="333"/>
      <c r="FW6" s="333"/>
      <c r="FX6" s="333"/>
      <c r="FY6" s="333"/>
      <c r="FZ6" s="333"/>
      <c r="GA6" s="333"/>
      <c r="GB6" s="333"/>
      <c r="GC6" s="333"/>
      <c r="GD6" s="333"/>
      <c r="GE6" s="333"/>
      <c r="GF6" s="333"/>
      <c r="GG6" s="333"/>
      <c r="GH6" s="333"/>
      <c r="GI6" s="333"/>
      <c r="GJ6" s="333"/>
      <c r="GK6" s="333"/>
      <c r="GL6" s="333"/>
      <c r="GM6" s="333"/>
      <c r="GN6" s="333"/>
      <c r="GO6" s="333"/>
      <c r="GP6" s="333"/>
      <c r="GQ6" s="333"/>
      <c r="GR6" s="333"/>
      <c r="GS6" s="333"/>
      <c r="GT6" s="333"/>
      <c r="GU6" s="333"/>
      <c r="GV6" s="333"/>
      <c r="GW6" s="333"/>
      <c r="GX6" s="333"/>
      <c r="GY6" s="333"/>
      <c r="GZ6" s="333"/>
      <c r="HA6" s="333"/>
      <c r="HB6" s="333"/>
      <c r="HC6" s="333"/>
      <c r="HD6" s="333"/>
      <c r="HE6" s="333"/>
      <c r="HF6" s="333"/>
      <c r="HG6" s="333"/>
      <c r="HH6" s="333"/>
      <c r="HI6" s="333"/>
      <c r="HJ6" s="333"/>
      <c r="HK6" s="333"/>
      <c r="HL6" s="333"/>
      <c r="HM6" s="333"/>
      <c r="HN6" s="333"/>
      <c r="HO6" s="333"/>
      <c r="HP6" s="333"/>
      <c r="HQ6" s="333"/>
      <c r="HR6" s="333"/>
      <c r="HS6" s="333"/>
      <c r="HT6" s="333"/>
      <c r="HU6" s="333"/>
      <c r="HV6" s="333"/>
      <c r="HW6" s="333"/>
      <c r="HX6" s="333"/>
      <c r="HY6" s="333"/>
      <c r="HZ6" s="333"/>
      <c r="IA6" s="333"/>
      <c r="IB6" s="333"/>
      <c r="IC6" s="333"/>
      <c r="ID6" s="333"/>
      <c r="IE6" s="333"/>
      <c r="IF6" s="333"/>
      <c r="IG6" s="333"/>
      <c r="IH6" s="333"/>
      <c r="II6" s="333"/>
      <c r="IJ6" s="333"/>
      <c r="IK6" s="333"/>
      <c r="IL6" s="333"/>
      <c r="IM6" s="333"/>
      <c r="IN6" s="333"/>
      <c r="IO6" s="333"/>
      <c r="IP6" s="333"/>
      <c r="IQ6" s="333"/>
      <c r="IR6" s="333"/>
      <c r="IS6" s="333"/>
      <c r="IT6" s="333"/>
      <c r="IU6" s="333"/>
      <c r="IV6" s="335"/>
    </row>
    <row r="7" s="7" customFormat="1" ht="14.25" spans="1:256">
      <c r="A7" s="318">
        <v>2</v>
      </c>
      <c r="B7" s="322" t="s">
        <v>24</v>
      </c>
      <c r="C7" s="324"/>
      <c r="D7" s="324"/>
      <c r="E7" s="324"/>
      <c r="F7" s="324"/>
      <c r="G7" s="324"/>
      <c r="H7" s="324"/>
      <c r="I7" s="324"/>
      <c r="J7" s="333"/>
      <c r="K7" s="333"/>
      <c r="L7" s="333"/>
      <c r="M7" s="333"/>
      <c r="N7" s="333"/>
      <c r="O7" s="333"/>
      <c r="P7" s="333"/>
      <c r="Q7" s="333"/>
      <c r="R7" s="333"/>
      <c r="S7" s="333"/>
      <c r="T7" s="333"/>
      <c r="U7" s="333"/>
      <c r="V7" s="333"/>
      <c r="W7" s="333"/>
      <c r="X7" s="333"/>
      <c r="Y7" s="333"/>
      <c r="Z7" s="333"/>
      <c r="AA7" s="333"/>
      <c r="AB7" s="333"/>
      <c r="AC7" s="333"/>
      <c r="AD7" s="333"/>
      <c r="AE7" s="333"/>
      <c r="AF7" s="333"/>
      <c r="AG7" s="333"/>
      <c r="AH7" s="333"/>
      <c r="AI7" s="333"/>
      <c r="AJ7" s="333"/>
      <c r="AK7" s="333"/>
      <c r="AL7" s="333"/>
      <c r="AM7" s="333"/>
      <c r="AN7" s="333"/>
      <c r="AO7" s="333"/>
      <c r="AP7" s="333"/>
      <c r="AQ7" s="333"/>
      <c r="AR7" s="333"/>
      <c r="AS7" s="333"/>
      <c r="AT7" s="333"/>
      <c r="AU7" s="333"/>
      <c r="AV7" s="333"/>
      <c r="AW7" s="333"/>
      <c r="AX7" s="333"/>
      <c r="AY7" s="333"/>
      <c r="AZ7" s="333"/>
      <c r="BA7" s="333"/>
      <c r="BB7" s="333"/>
      <c r="BC7" s="333"/>
      <c r="BD7" s="333"/>
      <c r="BE7" s="333"/>
      <c r="BF7" s="333"/>
      <c r="BG7" s="333"/>
      <c r="BH7" s="333"/>
      <c r="BI7" s="333"/>
      <c r="BJ7" s="333"/>
      <c r="BK7" s="333"/>
      <c r="BL7" s="333"/>
      <c r="BM7" s="333"/>
      <c r="BN7" s="333"/>
      <c r="BO7" s="333"/>
      <c r="BP7" s="333"/>
      <c r="BQ7" s="333"/>
      <c r="BR7" s="333"/>
      <c r="BS7" s="333"/>
      <c r="BT7" s="333"/>
      <c r="BU7" s="333"/>
      <c r="BV7" s="333"/>
      <c r="BW7" s="333"/>
      <c r="BX7" s="333"/>
      <c r="BY7" s="333"/>
      <c r="BZ7" s="333"/>
      <c r="CA7" s="333"/>
      <c r="CB7" s="333"/>
      <c r="CC7" s="333"/>
      <c r="CD7" s="333"/>
      <c r="CE7" s="333"/>
      <c r="CF7" s="333"/>
      <c r="CG7" s="333"/>
      <c r="CH7" s="333"/>
      <c r="CI7" s="333"/>
      <c r="CJ7" s="333"/>
      <c r="CK7" s="333"/>
      <c r="CL7" s="333"/>
      <c r="CM7" s="333"/>
      <c r="CN7" s="333"/>
      <c r="CO7" s="333"/>
      <c r="CP7" s="333"/>
      <c r="CQ7" s="333"/>
      <c r="CR7" s="333"/>
      <c r="CS7" s="333"/>
      <c r="CT7" s="333"/>
      <c r="CU7" s="333"/>
      <c r="CV7" s="333"/>
      <c r="CW7" s="333"/>
      <c r="CX7" s="333"/>
      <c r="CY7" s="333"/>
      <c r="CZ7" s="333"/>
      <c r="DA7" s="333"/>
      <c r="DB7" s="333"/>
      <c r="DC7" s="333"/>
      <c r="DD7" s="333"/>
      <c r="DE7" s="333"/>
      <c r="DF7" s="333"/>
      <c r="DG7" s="333"/>
      <c r="DH7" s="333"/>
      <c r="DI7" s="333"/>
      <c r="DJ7" s="333"/>
      <c r="DK7" s="333"/>
      <c r="DL7" s="333"/>
      <c r="DM7" s="333"/>
      <c r="DN7" s="333"/>
      <c r="DO7" s="333"/>
      <c r="DP7" s="333"/>
      <c r="DQ7" s="333"/>
      <c r="DR7" s="333"/>
      <c r="DS7" s="333"/>
      <c r="DT7" s="333"/>
      <c r="DU7" s="333"/>
      <c r="DV7" s="333"/>
      <c r="DW7" s="333"/>
      <c r="DX7" s="333"/>
      <c r="DY7" s="333"/>
      <c r="DZ7" s="333"/>
      <c r="EA7" s="333"/>
      <c r="EB7" s="333"/>
      <c r="EC7" s="333"/>
      <c r="ED7" s="333"/>
      <c r="EE7" s="333"/>
      <c r="EF7" s="333"/>
      <c r="EG7" s="333"/>
      <c r="EH7" s="333"/>
      <c r="EI7" s="333"/>
      <c r="EJ7" s="333"/>
      <c r="EK7" s="333"/>
      <c r="EL7" s="333"/>
      <c r="EM7" s="333"/>
      <c r="EN7" s="333"/>
      <c r="EO7" s="333"/>
      <c r="EP7" s="333"/>
      <c r="EQ7" s="333"/>
      <c r="ER7" s="333"/>
      <c r="ES7" s="333"/>
      <c r="ET7" s="333"/>
      <c r="EU7" s="333"/>
      <c r="EV7" s="333"/>
      <c r="EW7" s="333"/>
      <c r="EX7" s="333"/>
      <c r="EY7" s="333"/>
      <c r="EZ7" s="333"/>
      <c r="FA7" s="333"/>
      <c r="FB7" s="333"/>
      <c r="FC7" s="333"/>
      <c r="FD7" s="333"/>
      <c r="FE7" s="333"/>
      <c r="FF7" s="333"/>
      <c r="FG7" s="333"/>
      <c r="FH7" s="333"/>
      <c r="FI7" s="333"/>
      <c r="FJ7" s="333"/>
      <c r="FK7" s="333"/>
      <c r="FL7" s="333"/>
      <c r="FM7" s="333"/>
      <c r="FN7" s="333"/>
      <c r="FO7" s="333"/>
      <c r="FP7" s="333"/>
      <c r="FQ7" s="333"/>
      <c r="FR7" s="333"/>
      <c r="FS7" s="333"/>
      <c r="FT7" s="333"/>
      <c r="FU7" s="333"/>
      <c r="FV7" s="333"/>
      <c r="FW7" s="333"/>
      <c r="FX7" s="333"/>
      <c r="FY7" s="333"/>
      <c r="FZ7" s="333"/>
      <c r="GA7" s="333"/>
      <c r="GB7" s="333"/>
      <c r="GC7" s="333"/>
      <c r="GD7" s="333"/>
      <c r="GE7" s="333"/>
      <c r="GF7" s="333"/>
      <c r="GG7" s="333"/>
      <c r="GH7" s="333"/>
      <c r="GI7" s="333"/>
      <c r="GJ7" s="333"/>
      <c r="GK7" s="333"/>
      <c r="GL7" s="333"/>
      <c r="GM7" s="333"/>
      <c r="GN7" s="333"/>
      <c r="GO7" s="333"/>
      <c r="GP7" s="333"/>
      <c r="GQ7" s="333"/>
      <c r="GR7" s="333"/>
      <c r="GS7" s="333"/>
      <c r="GT7" s="333"/>
      <c r="GU7" s="333"/>
      <c r="GV7" s="333"/>
      <c r="GW7" s="333"/>
      <c r="GX7" s="333"/>
      <c r="GY7" s="333"/>
      <c r="GZ7" s="333"/>
      <c r="HA7" s="333"/>
      <c r="HB7" s="333"/>
      <c r="HC7" s="333"/>
      <c r="HD7" s="333"/>
      <c r="HE7" s="333"/>
      <c r="HF7" s="333"/>
      <c r="HG7" s="333"/>
      <c r="HH7" s="333"/>
      <c r="HI7" s="333"/>
      <c r="HJ7" s="333"/>
      <c r="HK7" s="333"/>
      <c r="HL7" s="333"/>
      <c r="HM7" s="333"/>
      <c r="HN7" s="333"/>
      <c r="HO7" s="333"/>
      <c r="HP7" s="333"/>
      <c r="HQ7" s="333"/>
      <c r="HR7" s="333"/>
      <c r="HS7" s="333"/>
      <c r="HT7" s="333"/>
      <c r="HU7" s="333"/>
      <c r="HV7" s="333"/>
      <c r="HW7" s="333"/>
      <c r="HX7" s="333"/>
      <c r="HY7" s="333"/>
      <c r="HZ7" s="333"/>
      <c r="IA7" s="333"/>
      <c r="IB7" s="333"/>
      <c r="IC7" s="333"/>
      <c r="ID7" s="333"/>
      <c r="IE7" s="333"/>
      <c r="IF7" s="333"/>
      <c r="IG7" s="333"/>
      <c r="IH7" s="333"/>
      <c r="II7" s="333"/>
      <c r="IJ7" s="333"/>
      <c r="IK7" s="333"/>
      <c r="IL7" s="333"/>
      <c r="IM7" s="333"/>
      <c r="IN7" s="333"/>
      <c r="IO7" s="333"/>
      <c r="IP7" s="333"/>
      <c r="IQ7" s="333"/>
      <c r="IR7" s="333"/>
      <c r="IS7" s="333"/>
      <c r="IT7" s="333"/>
      <c r="IU7" s="333"/>
      <c r="IV7" s="335"/>
    </row>
    <row r="8" s="7" customFormat="1" ht="14.25" spans="1:256">
      <c r="A8" s="318">
        <v>3</v>
      </c>
      <c r="B8" s="322" t="s">
        <v>25</v>
      </c>
      <c r="C8" s="324"/>
      <c r="D8" s="324"/>
      <c r="E8" s="324"/>
      <c r="F8" s="324"/>
      <c r="G8" s="324"/>
      <c r="H8" s="324"/>
      <c r="I8" s="324"/>
      <c r="J8" s="333"/>
      <c r="K8" s="333"/>
      <c r="L8" s="333"/>
      <c r="M8" s="333"/>
      <c r="N8" s="333"/>
      <c r="O8" s="333"/>
      <c r="P8" s="333"/>
      <c r="Q8" s="333"/>
      <c r="R8" s="333"/>
      <c r="S8" s="333"/>
      <c r="T8" s="333"/>
      <c r="U8" s="333"/>
      <c r="V8" s="333"/>
      <c r="W8" s="333"/>
      <c r="X8" s="333"/>
      <c r="Y8" s="333"/>
      <c r="Z8" s="333"/>
      <c r="AA8" s="333"/>
      <c r="AB8" s="333"/>
      <c r="AC8" s="333"/>
      <c r="AD8" s="333"/>
      <c r="AE8" s="333"/>
      <c r="AF8" s="333"/>
      <c r="AG8" s="333"/>
      <c r="AH8" s="333"/>
      <c r="AI8" s="333"/>
      <c r="AJ8" s="333"/>
      <c r="AK8" s="333"/>
      <c r="AL8" s="333"/>
      <c r="AM8" s="333"/>
      <c r="AN8" s="333"/>
      <c r="AO8" s="333"/>
      <c r="AP8" s="333"/>
      <c r="AQ8" s="333"/>
      <c r="AR8" s="333"/>
      <c r="AS8" s="333"/>
      <c r="AT8" s="333"/>
      <c r="AU8" s="333"/>
      <c r="AV8" s="333"/>
      <c r="AW8" s="333"/>
      <c r="AX8" s="333"/>
      <c r="AY8" s="333"/>
      <c r="AZ8" s="333"/>
      <c r="BA8" s="333"/>
      <c r="BB8" s="333"/>
      <c r="BC8" s="333"/>
      <c r="BD8" s="333"/>
      <c r="BE8" s="333"/>
      <c r="BF8" s="333"/>
      <c r="BG8" s="333"/>
      <c r="BH8" s="333"/>
      <c r="BI8" s="333"/>
      <c r="BJ8" s="333"/>
      <c r="BK8" s="333"/>
      <c r="BL8" s="333"/>
      <c r="BM8" s="333"/>
      <c r="BN8" s="333"/>
      <c r="BO8" s="333"/>
      <c r="BP8" s="333"/>
      <c r="BQ8" s="333"/>
      <c r="BR8" s="333"/>
      <c r="BS8" s="333"/>
      <c r="BT8" s="333"/>
      <c r="BU8" s="333"/>
      <c r="BV8" s="333"/>
      <c r="BW8" s="333"/>
      <c r="BX8" s="333"/>
      <c r="BY8" s="333"/>
      <c r="BZ8" s="333"/>
      <c r="CA8" s="333"/>
      <c r="CB8" s="333"/>
      <c r="CC8" s="333"/>
      <c r="CD8" s="333"/>
      <c r="CE8" s="333"/>
      <c r="CF8" s="333"/>
      <c r="CG8" s="333"/>
      <c r="CH8" s="333"/>
      <c r="CI8" s="333"/>
      <c r="CJ8" s="333"/>
      <c r="CK8" s="333"/>
      <c r="CL8" s="333"/>
      <c r="CM8" s="333"/>
      <c r="CN8" s="333"/>
      <c r="CO8" s="333"/>
      <c r="CP8" s="333"/>
      <c r="CQ8" s="333"/>
      <c r="CR8" s="333"/>
      <c r="CS8" s="333"/>
      <c r="CT8" s="333"/>
      <c r="CU8" s="333"/>
      <c r="CV8" s="333"/>
      <c r="CW8" s="333"/>
      <c r="CX8" s="333"/>
      <c r="CY8" s="333"/>
      <c r="CZ8" s="333"/>
      <c r="DA8" s="333"/>
      <c r="DB8" s="333"/>
      <c r="DC8" s="333"/>
      <c r="DD8" s="333"/>
      <c r="DE8" s="333"/>
      <c r="DF8" s="333"/>
      <c r="DG8" s="333"/>
      <c r="DH8" s="333"/>
      <c r="DI8" s="333"/>
      <c r="DJ8" s="333"/>
      <c r="DK8" s="333"/>
      <c r="DL8" s="333"/>
      <c r="DM8" s="333"/>
      <c r="DN8" s="333"/>
      <c r="DO8" s="333"/>
      <c r="DP8" s="333"/>
      <c r="DQ8" s="333"/>
      <c r="DR8" s="333"/>
      <c r="DS8" s="333"/>
      <c r="DT8" s="333"/>
      <c r="DU8" s="333"/>
      <c r="DV8" s="333"/>
      <c r="DW8" s="333"/>
      <c r="DX8" s="333"/>
      <c r="DY8" s="333"/>
      <c r="DZ8" s="333"/>
      <c r="EA8" s="333"/>
      <c r="EB8" s="333"/>
      <c r="EC8" s="333"/>
      <c r="ED8" s="333"/>
      <c r="EE8" s="333"/>
      <c r="EF8" s="333"/>
      <c r="EG8" s="333"/>
      <c r="EH8" s="333"/>
      <c r="EI8" s="333"/>
      <c r="EJ8" s="333"/>
      <c r="EK8" s="333"/>
      <c r="EL8" s="333"/>
      <c r="EM8" s="333"/>
      <c r="EN8" s="333"/>
      <c r="EO8" s="333"/>
      <c r="EP8" s="333"/>
      <c r="EQ8" s="333"/>
      <c r="ER8" s="333"/>
      <c r="ES8" s="333"/>
      <c r="ET8" s="333"/>
      <c r="EU8" s="333"/>
      <c r="EV8" s="333"/>
      <c r="EW8" s="333"/>
      <c r="EX8" s="333"/>
      <c r="EY8" s="333"/>
      <c r="EZ8" s="333"/>
      <c r="FA8" s="333"/>
      <c r="FB8" s="333"/>
      <c r="FC8" s="333"/>
      <c r="FD8" s="333"/>
      <c r="FE8" s="333"/>
      <c r="FF8" s="333"/>
      <c r="FG8" s="333"/>
      <c r="FH8" s="333"/>
      <c r="FI8" s="333"/>
      <c r="FJ8" s="333"/>
      <c r="FK8" s="333"/>
      <c r="FL8" s="333"/>
      <c r="FM8" s="333"/>
      <c r="FN8" s="333"/>
      <c r="FO8" s="333"/>
      <c r="FP8" s="333"/>
      <c r="FQ8" s="333"/>
      <c r="FR8" s="333"/>
      <c r="FS8" s="333"/>
      <c r="FT8" s="333"/>
      <c r="FU8" s="333"/>
      <c r="FV8" s="333"/>
      <c r="FW8" s="333"/>
      <c r="FX8" s="333"/>
      <c r="FY8" s="333"/>
      <c r="FZ8" s="333"/>
      <c r="GA8" s="333"/>
      <c r="GB8" s="333"/>
      <c r="GC8" s="333"/>
      <c r="GD8" s="333"/>
      <c r="GE8" s="333"/>
      <c r="GF8" s="333"/>
      <c r="GG8" s="333"/>
      <c r="GH8" s="333"/>
      <c r="GI8" s="333"/>
      <c r="GJ8" s="333"/>
      <c r="GK8" s="333"/>
      <c r="GL8" s="333"/>
      <c r="GM8" s="333"/>
      <c r="GN8" s="333"/>
      <c r="GO8" s="333"/>
      <c r="GP8" s="333"/>
      <c r="GQ8" s="333"/>
      <c r="GR8" s="333"/>
      <c r="GS8" s="333"/>
      <c r="GT8" s="333"/>
      <c r="GU8" s="333"/>
      <c r="GV8" s="333"/>
      <c r="GW8" s="333"/>
      <c r="GX8" s="333"/>
      <c r="GY8" s="333"/>
      <c r="GZ8" s="333"/>
      <c r="HA8" s="333"/>
      <c r="HB8" s="333"/>
      <c r="HC8" s="333"/>
      <c r="HD8" s="333"/>
      <c r="HE8" s="333"/>
      <c r="HF8" s="333"/>
      <c r="HG8" s="333"/>
      <c r="HH8" s="333"/>
      <c r="HI8" s="333"/>
      <c r="HJ8" s="333"/>
      <c r="HK8" s="333"/>
      <c r="HL8" s="333"/>
      <c r="HM8" s="333"/>
      <c r="HN8" s="333"/>
      <c r="HO8" s="333"/>
      <c r="HP8" s="333"/>
      <c r="HQ8" s="333"/>
      <c r="HR8" s="333"/>
      <c r="HS8" s="333"/>
      <c r="HT8" s="333"/>
      <c r="HU8" s="333"/>
      <c r="HV8" s="333"/>
      <c r="HW8" s="333"/>
      <c r="HX8" s="333"/>
      <c r="HY8" s="333"/>
      <c r="HZ8" s="333"/>
      <c r="IA8" s="333"/>
      <c r="IB8" s="333"/>
      <c r="IC8" s="333"/>
      <c r="ID8" s="333"/>
      <c r="IE8" s="333"/>
      <c r="IF8" s="333"/>
      <c r="IG8" s="333"/>
      <c r="IH8" s="333"/>
      <c r="II8" s="333"/>
      <c r="IJ8" s="333"/>
      <c r="IK8" s="333"/>
      <c r="IL8" s="333"/>
      <c r="IM8" s="333"/>
      <c r="IN8" s="333"/>
      <c r="IO8" s="333"/>
      <c r="IP8" s="333"/>
      <c r="IQ8" s="333"/>
      <c r="IR8" s="333"/>
      <c r="IS8" s="333"/>
      <c r="IT8" s="333"/>
      <c r="IU8" s="333"/>
      <c r="IV8" s="335"/>
    </row>
    <row r="9" s="7" customFormat="1" ht="14.25" spans="1:256">
      <c r="A9" s="318">
        <v>4</v>
      </c>
      <c r="B9" s="322" t="s">
        <v>26</v>
      </c>
      <c r="C9" s="324"/>
      <c r="D9" s="324"/>
      <c r="E9" s="324"/>
      <c r="F9" s="324"/>
      <c r="G9" s="324"/>
      <c r="H9" s="324"/>
      <c r="I9" s="324"/>
      <c r="J9" s="333"/>
      <c r="K9" s="333"/>
      <c r="L9" s="333"/>
      <c r="M9" s="333"/>
      <c r="N9" s="333"/>
      <c r="O9" s="333"/>
      <c r="P9" s="333"/>
      <c r="Q9" s="333"/>
      <c r="R9" s="333"/>
      <c r="S9" s="333"/>
      <c r="T9" s="333"/>
      <c r="U9" s="333"/>
      <c r="V9" s="333"/>
      <c r="W9" s="333"/>
      <c r="X9" s="333"/>
      <c r="Y9" s="333"/>
      <c r="Z9" s="333"/>
      <c r="AA9" s="333"/>
      <c r="AB9" s="333"/>
      <c r="AC9" s="333"/>
      <c r="AD9" s="333"/>
      <c r="AE9" s="333"/>
      <c r="AF9" s="333"/>
      <c r="AG9" s="333"/>
      <c r="AH9" s="333"/>
      <c r="AI9" s="333"/>
      <c r="AJ9" s="333"/>
      <c r="AK9" s="333"/>
      <c r="AL9" s="333"/>
      <c r="AM9" s="333"/>
      <c r="AN9" s="333"/>
      <c r="AO9" s="333"/>
      <c r="AP9" s="333"/>
      <c r="AQ9" s="333"/>
      <c r="AR9" s="333"/>
      <c r="AS9" s="333"/>
      <c r="AT9" s="333"/>
      <c r="AU9" s="333"/>
      <c r="AV9" s="333"/>
      <c r="AW9" s="333"/>
      <c r="AX9" s="333"/>
      <c r="AY9" s="333"/>
      <c r="AZ9" s="333"/>
      <c r="BA9" s="333"/>
      <c r="BB9" s="333"/>
      <c r="BC9" s="333"/>
      <c r="BD9" s="333"/>
      <c r="BE9" s="333"/>
      <c r="BF9" s="333"/>
      <c r="BG9" s="333"/>
      <c r="BH9" s="333"/>
      <c r="BI9" s="333"/>
      <c r="BJ9" s="333"/>
      <c r="BK9" s="333"/>
      <c r="BL9" s="333"/>
      <c r="BM9" s="333"/>
      <c r="BN9" s="333"/>
      <c r="BO9" s="333"/>
      <c r="BP9" s="333"/>
      <c r="BQ9" s="333"/>
      <c r="BR9" s="333"/>
      <c r="BS9" s="333"/>
      <c r="BT9" s="333"/>
      <c r="BU9" s="333"/>
      <c r="BV9" s="333"/>
      <c r="BW9" s="333"/>
      <c r="BX9" s="333"/>
      <c r="BY9" s="333"/>
      <c r="BZ9" s="333"/>
      <c r="CA9" s="333"/>
      <c r="CB9" s="333"/>
      <c r="CC9" s="333"/>
      <c r="CD9" s="333"/>
      <c r="CE9" s="333"/>
      <c r="CF9" s="333"/>
      <c r="CG9" s="333"/>
      <c r="CH9" s="333"/>
      <c r="CI9" s="333"/>
      <c r="CJ9" s="333"/>
      <c r="CK9" s="333"/>
      <c r="CL9" s="333"/>
      <c r="CM9" s="333"/>
      <c r="CN9" s="333"/>
      <c r="CO9" s="333"/>
      <c r="CP9" s="333"/>
      <c r="CQ9" s="333"/>
      <c r="CR9" s="333"/>
      <c r="CS9" s="333"/>
      <c r="CT9" s="333"/>
      <c r="CU9" s="333"/>
      <c r="CV9" s="333"/>
      <c r="CW9" s="333"/>
      <c r="CX9" s="333"/>
      <c r="CY9" s="333"/>
      <c r="CZ9" s="333"/>
      <c r="DA9" s="333"/>
      <c r="DB9" s="333"/>
      <c r="DC9" s="333"/>
      <c r="DD9" s="333"/>
      <c r="DE9" s="333"/>
      <c r="DF9" s="333"/>
      <c r="DG9" s="333"/>
      <c r="DH9" s="333"/>
      <c r="DI9" s="333"/>
      <c r="DJ9" s="333"/>
      <c r="DK9" s="333"/>
      <c r="DL9" s="333"/>
      <c r="DM9" s="333"/>
      <c r="DN9" s="333"/>
      <c r="DO9" s="333"/>
      <c r="DP9" s="333"/>
      <c r="DQ9" s="333"/>
      <c r="DR9" s="333"/>
      <c r="DS9" s="333"/>
      <c r="DT9" s="333"/>
      <c r="DU9" s="333"/>
      <c r="DV9" s="333"/>
      <c r="DW9" s="333"/>
      <c r="DX9" s="333"/>
      <c r="DY9" s="333"/>
      <c r="DZ9" s="333"/>
      <c r="EA9" s="333"/>
      <c r="EB9" s="333"/>
      <c r="EC9" s="333"/>
      <c r="ED9" s="333"/>
      <c r="EE9" s="333"/>
      <c r="EF9" s="333"/>
      <c r="EG9" s="333"/>
      <c r="EH9" s="333"/>
      <c r="EI9" s="333"/>
      <c r="EJ9" s="333"/>
      <c r="EK9" s="333"/>
      <c r="EL9" s="333"/>
      <c r="EM9" s="333"/>
      <c r="EN9" s="333"/>
      <c r="EO9" s="333"/>
      <c r="EP9" s="333"/>
      <c r="EQ9" s="333"/>
      <c r="ER9" s="333"/>
      <c r="ES9" s="333"/>
      <c r="ET9" s="333"/>
      <c r="EU9" s="333"/>
      <c r="EV9" s="333"/>
      <c r="EW9" s="333"/>
      <c r="EX9" s="333"/>
      <c r="EY9" s="333"/>
      <c r="EZ9" s="333"/>
      <c r="FA9" s="333"/>
      <c r="FB9" s="333"/>
      <c r="FC9" s="333"/>
      <c r="FD9" s="333"/>
      <c r="FE9" s="333"/>
      <c r="FF9" s="333"/>
      <c r="FG9" s="333"/>
      <c r="FH9" s="333"/>
      <c r="FI9" s="333"/>
      <c r="FJ9" s="333"/>
      <c r="FK9" s="333"/>
      <c r="FL9" s="333"/>
      <c r="FM9" s="333"/>
      <c r="FN9" s="333"/>
      <c r="FO9" s="333"/>
      <c r="FP9" s="333"/>
      <c r="FQ9" s="333"/>
      <c r="FR9" s="333"/>
      <c r="FS9" s="333"/>
      <c r="FT9" s="333"/>
      <c r="FU9" s="333"/>
      <c r="FV9" s="333"/>
      <c r="FW9" s="333"/>
      <c r="FX9" s="333"/>
      <c r="FY9" s="333"/>
      <c r="FZ9" s="333"/>
      <c r="GA9" s="333"/>
      <c r="GB9" s="333"/>
      <c r="GC9" s="333"/>
      <c r="GD9" s="333"/>
      <c r="GE9" s="333"/>
      <c r="GF9" s="333"/>
      <c r="GG9" s="333"/>
      <c r="GH9" s="333"/>
      <c r="GI9" s="333"/>
      <c r="GJ9" s="333"/>
      <c r="GK9" s="333"/>
      <c r="GL9" s="333"/>
      <c r="GM9" s="333"/>
      <c r="GN9" s="333"/>
      <c r="GO9" s="333"/>
      <c r="GP9" s="333"/>
      <c r="GQ9" s="333"/>
      <c r="GR9" s="333"/>
      <c r="GS9" s="333"/>
      <c r="GT9" s="333"/>
      <c r="GU9" s="333"/>
      <c r="GV9" s="333"/>
      <c r="GW9" s="333"/>
      <c r="GX9" s="333"/>
      <c r="GY9" s="333"/>
      <c r="GZ9" s="333"/>
      <c r="HA9" s="333"/>
      <c r="HB9" s="333"/>
      <c r="HC9" s="333"/>
      <c r="HD9" s="333"/>
      <c r="HE9" s="333"/>
      <c r="HF9" s="333"/>
      <c r="HG9" s="333"/>
      <c r="HH9" s="333"/>
      <c r="HI9" s="333"/>
      <c r="HJ9" s="333"/>
      <c r="HK9" s="333"/>
      <c r="HL9" s="333"/>
      <c r="HM9" s="333"/>
      <c r="HN9" s="333"/>
      <c r="HO9" s="333"/>
      <c r="HP9" s="333"/>
      <c r="HQ9" s="333"/>
      <c r="HR9" s="333"/>
      <c r="HS9" s="333"/>
      <c r="HT9" s="333"/>
      <c r="HU9" s="333"/>
      <c r="HV9" s="333"/>
      <c r="HW9" s="333"/>
      <c r="HX9" s="333"/>
      <c r="HY9" s="333"/>
      <c r="HZ9" s="333"/>
      <c r="IA9" s="333"/>
      <c r="IB9" s="333"/>
      <c r="IC9" s="333"/>
      <c r="ID9" s="333"/>
      <c r="IE9" s="333"/>
      <c r="IF9" s="333"/>
      <c r="IG9" s="333"/>
      <c r="IH9" s="333"/>
      <c r="II9" s="333"/>
      <c r="IJ9" s="333"/>
      <c r="IK9" s="333"/>
      <c r="IL9" s="333"/>
      <c r="IM9" s="333"/>
      <c r="IN9" s="333"/>
      <c r="IO9" s="333"/>
      <c r="IP9" s="333"/>
      <c r="IQ9" s="333"/>
      <c r="IR9" s="333"/>
      <c r="IS9" s="333"/>
      <c r="IT9" s="333"/>
      <c r="IU9" s="333"/>
      <c r="IV9" s="335"/>
    </row>
    <row r="10" s="7" customFormat="1" ht="14.25" spans="1:256">
      <c r="A10" s="318">
        <v>5</v>
      </c>
      <c r="B10" s="322" t="s">
        <v>27</v>
      </c>
      <c r="C10" s="324"/>
      <c r="D10" s="324"/>
      <c r="E10" s="324"/>
      <c r="F10" s="324"/>
      <c r="G10" s="324"/>
      <c r="H10" s="324"/>
      <c r="I10" s="324"/>
      <c r="J10" s="333"/>
      <c r="K10" s="333"/>
      <c r="L10" s="333"/>
      <c r="M10" s="333"/>
      <c r="N10" s="333"/>
      <c r="O10" s="333"/>
      <c r="P10" s="333"/>
      <c r="Q10" s="333"/>
      <c r="R10" s="333"/>
      <c r="S10" s="333"/>
      <c r="T10" s="333"/>
      <c r="U10" s="333"/>
      <c r="V10" s="333"/>
      <c r="W10" s="333"/>
      <c r="X10" s="333"/>
      <c r="Y10" s="333"/>
      <c r="Z10" s="333"/>
      <c r="AA10" s="333"/>
      <c r="AB10" s="333"/>
      <c r="AC10" s="333"/>
      <c r="AD10" s="333"/>
      <c r="AE10" s="333"/>
      <c r="AF10" s="333"/>
      <c r="AG10" s="333"/>
      <c r="AH10" s="333"/>
      <c r="AI10" s="333"/>
      <c r="AJ10" s="333"/>
      <c r="AK10" s="333"/>
      <c r="AL10" s="333"/>
      <c r="AM10" s="333"/>
      <c r="AN10" s="333"/>
      <c r="AO10" s="333"/>
      <c r="AP10" s="333"/>
      <c r="AQ10" s="333"/>
      <c r="AR10" s="333"/>
      <c r="AS10" s="333"/>
      <c r="AT10" s="333"/>
      <c r="AU10" s="333"/>
      <c r="AV10" s="333"/>
      <c r="AW10" s="333"/>
      <c r="AX10" s="333"/>
      <c r="AY10" s="333"/>
      <c r="AZ10" s="333"/>
      <c r="BA10" s="333"/>
      <c r="BB10" s="333"/>
      <c r="BC10" s="333"/>
      <c r="BD10" s="333"/>
      <c r="BE10" s="333"/>
      <c r="BF10" s="333"/>
      <c r="BG10" s="333"/>
      <c r="BH10" s="333"/>
      <c r="BI10" s="333"/>
      <c r="BJ10" s="333"/>
      <c r="BK10" s="333"/>
      <c r="BL10" s="333"/>
      <c r="BM10" s="333"/>
      <c r="BN10" s="333"/>
      <c r="BO10" s="333"/>
      <c r="BP10" s="333"/>
      <c r="BQ10" s="333"/>
      <c r="BR10" s="333"/>
      <c r="BS10" s="333"/>
      <c r="BT10" s="333"/>
      <c r="BU10" s="333"/>
      <c r="BV10" s="333"/>
      <c r="BW10" s="333"/>
      <c r="BX10" s="333"/>
      <c r="BY10" s="333"/>
      <c r="BZ10" s="333"/>
      <c r="CA10" s="333"/>
      <c r="CB10" s="333"/>
      <c r="CC10" s="333"/>
      <c r="CD10" s="333"/>
      <c r="CE10" s="333"/>
      <c r="CF10" s="333"/>
      <c r="CG10" s="333"/>
      <c r="CH10" s="333"/>
      <c r="CI10" s="333"/>
      <c r="CJ10" s="333"/>
      <c r="CK10" s="333"/>
      <c r="CL10" s="333"/>
      <c r="CM10" s="333"/>
      <c r="CN10" s="333"/>
      <c r="CO10" s="333"/>
      <c r="CP10" s="333"/>
      <c r="CQ10" s="333"/>
      <c r="CR10" s="333"/>
      <c r="CS10" s="333"/>
      <c r="CT10" s="333"/>
      <c r="CU10" s="333"/>
      <c r="CV10" s="333"/>
      <c r="CW10" s="333"/>
      <c r="CX10" s="333"/>
      <c r="CY10" s="333"/>
      <c r="CZ10" s="333"/>
      <c r="DA10" s="333"/>
      <c r="DB10" s="333"/>
      <c r="DC10" s="333"/>
      <c r="DD10" s="333"/>
      <c r="DE10" s="333"/>
      <c r="DF10" s="333"/>
      <c r="DG10" s="333"/>
      <c r="DH10" s="333"/>
      <c r="DI10" s="333"/>
      <c r="DJ10" s="333"/>
      <c r="DK10" s="333"/>
      <c r="DL10" s="333"/>
      <c r="DM10" s="333"/>
      <c r="DN10" s="333"/>
      <c r="DO10" s="333"/>
      <c r="DP10" s="333"/>
      <c r="DQ10" s="333"/>
      <c r="DR10" s="333"/>
      <c r="DS10" s="333"/>
      <c r="DT10" s="333"/>
      <c r="DU10" s="333"/>
      <c r="DV10" s="333"/>
      <c r="DW10" s="333"/>
      <c r="DX10" s="333"/>
      <c r="DY10" s="333"/>
      <c r="DZ10" s="333"/>
      <c r="EA10" s="333"/>
      <c r="EB10" s="333"/>
      <c r="EC10" s="333"/>
      <c r="ED10" s="333"/>
      <c r="EE10" s="333"/>
      <c r="EF10" s="333"/>
      <c r="EG10" s="333"/>
      <c r="EH10" s="333"/>
      <c r="EI10" s="333"/>
      <c r="EJ10" s="333"/>
      <c r="EK10" s="333"/>
      <c r="EL10" s="333"/>
      <c r="EM10" s="333"/>
      <c r="EN10" s="333"/>
      <c r="EO10" s="333"/>
      <c r="EP10" s="333"/>
      <c r="EQ10" s="333"/>
      <c r="ER10" s="333"/>
      <c r="ES10" s="333"/>
      <c r="ET10" s="333"/>
      <c r="EU10" s="333"/>
      <c r="EV10" s="333"/>
      <c r="EW10" s="333"/>
      <c r="EX10" s="333"/>
      <c r="EY10" s="333"/>
      <c r="EZ10" s="333"/>
      <c r="FA10" s="333"/>
      <c r="FB10" s="333"/>
      <c r="FC10" s="333"/>
      <c r="FD10" s="333"/>
      <c r="FE10" s="333"/>
      <c r="FF10" s="333"/>
      <c r="FG10" s="333"/>
      <c r="FH10" s="333"/>
      <c r="FI10" s="333"/>
      <c r="FJ10" s="333"/>
      <c r="FK10" s="333"/>
      <c r="FL10" s="333"/>
      <c r="FM10" s="333"/>
      <c r="FN10" s="333"/>
      <c r="FO10" s="333"/>
      <c r="FP10" s="333"/>
      <c r="FQ10" s="333"/>
      <c r="FR10" s="333"/>
      <c r="FS10" s="333"/>
      <c r="FT10" s="333"/>
      <c r="FU10" s="333"/>
      <c r="FV10" s="333"/>
      <c r="FW10" s="333"/>
      <c r="FX10" s="333"/>
      <c r="FY10" s="333"/>
      <c r="FZ10" s="333"/>
      <c r="GA10" s="333"/>
      <c r="GB10" s="333"/>
      <c r="GC10" s="333"/>
      <c r="GD10" s="333"/>
      <c r="GE10" s="333"/>
      <c r="GF10" s="333"/>
      <c r="GG10" s="333"/>
      <c r="GH10" s="333"/>
      <c r="GI10" s="333"/>
      <c r="GJ10" s="333"/>
      <c r="GK10" s="333"/>
      <c r="GL10" s="333"/>
      <c r="GM10" s="333"/>
      <c r="GN10" s="333"/>
      <c r="GO10" s="333"/>
      <c r="GP10" s="333"/>
      <c r="GQ10" s="333"/>
      <c r="GR10" s="333"/>
      <c r="GS10" s="333"/>
      <c r="GT10" s="333"/>
      <c r="GU10" s="333"/>
      <c r="GV10" s="333"/>
      <c r="GW10" s="333"/>
      <c r="GX10" s="333"/>
      <c r="GY10" s="333"/>
      <c r="GZ10" s="333"/>
      <c r="HA10" s="333"/>
      <c r="HB10" s="333"/>
      <c r="HC10" s="333"/>
      <c r="HD10" s="333"/>
      <c r="HE10" s="333"/>
      <c r="HF10" s="333"/>
      <c r="HG10" s="333"/>
      <c r="HH10" s="333"/>
      <c r="HI10" s="333"/>
      <c r="HJ10" s="333"/>
      <c r="HK10" s="333"/>
      <c r="HL10" s="333"/>
      <c r="HM10" s="333"/>
      <c r="HN10" s="333"/>
      <c r="HO10" s="333"/>
      <c r="HP10" s="333"/>
      <c r="HQ10" s="333"/>
      <c r="HR10" s="333"/>
      <c r="HS10" s="333"/>
      <c r="HT10" s="333"/>
      <c r="HU10" s="333"/>
      <c r="HV10" s="333"/>
      <c r="HW10" s="333"/>
      <c r="HX10" s="333"/>
      <c r="HY10" s="333"/>
      <c r="HZ10" s="333"/>
      <c r="IA10" s="333"/>
      <c r="IB10" s="333"/>
      <c r="IC10" s="333"/>
      <c r="ID10" s="333"/>
      <c r="IE10" s="333"/>
      <c r="IF10" s="333"/>
      <c r="IG10" s="333"/>
      <c r="IH10" s="333"/>
      <c r="II10" s="333"/>
      <c r="IJ10" s="333"/>
      <c r="IK10" s="333"/>
      <c r="IL10" s="333"/>
      <c r="IM10" s="333"/>
      <c r="IN10" s="333"/>
      <c r="IO10" s="333"/>
      <c r="IP10" s="333"/>
      <c r="IQ10" s="333"/>
      <c r="IR10" s="333"/>
      <c r="IS10" s="333"/>
      <c r="IT10" s="333"/>
      <c r="IU10" s="333"/>
      <c r="IV10" s="335"/>
    </row>
    <row r="11" s="7" customFormat="1" ht="14.25" spans="1:256">
      <c r="A11" s="318">
        <v>6</v>
      </c>
      <c r="B11" s="322" t="s">
        <v>31</v>
      </c>
      <c r="C11" s="324"/>
      <c r="D11" s="324"/>
      <c r="E11" s="324"/>
      <c r="F11" s="324"/>
      <c r="G11" s="324"/>
      <c r="H11" s="324"/>
      <c r="I11" s="324"/>
      <c r="J11" s="333"/>
      <c r="K11" s="333"/>
      <c r="L11" s="333"/>
      <c r="M11" s="333"/>
      <c r="N11" s="333"/>
      <c r="O11" s="333"/>
      <c r="P11" s="333"/>
      <c r="Q11" s="333"/>
      <c r="R11" s="333"/>
      <c r="S11" s="333"/>
      <c r="T11" s="333"/>
      <c r="U11" s="333"/>
      <c r="V11" s="333"/>
      <c r="W11" s="333"/>
      <c r="X11" s="333"/>
      <c r="Y11" s="333"/>
      <c r="Z11" s="333"/>
      <c r="AA11" s="333"/>
      <c r="AB11" s="333"/>
      <c r="AC11" s="333"/>
      <c r="AD11" s="333"/>
      <c r="AE11" s="333"/>
      <c r="AF11" s="333"/>
      <c r="AG11" s="333"/>
      <c r="AH11" s="333"/>
      <c r="AI11" s="333"/>
      <c r="AJ11" s="333"/>
      <c r="AK11" s="333"/>
      <c r="AL11" s="333"/>
      <c r="AM11" s="333"/>
      <c r="AN11" s="333"/>
      <c r="AO11" s="333"/>
      <c r="AP11" s="333"/>
      <c r="AQ11" s="333"/>
      <c r="AR11" s="333"/>
      <c r="AS11" s="333"/>
      <c r="AT11" s="333"/>
      <c r="AU11" s="333"/>
      <c r="AV11" s="333"/>
      <c r="AW11" s="333"/>
      <c r="AX11" s="333"/>
      <c r="AY11" s="333"/>
      <c r="AZ11" s="333"/>
      <c r="BA11" s="333"/>
      <c r="BB11" s="333"/>
      <c r="BC11" s="333"/>
      <c r="BD11" s="333"/>
      <c r="BE11" s="333"/>
      <c r="BF11" s="333"/>
      <c r="BG11" s="333"/>
      <c r="BH11" s="333"/>
      <c r="BI11" s="333"/>
      <c r="BJ11" s="333"/>
      <c r="BK11" s="333"/>
      <c r="BL11" s="333"/>
      <c r="BM11" s="333"/>
      <c r="BN11" s="333"/>
      <c r="BO11" s="333"/>
      <c r="BP11" s="333"/>
      <c r="BQ11" s="333"/>
      <c r="BR11" s="333"/>
      <c r="BS11" s="333"/>
      <c r="BT11" s="333"/>
      <c r="BU11" s="333"/>
      <c r="BV11" s="333"/>
      <c r="BW11" s="333"/>
      <c r="BX11" s="333"/>
      <c r="BY11" s="333"/>
      <c r="BZ11" s="333"/>
      <c r="CA11" s="333"/>
      <c r="CB11" s="333"/>
      <c r="CC11" s="333"/>
      <c r="CD11" s="333"/>
      <c r="CE11" s="333"/>
      <c r="CF11" s="333"/>
      <c r="CG11" s="333"/>
      <c r="CH11" s="333"/>
      <c r="CI11" s="333"/>
      <c r="CJ11" s="333"/>
      <c r="CK11" s="333"/>
      <c r="CL11" s="333"/>
      <c r="CM11" s="333"/>
      <c r="CN11" s="333"/>
      <c r="CO11" s="333"/>
      <c r="CP11" s="333"/>
      <c r="CQ11" s="333"/>
      <c r="CR11" s="333"/>
      <c r="CS11" s="333"/>
      <c r="CT11" s="333"/>
      <c r="CU11" s="333"/>
      <c r="CV11" s="333"/>
      <c r="CW11" s="333"/>
      <c r="CX11" s="333"/>
      <c r="CY11" s="333"/>
      <c r="CZ11" s="333"/>
      <c r="DA11" s="333"/>
      <c r="DB11" s="333"/>
      <c r="DC11" s="333"/>
      <c r="DD11" s="333"/>
      <c r="DE11" s="333"/>
      <c r="DF11" s="333"/>
      <c r="DG11" s="333"/>
      <c r="DH11" s="333"/>
      <c r="DI11" s="333"/>
      <c r="DJ11" s="333"/>
      <c r="DK11" s="333"/>
      <c r="DL11" s="333"/>
      <c r="DM11" s="333"/>
      <c r="DN11" s="333"/>
      <c r="DO11" s="333"/>
      <c r="DP11" s="333"/>
      <c r="DQ11" s="333"/>
      <c r="DR11" s="333"/>
      <c r="DS11" s="333"/>
      <c r="DT11" s="333"/>
      <c r="DU11" s="333"/>
      <c r="DV11" s="333"/>
      <c r="DW11" s="333"/>
      <c r="DX11" s="333"/>
      <c r="DY11" s="333"/>
      <c r="DZ11" s="333"/>
      <c r="EA11" s="333"/>
      <c r="EB11" s="333"/>
      <c r="EC11" s="333"/>
      <c r="ED11" s="333"/>
      <c r="EE11" s="333"/>
      <c r="EF11" s="333"/>
      <c r="EG11" s="333"/>
      <c r="EH11" s="333"/>
      <c r="EI11" s="333"/>
      <c r="EJ11" s="333"/>
      <c r="EK11" s="333"/>
      <c r="EL11" s="333"/>
      <c r="EM11" s="333"/>
      <c r="EN11" s="333"/>
      <c r="EO11" s="333"/>
      <c r="EP11" s="333"/>
      <c r="EQ11" s="333"/>
      <c r="ER11" s="333"/>
      <c r="ES11" s="333"/>
      <c r="ET11" s="333"/>
      <c r="EU11" s="333"/>
      <c r="EV11" s="333"/>
      <c r="EW11" s="333"/>
      <c r="EX11" s="333"/>
      <c r="EY11" s="333"/>
      <c r="EZ11" s="333"/>
      <c r="FA11" s="333"/>
      <c r="FB11" s="333"/>
      <c r="FC11" s="333"/>
      <c r="FD11" s="333"/>
      <c r="FE11" s="333"/>
      <c r="FF11" s="333"/>
      <c r="FG11" s="333"/>
      <c r="FH11" s="333"/>
      <c r="FI11" s="333"/>
      <c r="FJ11" s="333"/>
      <c r="FK11" s="333"/>
      <c r="FL11" s="333"/>
      <c r="FM11" s="333"/>
      <c r="FN11" s="333"/>
      <c r="FO11" s="333"/>
      <c r="FP11" s="333"/>
      <c r="FQ11" s="333"/>
      <c r="FR11" s="333"/>
      <c r="FS11" s="333"/>
      <c r="FT11" s="333"/>
      <c r="FU11" s="333"/>
      <c r="FV11" s="333"/>
      <c r="FW11" s="333"/>
      <c r="FX11" s="333"/>
      <c r="FY11" s="333"/>
      <c r="FZ11" s="333"/>
      <c r="GA11" s="333"/>
      <c r="GB11" s="333"/>
      <c r="GC11" s="333"/>
      <c r="GD11" s="333"/>
      <c r="GE11" s="333"/>
      <c r="GF11" s="333"/>
      <c r="GG11" s="333"/>
      <c r="GH11" s="333"/>
      <c r="GI11" s="333"/>
      <c r="GJ11" s="333"/>
      <c r="GK11" s="333"/>
      <c r="GL11" s="333"/>
      <c r="GM11" s="333"/>
      <c r="GN11" s="333"/>
      <c r="GO11" s="333"/>
      <c r="GP11" s="333"/>
      <c r="GQ11" s="333"/>
      <c r="GR11" s="333"/>
      <c r="GS11" s="333"/>
      <c r="GT11" s="333"/>
      <c r="GU11" s="333"/>
      <c r="GV11" s="333"/>
      <c r="GW11" s="333"/>
      <c r="GX11" s="333"/>
      <c r="GY11" s="333"/>
      <c r="GZ11" s="333"/>
      <c r="HA11" s="333"/>
      <c r="HB11" s="333"/>
      <c r="HC11" s="333"/>
      <c r="HD11" s="333"/>
      <c r="HE11" s="333"/>
      <c r="HF11" s="333"/>
      <c r="HG11" s="333"/>
      <c r="HH11" s="333"/>
      <c r="HI11" s="333"/>
      <c r="HJ11" s="333"/>
      <c r="HK11" s="333"/>
      <c r="HL11" s="333"/>
      <c r="HM11" s="333"/>
      <c r="HN11" s="333"/>
      <c r="HO11" s="333"/>
      <c r="HP11" s="333"/>
      <c r="HQ11" s="333"/>
      <c r="HR11" s="333"/>
      <c r="HS11" s="333"/>
      <c r="HT11" s="333"/>
      <c r="HU11" s="333"/>
      <c r="HV11" s="333"/>
      <c r="HW11" s="333"/>
      <c r="HX11" s="333"/>
      <c r="HY11" s="333"/>
      <c r="HZ11" s="333"/>
      <c r="IA11" s="333"/>
      <c r="IB11" s="333"/>
      <c r="IC11" s="333"/>
      <c r="ID11" s="333"/>
      <c r="IE11" s="333"/>
      <c r="IF11" s="333"/>
      <c r="IG11" s="333"/>
      <c r="IH11" s="333"/>
      <c r="II11" s="333"/>
      <c r="IJ11" s="333"/>
      <c r="IK11" s="333"/>
      <c r="IL11" s="333"/>
      <c r="IM11" s="333"/>
      <c r="IN11" s="333"/>
      <c r="IO11" s="333"/>
      <c r="IP11" s="333"/>
      <c r="IQ11" s="333"/>
      <c r="IR11" s="333"/>
      <c r="IS11" s="333"/>
      <c r="IT11" s="333"/>
      <c r="IU11" s="333"/>
      <c r="IV11" s="335"/>
    </row>
    <row r="12" s="7" customFormat="1" ht="14.25" spans="1:256">
      <c r="A12" s="318">
        <v>7</v>
      </c>
      <c r="B12" s="322" t="s">
        <v>35</v>
      </c>
      <c r="C12" s="325"/>
      <c r="D12" s="325"/>
      <c r="E12" s="325"/>
      <c r="F12" s="325"/>
      <c r="G12" s="325"/>
      <c r="H12" s="325"/>
      <c r="I12" s="325"/>
      <c r="J12" s="333"/>
      <c r="K12" s="333"/>
      <c r="L12" s="333"/>
      <c r="M12" s="333"/>
      <c r="N12" s="333"/>
      <c r="O12" s="333"/>
      <c r="P12" s="333"/>
      <c r="Q12" s="333"/>
      <c r="R12" s="333"/>
      <c r="S12" s="333"/>
      <c r="T12" s="333"/>
      <c r="U12" s="333"/>
      <c r="V12" s="333"/>
      <c r="W12" s="333"/>
      <c r="X12" s="333"/>
      <c r="Y12" s="333"/>
      <c r="Z12" s="333"/>
      <c r="AA12" s="333"/>
      <c r="AB12" s="333"/>
      <c r="AC12" s="333"/>
      <c r="AD12" s="333"/>
      <c r="AE12" s="333"/>
      <c r="AF12" s="333"/>
      <c r="AG12" s="333"/>
      <c r="AH12" s="333"/>
      <c r="AI12" s="333"/>
      <c r="AJ12" s="333"/>
      <c r="AK12" s="333"/>
      <c r="AL12" s="333"/>
      <c r="AM12" s="333"/>
      <c r="AN12" s="333"/>
      <c r="AO12" s="333"/>
      <c r="AP12" s="333"/>
      <c r="AQ12" s="333"/>
      <c r="AR12" s="333"/>
      <c r="AS12" s="333"/>
      <c r="AT12" s="333"/>
      <c r="AU12" s="333"/>
      <c r="AV12" s="333"/>
      <c r="AW12" s="333"/>
      <c r="AX12" s="333"/>
      <c r="AY12" s="333"/>
      <c r="AZ12" s="333"/>
      <c r="BA12" s="333"/>
      <c r="BB12" s="333"/>
      <c r="BC12" s="333"/>
      <c r="BD12" s="333"/>
      <c r="BE12" s="333"/>
      <c r="BF12" s="333"/>
      <c r="BG12" s="333"/>
      <c r="BH12" s="333"/>
      <c r="BI12" s="333"/>
      <c r="BJ12" s="333"/>
      <c r="BK12" s="333"/>
      <c r="BL12" s="333"/>
      <c r="BM12" s="333"/>
      <c r="BN12" s="333"/>
      <c r="BO12" s="333"/>
      <c r="BP12" s="333"/>
      <c r="BQ12" s="333"/>
      <c r="BR12" s="333"/>
      <c r="BS12" s="333"/>
      <c r="BT12" s="333"/>
      <c r="BU12" s="333"/>
      <c r="BV12" s="333"/>
      <c r="BW12" s="333"/>
      <c r="BX12" s="333"/>
      <c r="BY12" s="333"/>
      <c r="BZ12" s="333"/>
      <c r="CA12" s="333"/>
      <c r="CB12" s="333"/>
      <c r="CC12" s="333"/>
      <c r="CD12" s="333"/>
      <c r="CE12" s="333"/>
      <c r="CF12" s="333"/>
      <c r="CG12" s="333"/>
      <c r="CH12" s="333"/>
      <c r="CI12" s="333"/>
      <c r="CJ12" s="333"/>
      <c r="CK12" s="333"/>
      <c r="CL12" s="333"/>
      <c r="CM12" s="333"/>
      <c r="CN12" s="333"/>
      <c r="CO12" s="333"/>
      <c r="CP12" s="333"/>
      <c r="CQ12" s="333"/>
      <c r="CR12" s="333"/>
      <c r="CS12" s="333"/>
      <c r="CT12" s="333"/>
      <c r="CU12" s="333"/>
      <c r="CV12" s="333"/>
      <c r="CW12" s="333"/>
      <c r="CX12" s="333"/>
      <c r="CY12" s="333"/>
      <c r="CZ12" s="333"/>
      <c r="DA12" s="333"/>
      <c r="DB12" s="333"/>
      <c r="DC12" s="333"/>
      <c r="DD12" s="333"/>
      <c r="DE12" s="333"/>
      <c r="DF12" s="333"/>
      <c r="DG12" s="333"/>
      <c r="DH12" s="333"/>
      <c r="DI12" s="333"/>
      <c r="DJ12" s="333"/>
      <c r="DK12" s="333"/>
      <c r="DL12" s="333"/>
      <c r="DM12" s="333"/>
      <c r="DN12" s="333"/>
      <c r="DO12" s="333"/>
      <c r="DP12" s="333"/>
      <c r="DQ12" s="333"/>
      <c r="DR12" s="333"/>
      <c r="DS12" s="333"/>
      <c r="DT12" s="333"/>
      <c r="DU12" s="333"/>
      <c r="DV12" s="333"/>
      <c r="DW12" s="333"/>
      <c r="DX12" s="333"/>
      <c r="DY12" s="333"/>
      <c r="DZ12" s="333"/>
      <c r="EA12" s="333"/>
      <c r="EB12" s="333"/>
      <c r="EC12" s="333"/>
      <c r="ED12" s="333"/>
      <c r="EE12" s="333"/>
      <c r="EF12" s="333"/>
      <c r="EG12" s="333"/>
      <c r="EH12" s="333"/>
      <c r="EI12" s="333"/>
      <c r="EJ12" s="333"/>
      <c r="EK12" s="333"/>
      <c r="EL12" s="333"/>
      <c r="EM12" s="333"/>
      <c r="EN12" s="333"/>
      <c r="EO12" s="333"/>
      <c r="EP12" s="333"/>
      <c r="EQ12" s="333"/>
      <c r="ER12" s="333"/>
      <c r="ES12" s="333"/>
      <c r="ET12" s="333"/>
      <c r="EU12" s="333"/>
      <c r="EV12" s="333"/>
      <c r="EW12" s="333"/>
      <c r="EX12" s="333"/>
      <c r="EY12" s="333"/>
      <c r="EZ12" s="333"/>
      <c r="FA12" s="333"/>
      <c r="FB12" s="333"/>
      <c r="FC12" s="333"/>
      <c r="FD12" s="333"/>
      <c r="FE12" s="333"/>
      <c r="FF12" s="333"/>
      <c r="FG12" s="333"/>
      <c r="FH12" s="333"/>
      <c r="FI12" s="333"/>
      <c r="FJ12" s="333"/>
      <c r="FK12" s="333"/>
      <c r="FL12" s="333"/>
      <c r="FM12" s="333"/>
      <c r="FN12" s="333"/>
      <c r="FO12" s="333"/>
      <c r="FP12" s="333"/>
      <c r="FQ12" s="333"/>
      <c r="FR12" s="333"/>
      <c r="FS12" s="333"/>
      <c r="FT12" s="333"/>
      <c r="FU12" s="333"/>
      <c r="FV12" s="333"/>
      <c r="FW12" s="333"/>
      <c r="FX12" s="333"/>
      <c r="FY12" s="333"/>
      <c r="FZ12" s="333"/>
      <c r="GA12" s="333"/>
      <c r="GB12" s="333"/>
      <c r="GC12" s="333"/>
      <c r="GD12" s="333"/>
      <c r="GE12" s="333"/>
      <c r="GF12" s="333"/>
      <c r="GG12" s="333"/>
      <c r="GH12" s="333"/>
      <c r="GI12" s="333"/>
      <c r="GJ12" s="333"/>
      <c r="GK12" s="333"/>
      <c r="GL12" s="333"/>
      <c r="GM12" s="333"/>
      <c r="GN12" s="333"/>
      <c r="GO12" s="333"/>
      <c r="GP12" s="333"/>
      <c r="GQ12" s="333"/>
      <c r="GR12" s="333"/>
      <c r="GS12" s="333"/>
      <c r="GT12" s="333"/>
      <c r="GU12" s="333"/>
      <c r="GV12" s="333"/>
      <c r="GW12" s="333"/>
      <c r="GX12" s="333"/>
      <c r="GY12" s="333"/>
      <c r="GZ12" s="333"/>
      <c r="HA12" s="333"/>
      <c r="HB12" s="333"/>
      <c r="HC12" s="333"/>
      <c r="HD12" s="333"/>
      <c r="HE12" s="333"/>
      <c r="HF12" s="333"/>
      <c r="HG12" s="333"/>
      <c r="HH12" s="333"/>
      <c r="HI12" s="333"/>
      <c r="HJ12" s="333"/>
      <c r="HK12" s="333"/>
      <c r="HL12" s="333"/>
      <c r="HM12" s="333"/>
      <c r="HN12" s="333"/>
      <c r="HO12" s="333"/>
      <c r="HP12" s="333"/>
      <c r="HQ12" s="333"/>
      <c r="HR12" s="333"/>
      <c r="HS12" s="333"/>
      <c r="HT12" s="333"/>
      <c r="HU12" s="333"/>
      <c r="HV12" s="333"/>
      <c r="HW12" s="333"/>
      <c r="HX12" s="333"/>
      <c r="HY12" s="333"/>
      <c r="HZ12" s="333"/>
      <c r="IA12" s="333"/>
      <c r="IB12" s="333"/>
      <c r="IC12" s="333"/>
      <c r="ID12" s="333"/>
      <c r="IE12" s="333"/>
      <c r="IF12" s="333"/>
      <c r="IG12" s="333"/>
      <c r="IH12" s="333"/>
      <c r="II12" s="333"/>
      <c r="IJ12" s="333"/>
      <c r="IK12" s="333"/>
      <c r="IL12" s="333"/>
      <c r="IM12" s="333"/>
      <c r="IN12" s="333"/>
      <c r="IO12" s="333"/>
      <c r="IP12" s="333"/>
      <c r="IQ12" s="333"/>
      <c r="IR12" s="333"/>
      <c r="IS12" s="333"/>
      <c r="IT12" s="333"/>
      <c r="IU12" s="333"/>
      <c r="IV12" s="335"/>
    </row>
    <row r="13" s="7" customFormat="1" ht="14.25" spans="1:256">
      <c r="A13" s="318">
        <v>8</v>
      </c>
      <c r="B13" s="322" t="s">
        <v>42</v>
      </c>
      <c r="C13" s="324"/>
      <c r="D13" s="324"/>
      <c r="E13" s="324"/>
      <c r="F13" s="324"/>
      <c r="G13" s="324"/>
      <c r="H13" s="324"/>
      <c r="I13" s="324"/>
      <c r="J13" s="333"/>
      <c r="K13" s="333"/>
      <c r="L13" s="333"/>
      <c r="M13" s="333"/>
      <c r="N13" s="333"/>
      <c r="O13" s="333"/>
      <c r="P13" s="333"/>
      <c r="Q13" s="333"/>
      <c r="R13" s="333"/>
      <c r="S13" s="333"/>
      <c r="T13" s="333"/>
      <c r="U13" s="333"/>
      <c r="V13" s="333"/>
      <c r="W13" s="333"/>
      <c r="X13" s="333"/>
      <c r="Y13" s="333"/>
      <c r="Z13" s="333"/>
      <c r="AA13" s="333"/>
      <c r="AB13" s="333"/>
      <c r="AC13" s="333"/>
      <c r="AD13" s="333"/>
      <c r="AE13" s="333"/>
      <c r="AF13" s="333"/>
      <c r="AG13" s="333"/>
      <c r="AH13" s="333"/>
      <c r="AI13" s="333"/>
      <c r="AJ13" s="333"/>
      <c r="AK13" s="333"/>
      <c r="AL13" s="333"/>
      <c r="AM13" s="333"/>
      <c r="AN13" s="333"/>
      <c r="AO13" s="333"/>
      <c r="AP13" s="333"/>
      <c r="AQ13" s="333"/>
      <c r="AR13" s="333"/>
      <c r="AS13" s="333"/>
      <c r="AT13" s="333"/>
      <c r="AU13" s="333"/>
      <c r="AV13" s="333"/>
      <c r="AW13" s="333"/>
      <c r="AX13" s="333"/>
      <c r="AY13" s="333"/>
      <c r="AZ13" s="333"/>
      <c r="BA13" s="333"/>
      <c r="BB13" s="333"/>
      <c r="BC13" s="333"/>
      <c r="BD13" s="333"/>
      <c r="BE13" s="333"/>
      <c r="BF13" s="333"/>
      <c r="BG13" s="333"/>
      <c r="BH13" s="333"/>
      <c r="BI13" s="333"/>
      <c r="BJ13" s="333"/>
      <c r="BK13" s="333"/>
      <c r="BL13" s="333"/>
      <c r="BM13" s="333"/>
      <c r="BN13" s="333"/>
      <c r="BO13" s="333"/>
      <c r="BP13" s="333"/>
      <c r="BQ13" s="333"/>
      <c r="BR13" s="333"/>
      <c r="BS13" s="333"/>
      <c r="BT13" s="333"/>
      <c r="BU13" s="333"/>
      <c r="BV13" s="333"/>
      <c r="BW13" s="333"/>
      <c r="BX13" s="333"/>
      <c r="BY13" s="333"/>
      <c r="BZ13" s="333"/>
      <c r="CA13" s="333"/>
      <c r="CB13" s="333"/>
      <c r="CC13" s="333"/>
      <c r="CD13" s="333"/>
      <c r="CE13" s="333"/>
      <c r="CF13" s="333"/>
      <c r="CG13" s="333"/>
      <c r="CH13" s="333"/>
      <c r="CI13" s="333"/>
      <c r="CJ13" s="333"/>
      <c r="CK13" s="333"/>
      <c r="CL13" s="333"/>
      <c r="CM13" s="333"/>
      <c r="CN13" s="333"/>
      <c r="CO13" s="333"/>
      <c r="CP13" s="333"/>
      <c r="CQ13" s="333"/>
      <c r="CR13" s="333"/>
      <c r="CS13" s="333"/>
      <c r="CT13" s="333"/>
      <c r="CU13" s="333"/>
      <c r="CV13" s="333"/>
      <c r="CW13" s="333"/>
      <c r="CX13" s="333"/>
      <c r="CY13" s="333"/>
      <c r="CZ13" s="333"/>
      <c r="DA13" s="333"/>
      <c r="DB13" s="333"/>
      <c r="DC13" s="333"/>
      <c r="DD13" s="333"/>
      <c r="DE13" s="333"/>
      <c r="DF13" s="333"/>
      <c r="DG13" s="333"/>
      <c r="DH13" s="333"/>
      <c r="DI13" s="333"/>
      <c r="DJ13" s="333"/>
      <c r="DK13" s="333"/>
      <c r="DL13" s="333"/>
      <c r="DM13" s="333"/>
      <c r="DN13" s="333"/>
      <c r="DO13" s="333"/>
      <c r="DP13" s="333"/>
      <c r="DQ13" s="333"/>
      <c r="DR13" s="333"/>
      <c r="DS13" s="333"/>
      <c r="DT13" s="333"/>
      <c r="DU13" s="333"/>
      <c r="DV13" s="333"/>
      <c r="DW13" s="333"/>
      <c r="DX13" s="333"/>
      <c r="DY13" s="333"/>
      <c r="DZ13" s="333"/>
      <c r="EA13" s="333"/>
      <c r="EB13" s="333"/>
      <c r="EC13" s="333"/>
      <c r="ED13" s="333"/>
      <c r="EE13" s="333"/>
      <c r="EF13" s="333"/>
      <c r="EG13" s="333"/>
      <c r="EH13" s="333"/>
      <c r="EI13" s="333"/>
      <c r="EJ13" s="333"/>
      <c r="EK13" s="333"/>
      <c r="EL13" s="333"/>
      <c r="EM13" s="333"/>
      <c r="EN13" s="333"/>
      <c r="EO13" s="333"/>
      <c r="EP13" s="333"/>
      <c r="EQ13" s="333"/>
      <c r="ER13" s="333"/>
      <c r="ES13" s="333"/>
      <c r="ET13" s="333"/>
      <c r="EU13" s="333"/>
      <c r="EV13" s="333"/>
      <c r="EW13" s="333"/>
      <c r="EX13" s="333"/>
      <c r="EY13" s="333"/>
      <c r="EZ13" s="333"/>
      <c r="FA13" s="333"/>
      <c r="FB13" s="333"/>
      <c r="FC13" s="333"/>
      <c r="FD13" s="333"/>
      <c r="FE13" s="333"/>
      <c r="FF13" s="333"/>
      <c r="FG13" s="333"/>
      <c r="FH13" s="333"/>
      <c r="FI13" s="333"/>
      <c r="FJ13" s="333"/>
      <c r="FK13" s="333"/>
      <c r="FL13" s="333"/>
      <c r="FM13" s="333"/>
      <c r="FN13" s="333"/>
      <c r="FO13" s="333"/>
      <c r="FP13" s="333"/>
      <c r="FQ13" s="333"/>
      <c r="FR13" s="333"/>
      <c r="FS13" s="333"/>
      <c r="FT13" s="333"/>
      <c r="FU13" s="333"/>
      <c r="FV13" s="333"/>
      <c r="FW13" s="333"/>
      <c r="FX13" s="333"/>
      <c r="FY13" s="333"/>
      <c r="FZ13" s="333"/>
      <c r="GA13" s="333"/>
      <c r="GB13" s="333"/>
      <c r="GC13" s="333"/>
      <c r="GD13" s="333"/>
      <c r="GE13" s="333"/>
      <c r="GF13" s="333"/>
      <c r="GG13" s="333"/>
      <c r="GH13" s="333"/>
      <c r="GI13" s="333"/>
      <c r="GJ13" s="333"/>
      <c r="GK13" s="333"/>
      <c r="GL13" s="333"/>
      <c r="GM13" s="333"/>
      <c r="GN13" s="333"/>
      <c r="GO13" s="333"/>
      <c r="GP13" s="333"/>
      <c r="GQ13" s="333"/>
      <c r="GR13" s="333"/>
      <c r="GS13" s="333"/>
      <c r="GT13" s="333"/>
      <c r="GU13" s="333"/>
      <c r="GV13" s="333"/>
      <c r="GW13" s="333"/>
      <c r="GX13" s="333"/>
      <c r="GY13" s="333"/>
      <c r="GZ13" s="333"/>
      <c r="HA13" s="333"/>
      <c r="HB13" s="333"/>
      <c r="HC13" s="333"/>
      <c r="HD13" s="333"/>
      <c r="HE13" s="333"/>
      <c r="HF13" s="333"/>
      <c r="HG13" s="333"/>
      <c r="HH13" s="333"/>
      <c r="HI13" s="333"/>
      <c r="HJ13" s="333"/>
      <c r="HK13" s="333"/>
      <c r="HL13" s="333"/>
      <c r="HM13" s="333"/>
      <c r="HN13" s="333"/>
      <c r="HO13" s="333"/>
      <c r="HP13" s="333"/>
      <c r="HQ13" s="333"/>
      <c r="HR13" s="333"/>
      <c r="HS13" s="333"/>
      <c r="HT13" s="333"/>
      <c r="HU13" s="333"/>
      <c r="HV13" s="333"/>
      <c r="HW13" s="333"/>
      <c r="HX13" s="333"/>
      <c r="HY13" s="333"/>
      <c r="HZ13" s="333"/>
      <c r="IA13" s="333"/>
      <c r="IB13" s="333"/>
      <c r="IC13" s="333"/>
      <c r="ID13" s="333"/>
      <c r="IE13" s="333"/>
      <c r="IF13" s="333"/>
      <c r="IG13" s="333"/>
      <c r="IH13" s="333"/>
      <c r="II13" s="333"/>
      <c r="IJ13" s="333"/>
      <c r="IK13" s="333"/>
      <c r="IL13" s="333"/>
      <c r="IM13" s="333"/>
      <c r="IN13" s="333"/>
      <c r="IO13" s="333"/>
      <c r="IP13" s="333"/>
      <c r="IQ13" s="333"/>
      <c r="IR13" s="333"/>
      <c r="IS13" s="333"/>
      <c r="IT13" s="333"/>
      <c r="IU13" s="333"/>
      <c r="IV13" s="335"/>
    </row>
    <row r="14" s="7" customFormat="1" ht="14.25" spans="1:256">
      <c r="A14" s="318">
        <v>9</v>
      </c>
      <c r="B14" s="322" t="s">
        <v>43</v>
      </c>
      <c r="C14" s="324"/>
      <c r="D14" s="324"/>
      <c r="E14" s="324"/>
      <c r="F14" s="324"/>
      <c r="G14" s="324"/>
      <c r="H14" s="324"/>
      <c r="I14" s="324"/>
      <c r="J14" s="333"/>
      <c r="K14" s="333"/>
      <c r="L14" s="333"/>
      <c r="M14" s="333"/>
      <c r="N14" s="333"/>
      <c r="O14" s="333"/>
      <c r="P14" s="333"/>
      <c r="Q14" s="333"/>
      <c r="R14" s="333"/>
      <c r="S14" s="333"/>
      <c r="T14" s="333"/>
      <c r="U14" s="333"/>
      <c r="V14" s="333"/>
      <c r="W14" s="333"/>
      <c r="X14" s="333"/>
      <c r="Y14" s="333"/>
      <c r="Z14" s="333"/>
      <c r="AA14" s="333"/>
      <c r="AB14" s="333"/>
      <c r="AC14" s="333"/>
      <c r="AD14" s="333"/>
      <c r="AE14" s="333"/>
      <c r="AF14" s="333"/>
      <c r="AG14" s="333"/>
      <c r="AH14" s="333"/>
      <c r="AI14" s="333"/>
      <c r="AJ14" s="333"/>
      <c r="AK14" s="333"/>
      <c r="AL14" s="333"/>
      <c r="AM14" s="333"/>
      <c r="AN14" s="333"/>
      <c r="AO14" s="333"/>
      <c r="AP14" s="333"/>
      <c r="AQ14" s="333"/>
      <c r="AR14" s="333"/>
      <c r="AS14" s="333"/>
      <c r="AT14" s="333"/>
      <c r="AU14" s="333"/>
      <c r="AV14" s="333"/>
      <c r="AW14" s="333"/>
      <c r="AX14" s="333"/>
      <c r="AY14" s="333"/>
      <c r="AZ14" s="333"/>
      <c r="BA14" s="333"/>
      <c r="BB14" s="333"/>
      <c r="BC14" s="333"/>
      <c r="BD14" s="333"/>
      <c r="BE14" s="333"/>
      <c r="BF14" s="333"/>
      <c r="BG14" s="333"/>
      <c r="BH14" s="333"/>
      <c r="BI14" s="333"/>
      <c r="BJ14" s="333"/>
      <c r="BK14" s="333"/>
      <c r="BL14" s="333"/>
      <c r="BM14" s="333"/>
      <c r="BN14" s="333"/>
      <c r="BO14" s="333"/>
      <c r="BP14" s="333"/>
      <c r="BQ14" s="333"/>
      <c r="BR14" s="333"/>
      <c r="BS14" s="333"/>
      <c r="BT14" s="333"/>
      <c r="BU14" s="333"/>
      <c r="BV14" s="333"/>
      <c r="BW14" s="333"/>
      <c r="BX14" s="333"/>
      <c r="BY14" s="333"/>
      <c r="BZ14" s="333"/>
      <c r="CA14" s="333"/>
      <c r="CB14" s="333"/>
      <c r="CC14" s="333"/>
      <c r="CD14" s="333"/>
      <c r="CE14" s="333"/>
      <c r="CF14" s="333"/>
      <c r="CG14" s="333"/>
      <c r="CH14" s="333"/>
      <c r="CI14" s="333"/>
      <c r="CJ14" s="333"/>
      <c r="CK14" s="333"/>
      <c r="CL14" s="333"/>
      <c r="CM14" s="333"/>
      <c r="CN14" s="333"/>
      <c r="CO14" s="333"/>
      <c r="CP14" s="333"/>
      <c r="CQ14" s="333"/>
      <c r="CR14" s="333"/>
      <c r="CS14" s="333"/>
      <c r="CT14" s="333"/>
      <c r="CU14" s="333"/>
      <c r="CV14" s="333"/>
      <c r="CW14" s="333"/>
      <c r="CX14" s="333"/>
      <c r="CY14" s="333"/>
      <c r="CZ14" s="333"/>
      <c r="DA14" s="333"/>
      <c r="DB14" s="333"/>
      <c r="DC14" s="333"/>
      <c r="DD14" s="333"/>
      <c r="DE14" s="333"/>
      <c r="DF14" s="333"/>
      <c r="DG14" s="333"/>
      <c r="DH14" s="333"/>
      <c r="DI14" s="333"/>
      <c r="DJ14" s="333"/>
      <c r="DK14" s="333"/>
      <c r="DL14" s="333"/>
      <c r="DM14" s="333"/>
      <c r="DN14" s="333"/>
      <c r="DO14" s="333"/>
      <c r="DP14" s="333"/>
      <c r="DQ14" s="333"/>
      <c r="DR14" s="333"/>
      <c r="DS14" s="333"/>
      <c r="DT14" s="333"/>
      <c r="DU14" s="333"/>
      <c r="DV14" s="333"/>
      <c r="DW14" s="333"/>
      <c r="DX14" s="333"/>
      <c r="DY14" s="333"/>
      <c r="DZ14" s="333"/>
      <c r="EA14" s="333"/>
      <c r="EB14" s="333"/>
      <c r="EC14" s="333"/>
      <c r="ED14" s="333"/>
      <c r="EE14" s="333"/>
      <c r="EF14" s="333"/>
      <c r="EG14" s="333"/>
      <c r="EH14" s="333"/>
      <c r="EI14" s="333"/>
      <c r="EJ14" s="333"/>
      <c r="EK14" s="333"/>
      <c r="EL14" s="333"/>
      <c r="EM14" s="333"/>
      <c r="EN14" s="333"/>
      <c r="EO14" s="333"/>
      <c r="EP14" s="333"/>
      <c r="EQ14" s="333"/>
      <c r="ER14" s="333"/>
      <c r="ES14" s="333"/>
      <c r="ET14" s="333"/>
      <c r="EU14" s="333"/>
      <c r="EV14" s="333"/>
      <c r="EW14" s="333"/>
      <c r="EX14" s="333"/>
      <c r="EY14" s="333"/>
      <c r="EZ14" s="333"/>
      <c r="FA14" s="333"/>
      <c r="FB14" s="333"/>
      <c r="FC14" s="333"/>
      <c r="FD14" s="333"/>
      <c r="FE14" s="333"/>
      <c r="FF14" s="333"/>
      <c r="FG14" s="333"/>
      <c r="FH14" s="333"/>
      <c r="FI14" s="333"/>
      <c r="FJ14" s="333"/>
      <c r="FK14" s="333"/>
      <c r="FL14" s="333"/>
      <c r="FM14" s="333"/>
      <c r="FN14" s="333"/>
      <c r="FO14" s="333"/>
      <c r="FP14" s="333"/>
      <c r="FQ14" s="333"/>
      <c r="FR14" s="333"/>
      <c r="FS14" s="333"/>
      <c r="FT14" s="333"/>
      <c r="FU14" s="333"/>
      <c r="FV14" s="333"/>
      <c r="FW14" s="333"/>
      <c r="FX14" s="333"/>
      <c r="FY14" s="333"/>
      <c r="FZ14" s="333"/>
      <c r="GA14" s="333"/>
      <c r="GB14" s="333"/>
      <c r="GC14" s="333"/>
      <c r="GD14" s="333"/>
      <c r="GE14" s="333"/>
      <c r="GF14" s="333"/>
      <c r="GG14" s="333"/>
      <c r="GH14" s="333"/>
      <c r="GI14" s="333"/>
      <c r="GJ14" s="333"/>
      <c r="GK14" s="333"/>
      <c r="GL14" s="333"/>
      <c r="GM14" s="333"/>
      <c r="GN14" s="333"/>
      <c r="GO14" s="333"/>
      <c r="GP14" s="333"/>
      <c r="GQ14" s="333"/>
      <c r="GR14" s="333"/>
      <c r="GS14" s="333"/>
      <c r="GT14" s="333"/>
      <c r="GU14" s="333"/>
      <c r="GV14" s="333"/>
      <c r="GW14" s="333"/>
      <c r="GX14" s="333"/>
      <c r="GY14" s="333"/>
      <c r="GZ14" s="333"/>
      <c r="HA14" s="333"/>
      <c r="HB14" s="333"/>
      <c r="HC14" s="333"/>
      <c r="HD14" s="333"/>
      <c r="HE14" s="333"/>
      <c r="HF14" s="333"/>
      <c r="HG14" s="333"/>
      <c r="HH14" s="333"/>
      <c r="HI14" s="333"/>
      <c r="HJ14" s="333"/>
      <c r="HK14" s="333"/>
      <c r="HL14" s="333"/>
      <c r="HM14" s="333"/>
      <c r="HN14" s="333"/>
      <c r="HO14" s="333"/>
      <c r="HP14" s="333"/>
      <c r="HQ14" s="333"/>
      <c r="HR14" s="333"/>
      <c r="HS14" s="333"/>
      <c r="HT14" s="333"/>
      <c r="HU14" s="333"/>
      <c r="HV14" s="333"/>
      <c r="HW14" s="333"/>
      <c r="HX14" s="333"/>
      <c r="HY14" s="333"/>
      <c r="HZ14" s="333"/>
      <c r="IA14" s="333"/>
      <c r="IB14" s="333"/>
      <c r="IC14" s="333"/>
      <c r="ID14" s="333"/>
      <c r="IE14" s="333"/>
      <c r="IF14" s="333"/>
      <c r="IG14" s="333"/>
      <c r="IH14" s="333"/>
      <c r="II14" s="333"/>
      <c r="IJ14" s="333"/>
      <c r="IK14" s="333"/>
      <c r="IL14" s="333"/>
      <c r="IM14" s="333"/>
      <c r="IN14" s="333"/>
      <c r="IO14" s="333"/>
      <c r="IP14" s="333"/>
      <c r="IQ14" s="333"/>
      <c r="IR14" s="333"/>
      <c r="IS14" s="333"/>
      <c r="IT14" s="333"/>
      <c r="IU14" s="333"/>
      <c r="IV14" s="335"/>
    </row>
    <row r="15" s="7" customFormat="1" ht="14.25" spans="1:256">
      <c r="A15" s="318">
        <v>10</v>
      </c>
      <c r="B15" s="326" t="s">
        <v>44</v>
      </c>
      <c r="C15" s="324"/>
      <c r="D15" s="324"/>
      <c r="E15" s="324"/>
      <c r="F15" s="324"/>
      <c r="G15" s="324"/>
      <c r="H15" s="324"/>
      <c r="I15" s="324"/>
      <c r="J15" s="333"/>
      <c r="K15" s="333"/>
      <c r="L15" s="333"/>
      <c r="M15" s="333"/>
      <c r="N15" s="333"/>
      <c r="O15" s="333"/>
      <c r="P15" s="333"/>
      <c r="Q15" s="333"/>
      <c r="R15" s="333"/>
      <c r="S15" s="333"/>
      <c r="T15" s="333"/>
      <c r="U15" s="333"/>
      <c r="V15" s="333"/>
      <c r="W15" s="333"/>
      <c r="X15" s="333"/>
      <c r="Y15" s="333"/>
      <c r="Z15" s="333"/>
      <c r="AA15" s="333"/>
      <c r="AB15" s="333"/>
      <c r="AC15" s="333"/>
      <c r="AD15" s="333"/>
      <c r="AE15" s="333"/>
      <c r="AF15" s="333"/>
      <c r="AG15" s="333"/>
      <c r="AH15" s="333"/>
      <c r="AI15" s="333"/>
      <c r="AJ15" s="333"/>
      <c r="AK15" s="333"/>
      <c r="AL15" s="333"/>
      <c r="AM15" s="333"/>
      <c r="AN15" s="333"/>
      <c r="AO15" s="333"/>
      <c r="AP15" s="333"/>
      <c r="AQ15" s="333"/>
      <c r="AR15" s="333"/>
      <c r="AS15" s="333"/>
      <c r="AT15" s="333"/>
      <c r="AU15" s="333"/>
      <c r="AV15" s="333"/>
      <c r="AW15" s="333"/>
      <c r="AX15" s="333"/>
      <c r="AY15" s="333"/>
      <c r="AZ15" s="333"/>
      <c r="BA15" s="333"/>
      <c r="BB15" s="333"/>
      <c r="BC15" s="333"/>
      <c r="BD15" s="333"/>
      <c r="BE15" s="333"/>
      <c r="BF15" s="333"/>
      <c r="BG15" s="333"/>
      <c r="BH15" s="333"/>
      <c r="BI15" s="333"/>
      <c r="BJ15" s="333"/>
      <c r="BK15" s="333"/>
      <c r="BL15" s="333"/>
      <c r="BM15" s="333"/>
      <c r="BN15" s="333"/>
      <c r="BO15" s="333"/>
      <c r="BP15" s="333"/>
      <c r="BQ15" s="333"/>
      <c r="BR15" s="333"/>
      <c r="BS15" s="333"/>
      <c r="BT15" s="333"/>
      <c r="BU15" s="333"/>
      <c r="BV15" s="333"/>
      <c r="BW15" s="333"/>
      <c r="BX15" s="333"/>
      <c r="BY15" s="333"/>
      <c r="BZ15" s="333"/>
      <c r="CA15" s="333"/>
      <c r="CB15" s="333"/>
      <c r="CC15" s="333"/>
      <c r="CD15" s="333"/>
      <c r="CE15" s="333"/>
      <c r="CF15" s="333"/>
      <c r="CG15" s="333"/>
      <c r="CH15" s="333"/>
      <c r="CI15" s="333"/>
      <c r="CJ15" s="333"/>
      <c r="CK15" s="333"/>
      <c r="CL15" s="333"/>
      <c r="CM15" s="333"/>
      <c r="CN15" s="333"/>
      <c r="CO15" s="333"/>
      <c r="CP15" s="333"/>
      <c r="CQ15" s="333"/>
      <c r="CR15" s="333"/>
      <c r="CS15" s="333"/>
      <c r="CT15" s="333"/>
      <c r="CU15" s="333"/>
      <c r="CV15" s="333"/>
      <c r="CW15" s="333"/>
      <c r="CX15" s="333"/>
      <c r="CY15" s="333"/>
      <c r="CZ15" s="333"/>
      <c r="DA15" s="333"/>
      <c r="DB15" s="333"/>
      <c r="DC15" s="333"/>
      <c r="DD15" s="333"/>
      <c r="DE15" s="333"/>
      <c r="DF15" s="333"/>
      <c r="DG15" s="333"/>
      <c r="DH15" s="333"/>
      <c r="DI15" s="333"/>
      <c r="DJ15" s="333"/>
      <c r="DK15" s="333"/>
      <c r="DL15" s="333"/>
      <c r="DM15" s="333"/>
      <c r="DN15" s="333"/>
      <c r="DO15" s="333"/>
      <c r="DP15" s="333"/>
      <c r="DQ15" s="333"/>
      <c r="DR15" s="333"/>
      <c r="DS15" s="333"/>
      <c r="DT15" s="333"/>
      <c r="DU15" s="333"/>
      <c r="DV15" s="333"/>
      <c r="DW15" s="333"/>
      <c r="DX15" s="333"/>
      <c r="DY15" s="333"/>
      <c r="DZ15" s="333"/>
      <c r="EA15" s="333"/>
      <c r="EB15" s="333"/>
      <c r="EC15" s="333"/>
      <c r="ED15" s="333"/>
      <c r="EE15" s="333"/>
      <c r="EF15" s="333"/>
      <c r="EG15" s="333"/>
      <c r="EH15" s="333"/>
      <c r="EI15" s="333"/>
      <c r="EJ15" s="333"/>
      <c r="EK15" s="333"/>
      <c r="EL15" s="333"/>
      <c r="EM15" s="333"/>
      <c r="EN15" s="333"/>
      <c r="EO15" s="333"/>
      <c r="EP15" s="333"/>
      <c r="EQ15" s="333"/>
      <c r="ER15" s="333"/>
      <c r="ES15" s="333"/>
      <c r="ET15" s="333"/>
      <c r="EU15" s="333"/>
      <c r="EV15" s="333"/>
      <c r="EW15" s="333"/>
      <c r="EX15" s="333"/>
      <c r="EY15" s="333"/>
      <c r="EZ15" s="333"/>
      <c r="FA15" s="333"/>
      <c r="FB15" s="333"/>
      <c r="FC15" s="333"/>
      <c r="FD15" s="333"/>
      <c r="FE15" s="333"/>
      <c r="FF15" s="333"/>
      <c r="FG15" s="333"/>
      <c r="FH15" s="333"/>
      <c r="FI15" s="333"/>
      <c r="FJ15" s="333"/>
      <c r="FK15" s="333"/>
      <c r="FL15" s="333"/>
      <c r="FM15" s="333"/>
      <c r="FN15" s="333"/>
      <c r="FO15" s="333"/>
      <c r="FP15" s="333"/>
      <c r="FQ15" s="333"/>
      <c r="FR15" s="333"/>
      <c r="FS15" s="333"/>
      <c r="FT15" s="333"/>
      <c r="FU15" s="333"/>
      <c r="FV15" s="333"/>
      <c r="FW15" s="333"/>
      <c r="FX15" s="333"/>
      <c r="FY15" s="333"/>
      <c r="FZ15" s="333"/>
      <c r="GA15" s="333"/>
      <c r="GB15" s="333"/>
      <c r="GC15" s="333"/>
      <c r="GD15" s="333"/>
      <c r="GE15" s="333"/>
      <c r="GF15" s="333"/>
      <c r="GG15" s="333"/>
      <c r="GH15" s="333"/>
      <c r="GI15" s="333"/>
      <c r="GJ15" s="333"/>
      <c r="GK15" s="333"/>
      <c r="GL15" s="333"/>
      <c r="GM15" s="333"/>
      <c r="GN15" s="333"/>
      <c r="GO15" s="333"/>
      <c r="GP15" s="333"/>
      <c r="GQ15" s="333"/>
      <c r="GR15" s="333"/>
      <c r="GS15" s="333"/>
      <c r="GT15" s="333"/>
      <c r="GU15" s="333"/>
      <c r="GV15" s="333"/>
      <c r="GW15" s="333"/>
      <c r="GX15" s="333"/>
      <c r="GY15" s="333"/>
      <c r="GZ15" s="333"/>
      <c r="HA15" s="333"/>
      <c r="HB15" s="333"/>
      <c r="HC15" s="333"/>
      <c r="HD15" s="333"/>
      <c r="HE15" s="333"/>
      <c r="HF15" s="333"/>
      <c r="HG15" s="333"/>
      <c r="HH15" s="333"/>
      <c r="HI15" s="333"/>
      <c r="HJ15" s="333"/>
      <c r="HK15" s="333"/>
      <c r="HL15" s="333"/>
      <c r="HM15" s="333"/>
      <c r="HN15" s="333"/>
      <c r="HO15" s="333"/>
      <c r="HP15" s="333"/>
      <c r="HQ15" s="333"/>
      <c r="HR15" s="333"/>
      <c r="HS15" s="333"/>
      <c r="HT15" s="333"/>
      <c r="HU15" s="333"/>
      <c r="HV15" s="333"/>
      <c r="HW15" s="333"/>
      <c r="HX15" s="333"/>
      <c r="HY15" s="333"/>
      <c r="HZ15" s="333"/>
      <c r="IA15" s="333"/>
      <c r="IB15" s="333"/>
      <c r="IC15" s="333"/>
      <c r="ID15" s="333"/>
      <c r="IE15" s="333"/>
      <c r="IF15" s="333"/>
      <c r="IG15" s="333"/>
      <c r="IH15" s="333"/>
      <c r="II15" s="333"/>
      <c r="IJ15" s="333"/>
      <c r="IK15" s="333"/>
      <c r="IL15" s="333"/>
      <c r="IM15" s="333"/>
      <c r="IN15" s="333"/>
      <c r="IO15" s="333"/>
      <c r="IP15" s="333"/>
      <c r="IQ15" s="333"/>
      <c r="IR15" s="333"/>
      <c r="IS15" s="333"/>
      <c r="IT15" s="333"/>
      <c r="IU15" s="333"/>
      <c r="IV15" s="335"/>
    </row>
    <row r="16" s="7" customFormat="1" ht="14.25" spans="1:256">
      <c r="A16" s="318">
        <v>11</v>
      </c>
      <c r="B16" s="322" t="s">
        <v>45</v>
      </c>
      <c r="C16" s="324"/>
      <c r="D16" s="324"/>
      <c r="E16" s="324"/>
      <c r="F16" s="324"/>
      <c r="G16" s="324"/>
      <c r="H16" s="324"/>
      <c r="I16" s="324"/>
      <c r="J16" s="333"/>
      <c r="K16" s="333"/>
      <c r="L16" s="333"/>
      <c r="M16" s="333"/>
      <c r="N16" s="333"/>
      <c r="O16" s="333"/>
      <c r="P16" s="333"/>
      <c r="Q16" s="333"/>
      <c r="R16" s="333"/>
      <c r="S16" s="333"/>
      <c r="T16" s="333"/>
      <c r="U16" s="333"/>
      <c r="V16" s="333"/>
      <c r="W16" s="333"/>
      <c r="X16" s="333"/>
      <c r="Y16" s="333"/>
      <c r="Z16" s="333"/>
      <c r="AA16" s="333"/>
      <c r="AB16" s="333"/>
      <c r="AC16" s="333"/>
      <c r="AD16" s="333"/>
      <c r="AE16" s="333"/>
      <c r="AF16" s="333"/>
      <c r="AG16" s="333"/>
      <c r="AH16" s="333"/>
      <c r="AI16" s="333"/>
      <c r="AJ16" s="333"/>
      <c r="AK16" s="333"/>
      <c r="AL16" s="333"/>
      <c r="AM16" s="333"/>
      <c r="AN16" s="333"/>
      <c r="AO16" s="333"/>
      <c r="AP16" s="333"/>
      <c r="AQ16" s="333"/>
      <c r="AR16" s="333"/>
      <c r="AS16" s="333"/>
      <c r="AT16" s="333"/>
      <c r="AU16" s="333"/>
      <c r="AV16" s="333"/>
      <c r="AW16" s="333"/>
      <c r="AX16" s="333"/>
      <c r="AY16" s="333"/>
      <c r="AZ16" s="333"/>
      <c r="BA16" s="333"/>
      <c r="BB16" s="333"/>
      <c r="BC16" s="333"/>
      <c r="BD16" s="333"/>
      <c r="BE16" s="333"/>
      <c r="BF16" s="333"/>
      <c r="BG16" s="333"/>
      <c r="BH16" s="333"/>
      <c r="BI16" s="333"/>
      <c r="BJ16" s="333"/>
      <c r="BK16" s="333"/>
      <c r="BL16" s="333"/>
      <c r="BM16" s="333"/>
      <c r="BN16" s="333"/>
      <c r="BO16" s="333"/>
      <c r="BP16" s="333"/>
      <c r="BQ16" s="333"/>
      <c r="BR16" s="333"/>
      <c r="BS16" s="333"/>
      <c r="BT16" s="333"/>
      <c r="BU16" s="333"/>
      <c r="BV16" s="333"/>
      <c r="BW16" s="333"/>
      <c r="BX16" s="333"/>
      <c r="BY16" s="333"/>
      <c r="BZ16" s="333"/>
      <c r="CA16" s="333"/>
      <c r="CB16" s="333"/>
      <c r="CC16" s="333"/>
      <c r="CD16" s="333"/>
      <c r="CE16" s="333"/>
      <c r="CF16" s="333"/>
      <c r="CG16" s="333"/>
      <c r="CH16" s="333"/>
      <c r="CI16" s="333"/>
      <c r="CJ16" s="333"/>
      <c r="CK16" s="333"/>
      <c r="CL16" s="333"/>
      <c r="CM16" s="333"/>
      <c r="CN16" s="333"/>
      <c r="CO16" s="333"/>
      <c r="CP16" s="333"/>
      <c r="CQ16" s="333"/>
      <c r="CR16" s="333"/>
      <c r="CS16" s="333"/>
      <c r="CT16" s="333"/>
      <c r="CU16" s="333"/>
      <c r="CV16" s="333"/>
      <c r="CW16" s="333"/>
      <c r="CX16" s="333"/>
      <c r="CY16" s="333"/>
      <c r="CZ16" s="333"/>
      <c r="DA16" s="333"/>
      <c r="DB16" s="333"/>
      <c r="DC16" s="333"/>
      <c r="DD16" s="333"/>
      <c r="DE16" s="333"/>
      <c r="DF16" s="333"/>
      <c r="DG16" s="333"/>
      <c r="DH16" s="333"/>
      <c r="DI16" s="333"/>
      <c r="DJ16" s="333"/>
      <c r="DK16" s="333"/>
      <c r="DL16" s="333"/>
      <c r="DM16" s="333"/>
      <c r="DN16" s="333"/>
      <c r="DO16" s="333"/>
      <c r="DP16" s="333"/>
      <c r="DQ16" s="333"/>
      <c r="DR16" s="333"/>
      <c r="DS16" s="333"/>
      <c r="DT16" s="333"/>
      <c r="DU16" s="333"/>
      <c r="DV16" s="333"/>
      <c r="DW16" s="333"/>
      <c r="DX16" s="333"/>
      <c r="DY16" s="333"/>
      <c r="DZ16" s="333"/>
      <c r="EA16" s="333"/>
      <c r="EB16" s="333"/>
      <c r="EC16" s="333"/>
      <c r="ED16" s="333"/>
      <c r="EE16" s="333"/>
      <c r="EF16" s="333"/>
      <c r="EG16" s="333"/>
      <c r="EH16" s="333"/>
      <c r="EI16" s="333"/>
      <c r="EJ16" s="333"/>
      <c r="EK16" s="333"/>
      <c r="EL16" s="333"/>
      <c r="EM16" s="333"/>
      <c r="EN16" s="333"/>
      <c r="EO16" s="333"/>
      <c r="EP16" s="333"/>
      <c r="EQ16" s="333"/>
      <c r="ER16" s="333"/>
      <c r="ES16" s="333"/>
      <c r="ET16" s="333"/>
      <c r="EU16" s="333"/>
      <c r="EV16" s="333"/>
      <c r="EW16" s="333"/>
      <c r="EX16" s="333"/>
      <c r="EY16" s="333"/>
      <c r="EZ16" s="333"/>
      <c r="FA16" s="333"/>
      <c r="FB16" s="333"/>
      <c r="FC16" s="333"/>
      <c r="FD16" s="333"/>
      <c r="FE16" s="333"/>
      <c r="FF16" s="333"/>
      <c r="FG16" s="333"/>
      <c r="FH16" s="333"/>
      <c r="FI16" s="333"/>
      <c r="FJ16" s="333"/>
      <c r="FK16" s="333"/>
      <c r="FL16" s="333"/>
      <c r="FM16" s="333"/>
      <c r="FN16" s="333"/>
      <c r="FO16" s="333"/>
      <c r="FP16" s="333"/>
      <c r="FQ16" s="333"/>
      <c r="FR16" s="333"/>
      <c r="FS16" s="333"/>
      <c r="FT16" s="333"/>
      <c r="FU16" s="333"/>
      <c r="FV16" s="333"/>
      <c r="FW16" s="333"/>
      <c r="FX16" s="333"/>
      <c r="FY16" s="333"/>
      <c r="FZ16" s="333"/>
      <c r="GA16" s="333"/>
      <c r="GB16" s="333"/>
      <c r="GC16" s="333"/>
      <c r="GD16" s="333"/>
      <c r="GE16" s="333"/>
      <c r="GF16" s="333"/>
      <c r="GG16" s="333"/>
      <c r="GH16" s="333"/>
      <c r="GI16" s="333"/>
      <c r="GJ16" s="333"/>
      <c r="GK16" s="333"/>
      <c r="GL16" s="333"/>
      <c r="GM16" s="333"/>
      <c r="GN16" s="333"/>
      <c r="GO16" s="333"/>
      <c r="GP16" s="333"/>
      <c r="GQ16" s="333"/>
      <c r="GR16" s="333"/>
      <c r="GS16" s="333"/>
      <c r="GT16" s="333"/>
      <c r="GU16" s="333"/>
      <c r="GV16" s="333"/>
      <c r="GW16" s="333"/>
      <c r="GX16" s="333"/>
      <c r="GY16" s="333"/>
      <c r="GZ16" s="333"/>
      <c r="HA16" s="333"/>
      <c r="HB16" s="333"/>
      <c r="HC16" s="333"/>
      <c r="HD16" s="333"/>
      <c r="HE16" s="333"/>
      <c r="HF16" s="333"/>
      <c r="HG16" s="333"/>
      <c r="HH16" s="333"/>
      <c r="HI16" s="333"/>
      <c r="HJ16" s="333"/>
      <c r="HK16" s="333"/>
      <c r="HL16" s="333"/>
      <c r="HM16" s="333"/>
      <c r="HN16" s="333"/>
      <c r="HO16" s="333"/>
      <c r="HP16" s="333"/>
      <c r="HQ16" s="333"/>
      <c r="HR16" s="333"/>
      <c r="HS16" s="333"/>
      <c r="HT16" s="333"/>
      <c r="HU16" s="333"/>
      <c r="HV16" s="333"/>
      <c r="HW16" s="333"/>
      <c r="HX16" s="333"/>
      <c r="HY16" s="333"/>
      <c r="HZ16" s="333"/>
      <c r="IA16" s="333"/>
      <c r="IB16" s="333"/>
      <c r="IC16" s="333"/>
      <c r="ID16" s="333"/>
      <c r="IE16" s="333"/>
      <c r="IF16" s="333"/>
      <c r="IG16" s="333"/>
      <c r="IH16" s="333"/>
      <c r="II16" s="333"/>
      <c r="IJ16" s="333"/>
      <c r="IK16" s="333"/>
      <c r="IL16" s="333"/>
      <c r="IM16" s="333"/>
      <c r="IN16" s="333"/>
      <c r="IO16" s="333"/>
      <c r="IP16" s="333"/>
      <c r="IQ16" s="333"/>
      <c r="IR16" s="333"/>
      <c r="IS16" s="333"/>
      <c r="IT16" s="333"/>
      <c r="IU16" s="333"/>
      <c r="IV16" s="335"/>
    </row>
    <row r="17" s="7" customFormat="1" ht="14.25" spans="1:256">
      <c r="A17" s="318">
        <v>12</v>
      </c>
      <c r="B17" s="327" t="s">
        <v>74</v>
      </c>
      <c r="C17" s="328">
        <f>C6+C10+C11+C13+C14+C15+C16</f>
        <v>0</v>
      </c>
      <c r="D17" s="328">
        <f t="shared" ref="D17:I17" si="1">D6+D10+D11+D13+D14+D15+D16</f>
        <v>0</v>
      </c>
      <c r="E17" s="328">
        <f t="shared" si="1"/>
        <v>0</v>
      </c>
      <c r="F17" s="328">
        <f t="shared" si="1"/>
        <v>0</v>
      </c>
      <c r="G17" s="328">
        <f t="shared" si="1"/>
        <v>0</v>
      </c>
      <c r="H17" s="328">
        <f t="shared" si="1"/>
        <v>0</v>
      </c>
      <c r="I17" s="328">
        <f t="shared" si="1"/>
        <v>0</v>
      </c>
      <c r="J17" s="333"/>
      <c r="K17" s="333"/>
      <c r="L17" s="333"/>
      <c r="M17" s="333"/>
      <c r="N17" s="333"/>
      <c r="O17" s="333"/>
      <c r="P17" s="333"/>
      <c r="Q17" s="333"/>
      <c r="R17" s="333"/>
      <c r="S17" s="333"/>
      <c r="T17" s="333"/>
      <c r="U17" s="333"/>
      <c r="V17" s="333"/>
      <c r="W17" s="333"/>
      <c r="X17" s="333"/>
      <c r="Y17" s="333"/>
      <c r="Z17" s="333"/>
      <c r="AA17" s="333"/>
      <c r="AB17" s="333"/>
      <c r="AC17" s="333"/>
      <c r="AD17" s="333"/>
      <c r="AE17" s="333"/>
      <c r="AF17" s="333"/>
      <c r="AG17" s="333"/>
      <c r="AH17" s="333"/>
      <c r="AI17" s="333"/>
      <c r="AJ17" s="333"/>
      <c r="AK17" s="333"/>
      <c r="AL17" s="333"/>
      <c r="AM17" s="333"/>
      <c r="AN17" s="333"/>
      <c r="AO17" s="333"/>
      <c r="AP17" s="333"/>
      <c r="AQ17" s="333"/>
      <c r="AR17" s="333"/>
      <c r="AS17" s="333"/>
      <c r="AT17" s="333"/>
      <c r="AU17" s="333"/>
      <c r="AV17" s="333"/>
      <c r="AW17" s="333"/>
      <c r="AX17" s="333"/>
      <c r="AY17" s="333"/>
      <c r="AZ17" s="333"/>
      <c r="BA17" s="333"/>
      <c r="BB17" s="333"/>
      <c r="BC17" s="333"/>
      <c r="BD17" s="333"/>
      <c r="BE17" s="333"/>
      <c r="BF17" s="333"/>
      <c r="BG17" s="333"/>
      <c r="BH17" s="333"/>
      <c r="BI17" s="333"/>
      <c r="BJ17" s="333"/>
      <c r="BK17" s="333"/>
      <c r="BL17" s="333"/>
      <c r="BM17" s="333"/>
      <c r="BN17" s="333"/>
      <c r="BO17" s="333"/>
      <c r="BP17" s="333"/>
      <c r="BQ17" s="333"/>
      <c r="BR17" s="333"/>
      <c r="BS17" s="333"/>
      <c r="BT17" s="333"/>
      <c r="BU17" s="333"/>
      <c r="BV17" s="333"/>
      <c r="BW17" s="333"/>
      <c r="BX17" s="333"/>
      <c r="BY17" s="333"/>
      <c r="BZ17" s="333"/>
      <c r="CA17" s="333"/>
      <c r="CB17" s="333"/>
      <c r="CC17" s="333"/>
      <c r="CD17" s="333"/>
      <c r="CE17" s="333"/>
      <c r="CF17" s="333"/>
      <c r="CG17" s="333"/>
      <c r="CH17" s="333"/>
      <c r="CI17" s="333"/>
      <c r="CJ17" s="333"/>
      <c r="CK17" s="333"/>
      <c r="CL17" s="333"/>
      <c r="CM17" s="333"/>
      <c r="CN17" s="333"/>
      <c r="CO17" s="333"/>
      <c r="CP17" s="333"/>
      <c r="CQ17" s="333"/>
      <c r="CR17" s="333"/>
      <c r="CS17" s="333"/>
      <c r="CT17" s="333"/>
      <c r="CU17" s="333"/>
      <c r="CV17" s="333"/>
      <c r="CW17" s="333"/>
      <c r="CX17" s="333"/>
      <c r="CY17" s="333"/>
      <c r="CZ17" s="333"/>
      <c r="DA17" s="333"/>
      <c r="DB17" s="333"/>
      <c r="DC17" s="333"/>
      <c r="DD17" s="333"/>
      <c r="DE17" s="333"/>
      <c r="DF17" s="333"/>
      <c r="DG17" s="333"/>
      <c r="DH17" s="333"/>
      <c r="DI17" s="333"/>
      <c r="DJ17" s="333"/>
      <c r="DK17" s="333"/>
      <c r="DL17" s="333"/>
      <c r="DM17" s="333"/>
      <c r="DN17" s="333"/>
      <c r="DO17" s="333"/>
      <c r="DP17" s="333"/>
      <c r="DQ17" s="333"/>
      <c r="DR17" s="333"/>
      <c r="DS17" s="333"/>
      <c r="DT17" s="333"/>
      <c r="DU17" s="333"/>
      <c r="DV17" s="333"/>
      <c r="DW17" s="333"/>
      <c r="DX17" s="333"/>
      <c r="DY17" s="333"/>
      <c r="DZ17" s="333"/>
      <c r="EA17" s="333"/>
      <c r="EB17" s="333"/>
      <c r="EC17" s="333"/>
      <c r="ED17" s="333"/>
      <c r="EE17" s="333"/>
      <c r="EF17" s="333"/>
      <c r="EG17" s="333"/>
      <c r="EH17" s="333"/>
      <c r="EI17" s="333"/>
      <c r="EJ17" s="333"/>
      <c r="EK17" s="333"/>
      <c r="EL17" s="333"/>
      <c r="EM17" s="333"/>
      <c r="EN17" s="333"/>
      <c r="EO17" s="333"/>
      <c r="EP17" s="333"/>
      <c r="EQ17" s="333"/>
      <c r="ER17" s="333"/>
      <c r="ES17" s="333"/>
      <c r="ET17" s="333"/>
      <c r="EU17" s="333"/>
      <c r="EV17" s="333"/>
      <c r="EW17" s="333"/>
      <c r="EX17" s="333"/>
      <c r="EY17" s="333"/>
      <c r="EZ17" s="333"/>
      <c r="FA17" s="333"/>
      <c r="FB17" s="333"/>
      <c r="FC17" s="333"/>
      <c r="FD17" s="333"/>
      <c r="FE17" s="333"/>
      <c r="FF17" s="333"/>
      <c r="FG17" s="333"/>
      <c r="FH17" s="333"/>
      <c r="FI17" s="333"/>
      <c r="FJ17" s="333"/>
      <c r="FK17" s="333"/>
      <c r="FL17" s="333"/>
      <c r="FM17" s="333"/>
      <c r="FN17" s="333"/>
      <c r="FO17" s="333"/>
      <c r="FP17" s="333"/>
      <c r="FQ17" s="333"/>
      <c r="FR17" s="333"/>
      <c r="FS17" s="333"/>
      <c r="FT17" s="333"/>
      <c r="FU17" s="333"/>
      <c r="FV17" s="333"/>
      <c r="FW17" s="333"/>
      <c r="FX17" s="333"/>
      <c r="FY17" s="333"/>
      <c r="FZ17" s="333"/>
      <c r="GA17" s="333"/>
      <c r="GB17" s="333"/>
      <c r="GC17" s="333"/>
      <c r="GD17" s="333"/>
      <c r="GE17" s="333"/>
      <c r="GF17" s="333"/>
      <c r="GG17" s="333"/>
      <c r="GH17" s="333"/>
      <c r="GI17" s="333"/>
      <c r="GJ17" s="333"/>
      <c r="GK17" s="333"/>
      <c r="GL17" s="333"/>
      <c r="GM17" s="333"/>
      <c r="GN17" s="333"/>
      <c r="GO17" s="333"/>
      <c r="GP17" s="333"/>
      <c r="GQ17" s="333"/>
      <c r="GR17" s="333"/>
      <c r="GS17" s="333"/>
      <c r="GT17" s="333"/>
      <c r="GU17" s="333"/>
      <c r="GV17" s="333"/>
      <c r="GW17" s="333"/>
      <c r="GX17" s="333"/>
      <c r="GY17" s="333"/>
      <c r="GZ17" s="333"/>
      <c r="HA17" s="333"/>
      <c r="HB17" s="333"/>
      <c r="HC17" s="333"/>
      <c r="HD17" s="333"/>
      <c r="HE17" s="333"/>
      <c r="HF17" s="333"/>
      <c r="HG17" s="333"/>
      <c r="HH17" s="333"/>
      <c r="HI17" s="333"/>
      <c r="HJ17" s="333"/>
      <c r="HK17" s="333"/>
      <c r="HL17" s="333"/>
      <c r="HM17" s="333"/>
      <c r="HN17" s="333"/>
      <c r="HO17" s="333"/>
      <c r="HP17" s="333"/>
      <c r="HQ17" s="333"/>
      <c r="HR17" s="333"/>
      <c r="HS17" s="333"/>
      <c r="HT17" s="333"/>
      <c r="HU17" s="333"/>
      <c r="HV17" s="333"/>
      <c r="HW17" s="333"/>
      <c r="HX17" s="333"/>
      <c r="HY17" s="333"/>
      <c r="HZ17" s="333"/>
      <c r="IA17" s="333"/>
      <c r="IB17" s="333"/>
      <c r="IC17" s="333"/>
      <c r="ID17" s="333"/>
      <c r="IE17" s="333"/>
      <c r="IF17" s="333"/>
      <c r="IG17" s="333"/>
      <c r="IH17" s="333"/>
      <c r="II17" s="333"/>
      <c r="IJ17" s="333"/>
      <c r="IK17" s="333"/>
      <c r="IL17" s="333"/>
      <c r="IM17" s="333"/>
      <c r="IN17" s="333"/>
      <c r="IO17" s="333"/>
      <c r="IP17" s="333"/>
      <c r="IQ17" s="333"/>
      <c r="IR17" s="333"/>
      <c r="IS17" s="333"/>
      <c r="IT17" s="333"/>
      <c r="IU17" s="333"/>
      <c r="IV17" s="335"/>
    </row>
    <row r="18" s="7" customFormat="1" ht="14.25" spans="1:256">
      <c r="A18" s="329" t="s">
        <v>155</v>
      </c>
      <c r="B18" s="330"/>
      <c r="C18" s="330"/>
      <c r="D18" s="330" t="s">
        <v>87</v>
      </c>
      <c r="E18" s="330"/>
      <c r="F18" s="330"/>
      <c r="G18" s="330" t="s">
        <v>88</v>
      </c>
      <c r="H18" s="330"/>
      <c r="I18" s="334"/>
      <c r="J18" s="333"/>
      <c r="K18" s="333"/>
      <c r="L18" s="333"/>
      <c r="M18" s="333"/>
      <c r="N18" s="333"/>
      <c r="O18" s="333"/>
      <c r="P18" s="333"/>
      <c r="Q18" s="333"/>
      <c r="R18" s="333"/>
      <c r="S18" s="333"/>
      <c r="T18" s="333"/>
      <c r="U18" s="333"/>
      <c r="V18" s="333"/>
      <c r="W18" s="333"/>
      <c r="X18" s="333"/>
      <c r="Y18" s="333"/>
      <c r="Z18" s="333"/>
      <c r="AA18" s="333"/>
      <c r="AB18" s="333"/>
      <c r="AC18" s="333"/>
      <c r="AD18" s="333"/>
      <c r="AE18" s="333"/>
      <c r="AF18" s="333"/>
      <c r="AG18" s="333"/>
      <c r="AH18" s="333"/>
      <c r="AI18" s="333"/>
      <c r="AJ18" s="333"/>
      <c r="AK18" s="333"/>
      <c r="AL18" s="333"/>
      <c r="AM18" s="333"/>
      <c r="AN18" s="333"/>
      <c r="AO18" s="333"/>
      <c r="AP18" s="333"/>
      <c r="AQ18" s="333"/>
      <c r="AR18" s="333"/>
      <c r="AS18" s="333"/>
      <c r="AT18" s="333"/>
      <c r="AU18" s="333"/>
      <c r="AV18" s="333"/>
      <c r="AW18" s="333"/>
      <c r="AX18" s="333"/>
      <c r="AY18" s="333"/>
      <c r="AZ18" s="333"/>
      <c r="BA18" s="333"/>
      <c r="BB18" s="333"/>
      <c r="BC18" s="333"/>
      <c r="BD18" s="333"/>
      <c r="BE18" s="333"/>
      <c r="BF18" s="333"/>
      <c r="BG18" s="333"/>
      <c r="BH18" s="333"/>
      <c r="BI18" s="333"/>
      <c r="BJ18" s="333"/>
      <c r="BK18" s="333"/>
      <c r="BL18" s="333"/>
      <c r="BM18" s="333"/>
      <c r="BN18" s="333"/>
      <c r="BO18" s="333"/>
      <c r="BP18" s="333"/>
      <c r="BQ18" s="333"/>
      <c r="BR18" s="333"/>
      <c r="BS18" s="333"/>
      <c r="BT18" s="333"/>
      <c r="BU18" s="333"/>
      <c r="BV18" s="333"/>
      <c r="BW18" s="333"/>
      <c r="BX18" s="333"/>
      <c r="BY18" s="333"/>
      <c r="BZ18" s="333"/>
      <c r="CA18" s="333"/>
      <c r="CB18" s="333"/>
      <c r="CC18" s="333"/>
      <c r="CD18" s="333"/>
      <c r="CE18" s="333"/>
      <c r="CF18" s="333"/>
      <c r="CG18" s="333"/>
      <c r="CH18" s="333"/>
      <c r="CI18" s="333"/>
      <c r="CJ18" s="333"/>
      <c r="CK18" s="333"/>
      <c r="CL18" s="333"/>
      <c r="CM18" s="333"/>
      <c r="CN18" s="333"/>
      <c r="CO18" s="333"/>
      <c r="CP18" s="333"/>
      <c r="CQ18" s="333"/>
      <c r="CR18" s="333"/>
      <c r="CS18" s="333"/>
      <c r="CT18" s="333"/>
      <c r="CU18" s="333"/>
      <c r="CV18" s="333"/>
      <c r="CW18" s="333"/>
      <c r="CX18" s="333"/>
      <c r="CY18" s="333"/>
      <c r="CZ18" s="333"/>
      <c r="DA18" s="333"/>
      <c r="DB18" s="333"/>
      <c r="DC18" s="333"/>
      <c r="DD18" s="333"/>
      <c r="DE18" s="333"/>
      <c r="DF18" s="333"/>
      <c r="DG18" s="333"/>
      <c r="DH18" s="333"/>
      <c r="DI18" s="333"/>
      <c r="DJ18" s="333"/>
      <c r="DK18" s="333"/>
      <c r="DL18" s="333"/>
      <c r="DM18" s="333"/>
      <c r="DN18" s="333"/>
      <c r="DO18" s="333"/>
      <c r="DP18" s="333"/>
      <c r="DQ18" s="333"/>
      <c r="DR18" s="333"/>
      <c r="DS18" s="333"/>
      <c r="DT18" s="333"/>
      <c r="DU18" s="333"/>
      <c r="DV18" s="333"/>
      <c r="DW18" s="333"/>
      <c r="DX18" s="333"/>
      <c r="DY18" s="333"/>
      <c r="DZ18" s="333"/>
      <c r="EA18" s="333"/>
      <c r="EB18" s="333"/>
      <c r="EC18" s="333"/>
      <c r="ED18" s="333"/>
      <c r="EE18" s="333"/>
      <c r="EF18" s="333"/>
      <c r="EG18" s="333"/>
      <c r="EH18" s="333"/>
      <c r="EI18" s="333"/>
      <c r="EJ18" s="333"/>
      <c r="EK18" s="333"/>
      <c r="EL18" s="333"/>
      <c r="EM18" s="333"/>
      <c r="EN18" s="333"/>
      <c r="EO18" s="333"/>
      <c r="EP18" s="333"/>
      <c r="EQ18" s="333"/>
      <c r="ER18" s="333"/>
      <c r="ES18" s="333"/>
      <c r="ET18" s="333"/>
      <c r="EU18" s="333"/>
      <c r="EV18" s="333"/>
      <c r="EW18" s="333"/>
      <c r="EX18" s="333"/>
      <c r="EY18" s="333"/>
      <c r="EZ18" s="333"/>
      <c r="FA18" s="333"/>
      <c r="FB18" s="333"/>
      <c r="FC18" s="333"/>
      <c r="FD18" s="333"/>
      <c r="FE18" s="333"/>
      <c r="FF18" s="333"/>
      <c r="FG18" s="333"/>
      <c r="FH18" s="333"/>
      <c r="FI18" s="333"/>
      <c r="FJ18" s="333"/>
      <c r="FK18" s="333"/>
      <c r="FL18" s="333"/>
      <c r="FM18" s="333"/>
      <c r="FN18" s="333"/>
      <c r="FO18" s="333"/>
      <c r="FP18" s="333"/>
      <c r="FQ18" s="333"/>
      <c r="FR18" s="333"/>
      <c r="FS18" s="333"/>
      <c r="FT18" s="333"/>
      <c r="FU18" s="333"/>
      <c r="FV18" s="333"/>
      <c r="FW18" s="333"/>
      <c r="FX18" s="333"/>
      <c r="FY18" s="333"/>
      <c r="FZ18" s="333"/>
      <c r="GA18" s="333"/>
      <c r="GB18" s="333"/>
      <c r="GC18" s="333"/>
      <c r="GD18" s="333"/>
      <c r="GE18" s="333"/>
      <c r="GF18" s="333"/>
      <c r="GG18" s="333"/>
      <c r="GH18" s="333"/>
      <c r="GI18" s="333"/>
      <c r="GJ18" s="333"/>
      <c r="GK18" s="333"/>
      <c r="GL18" s="333"/>
      <c r="GM18" s="333"/>
      <c r="GN18" s="333"/>
      <c r="GO18" s="333"/>
      <c r="GP18" s="333"/>
      <c r="GQ18" s="333"/>
      <c r="GR18" s="333"/>
      <c r="GS18" s="333"/>
      <c r="GT18" s="333"/>
      <c r="GU18" s="333"/>
      <c r="GV18" s="333"/>
      <c r="GW18" s="333"/>
      <c r="GX18" s="333"/>
      <c r="GY18" s="333"/>
      <c r="GZ18" s="333"/>
      <c r="HA18" s="333"/>
      <c r="HB18" s="333"/>
      <c r="HC18" s="333"/>
      <c r="HD18" s="333"/>
      <c r="HE18" s="333"/>
      <c r="HF18" s="333"/>
      <c r="HG18" s="333"/>
      <c r="HH18" s="333"/>
      <c r="HI18" s="333"/>
      <c r="HJ18" s="333"/>
      <c r="HK18" s="333"/>
      <c r="HL18" s="333"/>
      <c r="HM18" s="333"/>
      <c r="HN18" s="333"/>
      <c r="HO18" s="333"/>
      <c r="HP18" s="333"/>
      <c r="HQ18" s="333"/>
      <c r="HR18" s="333"/>
      <c r="HS18" s="333"/>
      <c r="HT18" s="333"/>
      <c r="HU18" s="333"/>
      <c r="HV18" s="333"/>
      <c r="HW18" s="333"/>
      <c r="HX18" s="333"/>
      <c r="HY18" s="333"/>
      <c r="HZ18" s="333"/>
      <c r="IA18" s="333"/>
      <c r="IB18" s="333"/>
      <c r="IC18" s="333"/>
      <c r="ID18" s="333"/>
      <c r="IE18" s="333"/>
      <c r="IF18" s="333"/>
      <c r="IG18" s="333"/>
      <c r="IH18" s="333"/>
      <c r="II18" s="333"/>
      <c r="IJ18" s="333"/>
      <c r="IK18" s="333"/>
      <c r="IL18" s="333"/>
      <c r="IM18" s="333"/>
      <c r="IN18" s="333"/>
      <c r="IO18" s="333"/>
      <c r="IP18" s="333"/>
      <c r="IQ18" s="333"/>
      <c r="IR18" s="333"/>
      <c r="IS18" s="333"/>
      <c r="IT18" s="333"/>
      <c r="IU18" s="333"/>
      <c r="IV18" s="335"/>
    </row>
    <row r="19" s="314" customFormat="1" ht="12.75" spans="1:2">
      <c r="A19" s="33"/>
      <c r="B19" s="34" t="s">
        <v>89</v>
      </c>
    </row>
    <row r="20" spans="1:2">
      <c r="A20" s="35"/>
      <c r="B20" s="36" t="s">
        <v>90</v>
      </c>
    </row>
    <row r="21" spans="1:2">
      <c r="A21" s="40" t="s">
        <v>91</v>
      </c>
      <c r="B21" s="41">
        <v>241</v>
      </c>
    </row>
  </sheetData>
  <sheetProtection sort="0" autoFilter="0" pivotTables="0"/>
  <mergeCells count="7">
    <mergeCell ref="B1:I1"/>
    <mergeCell ref="C4:F4"/>
    <mergeCell ref="A3:A5"/>
    <mergeCell ref="B3:B5"/>
    <mergeCell ref="G4:G5"/>
    <mergeCell ref="H4:H5"/>
    <mergeCell ref="I4:I5"/>
  </mergeCells>
  <pageMargins left="0.75" right="0.75" top="1" bottom="1" header="0.509027777777778" footer="0.509027777777778"/>
  <pageSetup paperSize="9" fitToHeight="0" orientation="portrait"/>
  <headerFooter alignWithMargins="0" scaleWithDoc="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U34"/>
  <sheetViews>
    <sheetView showGridLines="0" view="pageBreakPreview" zoomScale="85" zoomScaleNormal="100" workbookViewId="0">
      <selection activeCell="A34" sqref="A34:B34"/>
    </sheetView>
  </sheetViews>
  <sheetFormatPr defaultColWidth="9.66666666666667" defaultRowHeight="19" customHeight="1"/>
  <cols>
    <col min="1" max="1" width="7.05" style="264" customWidth="1"/>
    <col min="2" max="2" width="35.825" style="265" customWidth="1"/>
    <col min="3" max="3" width="18" style="265" customWidth="1"/>
    <col min="4" max="5" width="16.1583333333333" style="266" customWidth="1"/>
    <col min="6" max="6" width="18.5083333333333" style="265" customWidth="1"/>
    <col min="7" max="9" width="18" style="265" customWidth="1"/>
    <col min="10" max="10" width="15.6666666666667" style="265" customWidth="1"/>
    <col min="11" max="11" width="18" style="265" customWidth="1"/>
    <col min="12" max="13" width="17.3333333333333" style="265" customWidth="1"/>
    <col min="14" max="14" width="19" style="265" customWidth="1"/>
    <col min="15" max="15" width="21" style="265" customWidth="1"/>
    <col min="16" max="16" width="17" style="265" customWidth="1"/>
    <col min="17" max="17" width="17.6666666666667" style="265" customWidth="1"/>
    <col min="18" max="243" width="9.66666666666667" style="265"/>
    <col min="244" max="247" width="9.66666666666667" style="267"/>
    <col min="248" max="16384" width="9.66666666666667" style="265"/>
  </cols>
  <sheetData>
    <row r="1" s="261" customFormat="1" customHeight="1" spans="1:17">
      <c r="A1" s="268" t="s">
        <v>315</v>
      </c>
      <c r="B1" s="268"/>
      <c r="C1" s="268"/>
      <c r="D1" s="269"/>
      <c r="E1" s="269"/>
      <c r="F1" s="268"/>
      <c r="G1" s="268"/>
      <c r="H1" s="268"/>
      <c r="I1" s="268"/>
      <c r="J1" s="268"/>
      <c r="K1" s="268"/>
      <c r="L1" s="268"/>
      <c r="M1" s="268"/>
      <c r="N1" s="268"/>
      <c r="O1" s="268"/>
      <c r="P1" s="268"/>
      <c r="Q1" s="268"/>
    </row>
    <row r="2" s="262" customFormat="1" customHeight="1" spans="1:17">
      <c r="A2" s="270" t="s">
        <v>1</v>
      </c>
      <c r="B2" s="270"/>
      <c r="D2" s="271"/>
      <c r="E2" s="271"/>
      <c r="N2" s="304" t="s">
        <v>244</v>
      </c>
      <c r="O2" s="304"/>
      <c r="Q2" s="310" t="s">
        <v>292</v>
      </c>
    </row>
    <row r="3" s="263" customFormat="1" customHeight="1" spans="1:21">
      <c r="A3" s="272" t="s">
        <v>316</v>
      </c>
      <c r="B3" s="273"/>
      <c r="C3" s="274" t="s">
        <v>6</v>
      </c>
      <c r="D3" s="274" t="s">
        <v>7</v>
      </c>
      <c r="E3" s="274" t="s">
        <v>8</v>
      </c>
      <c r="F3" s="274" t="s">
        <v>9</v>
      </c>
      <c r="G3" s="274" t="s">
        <v>10</v>
      </c>
      <c r="H3" s="292" t="s">
        <v>11</v>
      </c>
      <c r="I3" s="292" t="s">
        <v>12</v>
      </c>
      <c r="J3" s="292" t="s">
        <v>13</v>
      </c>
      <c r="K3" s="292" t="s">
        <v>96</v>
      </c>
      <c r="L3" s="292" t="s">
        <v>97</v>
      </c>
      <c r="M3" s="292" t="s">
        <v>98</v>
      </c>
      <c r="N3" s="292" t="s">
        <v>99</v>
      </c>
      <c r="O3" s="292" t="s">
        <v>100</v>
      </c>
      <c r="P3" s="292" t="s">
        <v>101</v>
      </c>
      <c r="Q3" s="292" t="s">
        <v>102</v>
      </c>
      <c r="R3" s="262"/>
      <c r="S3" s="262"/>
      <c r="T3" s="262"/>
      <c r="U3" s="262"/>
    </row>
    <row r="4" s="262" customFormat="1" customHeight="1" spans="1:17">
      <c r="A4" s="275"/>
      <c r="B4" s="276"/>
      <c r="C4" s="277" t="s">
        <v>317</v>
      </c>
      <c r="D4" s="278" t="s">
        <v>318</v>
      </c>
      <c r="E4" s="278"/>
      <c r="F4" s="278"/>
      <c r="G4" s="278"/>
      <c r="H4" s="278"/>
      <c r="I4" s="278"/>
      <c r="J4" s="302" t="s">
        <v>319</v>
      </c>
      <c r="K4" s="303"/>
      <c r="L4" s="278" t="s">
        <v>320</v>
      </c>
      <c r="M4" s="278"/>
      <c r="N4" s="293" t="s">
        <v>321</v>
      </c>
      <c r="O4" s="305"/>
      <c r="P4" s="306" t="s">
        <v>322</v>
      </c>
      <c r="Q4" s="311"/>
    </row>
    <row r="5" s="262" customFormat="1" customHeight="1" spans="1:17">
      <c r="A5" s="275"/>
      <c r="B5" s="276"/>
      <c r="C5" s="277"/>
      <c r="D5" s="279" t="s">
        <v>323</v>
      </c>
      <c r="E5" s="293"/>
      <c r="F5" s="293" t="s">
        <v>324</v>
      </c>
      <c r="G5" s="293"/>
      <c r="H5" s="293"/>
      <c r="I5" s="293"/>
      <c r="J5" s="294" t="s">
        <v>17</v>
      </c>
      <c r="K5" s="294" t="s">
        <v>18</v>
      </c>
      <c r="L5" s="277" t="s">
        <v>17</v>
      </c>
      <c r="M5" s="307" t="s">
        <v>18</v>
      </c>
      <c r="N5" s="277" t="s">
        <v>325</v>
      </c>
      <c r="O5" s="277" t="s">
        <v>326</v>
      </c>
      <c r="P5" s="277" t="s">
        <v>327</v>
      </c>
      <c r="Q5" s="277" t="s">
        <v>328</v>
      </c>
    </row>
    <row r="6" s="262" customFormat="1" customHeight="1" spans="1:17">
      <c r="A6" s="275"/>
      <c r="B6" s="276"/>
      <c r="C6" s="277"/>
      <c r="D6" s="280" t="s">
        <v>17</v>
      </c>
      <c r="E6" s="294" t="s">
        <v>18</v>
      </c>
      <c r="F6" s="295" t="s">
        <v>329</v>
      </c>
      <c r="G6" s="295"/>
      <c r="H6" s="295" t="s">
        <v>330</v>
      </c>
      <c r="I6" s="295"/>
      <c r="J6" s="296"/>
      <c r="K6" s="296"/>
      <c r="L6" s="277"/>
      <c r="M6" s="308"/>
      <c r="N6" s="277"/>
      <c r="O6" s="277"/>
      <c r="P6" s="277"/>
      <c r="Q6" s="277"/>
    </row>
    <row r="7" s="262" customFormat="1" customHeight="1" spans="1:17">
      <c r="A7" s="275"/>
      <c r="B7" s="276"/>
      <c r="C7" s="277"/>
      <c r="D7" s="281"/>
      <c r="E7" s="296"/>
      <c r="F7" s="294" t="s">
        <v>17</v>
      </c>
      <c r="G7" s="297" t="s">
        <v>18</v>
      </c>
      <c r="H7" s="298" t="s">
        <v>17</v>
      </c>
      <c r="I7" s="298" t="s">
        <v>18</v>
      </c>
      <c r="J7" s="296"/>
      <c r="K7" s="296"/>
      <c r="L7" s="277"/>
      <c r="M7" s="308"/>
      <c r="N7" s="277"/>
      <c r="O7" s="277"/>
      <c r="P7" s="277"/>
      <c r="Q7" s="277"/>
    </row>
    <row r="8" s="262" customFormat="1" customHeight="1" spans="1:17">
      <c r="A8" s="282"/>
      <c r="B8" s="283"/>
      <c r="C8" s="277"/>
      <c r="D8" s="284"/>
      <c r="E8" s="299"/>
      <c r="F8" s="299"/>
      <c r="G8" s="300"/>
      <c r="H8" s="301"/>
      <c r="I8" s="301"/>
      <c r="J8" s="299"/>
      <c r="K8" s="299"/>
      <c r="L8" s="277"/>
      <c r="M8" s="309"/>
      <c r="N8" s="277"/>
      <c r="O8" s="277"/>
      <c r="P8" s="277"/>
      <c r="Q8" s="277"/>
    </row>
    <row r="9" s="262" customFormat="1" customHeight="1" spans="1:17">
      <c r="A9" s="285">
        <v>1</v>
      </c>
      <c r="B9" s="286" t="s">
        <v>331</v>
      </c>
      <c r="C9" s="287">
        <f t="shared" ref="C9:Q9" si="0">SUM(C10,C14:C19)</f>
        <v>0</v>
      </c>
      <c r="D9" s="287">
        <f t="shared" si="0"/>
        <v>0</v>
      </c>
      <c r="E9" s="287">
        <f t="shared" si="0"/>
        <v>0</v>
      </c>
      <c r="F9" s="287">
        <f t="shared" si="0"/>
        <v>0</v>
      </c>
      <c r="G9" s="287">
        <f t="shared" si="0"/>
        <v>0</v>
      </c>
      <c r="H9" s="287">
        <f t="shared" si="0"/>
        <v>0</v>
      </c>
      <c r="I9" s="287">
        <f t="shared" si="0"/>
        <v>0</v>
      </c>
      <c r="J9" s="287">
        <f t="shared" si="0"/>
        <v>0</v>
      </c>
      <c r="K9" s="287">
        <f t="shared" si="0"/>
        <v>0</v>
      </c>
      <c r="L9" s="287">
        <f t="shared" si="0"/>
        <v>0</v>
      </c>
      <c r="M9" s="287">
        <f t="shared" si="0"/>
        <v>0</v>
      </c>
      <c r="N9" s="287">
        <f t="shared" si="0"/>
        <v>0</v>
      </c>
      <c r="O9" s="287">
        <f t="shared" si="0"/>
        <v>0</v>
      </c>
      <c r="P9" s="287">
        <f t="shared" si="0"/>
        <v>0</v>
      </c>
      <c r="Q9" s="287">
        <f t="shared" si="0"/>
        <v>0</v>
      </c>
    </row>
    <row r="10" s="262" customFormat="1" customHeight="1" spans="1:17">
      <c r="A10" s="285">
        <v>2</v>
      </c>
      <c r="B10" s="288" t="s">
        <v>332</v>
      </c>
      <c r="C10" s="287">
        <f t="shared" ref="C10:Q10" si="1">SUM(C11:C13)</f>
        <v>0</v>
      </c>
      <c r="D10" s="287">
        <f t="shared" si="1"/>
        <v>0</v>
      </c>
      <c r="E10" s="287">
        <f t="shared" si="1"/>
        <v>0</v>
      </c>
      <c r="F10" s="287">
        <f t="shared" si="1"/>
        <v>0</v>
      </c>
      <c r="G10" s="287">
        <f t="shared" si="1"/>
        <v>0</v>
      </c>
      <c r="H10" s="287">
        <f t="shared" si="1"/>
        <v>0</v>
      </c>
      <c r="I10" s="287">
        <f t="shared" si="1"/>
        <v>0</v>
      </c>
      <c r="J10" s="287">
        <f t="shared" si="1"/>
        <v>0</v>
      </c>
      <c r="K10" s="287">
        <f t="shared" si="1"/>
        <v>0</v>
      </c>
      <c r="L10" s="287">
        <f t="shared" si="1"/>
        <v>0</v>
      </c>
      <c r="M10" s="287">
        <f t="shared" si="1"/>
        <v>0</v>
      </c>
      <c r="N10" s="287">
        <f t="shared" si="1"/>
        <v>0</v>
      </c>
      <c r="O10" s="287">
        <f t="shared" si="1"/>
        <v>0</v>
      </c>
      <c r="P10" s="287">
        <f t="shared" si="1"/>
        <v>0</v>
      </c>
      <c r="Q10" s="287">
        <f t="shared" si="1"/>
        <v>0</v>
      </c>
    </row>
    <row r="11" s="262" customFormat="1" customHeight="1" spans="1:17">
      <c r="A11" s="285">
        <v>3</v>
      </c>
      <c r="B11" s="288" t="s">
        <v>333</v>
      </c>
      <c r="C11" s="289"/>
      <c r="D11" s="289"/>
      <c r="E11" s="289"/>
      <c r="F11" s="289"/>
      <c r="G11" s="289"/>
      <c r="H11" s="289"/>
      <c r="I11" s="289"/>
      <c r="J11" s="289"/>
      <c r="K11" s="289"/>
      <c r="L11" s="289"/>
      <c r="M11" s="289"/>
      <c r="N11" s="289"/>
      <c r="O11" s="289"/>
      <c r="P11" s="289"/>
      <c r="Q11" s="312"/>
    </row>
    <row r="12" s="262" customFormat="1" customHeight="1" spans="1:17">
      <c r="A12" s="285">
        <v>4</v>
      </c>
      <c r="B12" s="288" t="s">
        <v>334</v>
      </c>
      <c r="C12" s="289"/>
      <c r="D12" s="289"/>
      <c r="E12" s="289"/>
      <c r="F12" s="289"/>
      <c r="G12" s="289"/>
      <c r="H12" s="289"/>
      <c r="I12" s="289"/>
      <c r="J12" s="289"/>
      <c r="K12" s="289"/>
      <c r="L12" s="289"/>
      <c r="M12" s="289"/>
      <c r="N12" s="289"/>
      <c r="O12" s="289"/>
      <c r="P12" s="289"/>
      <c r="Q12" s="312"/>
    </row>
    <row r="13" s="262" customFormat="1" customHeight="1" spans="1:17">
      <c r="A13" s="285">
        <v>5</v>
      </c>
      <c r="B13" s="288" t="s">
        <v>335</v>
      </c>
      <c r="C13" s="289"/>
      <c r="D13" s="289"/>
      <c r="E13" s="289"/>
      <c r="F13" s="289"/>
      <c r="G13" s="289"/>
      <c r="H13" s="289"/>
      <c r="I13" s="289"/>
      <c r="J13" s="289"/>
      <c r="K13" s="289"/>
      <c r="L13" s="289"/>
      <c r="M13" s="289"/>
      <c r="N13" s="289"/>
      <c r="O13" s="289"/>
      <c r="P13" s="289"/>
      <c r="Q13" s="312"/>
    </row>
    <row r="14" s="262" customFormat="1" customHeight="1" spans="1:17">
      <c r="A14" s="285">
        <v>6</v>
      </c>
      <c r="B14" s="290" t="s">
        <v>336</v>
      </c>
      <c r="C14" s="289"/>
      <c r="D14" s="289"/>
      <c r="E14" s="289"/>
      <c r="F14" s="289"/>
      <c r="G14" s="289"/>
      <c r="H14" s="289"/>
      <c r="I14" s="289"/>
      <c r="J14" s="289"/>
      <c r="K14" s="289"/>
      <c r="L14" s="289"/>
      <c r="M14" s="289"/>
      <c r="N14" s="289"/>
      <c r="O14" s="289"/>
      <c r="P14" s="289"/>
      <c r="Q14" s="312"/>
    </row>
    <row r="15" s="262" customFormat="1" customHeight="1" spans="1:17">
      <c r="A15" s="285">
        <v>7</v>
      </c>
      <c r="B15" s="290" t="s">
        <v>337</v>
      </c>
      <c r="C15" s="289"/>
      <c r="D15" s="289"/>
      <c r="E15" s="289"/>
      <c r="F15" s="289"/>
      <c r="G15" s="289"/>
      <c r="H15" s="289"/>
      <c r="I15" s="289"/>
      <c r="J15" s="289"/>
      <c r="K15" s="289"/>
      <c r="L15" s="289"/>
      <c r="M15" s="289"/>
      <c r="N15" s="289"/>
      <c r="O15" s="289"/>
      <c r="P15" s="289"/>
      <c r="Q15" s="312"/>
    </row>
    <row r="16" s="262" customFormat="1" customHeight="1" spans="1:17">
      <c r="A16" s="285">
        <v>8</v>
      </c>
      <c r="B16" s="290" t="s">
        <v>338</v>
      </c>
      <c r="C16" s="289"/>
      <c r="D16" s="289"/>
      <c r="E16" s="289"/>
      <c r="F16" s="289"/>
      <c r="G16" s="289"/>
      <c r="H16" s="289"/>
      <c r="I16" s="289"/>
      <c r="J16" s="289"/>
      <c r="K16" s="289"/>
      <c r="L16" s="289"/>
      <c r="M16" s="289"/>
      <c r="N16" s="289"/>
      <c r="O16" s="289"/>
      <c r="P16" s="289"/>
      <c r="Q16" s="312"/>
    </row>
    <row r="17" s="262" customFormat="1" customHeight="1" spans="1:17">
      <c r="A17" s="285">
        <v>9</v>
      </c>
      <c r="B17" s="288" t="s">
        <v>339</v>
      </c>
      <c r="C17" s="289"/>
      <c r="D17" s="289"/>
      <c r="E17" s="289"/>
      <c r="F17" s="289"/>
      <c r="G17" s="289"/>
      <c r="H17" s="289"/>
      <c r="I17" s="289"/>
      <c r="J17" s="289"/>
      <c r="K17" s="289"/>
      <c r="L17" s="289"/>
      <c r="M17" s="289"/>
      <c r="N17" s="289"/>
      <c r="O17" s="289"/>
      <c r="P17" s="289"/>
      <c r="Q17" s="312"/>
    </row>
    <row r="18" s="262" customFormat="1" customHeight="1" spans="1:17">
      <c r="A18" s="285">
        <v>10</v>
      </c>
      <c r="B18" s="290" t="s">
        <v>340</v>
      </c>
      <c r="C18" s="289"/>
      <c r="D18" s="289"/>
      <c r="E18" s="289"/>
      <c r="F18" s="289"/>
      <c r="G18" s="289"/>
      <c r="H18" s="289"/>
      <c r="I18" s="289"/>
      <c r="J18" s="289"/>
      <c r="K18" s="289"/>
      <c r="L18" s="289"/>
      <c r="M18" s="289"/>
      <c r="N18" s="289"/>
      <c r="O18" s="289"/>
      <c r="P18" s="289"/>
      <c r="Q18" s="312"/>
    </row>
    <row r="19" s="262" customFormat="1" customHeight="1" spans="1:17">
      <c r="A19" s="285">
        <v>11</v>
      </c>
      <c r="B19" s="288" t="s">
        <v>341</v>
      </c>
      <c r="C19" s="289"/>
      <c r="D19" s="289"/>
      <c r="E19" s="289"/>
      <c r="F19" s="289"/>
      <c r="G19" s="289"/>
      <c r="H19" s="289"/>
      <c r="I19" s="289"/>
      <c r="J19" s="289"/>
      <c r="K19" s="289"/>
      <c r="L19" s="289"/>
      <c r="M19" s="289"/>
      <c r="N19" s="289"/>
      <c r="O19" s="289"/>
      <c r="P19" s="289"/>
      <c r="Q19" s="312"/>
    </row>
    <row r="20" s="262" customFormat="1" customHeight="1" spans="1:17">
      <c r="A20" s="285">
        <v>12</v>
      </c>
      <c r="B20" s="286" t="s">
        <v>342</v>
      </c>
      <c r="C20" s="287">
        <f t="shared" ref="C20:Q20" si="2">SUM(C21,C25:C30)</f>
        <v>0</v>
      </c>
      <c r="D20" s="287">
        <f t="shared" si="2"/>
        <v>0</v>
      </c>
      <c r="E20" s="287">
        <f t="shared" si="2"/>
        <v>0</v>
      </c>
      <c r="F20" s="287">
        <f t="shared" si="2"/>
        <v>0</v>
      </c>
      <c r="G20" s="287">
        <f t="shared" si="2"/>
        <v>0</v>
      </c>
      <c r="H20" s="287">
        <f t="shared" si="2"/>
        <v>0</v>
      </c>
      <c r="I20" s="287">
        <f t="shared" si="2"/>
        <v>0</v>
      </c>
      <c r="J20" s="287">
        <f t="shared" si="2"/>
        <v>0</v>
      </c>
      <c r="K20" s="287">
        <f t="shared" si="2"/>
        <v>0</v>
      </c>
      <c r="L20" s="287">
        <f t="shared" si="2"/>
        <v>0</v>
      </c>
      <c r="M20" s="287">
        <f t="shared" si="2"/>
        <v>0</v>
      </c>
      <c r="N20" s="287">
        <f t="shared" si="2"/>
        <v>0</v>
      </c>
      <c r="O20" s="287">
        <f t="shared" si="2"/>
        <v>0</v>
      </c>
      <c r="P20" s="287">
        <f t="shared" si="2"/>
        <v>0</v>
      </c>
      <c r="Q20" s="287">
        <f t="shared" si="2"/>
        <v>0</v>
      </c>
    </row>
    <row r="21" s="262" customFormat="1" customHeight="1" spans="1:17">
      <c r="A21" s="285">
        <v>13</v>
      </c>
      <c r="B21" s="288" t="s">
        <v>343</v>
      </c>
      <c r="C21" s="287">
        <f t="shared" ref="C21:Q21" si="3">SUM(C22:C24)</f>
        <v>0</v>
      </c>
      <c r="D21" s="287">
        <f t="shared" si="3"/>
        <v>0</v>
      </c>
      <c r="E21" s="287">
        <f t="shared" si="3"/>
        <v>0</v>
      </c>
      <c r="F21" s="287">
        <f t="shared" si="3"/>
        <v>0</v>
      </c>
      <c r="G21" s="287">
        <f t="shared" si="3"/>
        <v>0</v>
      </c>
      <c r="H21" s="287">
        <f t="shared" si="3"/>
        <v>0</v>
      </c>
      <c r="I21" s="287">
        <f t="shared" si="3"/>
        <v>0</v>
      </c>
      <c r="J21" s="287">
        <f t="shared" si="3"/>
        <v>0</v>
      </c>
      <c r="K21" s="287">
        <f t="shared" si="3"/>
        <v>0</v>
      </c>
      <c r="L21" s="287">
        <f t="shared" si="3"/>
        <v>0</v>
      </c>
      <c r="M21" s="287">
        <f t="shared" si="3"/>
        <v>0</v>
      </c>
      <c r="N21" s="287">
        <f t="shared" si="3"/>
        <v>0</v>
      </c>
      <c r="O21" s="287">
        <f t="shared" si="3"/>
        <v>0</v>
      </c>
      <c r="P21" s="287">
        <f t="shared" si="3"/>
        <v>0</v>
      </c>
      <c r="Q21" s="287">
        <f t="shared" si="3"/>
        <v>0</v>
      </c>
    </row>
    <row r="22" s="262" customFormat="1" customHeight="1" spans="1:17">
      <c r="A22" s="285">
        <v>14</v>
      </c>
      <c r="B22" s="288" t="s">
        <v>344</v>
      </c>
      <c r="C22" s="289"/>
      <c r="D22" s="289"/>
      <c r="E22" s="289"/>
      <c r="F22" s="289"/>
      <c r="G22" s="289"/>
      <c r="H22" s="289"/>
      <c r="I22" s="289"/>
      <c r="J22" s="289"/>
      <c r="K22" s="289"/>
      <c r="L22" s="289"/>
      <c r="M22" s="289"/>
      <c r="N22" s="289"/>
      <c r="O22" s="289"/>
      <c r="P22" s="289"/>
      <c r="Q22" s="312"/>
    </row>
    <row r="23" s="262" customFormat="1" customHeight="1" spans="1:17">
      <c r="A23" s="285">
        <v>15</v>
      </c>
      <c r="B23" s="288" t="s">
        <v>345</v>
      </c>
      <c r="C23" s="289"/>
      <c r="D23" s="289"/>
      <c r="E23" s="289"/>
      <c r="F23" s="289"/>
      <c r="G23" s="289"/>
      <c r="H23" s="289"/>
      <c r="I23" s="289"/>
      <c r="J23" s="289"/>
      <c r="K23" s="289"/>
      <c r="L23" s="289"/>
      <c r="M23" s="289"/>
      <c r="N23" s="289"/>
      <c r="O23" s="289"/>
      <c r="P23" s="289"/>
      <c r="Q23" s="312"/>
    </row>
    <row r="24" s="262" customFormat="1" customHeight="1" spans="1:17">
      <c r="A24" s="285">
        <v>16</v>
      </c>
      <c r="B24" s="288" t="s">
        <v>346</v>
      </c>
      <c r="C24" s="289"/>
      <c r="D24" s="289"/>
      <c r="E24" s="289"/>
      <c r="F24" s="289"/>
      <c r="G24" s="289"/>
      <c r="H24" s="289"/>
      <c r="I24" s="289"/>
      <c r="J24" s="289"/>
      <c r="K24" s="289"/>
      <c r="L24" s="289"/>
      <c r="M24" s="289"/>
      <c r="N24" s="289"/>
      <c r="O24" s="289"/>
      <c r="P24" s="289"/>
      <c r="Q24" s="312"/>
    </row>
    <row r="25" s="262" customFormat="1" customHeight="1" spans="1:17">
      <c r="A25" s="285">
        <v>17</v>
      </c>
      <c r="B25" s="290" t="s">
        <v>347</v>
      </c>
      <c r="C25" s="289"/>
      <c r="D25" s="289"/>
      <c r="E25" s="289"/>
      <c r="F25" s="289"/>
      <c r="G25" s="289"/>
      <c r="H25" s="289"/>
      <c r="I25" s="289"/>
      <c r="J25" s="289"/>
      <c r="K25" s="289"/>
      <c r="L25" s="289"/>
      <c r="M25" s="289"/>
      <c r="N25" s="289"/>
      <c r="O25" s="289"/>
      <c r="P25" s="289"/>
      <c r="Q25" s="312"/>
    </row>
    <row r="26" s="262" customFormat="1" customHeight="1" spans="1:17">
      <c r="A26" s="285">
        <v>18</v>
      </c>
      <c r="B26" s="290" t="s">
        <v>348</v>
      </c>
      <c r="C26" s="289"/>
      <c r="D26" s="289"/>
      <c r="E26" s="289"/>
      <c r="F26" s="289"/>
      <c r="G26" s="289"/>
      <c r="H26" s="289"/>
      <c r="I26" s="289"/>
      <c r="J26" s="289"/>
      <c r="K26" s="289"/>
      <c r="L26" s="289"/>
      <c r="M26" s="289"/>
      <c r="N26" s="289"/>
      <c r="O26" s="289"/>
      <c r="P26" s="289"/>
      <c r="Q26" s="312"/>
    </row>
    <row r="27" s="262" customFormat="1" customHeight="1" spans="1:17">
      <c r="A27" s="285">
        <v>19</v>
      </c>
      <c r="B27" s="290" t="s">
        <v>349</v>
      </c>
      <c r="C27" s="289"/>
      <c r="D27" s="289"/>
      <c r="E27" s="289"/>
      <c r="F27" s="289"/>
      <c r="G27" s="289"/>
      <c r="H27" s="289"/>
      <c r="I27" s="289"/>
      <c r="J27" s="289"/>
      <c r="K27" s="289"/>
      <c r="L27" s="289"/>
      <c r="M27" s="289"/>
      <c r="N27" s="289"/>
      <c r="O27" s="289"/>
      <c r="P27" s="289"/>
      <c r="Q27" s="312"/>
    </row>
    <row r="28" s="262" customFormat="1" customHeight="1" spans="1:17">
      <c r="A28" s="285">
        <v>20</v>
      </c>
      <c r="B28" s="288" t="s">
        <v>350</v>
      </c>
      <c r="C28" s="289"/>
      <c r="D28" s="289"/>
      <c r="E28" s="289"/>
      <c r="F28" s="289"/>
      <c r="G28" s="289"/>
      <c r="H28" s="289"/>
      <c r="I28" s="289"/>
      <c r="J28" s="289"/>
      <c r="K28" s="289"/>
      <c r="L28" s="289"/>
      <c r="M28" s="289"/>
      <c r="N28" s="289"/>
      <c r="O28" s="289"/>
      <c r="P28" s="289"/>
      <c r="Q28" s="312"/>
    </row>
    <row r="29" s="262" customFormat="1" customHeight="1" spans="1:17">
      <c r="A29" s="285">
        <v>21</v>
      </c>
      <c r="B29" s="290" t="s">
        <v>351</v>
      </c>
      <c r="C29" s="289"/>
      <c r="D29" s="289"/>
      <c r="E29" s="289"/>
      <c r="F29" s="289"/>
      <c r="G29" s="289"/>
      <c r="H29" s="289"/>
      <c r="I29" s="289"/>
      <c r="J29" s="289"/>
      <c r="K29" s="289"/>
      <c r="L29" s="289"/>
      <c r="M29" s="289"/>
      <c r="N29" s="289"/>
      <c r="O29" s="289"/>
      <c r="P29" s="289"/>
      <c r="Q29" s="312"/>
    </row>
    <row r="30" customHeight="1" spans="1:17">
      <c r="A30" s="285">
        <v>22</v>
      </c>
      <c r="B30" s="288" t="s">
        <v>352</v>
      </c>
      <c r="C30" s="289"/>
      <c r="D30" s="289"/>
      <c r="E30" s="289"/>
      <c r="F30" s="289"/>
      <c r="G30" s="289"/>
      <c r="H30" s="289"/>
      <c r="I30" s="289"/>
      <c r="J30" s="289"/>
      <c r="K30" s="289"/>
      <c r="L30" s="289"/>
      <c r="M30" s="289"/>
      <c r="N30" s="289"/>
      <c r="O30" s="289"/>
      <c r="P30" s="289"/>
      <c r="Q30" s="312"/>
    </row>
    <row r="31" s="262" customFormat="1" customHeight="1" spans="1:17">
      <c r="A31" s="285">
        <v>23</v>
      </c>
      <c r="B31" s="286" t="s">
        <v>353</v>
      </c>
      <c r="C31" s="287">
        <f t="shared" ref="C31:Q31" si="4">C9+C20</f>
        <v>0</v>
      </c>
      <c r="D31" s="287">
        <f>D20+D9</f>
        <v>0</v>
      </c>
      <c r="E31" s="287">
        <f>E20+E9</f>
        <v>0</v>
      </c>
      <c r="F31" s="287">
        <f t="shared" si="4"/>
        <v>0</v>
      </c>
      <c r="G31" s="287">
        <f t="shared" si="4"/>
        <v>0</v>
      </c>
      <c r="H31" s="287">
        <f t="shared" si="4"/>
        <v>0</v>
      </c>
      <c r="I31" s="287">
        <f t="shared" si="4"/>
        <v>0</v>
      </c>
      <c r="J31" s="287">
        <f t="shared" si="4"/>
        <v>0</v>
      </c>
      <c r="K31" s="287">
        <f t="shared" si="4"/>
        <v>0</v>
      </c>
      <c r="L31" s="287">
        <f t="shared" si="4"/>
        <v>0</v>
      </c>
      <c r="M31" s="287">
        <f t="shared" si="4"/>
        <v>0</v>
      </c>
      <c r="N31" s="287">
        <f t="shared" si="4"/>
        <v>0</v>
      </c>
      <c r="O31" s="287">
        <f t="shared" si="4"/>
        <v>0</v>
      </c>
      <c r="P31" s="287">
        <f t="shared" si="4"/>
        <v>0</v>
      </c>
      <c r="Q31" s="287">
        <f t="shared" si="4"/>
        <v>0</v>
      </c>
    </row>
    <row r="32" s="104" customFormat="1" customHeight="1" spans="1:10">
      <c r="A32" s="246" t="s">
        <v>155</v>
      </c>
      <c r="B32"/>
      <c r="D32" s="246" t="s">
        <v>87</v>
      </c>
      <c r="E32" s="246"/>
      <c r="F32" s="246"/>
      <c r="G32" s="246"/>
      <c r="H32" s="246"/>
      <c r="I32" s="246"/>
      <c r="J32" s="246" t="s">
        <v>88</v>
      </c>
    </row>
    <row r="33" s="104" customFormat="1" customHeight="1" spans="1:10">
      <c r="A33" s="291"/>
      <c r="B33" s="36" t="s">
        <v>90</v>
      </c>
      <c r="D33" s="246"/>
      <c r="E33" s="246"/>
      <c r="F33" s="246"/>
      <c r="G33" s="246"/>
      <c r="H33" s="246"/>
      <c r="I33" s="246"/>
      <c r="J33" s="246"/>
    </row>
    <row r="34" customHeight="1" spans="1:2">
      <c r="A34" s="40" t="s">
        <v>91</v>
      </c>
      <c r="B34" s="41">
        <v>241</v>
      </c>
    </row>
  </sheetData>
  <sheetProtection formatColumns="0" formatRows="0"/>
  <protectedRanges>
    <protectedRange sqref="F10:Q10 F21:Q21 F31:Q31" name="区域2"/>
    <protectedRange sqref="L17:M19 Q17:Q19 L28:M30 Q28:Q30" name="区域14"/>
    <protectedRange sqref="C31" name="区域2_1"/>
  </protectedRanges>
  <mergeCells count="28">
    <mergeCell ref="A1:Q1"/>
    <mergeCell ref="A2:B2"/>
    <mergeCell ref="N2:O2"/>
    <mergeCell ref="D4:I4"/>
    <mergeCell ref="J4:K4"/>
    <mergeCell ref="L4:M4"/>
    <mergeCell ref="N4:O4"/>
    <mergeCell ref="P4:Q4"/>
    <mergeCell ref="D5:E5"/>
    <mergeCell ref="F5:I5"/>
    <mergeCell ref="F6:G6"/>
    <mergeCell ref="H6:I6"/>
    <mergeCell ref="C4:C8"/>
    <mergeCell ref="D6:D8"/>
    <mergeCell ref="E6:E8"/>
    <mergeCell ref="F7:F8"/>
    <mergeCell ref="G7:G8"/>
    <mergeCell ref="H7:H8"/>
    <mergeCell ref="I7:I8"/>
    <mergeCell ref="J5:J8"/>
    <mergeCell ref="K5:K8"/>
    <mergeCell ref="L5:L8"/>
    <mergeCell ref="M5:M8"/>
    <mergeCell ref="N5:N8"/>
    <mergeCell ref="O5:O8"/>
    <mergeCell ref="P5:P8"/>
    <mergeCell ref="Q5:Q8"/>
    <mergeCell ref="A3:B8"/>
  </mergeCells>
  <conditionalFormatting sqref="J4">
    <cfRule type="cellIs" dxfId="1" priority="3" stopIfTrue="1" operator="equal">
      <formula>"Fail"</formula>
    </cfRule>
    <cfRule type="cellIs" dxfId="2" priority="2" stopIfTrue="1" operator="equal">
      <formula>"please check"</formula>
    </cfRule>
    <cfRule type="cellIs" dxfId="3" priority="1" stopIfTrue="1" operator="equal">
      <formula>"Pass"</formula>
    </cfRule>
  </conditionalFormatting>
  <dataValidations count="1">
    <dataValidation type="decimal" operator="between" allowBlank="1" showInputMessage="1" showErrorMessage="1" sqref="C31 D31 E31 F31:G31 H31:I31 J31:Q31">
      <formula1>-9999999999</formula1>
      <formula2>9999999999</formula2>
    </dataValidation>
  </dataValidations>
  <printOptions horizontalCentered="1"/>
  <pageMargins left="0.16" right="0.2" top="0.16" bottom="0.39" header="0.2" footer="0.16"/>
  <pageSetup paperSize="9" scale="47" fitToHeight="0" orientation="landscape"/>
  <headerFooter alignWithMargins="0" scaleWithDoc="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U63"/>
  <sheetViews>
    <sheetView view="pageBreakPreview" zoomScale="90" zoomScaleNormal="70" workbookViewId="0">
      <selection activeCell="A31" sqref="A31:B31"/>
    </sheetView>
  </sheetViews>
  <sheetFormatPr defaultColWidth="9" defaultRowHeight="18.75"/>
  <cols>
    <col min="2" max="2" width="51.8333333333333" style="228" customWidth="1"/>
    <col min="3" max="3" width="11.6666666666667" style="229" customWidth="1"/>
    <col min="4" max="4" width="12.1666666666667" style="229" customWidth="1"/>
    <col min="5" max="7" width="13.8333333333333" style="229" customWidth="1"/>
    <col min="8" max="8" width="14.6666666666667" style="229" customWidth="1"/>
    <col min="9" max="9" width="12.8333333333333" style="229" customWidth="1"/>
    <col min="10" max="10" width="14.6666666666667" style="229" customWidth="1"/>
    <col min="11" max="11" width="13.5" style="229" customWidth="1"/>
    <col min="12" max="12" width="14.6666666666667" style="229" customWidth="1"/>
    <col min="13" max="13" width="10.8333333333333" style="229" customWidth="1"/>
    <col min="14" max="14" width="14.6666666666667" style="229" customWidth="1"/>
    <col min="15" max="15" width="11.8333333333333" style="229" customWidth="1"/>
    <col min="16" max="16384" width="9" style="229"/>
  </cols>
  <sheetData>
    <row r="1" s="225" customFormat="1" ht="20.25" spans="1:20">
      <c r="A1" s="230"/>
      <c r="B1" s="231" t="s">
        <v>354</v>
      </c>
      <c r="C1" s="232"/>
      <c r="D1" s="232"/>
      <c r="E1" s="232"/>
      <c r="F1" s="232"/>
      <c r="G1" s="232"/>
      <c r="H1" s="232"/>
      <c r="I1" s="232"/>
      <c r="J1" s="232"/>
      <c r="K1" s="232"/>
      <c r="L1" s="232"/>
      <c r="M1" s="232"/>
      <c r="N1" s="232"/>
      <c r="O1" s="232"/>
      <c r="P1" s="253"/>
      <c r="Q1" s="253"/>
      <c r="R1" s="253"/>
      <c r="S1" s="253"/>
      <c r="T1" s="259"/>
    </row>
    <row r="2" s="226" customFormat="1" ht="12" spans="1:20">
      <c r="A2" s="233" t="s">
        <v>1</v>
      </c>
      <c r="B2" s="234"/>
      <c r="C2" s="235"/>
      <c r="D2" s="235"/>
      <c r="E2" s="235"/>
      <c r="F2" s="235"/>
      <c r="G2" s="235"/>
      <c r="H2" s="235"/>
      <c r="I2" s="235"/>
      <c r="J2" s="235" t="s">
        <v>2</v>
      </c>
      <c r="K2" s="235"/>
      <c r="L2" s="233"/>
      <c r="M2" s="233"/>
      <c r="N2" s="233" t="s">
        <v>355</v>
      </c>
      <c r="O2" s="233"/>
      <c r="P2" s="254"/>
      <c r="Q2" s="254"/>
      <c r="R2" s="260"/>
      <c r="S2" s="254"/>
      <c r="T2" s="254"/>
    </row>
    <row r="3" s="225" customFormat="1" spans="1:20">
      <c r="A3" s="236" t="s">
        <v>4</v>
      </c>
      <c r="B3" s="237" t="s">
        <v>5</v>
      </c>
      <c r="C3" s="101" t="s">
        <v>6</v>
      </c>
      <c r="D3" s="101" t="s">
        <v>7</v>
      </c>
      <c r="E3" s="101" t="s">
        <v>8</v>
      </c>
      <c r="F3" s="101" t="s">
        <v>9</v>
      </c>
      <c r="G3" s="101" t="s">
        <v>10</v>
      </c>
      <c r="H3" s="101" t="s">
        <v>11</v>
      </c>
      <c r="I3" s="101" t="s">
        <v>12</v>
      </c>
      <c r="J3" s="101" t="s">
        <v>13</v>
      </c>
      <c r="K3" s="101" t="s">
        <v>96</v>
      </c>
      <c r="L3" s="101" t="s">
        <v>97</v>
      </c>
      <c r="M3" s="101" t="s">
        <v>98</v>
      </c>
      <c r="N3" s="101" t="s">
        <v>99</v>
      </c>
      <c r="O3" s="101" t="s">
        <v>100</v>
      </c>
      <c r="P3" s="255"/>
      <c r="Q3" s="255"/>
      <c r="R3" s="255"/>
      <c r="S3" s="255"/>
      <c r="T3" s="259"/>
    </row>
    <row r="4" ht="47" customHeight="1" spans="1:20">
      <c r="A4" s="236"/>
      <c r="B4" s="237"/>
      <c r="C4" s="20" t="s">
        <v>356</v>
      </c>
      <c r="D4" s="20"/>
      <c r="E4" s="20"/>
      <c r="F4" s="20" t="s">
        <v>357</v>
      </c>
      <c r="G4" s="249" t="s">
        <v>358</v>
      </c>
      <c r="H4" s="249" t="s">
        <v>359</v>
      </c>
      <c r="I4" s="249" t="s">
        <v>360</v>
      </c>
      <c r="J4" s="236" t="s">
        <v>109</v>
      </c>
      <c r="K4" s="236"/>
      <c r="L4" s="236" t="s">
        <v>110</v>
      </c>
      <c r="M4" s="236"/>
      <c r="N4" s="236" t="s">
        <v>61</v>
      </c>
      <c r="O4" s="236"/>
      <c r="P4" s="248"/>
      <c r="Q4" s="248"/>
      <c r="R4" s="248"/>
      <c r="S4" s="248"/>
      <c r="T4" s="248"/>
    </row>
    <row r="5" s="227" customFormat="1" ht="24" spans="1:20">
      <c r="A5" s="236"/>
      <c r="B5" s="237"/>
      <c r="C5" s="20" t="s">
        <v>361</v>
      </c>
      <c r="D5" s="20" t="s">
        <v>362</v>
      </c>
      <c r="E5" s="20" t="s">
        <v>363</v>
      </c>
      <c r="F5" s="20" t="s">
        <v>361</v>
      </c>
      <c r="G5" s="250"/>
      <c r="H5" s="249"/>
      <c r="I5" s="249"/>
      <c r="J5" s="249" t="s">
        <v>359</v>
      </c>
      <c r="K5" s="249" t="s">
        <v>360</v>
      </c>
      <c r="L5" s="249" t="s">
        <v>359</v>
      </c>
      <c r="M5" s="249" t="s">
        <v>360</v>
      </c>
      <c r="N5" s="249" t="s">
        <v>359</v>
      </c>
      <c r="O5" s="249" t="s">
        <v>360</v>
      </c>
      <c r="P5" s="256"/>
      <c r="Q5" s="256"/>
      <c r="R5" s="256"/>
      <c r="S5" s="256"/>
      <c r="T5" s="256"/>
    </row>
    <row r="6" spans="1:20">
      <c r="A6" s="236">
        <v>1</v>
      </c>
      <c r="B6" s="238" t="s">
        <v>23</v>
      </c>
      <c r="C6" s="239"/>
      <c r="D6" s="239"/>
      <c r="E6" s="251"/>
      <c r="F6" s="251"/>
      <c r="G6" s="239"/>
      <c r="H6" s="239"/>
      <c r="I6" s="252"/>
      <c r="J6" s="252"/>
      <c r="K6" s="252"/>
      <c r="L6" s="252"/>
      <c r="M6" s="252"/>
      <c r="N6" s="252"/>
      <c r="O6" s="252"/>
      <c r="P6" s="257"/>
      <c r="Q6" s="257"/>
      <c r="R6" s="257"/>
      <c r="S6" s="257"/>
      <c r="T6" s="257"/>
    </row>
    <row r="7" spans="1:20">
      <c r="A7" s="236">
        <v>2</v>
      </c>
      <c r="B7" s="240" t="s">
        <v>24</v>
      </c>
      <c r="C7" s="239"/>
      <c r="D7" s="239"/>
      <c r="E7" s="239"/>
      <c r="F7" s="239"/>
      <c r="G7" s="239"/>
      <c r="H7" s="239"/>
      <c r="I7" s="239"/>
      <c r="J7" s="239"/>
      <c r="K7" s="239"/>
      <c r="L7" s="239"/>
      <c r="M7" s="239"/>
      <c r="N7" s="239"/>
      <c r="O7" s="239"/>
      <c r="P7" s="257"/>
      <c r="Q7" s="248"/>
      <c r="R7" s="248"/>
      <c r="S7" s="257"/>
      <c r="T7" s="248"/>
    </row>
    <row r="8" spans="1:20">
      <c r="A8" s="236">
        <v>3</v>
      </c>
      <c r="B8" s="240" t="s">
        <v>25</v>
      </c>
      <c r="C8" s="239"/>
      <c r="D8" s="239"/>
      <c r="E8" s="239"/>
      <c r="F8" s="239"/>
      <c r="G8" s="239"/>
      <c r="H8" s="239"/>
      <c r="I8" s="239"/>
      <c r="J8" s="239"/>
      <c r="K8" s="239"/>
      <c r="L8" s="239"/>
      <c r="M8" s="239"/>
      <c r="N8" s="239"/>
      <c r="O8" s="239"/>
      <c r="P8" s="257"/>
      <c r="Q8" s="248"/>
      <c r="R8" s="248"/>
      <c r="S8" s="257"/>
      <c r="T8" s="248"/>
    </row>
    <row r="9" spans="1:20">
      <c r="A9" s="236">
        <v>4</v>
      </c>
      <c r="B9" s="240" t="s">
        <v>26</v>
      </c>
      <c r="C9" s="239"/>
      <c r="D9" s="239"/>
      <c r="E9" s="239"/>
      <c r="F9" s="239"/>
      <c r="G9" s="239"/>
      <c r="H9" s="239"/>
      <c r="I9" s="239"/>
      <c r="J9" s="239"/>
      <c r="K9" s="239"/>
      <c r="L9" s="239"/>
      <c r="M9" s="239"/>
      <c r="N9" s="239"/>
      <c r="O9" s="239"/>
      <c r="P9" s="257"/>
      <c r="Q9" s="248"/>
      <c r="R9" s="248"/>
      <c r="S9" s="257"/>
      <c r="T9" s="248"/>
    </row>
    <row r="10" spans="1:20">
      <c r="A10" s="236">
        <v>5</v>
      </c>
      <c r="B10" s="238" t="s">
        <v>27</v>
      </c>
      <c r="C10" s="239"/>
      <c r="D10" s="239"/>
      <c r="E10" s="239"/>
      <c r="F10" s="239"/>
      <c r="G10" s="239"/>
      <c r="H10" s="239"/>
      <c r="I10" s="239"/>
      <c r="J10" s="239"/>
      <c r="K10" s="239"/>
      <c r="L10" s="239"/>
      <c r="M10" s="239"/>
      <c r="N10" s="239"/>
      <c r="O10" s="239"/>
      <c r="P10" s="257"/>
      <c r="Q10" s="248"/>
      <c r="R10" s="248"/>
      <c r="S10" s="257"/>
      <c r="T10" s="248"/>
    </row>
    <row r="11" spans="1:20">
      <c r="A11" s="236">
        <v>6</v>
      </c>
      <c r="B11" s="240" t="s">
        <v>28</v>
      </c>
      <c r="C11" s="239"/>
      <c r="D11" s="239"/>
      <c r="E11" s="239"/>
      <c r="F11" s="239"/>
      <c r="G11" s="239"/>
      <c r="H11" s="239"/>
      <c r="I11" s="239"/>
      <c r="J11" s="239"/>
      <c r="K11" s="239"/>
      <c r="L11" s="239"/>
      <c r="M11" s="239"/>
      <c r="N11" s="239"/>
      <c r="O11" s="239"/>
      <c r="P11" s="257"/>
      <c r="Q11" s="248"/>
      <c r="R11" s="248"/>
      <c r="S11" s="257"/>
      <c r="T11" s="248"/>
    </row>
    <row r="12" ht="32" customHeight="1" spans="1:20">
      <c r="A12" s="236">
        <v>7</v>
      </c>
      <c r="B12" s="241" t="s">
        <v>29</v>
      </c>
      <c r="C12" s="239"/>
      <c r="D12" s="239"/>
      <c r="E12" s="239"/>
      <c r="F12" s="239"/>
      <c r="G12" s="239"/>
      <c r="H12" s="239"/>
      <c r="I12" s="239"/>
      <c r="J12" s="239"/>
      <c r="K12" s="239"/>
      <c r="L12" s="239"/>
      <c r="M12" s="239"/>
      <c r="N12" s="239"/>
      <c r="O12" s="239"/>
      <c r="P12" s="257"/>
      <c r="Q12" s="248"/>
      <c r="R12" s="248"/>
      <c r="S12" s="257"/>
      <c r="T12" s="248"/>
    </row>
    <row r="13" ht="19" customHeight="1" spans="1:20">
      <c r="A13" s="236">
        <v>8</v>
      </c>
      <c r="B13" s="241" t="s">
        <v>30</v>
      </c>
      <c r="C13" s="239"/>
      <c r="D13" s="239"/>
      <c r="E13" s="239"/>
      <c r="F13" s="239"/>
      <c r="G13" s="239"/>
      <c r="H13" s="239"/>
      <c r="I13" s="239"/>
      <c r="J13" s="239"/>
      <c r="K13" s="239"/>
      <c r="L13" s="239"/>
      <c r="M13" s="239"/>
      <c r="N13" s="239"/>
      <c r="O13" s="239"/>
      <c r="P13" s="257"/>
      <c r="Q13" s="248"/>
      <c r="R13" s="248"/>
      <c r="S13" s="257"/>
      <c r="T13" s="248"/>
    </row>
    <row r="14" spans="1:20">
      <c r="A14" s="236">
        <v>9</v>
      </c>
      <c r="B14" s="238" t="s">
        <v>31</v>
      </c>
      <c r="C14" s="239"/>
      <c r="D14" s="239"/>
      <c r="E14" s="239"/>
      <c r="F14" s="239"/>
      <c r="G14" s="239"/>
      <c r="H14" s="239"/>
      <c r="I14" s="239"/>
      <c r="J14" s="239"/>
      <c r="K14" s="239"/>
      <c r="L14" s="239"/>
      <c r="M14" s="239"/>
      <c r="N14" s="239"/>
      <c r="O14" s="239"/>
      <c r="P14" s="257"/>
      <c r="Q14" s="248"/>
      <c r="R14" s="248"/>
      <c r="S14" s="257"/>
      <c r="T14" s="248"/>
    </row>
    <row r="15" spans="1:20">
      <c r="A15" s="236">
        <v>10</v>
      </c>
      <c r="B15" s="240" t="s">
        <v>32</v>
      </c>
      <c r="C15" s="239"/>
      <c r="D15" s="239"/>
      <c r="E15" s="239"/>
      <c r="F15" s="239"/>
      <c r="G15" s="239"/>
      <c r="H15" s="239"/>
      <c r="I15" s="239"/>
      <c r="J15" s="239"/>
      <c r="K15" s="239"/>
      <c r="L15" s="239"/>
      <c r="M15" s="239"/>
      <c r="N15" s="239"/>
      <c r="O15" s="239"/>
      <c r="P15" s="257"/>
      <c r="Q15" s="248"/>
      <c r="R15" s="248"/>
      <c r="S15" s="257"/>
      <c r="T15" s="248"/>
    </row>
    <row r="16" spans="1:20">
      <c r="A16" s="236">
        <v>11</v>
      </c>
      <c r="B16" s="240" t="s">
        <v>33</v>
      </c>
      <c r="C16" s="239"/>
      <c r="D16" s="239"/>
      <c r="E16" s="239"/>
      <c r="F16" s="239"/>
      <c r="G16" s="239"/>
      <c r="H16" s="239"/>
      <c r="I16" s="239"/>
      <c r="J16" s="239"/>
      <c r="K16" s="239"/>
      <c r="L16" s="239"/>
      <c r="M16" s="239"/>
      <c r="N16" s="239"/>
      <c r="O16" s="239"/>
      <c r="P16" s="257"/>
      <c r="Q16" s="248"/>
      <c r="R16" s="248"/>
      <c r="S16" s="257"/>
      <c r="T16" s="248"/>
    </row>
    <row r="17" spans="1:20">
      <c r="A17" s="236">
        <v>12</v>
      </c>
      <c r="B17" s="240" t="s">
        <v>34</v>
      </c>
      <c r="C17" s="239"/>
      <c r="D17" s="239"/>
      <c r="E17" s="239"/>
      <c r="F17" s="239"/>
      <c r="G17" s="239"/>
      <c r="H17" s="239"/>
      <c r="I17" s="239"/>
      <c r="J17" s="239"/>
      <c r="K17" s="239"/>
      <c r="L17" s="239"/>
      <c r="M17" s="239"/>
      <c r="N17" s="239"/>
      <c r="O17" s="239"/>
      <c r="P17" s="257"/>
      <c r="Q17" s="248"/>
      <c r="R17" s="248"/>
      <c r="S17" s="257"/>
      <c r="T17" s="248"/>
    </row>
    <row r="18" spans="1:20">
      <c r="A18" s="236">
        <v>13</v>
      </c>
      <c r="B18" s="238" t="s">
        <v>35</v>
      </c>
      <c r="C18" s="239"/>
      <c r="D18" s="239"/>
      <c r="E18" s="239"/>
      <c r="F18" s="239"/>
      <c r="G18" s="239"/>
      <c r="H18" s="239"/>
      <c r="I18" s="243"/>
      <c r="J18" s="243"/>
      <c r="K18" s="243"/>
      <c r="L18" s="243"/>
      <c r="M18" s="243"/>
      <c r="N18" s="243"/>
      <c r="O18" s="243"/>
      <c r="P18" s="257"/>
      <c r="Q18" s="248"/>
      <c r="R18" s="248"/>
      <c r="S18" s="257"/>
      <c r="T18" s="248"/>
    </row>
    <row r="19" spans="1:20">
      <c r="A19" s="236">
        <v>14</v>
      </c>
      <c r="B19" s="240" t="s">
        <v>36</v>
      </c>
      <c r="C19" s="239"/>
      <c r="D19" s="239"/>
      <c r="E19" s="239"/>
      <c r="F19" s="239"/>
      <c r="G19" s="239"/>
      <c r="H19" s="239"/>
      <c r="I19" s="243"/>
      <c r="J19" s="243"/>
      <c r="K19" s="243"/>
      <c r="L19" s="243"/>
      <c r="M19" s="243"/>
      <c r="N19" s="243"/>
      <c r="O19" s="243"/>
      <c r="P19" s="257"/>
      <c r="Q19" s="248"/>
      <c r="R19" s="248"/>
      <c r="S19" s="257"/>
      <c r="T19" s="248"/>
    </row>
    <row r="20" spans="1:20">
      <c r="A20" s="236">
        <v>15</v>
      </c>
      <c r="B20" s="240" t="s">
        <v>37</v>
      </c>
      <c r="C20" s="239"/>
      <c r="D20" s="239"/>
      <c r="E20" s="239"/>
      <c r="F20" s="239"/>
      <c r="G20" s="239"/>
      <c r="H20" s="239"/>
      <c r="I20" s="243"/>
      <c r="J20" s="243"/>
      <c r="K20" s="243"/>
      <c r="L20" s="243"/>
      <c r="M20" s="243"/>
      <c r="N20" s="243"/>
      <c r="O20" s="243"/>
      <c r="P20" s="257"/>
      <c r="Q20" s="248"/>
      <c r="R20" s="248"/>
      <c r="S20" s="257"/>
      <c r="T20" s="248"/>
    </row>
    <row r="21" spans="1:20">
      <c r="A21" s="236">
        <v>16</v>
      </c>
      <c r="B21" s="242" t="s">
        <v>38</v>
      </c>
      <c r="C21" s="239"/>
      <c r="D21" s="239"/>
      <c r="E21" s="239"/>
      <c r="F21" s="239"/>
      <c r="G21" s="239"/>
      <c r="H21" s="239"/>
      <c r="I21" s="243"/>
      <c r="J21" s="243"/>
      <c r="K21" s="243"/>
      <c r="L21" s="243"/>
      <c r="M21" s="243"/>
      <c r="N21" s="243"/>
      <c r="O21" s="243"/>
      <c r="P21" s="257"/>
      <c r="Q21" s="248"/>
      <c r="R21" s="248"/>
      <c r="S21" s="257"/>
      <c r="T21" s="248"/>
    </row>
    <row r="22" spans="1:20">
      <c r="A22" s="236">
        <v>17</v>
      </c>
      <c r="B22" s="242" t="s">
        <v>39</v>
      </c>
      <c r="C22" s="239"/>
      <c r="D22" s="239"/>
      <c r="E22" s="239"/>
      <c r="F22" s="239"/>
      <c r="G22" s="239"/>
      <c r="H22" s="239"/>
      <c r="I22" s="243"/>
      <c r="J22" s="243"/>
      <c r="K22" s="243"/>
      <c r="L22" s="243"/>
      <c r="M22" s="243"/>
      <c r="N22" s="243"/>
      <c r="O22" s="243"/>
      <c r="P22" s="257"/>
      <c r="Q22" s="248"/>
      <c r="R22" s="248"/>
      <c r="S22" s="257"/>
      <c r="T22" s="248"/>
    </row>
    <row r="23" spans="1:20">
      <c r="A23" s="236">
        <v>18</v>
      </c>
      <c r="B23" s="240" t="s">
        <v>40</v>
      </c>
      <c r="C23" s="239"/>
      <c r="D23" s="239"/>
      <c r="E23" s="239"/>
      <c r="F23" s="239"/>
      <c r="G23" s="239"/>
      <c r="H23" s="239"/>
      <c r="I23" s="243"/>
      <c r="J23" s="243"/>
      <c r="K23" s="243"/>
      <c r="L23" s="243"/>
      <c r="M23" s="243"/>
      <c r="N23" s="243"/>
      <c r="O23" s="243"/>
      <c r="P23" s="257"/>
      <c r="Q23" s="248"/>
      <c r="R23" s="248"/>
      <c r="S23" s="257"/>
      <c r="T23" s="248"/>
    </row>
    <row r="24" spans="1:21">
      <c r="A24" s="236">
        <v>19</v>
      </c>
      <c r="B24" s="240" t="s">
        <v>41</v>
      </c>
      <c r="C24" s="239"/>
      <c r="D24" s="239"/>
      <c r="E24" s="239"/>
      <c r="F24" s="239"/>
      <c r="G24" s="239"/>
      <c r="H24" s="239"/>
      <c r="I24" s="243"/>
      <c r="J24" s="243"/>
      <c r="K24" s="243"/>
      <c r="L24" s="243"/>
      <c r="M24" s="243"/>
      <c r="N24" s="243"/>
      <c r="O24" s="243"/>
      <c r="P24" s="257"/>
      <c r="Q24" s="248"/>
      <c r="R24" s="248"/>
      <c r="S24" s="257"/>
      <c r="T24" s="248"/>
      <c r="U24" s="248"/>
    </row>
    <row r="25" spans="1:20">
      <c r="A25" s="236">
        <v>20</v>
      </c>
      <c r="B25" s="240" t="s">
        <v>42</v>
      </c>
      <c r="C25" s="243"/>
      <c r="D25" s="243"/>
      <c r="E25" s="243"/>
      <c r="F25" s="243"/>
      <c r="G25" s="243"/>
      <c r="H25" s="243"/>
      <c r="I25" s="243"/>
      <c r="J25" s="243"/>
      <c r="K25" s="243"/>
      <c r="L25" s="243"/>
      <c r="M25" s="243"/>
      <c r="N25" s="243"/>
      <c r="O25" s="243"/>
      <c r="P25" s="257"/>
      <c r="Q25" s="248"/>
      <c r="R25" s="248"/>
      <c r="S25" s="257"/>
      <c r="T25" s="248"/>
    </row>
    <row r="26" spans="1:20">
      <c r="A26" s="236">
        <v>21</v>
      </c>
      <c r="B26" s="238" t="s">
        <v>43</v>
      </c>
      <c r="C26" s="243"/>
      <c r="D26" s="243"/>
      <c r="E26" s="243"/>
      <c r="F26" s="243"/>
      <c r="G26" s="243"/>
      <c r="H26" s="243"/>
      <c r="I26" s="243"/>
      <c r="J26" s="243"/>
      <c r="K26" s="243"/>
      <c r="L26" s="243"/>
      <c r="M26" s="243"/>
      <c r="N26" s="243"/>
      <c r="O26" s="243"/>
      <c r="P26" s="257"/>
      <c r="Q26" s="248"/>
      <c r="R26" s="248"/>
      <c r="S26" s="257"/>
      <c r="T26" s="248"/>
    </row>
    <row r="27" spans="1:20">
      <c r="A27" s="236">
        <v>22</v>
      </c>
      <c r="B27" s="244" t="s">
        <v>44</v>
      </c>
      <c r="C27" s="245"/>
      <c r="D27" s="245"/>
      <c r="E27" s="245"/>
      <c r="F27" s="245"/>
      <c r="G27" s="245"/>
      <c r="H27" s="245"/>
      <c r="I27" s="245"/>
      <c r="J27" s="245"/>
      <c r="K27" s="245"/>
      <c r="L27" s="245"/>
      <c r="M27" s="245"/>
      <c r="N27" s="245"/>
      <c r="O27" s="245"/>
      <c r="P27" s="257"/>
      <c r="Q27" s="248"/>
      <c r="R27" s="248"/>
      <c r="S27" s="257"/>
      <c r="T27" s="248"/>
    </row>
    <row r="28" spans="1:20">
      <c r="A28" s="236">
        <v>23</v>
      </c>
      <c r="B28" s="238" t="s">
        <v>45</v>
      </c>
      <c r="C28" s="243"/>
      <c r="D28" s="243"/>
      <c r="E28" s="243"/>
      <c r="F28" s="243"/>
      <c r="G28" s="243"/>
      <c r="H28" s="243"/>
      <c r="I28" s="243"/>
      <c r="J28" s="243"/>
      <c r="K28" s="243"/>
      <c r="L28" s="243"/>
      <c r="M28" s="243"/>
      <c r="N28" s="243"/>
      <c r="O28" s="243"/>
      <c r="P28" s="257"/>
      <c r="Q28" s="248"/>
      <c r="R28" s="248"/>
      <c r="S28" s="257"/>
      <c r="T28" s="248"/>
    </row>
    <row r="29" s="225" customFormat="1" spans="1:20">
      <c r="A29" s="246" t="s">
        <v>86</v>
      </c>
      <c r="B29" s="165"/>
      <c r="C29" s="103"/>
      <c r="D29" s="103"/>
      <c r="E29" s="103"/>
      <c r="F29" s="103"/>
      <c r="G29" s="103"/>
      <c r="H29" s="246" t="s">
        <v>87</v>
      </c>
      <c r="I29" s="103"/>
      <c r="J29" s="103"/>
      <c r="K29" s="103"/>
      <c r="L29" s="103"/>
      <c r="M29" s="246" t="s">
        <v>88</v>
      </c>
      <c r="N29" s="103"/>
      <c r="O29" s="103"/>
      <c r="P29" s="258"/>
      <c r="Q29" s="259"/>
      <c r="R29" s="259"/>
      <c r="S29" s="258"/>
      <c r="T29" s="259"/>
    </row>
    <row r="30" s="225" customFormat="1" spans="1:20">
      <c r="A30" s="33"/>
      <c r="B30" s="134" t="s">
        <v>89</v>
      </c>
      <c r="C30" s="103"/>
      <c r="D30" s="103"/>
      <c r="E30" s="103"/>
      <c r="F30" s="103"/>
      <c r="G30" s="103"/>
      <c r="H30" s="246"/>
      <c r="I30" s="103"/>
      <c r="J30" s="103"/>
      <c r="K30" s="103"/>
      <c r="L30" s="103"/>
      <c r="M30" s="246"/>
      <c r="N30" s="103"/>
      <c r="O30" s="103"/>
      <c r="P30" s="258"/>
      <c r="Q30" s="259"/>
      <c r="R30" s="259"/>
      <c r="S30" s="258"/>
      <c r="T30" s="259"/>
    </row>
    <row r="31" s="225" customFormat="1" spans="1:20">
      <c r="A31" s="40" t="s">
        <v>91</v>
      </c>
      <c r="B31" s="41">
        <v>241</v>
      </c>
      <c r="C31" s="103"/>
      <c r="D31" s="103"/>
      <c r="E31" s="103"/>
      <c r="F31" s="103"/>
      <c r="G31" s="103"/>
      <c r="H31" s="103"/>
      <c r="I31" s="103"/>
      <c r="J31" s="103"/>
      <c r="K31" s="103"/>
      <c r="L31" s="103"/>
      <c r="M31" s="103"/>
      <c r="N31" s="103"/>
      <c r="O31" s="103"/>
      <c r="P31" s="258"/>
      <c r="Q31" s="259"/>
      <c r="R31" s="259"/>
      <c r="S31" s="258"/>
      <c r="T31" s="259"/>
    </row>
    <row r="33" spans="1:20">
      <c r="A33" s="12"/>
      <c r="B33" s="247"/>
      <c r="C33" s="248"/>
      <c r="D33" s="248"/>
      <c r="E33" s="248"/>
      <c r="F33" s="248"/>
      <c r="G33" s="248"/>
      <c r="H33" s="248"/>
      <c r="I33" s="248"/>
      <c r="J33" s="248"/>
      <c r="K33" s="248"/>
      <c r="L33" s="248"/>
      <c r="M33" s="248"/>
      <c r="N33" s="248"/>
      <c r="O33" s="248"/>
      <c r="P33" s="257"/>
      <c r="Q33" s="248"/>
      <c r="R33" s="248"/>
      <c r="S33" s="257"/>
      <c r="T33" s="248"/>
    </row>
    <row r="34" spans="1:20">
      <c r="A34" s="12"/>
      <c r="B34" s="247"/>
      <c r="C34" s="248"/>
      <c r="D34" s="248"/>
      <c r="E34" s="248"/>
      <c r="F34" s="248"/>
      <c r="G34" s="248"/>
      <c r="H34" s="248"/>
      <c r="I34" s="248"/>
      <c r="J34" s="248"/>
      <c r="K34" s="248"/>
      <c r="L34" s="248"/>
      <c r="M34" s="248"/>
      <c r="N34" s="248"/>
      <c r="O34" s="248"/>
      <c r="P34" s="257"/>
      <c r="Q34" s="248"/>
      <c r="R34" s="248"/>
      <c r="S34" s="257"/>
      <c r="T34" s="248"/>
    </row>
    <row r="35" spans="1:20">
      <c r="A35" s="12"/>
      <c r="B35" s="247"/>
      <c r="C35" s="248"/>
      <c r="D35" s="248"/>
      <c r="E35" s="248"/>
      <c r="F35" s="248"/>
      <c r="G35" s="248"/>
      <c r="H35" s="248"/>
      <c r="I35" s="248"/>
      <c r="J35" s="248"/>
      <c r="K35" s="248"/>
      <c r="L35" s="248"/>
      <c r="M35" s="248"/>
      <c r="N35" s="248"/>
      <c r="O35" s="248"/>
      <c r="P35" s="257"/>
      <c r="Q35" s="248"/>
      <c r="R35" s="248"/>
      <c r="S35" s="257"/>
      <c r="T35" s="248"/>
    </row>
    <row r="36" spans="1:20">
      <c r="A36" s="12"/>
      <c r="B36" s="247"/>
      <c r="C36" s="248"/>
      <c r="D36" s="248"/>
      <c r="E36" s="248"/>
      <c r="F36" s="248"/>
      <c r="G36" s="248"/>
      <c r="H36" s="248"/>
      <c r="I36" s="248"/>
      <c r="J36" s="248"/>
      <c r="K36" s="248"/>
      <c r="L36" s="248"/>
      <c r="M36" s="248"/>
      <c r="N36" s="248"/>
      <c r="O36" s="248"/>
      <c r="P36" s="257"/>
      <c r="Q36" s="248"/>
      <c r="R36" s="248"/>
      <c r="S36" s="257"/>
      <c r="T36" s="248"/>
    </row>
    <row r="37" spans="1:20">
      <c r="A37" s="12"/>
      <c r="B37" s="247"/>
      <c r="C37" s="248"/>
      <c r="D37" s="248"/>
      <c r="E37" s="248"/>
      <c r="F37" s="248"/>
      <c r="G37" s="248"/>
      <c r="H37" s="248"/>
      <c r="I37" s="248"/>
      <c r="J37" s="248"/>
      <c r="K37" s="248"/>
      <c r="L37" s="248"/>
      <c r="M37" s="248"/>
      <c r="N37" s="248"/>
      <c r="O37" s="248"/>
      <c r="P37" s="257"/>
      <c r="Q37" s="248"/>
      <c r="R37" s="248"/>
      <c r="S37" s="257"/>
      <c r="T37" s="248"/>
    </row>
    <row r="38" spans="1:20">
      <c r="A38" s="12"/>
      <c r="B38" s="247"/>
      <c r="C38" s="248"/>
      <c r="D38" s="248"/>
      <c r="E38" s="248"/>
      <c r="F38" s="248"/>
      <c r="G38" s="248"/>
      <c r="H38" s="248"/>
      <c r="I38" s="248"/>
      <c r="J38" s="248"/>
      <c r="K38" s="248"/>
      <c r="L38" s="248"/>
      <c r="M38" s="248"/>
      <c r="N38" s="248"/>
      <c r="O38" s="248"/>
      <c r="P38" s="257"/>
      <c r="Q38" s="248"/>
      <c r="R38" s="248"/>
      <c r="S38" s="257"/>
      <c r="T38" s="248"/>
    </row>
    <row r="39" spans="1:20">
      <c r="A39" s="12"/>
      <c r="B39" s="247"/>
      <c r="C39" s="248"/>
      <c r="D39" s="248"/>
      <c r="E39" s="248"/>
      <c r="F39" s="248"/>
      <c r="G39" s="248"/>
      <c r="H39" s="248"/>
      <c r="I39" s="248"/>
      <c r="J39" s="248"/>
      <c r="K39" s="248"/>
      <c r="L39" s="248"/>
      <c r="M39" s="248"/>
      <c r="N39" s="248"/>
      <c r="O39" s="248"/>
      <c r="P39" s="257"/>
      <c r="Q39" s="248"/>
      <c r="R39" s="248"/>
      <c r="S39" s="257"/>
      <c r="T39" s="248"/>
    </row>
    <row r="40" spans="1:20">
      <c r="A40" s="12"/>
      <c r="B40" s="247"/>
      <c r="C40" s="248"/>
      <c r="D40" s="248"/>
      <c r="E40" s="248"/>
      <c r="F40" s="248"/>
      <c r="G40" s="248"/>
      <c r="H40" s="248"/>
      <c r="I40" s="248"/>
      <c r="J40" s="248"/>
      <c r="K40" s="248"/>
      <c r="L40" s="248"/>
      <c r="M40" s="248"/>
      <c r="N40" s="248"/>
      <c r="O40" s="248"/>
      <c r="P40" s="257"/>
      <c r="Q40" s="248"/>
      <c r="R40" s="248"/>
      <c r="S40" s="257"/>
      <c r="T40" s="248"/>
    </row>
    <row r="41" spans="1:20">
      <c r="A41" s="12"/>
      <c r="B41" s="247"/>
      <c r="C41" s="248"/>
      <c r="D41" s="248"/>
      <c r="E41" s="248"/>
      <c r="F41" s="248"/>
      <c r="G41" s="248"/>
      <c r="H41" s="248"/>
      <c r="I41" s="248"/>
      <c r="J41" s="248"/>
      <c r="K41" s="248"/>
      <c r="L41" s="248"/>
      <c r="M41" s="248"/>
      <c r="N41" s="248"/>
      <c r="O41" s="248"/>
      <c r="P41" s="257"/>
      <c r="Q41" s="248"/>
      <c r="R41" s="248"/>
      <c r="S41" s="257"/>
      <c r="T41" s="248"/>
    </row>
    <row r="42" spans="1:20">
      <c r="A42" s="12"/>
      <c r="B42" s="247"/>
      <c r="C42" s="248"/>
      <c r="D42" s="248"/>
      <c r="E42" s="248"/>
      <c r="F42" s="248"/>
      <c r="G42" s="248"/>
      <c r="H42" s="248"/>
      <c r="I42" s="248"/>
      <c r="J42" s="248"/>
      <c r="K42" s="248"/>
      <c r="L42" s="248"/>
      <c r="M42" s="248"/>
      <c r="N42" s="248"/>
      <c r="O42" s="248"/>
      <c r="P42" s="257"/>
      <c r="Q42" s="248"/>
      <c r="R42" s="248"/>
      <c r="S42" s="257"/>
      <c r="T42" s="248"/>
    </row>
    <row r="43" spans="1:20">
      <c r="A43" s="12"/>
      <c r="B43" s="247"/>
      <c r="C43" s="248"/>
      <c r="D43" s="248"/>
      <c r="E43" s="248"/>
      <c r="F43" s="248"/>
      <c r="G43" s="248"/>
      <c r="H43" s="248"/>
      <c r="I43" s="248"/>
      <c r="J43" s="248"/>
      <c r="K43" s="248"/>
      <c r="L43" s="248"/>
      <c r="M43" s="248"/>
      <c r="N43" s="248"/>
      <c r="O43" s="248"/>
      <c r="P43" s="257"/>
      <c r="Q43" s="248"/>
      <c r="R43" s="248"/>
      <c r="S43" s="257"/>
      <c r="T43" s="248"/>
    </row>
    <row r="44" spans="1:20">
      <c r="A44" s="12"/>
      <c r="B44" s="247"/>
      <c r="C44" s="248"/>
      <c r="D44" s="248"/>
      <c r="E44" s="248"/>
      <c r="F44" s="248"/>
      <c r="G44" s="248"/>
      <c r="H44" s="248"/>
      <c r="I44" s="248"/>
      <c r="J44" s="248"/>
      <c r="K44" s="248"/>
      <c r="L44" s="248"/>
      <c r="M44" s="248"/>
      <c r="N44" s="248"/>
      <c r="O44" s="248"/>
      <c r="P44" s="257"/>
      <c r="Q44" s="248"/>
      <c r="R44" s="248"/>
      <c r="S44" s="257"/>
      <c r="T44" s="248"/>
    </row>
    <row r="45" spans="1:20">
      <c r="A45" s="12"/>
      <c r="B45" s="247"/>
      <c r="C45" s="248"/>
      <c r="D45" s="248"/>
      <c r="E45" s="248"/>
      <c r="F45" s="248"/>
      <c r="G45" s="248"/>
      <c r="H45" s="248"/>
      <c r="I45" s="248"/>
      <c r="J45" s="248"/>
      <c r="K45" s="248"/>
      <c r="L45" s="248"/>
      <c r="M45" s="248"/>
      <c r="N45" s="248"/>
      <c r="O45" s="248"/>
      <c r="P45" s="257"/>
      <c r="Q45" s="248"/>
      <c r="R45" s="248"/>
      <c r="S45" s="257"/>
      <c r="T45" s="248"/>
    </row>
    <row r="46" spans="1:20">
      <c r="A46" s="12"/>
      <c r="B46" s="247"/>
      <c r="C46" s="248"/>
      <c r="D46" s="248"/>
      <c r="E46" s="248"/>
      <c r="F46" s="248"/>
      <c r="G46" s="248"/>
      <c r="H46" s="248"/>
      <c r="I46" s="248"/>
      <c r="J46" s="248"/>
      <c r="K46" s="248"/>
      <c r="L46" s="248"/>
      <c r="M46" s="248"/>
      <c r="N46" s="248"/>
      <c r="O46" s="248"/>
      <c r="P46" s="257"/>
      <c r="Q46" s="248"/>
      <c r="R46" s="248"/>
      <c r="S46" s="257"/>
      <c r="T46" s="248"/>
    </row>
    <row r="47" spans="1:20">
      <c r="A47" s="12"/>
      <c r="B47" s="247"/>
      <c r="C47" s="248"/>
      <c r="D47" s="248"/>
      <c r="E47" s="248"/>
      <c r="F47" s="248"/>
      <c r="G47" s="248"/>
      <c r="H47" s="248"/>
      <c r="I47" s="248"/>
      <c r="J47" s="248"/>
      <c r="K47" s="248"/>
      <c r="L47" s="248"/>
      <c r="M47" s="248"/>
      <c r="N47" s="248"/>
      <c r="O47" s="248"/>
      <c r="P47" s="257"/>
      <c r="Q47" s="248"/>
      <c r="R47" s="248"/>
      <c r="S47" s="257"/>
      <c r="T47" s="248"/>
    </row>
    <row r="48" spans="1:20">
      <c r="A48" s="12"/>
      <c r="B48" s="247"/>
      <c r="C48" s="248"/>
      <c r="D48" s="248"/>
      <c r="E48" s="248"/>
      <c r="F48" s="248"/>
      <c r="G48" s="248"/>
      <c r="H48" s="248"/>
      <c r="I48" s="248"/>
      <c r="J48" s="248"/>
      <c r="K48" s="248"/>
      <c r="L48" s="248"/>
      <c r="M48" s="248"/>
      <c r="N48" s="248"/>
      <c r="O48" s="248"/>
      <c r="P48" s="257"/>
      <c r="Q48" s="248"/>
      <c r="R48" s="248"/>
      <c r="S48" s="257"/>
      <c r="T48" s="248"/>
    </row>
    <row r="49" spans="1:20">
      <c r="A49" s="12"/>
      <c r="B49" s="247"/>
      <c r="C49" s="248"/>
      <c r="D49" s="248"/>
      <c r="E49" s="248"/>
      <c r="F49" s="248"/>
      <c r="G49" s="248"/>
      <c r="H49" s="248"/>
      <c r="I49" s="248"/>
      <c r="J49" s="248"/>
      <c r="K49" s="248"/>
      <c r="L49" s="248"/>
      <c r="M49" s="248"/>
      <c r="N49" s="248"/>
      <c r="O49" s="248"/>
      <c r="P49" s="257"/>
      <c r="Q49" s="248"/>
      <c r="R49" s="248"/>
      <c r="S49" s="257"/>
      <c r="T49" s="248"/>
    </row>
    <row r="50" spans="1:20">
      <c r="A50" s="12"/>
      <c r="B50" s="247"/>
      <c r="C50" s="248"/>
      <c r="D50" s="248"/>
      <c r="E50" s="248"/>
      <c r="F50" s="248"/>
      <c r="G50" s="248"/>
      <c r="H50" s="248"/>
      <c r="I50" s="248"/>
      <c r="J50" s="248"/>
      <c r="K50" s="248"/>
      <c r="L50" s="248"/>
      <c r="M50" s="248"/>
      <c r="N50" s="248"/>
      <c r="O50" s="248"/>
      <c r="P50" s="257"/>
      <c r="Q50" s="248"/>
      <c r="R50" s="248"/>
      <c r="S50" s="257"/>
      <c r="T50" s="248"/>
    </row>
    <row r="51" spans="1:20">
      <c r="A51" s="12"/>
      <c r="B51" s="247"/>
      <c r="C51" s="248"/>
      <c r="D51" s="248"/>
      <c r="E51" s="248"/>
      <c r="F51" s="248"/>
      <c r="G51" s="248"/>
      <c r="H51" s="248"/>
      <c r="I51" s="248"/>
      <c r="J51" s="248"/>
      <c r="K51" s="248"/>
      <c r="L51" s="248"/>
      <c r="M51" s="248"/>
      <c r="N51" s="248"/>
      <c r="O51" s="248"/>
      <c r="P51" s="257"/>
      <c r="Q51" s="248"/>
      <c r="R51" s="248"/>
      <c r="S51" s="257"/>
      <c r="T51" s="248"/>
    </row>
    <row r="52" spans="1:20">
      <c r="A52" s="12"/>
      <c r="B52" s="247"/>
      <c r="C52" s="248"/>
      <c r="D52" s="248"/>
      <c r="E52" s="248"/>
      <c r="F52" s="248"/>
      <c r="G52" s="248"/>
      <c r="H52" s="248"/>
      <c r="I52" s="248"/>
      <c r="J52" s="248"/>
      <c r="K52" s="248"/>
      <c r="L52" s="248"/>
      <c r="M52" s="248"/>
      <c r="N52" s="248"/>
      <c r="O52" s="248"/>
      <c r="P52" s="257"/>
      <c r="Q52" s="248"/>
      <c r="R52" s="248"/>
      <c r="S52" s="257"/>
      <c r="T52" s="248"/>
    </row>
    <row r="53" spans="1:20">
      <c r="A53" s="12"/>
      <c r="B53" s="247"/>
      <c r="C53" s="248"/>
      <c r="D53" s="248"/>
      <c r="E53" s="248"/>
      <c r="F53" s="248"/>
      <c r="G53" s="248"/>
      <c r="H53" s="248"/>
      <c r="I53" s="248"/>
      <c r="J53" s="248"/>
      <c r="K53" s="248"/>
      <c r="L53" s="248"/>
      <c r="M53" s="248"/>
      <c r="N53" s="248"/>
      <c r="O53" s="248"/>
      <c r="P53" s="257"/>
      <c r="Q53" s="248"/>
      <c r="R53" s="248"/>
      <c r="S53" s="257"/>
      <c r="T53" s="248"/>
    </row>
    <row r="54" spans="1:20">
      <c r="A54" s="12"/>
      <c r="B54" s="247"/>
      <c r="C54" s="248"/>
      <c r="D54" s="248"/>
      <c r="E54" s="248"/>
      <c r="F54" s="248"/>
      <c r="G54" s="248"/>
      <c r="H54" s="248"/>
      <c r="I54" s="248"/>
      <c r="J54" s="248"/>
      <c r="K54" s="248"/>
      <c r="L54" s="248"/>
      <c r="M54" s="248"/>
      <c r="N54" s="248"/>
      <c r="O54" s="248"/>
      <c r="P54" s="257"/>
      <c r="Q54" s="248"/>
      <c r="R54" s="248"/>
      <c r="S54" s="257"/>
      <c r="T54" s="248"/>
    </row>
    <row r="55" spans="1:20">
      <c r="A55" s="12"/>
      <c r="B55" s="247"/>
      <c r="C55" s="248"/>
      <c r="D55" s="248"/>
      <c r="E55" s="248"/>
      <c r="F55" s="248"/>
      <c r="G55" s="248"/>
      <c r="H55" s="248"/>
      <c r="I55" s="248"/>
      <c r="J55" s="248"/>
      <c r="K55" s="248"/>
      <c r="L55" s="248"/>
      <c r="M55" s="248"/>
      <c r="N55" s="248"/>
      <c r="O55" s="248"/>
      <c r="P55" s="257"/>
      <c r="Q55" s="248"/>
      <c r="R55" s="248"/>
      <c r="S55" s="257"/>
      <c r="T55" s="248"/>
    </row>
    <row r="56" spans="1:20">
      <c r="A56" s="12"/>
      <c r="B56" s="247"/>
      <c r="C56" s="248"/>
      <c r="D56" s="248"/>
      <c r="E56" s="248"/>
      <c r="F56" s="248"/>
      <c r="G56" s="248"/>
      <c r="H56" s="248"/>
      <c r="I56" s="248"/>
      <c r="J56" s="248"/>
      <c r="K56" s="248"/>
      <c r="L56" s="248"/>
      <c r="M56" s="248"/>
      <c r="N56" s="248"/>
      <c r="O56" s="248"/>
      <c r="P56" s="257"/>
      <c r="Q56" s="248"/>
      <c r="R56" s="248"/>
      <c r="S56" s="257"/>
      <c r="T56" s="248"/>
    </row>
    <row r="57" spans="1:20">
      <c r="A57" s="12"/>
      <c r="B57" s="247"/>
      <c r="C57" s="248"/>
      <c r="D57" s="248"/>
      <c r="E57" s="248"/>
      <c r="F57" s="248"/>
      <c r="G57" s="248"/>
      <c r="H57" s="248"/>
      <c r="I57" s="248"/>
      <c r="J57" s="248"/>
      <c r="K57" s="248"/>
      <c r="L57" s="248"/>
      <c r="M57" s="248"/>
      <c r="N57" s="248"/>
      <c r="O57" s="248"/>
      <c r="P57" s="257"/>
      <c r="Q57" s="248"/>
      <c r="R57" s="248"/>
      <c r="S57" s="257"/>
      <c r="T57" s="248"/>
    </row>
    <row r="58" spans="1:20">
      <c r="A58" s="12"/>
      <c r="B58" s="247"/>
      <c r="C58" s="248"/>
      <c r="D58" s="248"/>
      <c r="E58" s="248"/>
      <c r="F58" s="248"/>
      <c r="G58" s="248"/>
      <c r="H58" s="248"/>
      <c r="I58" s="248"/>
      <c r="J58" s="248"/>
      <c r="K58" s="248"/>
      <c r="L58" s="248"/>
      <c r="M58" s="248"/>
      <c r="N58" s="248"/>
      <c r="O58" s="248"/>
      <c r="P58" s="257"/>
      <c r="Q58" s="248"/>
      <c r="R58" s="248"/>
      <c r="S58" s="257"/>
      <c r="T58" s="248"/>
    </row>
    <row r="59" spans="1:20">
      <c r="A59" s="12"/>
      <c r="B59" s="247"/>
      <c r="C59" s="248"/>
      <c r="D59" s="248"/>
      <c r="E59" s="248"/>
      <c r="F59" s="248"/>
      <c r="G59" s="248"/>
      <c r="H59" s="248"/>
      <c r="I59" s="248"/>
      <c r="J59" s="248"/>
      <c r="K59" s="248"/>
      <c r="L59" s="248"/>
      <c r="M59" s="248"/>
      <c r="N59" s="248"/>
      <c r="O59" s="248"/>
      <c r="P59" s="257"/>
      <c r="Q59" s="248"/>
      <c r="R59" s="248"/>
      <c r="S59" s="257"/>
      <c r="T59" s="248"/>
    </row>
    <row r="60" spans="1:20">
      <c r="A60" s="12"/>
      <c r="B60" s="247"/>
      <c r="C60" s="248"/>
      <c r="D60" s="248"/>
      <c r="E60" s="248"/>
      <c r="F60" s="248"/>
      <c r="G60" s="248"/>
      <c r="H60" s="248"/>
      <c r="I60" s="248"/>
      <c r="J60" s="248"/>
      <c r="K60" s="248"/>
      <c r="L60" s="248"/>
      <c r="M60" s="248"/>
      <c r="N60" s="248"/>
      <c r="O60" s="248"/>
      <c r="P60" s="257"/>
      <c r="Q60" s="248"/>
      <c r="R60" s="248"/>
      <c r="S60" s="257"/>
      <c r="T60" s="248"/>
    </row>
    <row r="61" spans="1:20">
      <c r="A61" s="12"/>
      <c r="B61" s="247"/>
      <c r="C61" s="248"/>
      <c r="D61" s="248"/>
      <c r="E61" s="248"/>
      <c r="F61" s="248"/>
      <c r="G61" s="248"/>
      <c r="H61" s="248"/>
      <c r="I61" s="248"/>
      <c r="J61" s="248"/>
      <c r="K61" s="248"/>
      <c r="L61" s="248"/>
      <c r="M61" s="248"/>
      <c r="N61" s="248"/>
      <c r="O61" s="248"/>
      <c r="P61" s="248"/>
      <c r="Q61" s="248"/>
      <c r="R61" s="248"/>
      <c r="S61" s="248"/>
      <c r="T61" s="248"/>
    </row>
    <row r="62" spans="1:20">
      <c r="A62" s="12"/>
      <c r="B62" s="247"/>
      <c r="C62" s="248"/>
      <c r="D62" s="248"/>
      <c r="E62" s="248"/>
      <c r="F62" s="248"/>
      <c r="G62" s="248"/>
      <c r="H62" s="248"/>
      <c r="I62" s="248"/>
      <c r="J62" s="248"/>
      <c r="K62" s="248"/>
      <c r="L62" s="248"/>
      <c r="M62" s="248"/>
      <c r="N62" s="248"/>
      <c r="O62" s="248"/>
      <c r="P62" s="248"/>
      <c r="Q62" s="248"/>
      <c r="R62" s="248"/>
      <c r="S62" s="248"/>
      <c r="T62" s="248"/>
    </row>
    <row r="63" spans="1:20">
      <c r="A63" s="12"/>
      <c r="B63" s="247"/>
      <c r="C63" s="248"/>
      <c r="D63" s="248"/>
      <c r="E63" s="248"/>
      <c r="F63" s="248"/>
      <c r="G63" s="248"/>
      <c r="H63" s="248"/>
      <c r="I63" s="248"/>
      <c r="J63" s="248"/>
      <c r="K63" s="248"/>
      <c r="L63" s="248"/>
      <c r="M63" s="248"/>
      <c r="N63" s="248"/>
      <c r="O63" s="248"/>
      <c r="P63" s="248"/>
      <c r="Q63" s="248"/>
      <c r="R63" s="248"/>
      <c r="S63" s="248"/>
      <c r="T63" s="248"/>
    </row>
  </sheetData>
  <mergeCells count="10">
    <mergeCell ref="B1:O1"/>
    <mergeCell ref="C4:E4"/>
    <mergeCell ref="J4:K4"/>
    <mergeCell ref="L4:M4"/>
    <mergeCell ref="N4:O4"/>
    <mergeCell ref="A3:A5"/>
    <mergeCell ref="B3:B5"/>
    <mergeCell ref="G4:G5"/>
    <mergeCell ref="H4:H5"/>
    <mergeCell ref="I4:I5"/>
  </mergeCells>
  <pageMargins left="0.699305555555556" right="0.699305555555556" top="0.75" bottom="0.75" header="0.3" footer="0.3"/>
  <pageSetup paperSize="9" scale="60" orientation="landscape" verticalDpi="300"/>
  <headerFooter alignWithMargins="0" scaleWithDoc="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Z110"/>
  <sheetViews>
    <sheetView zoomScale="90" zoomScaleNormal="90" workbookViewId="0">
      <selection activeCell="A110" sqref="A110:B110"/>
    </sheetView>
  </sheetViews>
  <sheetFormatPr defaultColWidth="9" defaultRowHeight="13.5"/>
  <cols>
    <col min="1" max="1" width="6.8" style="8" customWidth="1"/>
    <col min="2" max="2" width="10.3333333333333" style="9" customWidth="1"/>
    <col min="3" max="3" width="8.66666666666667" style="10" customWidth="1"/>
    <col min="4" max="5" width="8.83333333333333" style="10" customWidth="1"/>
    <col min="6" max="6" width="6.5" style="10" customWidth="1"/>
    <col min="7" max="7" width="6" style="9" customWidth="1"/>
    <col min="8" max="8" width="6.83333333333333" style="10"/>
    <col min="9" max="9" width="6.16666666666667" style="9" customWidth="1"/>
    <col min="10" max="10" width="7.5" style="10" customWidth="1"/>
    <col min="11" max="11" width="6.5" style="9" customWidth="1"/>
    <col min="12" max="12" width="7.5" style="10" customWidth="1"/>
    <col min="13" max="13" width="9.66666666666667" style="9" customWidth="1"/>
    <col min="14" max="14" width="11" style="11" customWidth="1"/>
    <col min="15" max="16" width="8.33333333333333" style="11" customWidth="1"/>
    <col min="17" max="17" width="10.6666666666667" style="10" customWidth="1"/>
    <col min="18" max="21" width="9" style="11"/>
    <col min="22" max="22" width="11.3333333333333" style="9" customWidth="1"/>
    <col min="23" max="26" width="9" style="10"/>
    <col min="27" max="250" width="9" style="9"/>
    <col min="251" max="16384" width="9" style="12"/>
  </cols>
  <sheetData>
    <row r="1" s="1" customFormat="1" ht="24" customHeight="1" spans="1:26">
      <c r="A1" s="13" t="s">
        <v>364</v>
      </c>
      <c r="B1" s="13"/>
      <c r="C1" s="13"/>
      <c r="D1" s="13"/>
      <c r="E1" s="13"/>
      <c r="F1" s="13"/>
      <c r="G1" s="13"/>
      <c r="H1" s="13"/>
      <c r="I1" s="13"/>
      <c r="J1" s="13"/>
      <c r="K1" s="13"/>
      <c r="L1" s="13"/>
      <c r="M1" s="13"/>
      <c r="N1" s="13"/>
      <c r="O1" s="13"/>
      <c r="P1" s="13"/>
      <c r="Q1" s="13"/>
      <c r="R1" s="13"/>
      <c r="S1" s="13"/>
      <c r="T1" s="13"/>
      <c r="U1" s="13"/>
      <c r="V1" s="13"/>
      <c r="W1" s="13"/>
      <c r="X1" s="13"/>
      <c r="Y1" s="13"/>
      <c r="Z1" s="13"/>
    </row>
    <row r="2" ht="20.25" customHeight="1" spans="1:17">
      <c r="A2" s="213" t="s">
        <v>1</v>
      </c>
      <c r="B2" s="180"/>
      <c r="F2" s="181"/>
      <c r="G2" s="123"/>
      <c r="I2" s="123" t="s">
        <v>93</v>
      </c>
      <c r="J2" s="181" t="s">
        <v>365</v>
      </c>
      <c r="K2" s="123" t="s">
        <v>366</v>
      </c>
      <c r="P2" s="192" t="s">
        <v>367</v>
      </c>
      <c r="Q2" s="195"/>
    </row>
    <row r="3" s="3" customFormat="1" ht="20.25" customHeight="1" spans="1:26">
      <c r="A3" s="19" t="s">
        <v>4</v>
      </c>
      <c r="B3" s="20" t="s">
        <v>95</v>
      </c>
      <c r="C3" s="22" t="s">
        <v>6</v>
      </c>
      <c r="D3" s="22" t="s">
        <v>7</v>
      </c>
      <c r="E3" s="22" t="s">
        <v>8</v>
      </c>
      <c r="F3" s="22" t="s">
        <v>9</v>
      </c>
      <c r="G3" s="21" t="s">
        <v>10</v>
      </c>
      <c r="H3" s="22" t="s">
        <v>11</v>
      </c>
      <c r="I3" s="21" t="s">
        <v>12</v>
      </c>
      <c r="J3" s="22" t="s">
        <v>13</v>
      </c>
      <c r="K3" s="21" t="s">
        <v>96</v>
      </c>
      <c r="L3" s="22" t="s">
        <v>97</v>
      </c>
      <c r="M3" s="21" t="s">
        <v>98</v>
      </c>
      <c r="N3" s="47" t="s">
        <v>99</v>
      </c>
      <c r="O3" s="47" t="s">
        <v>100</v>
      </c>
      <c r="P3" s="47" t="s">
        <v>101</v>
      </c>
      <c r="Q3" s="22" t="s">
        <v>102</v>
      </c>
      <c r="R3" s="47" t="s">
        <v>103</v>
      </c>
      <c r="S3" s="47" t="s">
        <v>104</v>
      </c>
      <c r="T3" s="47" t="s">
        <v>105</v>
      </c>
      <c r="U3" s="47" t="s">
        <v>106</v>
      </c>
      <c r="V3" s="21" t="s">
        <v>107</v>
      </c>
      <c r="W3" s="22" t="s">
        <v>108</v>
      </c>
      <c r="X3" s="22" t="s">
        <v>245</v>
      </c>
      <c r="Y3" s="22" t="s">
        <v>246</v>
      </c>
      <c r="Z3" s="22" t="s">
        <v>247</v>
      </c>
    </row>
    <row r="4" s="4" customFormat="1" ht="24.75" customHeight="1" spans="1:26">
      <c r="A4" s="23"/>
      <c r="B4" s="20"/>
      <c r="C4" s="24" t="s">
        <v>356</v>
      </c>
      <c r="D4" s="24"/>
      <c r="E4" s="24"/>
      <c r="F4" s="24" t="s">
        <v>359</v>
      </c>
      <c r="G4" s="20" t="s">
        <v>368</v>
      </c>
      <c r="H4" s="24" t="s">
        <v>109</v>
      </c>
      <c r="I4" s="20"/>
      <c r="J4" s="24" t="s">
        <v>110</v>
      </c>
      <c r="K4" s="20"/>
      <c r="L4" s="24" t="s">
        <v>61</v>
      </c>
      <c r="M4" s="20"/>
      <c r="N4" s="48" t="s">
        <v>232</v>
      </c>
      <c r="O4" s="48"/>
      <c r="P4" s="48"/>
      <c r="Q4" s="24"/>
      <c r="R4" s="48" t="s">
        <v>369</v>
      </c>
      <c r="S4" s="218"/>
      <c r="T4" s="218"/>
      <c r="U4" s="218"/>
      <c r="V4" s="20" t="s">
        <v>370</v>
      </c>
      <c r="W4" s="24" t="s">
        <v>371</v>
      </c>
      <c r="X4" s="205"/>
      <c r="Y4" s="205"/>
      <c r="Z4" s="205"/>
    </row>
    <row r="5" s="4" customFormat="1" ht="36" spans="1:26">
      <c r="A5" s="23"/>
      <c r="B5" s="20"/>
      <c r="C5" s="24" t="s">
        <v>372</v>
      </c>
      <c r="D5" s="24" t="s">
        <v>362</v>
      </c>
      <c r="E5" s="24" t="s">
        <v>373</v>
      </c>
      <c r="F5" s="24"/>
      <c r="G5" s="20"/>
      <c r="H5" s="24" t="s">
        <v>359</v>
      </c>
      <c r="I5" s="20" t="s">
        <v>368</v>
      </c>
      <c r="J5" s="24" t="s">
        <v>359</v>
      </c>
      <c r="K5" s="20" t="s">
        <v>368</v>
      </c>
      <c r="L5" s="24" t="s">
        <v>359</v>
      </c>
      <c r="M5" s="20" t="s">
        <v>368</v>
      </c>
      <c r="N5" s="48" t="s">
        <v>374</v>
      </c>
      <c r="O5" s="48" t="s">
        <v>375</v>
      </c>
      <c r="P5" s="48" t="s">
        <v>376</v>
      </c>
      <c r="Q5" s="55" t="s">
        <v>358</v>
      </c>
      <c r="R5" s="48" t="s">
        <v>117</v>
      </c>
      <c r="S5" s="48" t="s">
        <v>118</v>
      </c>
      <c r="T5" s="48" t="s">
        <v>119</v>
      </c>
      <c r="U5" s="48" t="s">
        <v>120</v>
      </c>
      <c r="V5" s="196"/>
      <c r="W5" s="24" t="s">
        <v>117</v>
      </c>
      <c r="X5" s="24" t="s">
        <v>118</v>
      </c>
      <c r="Y5" s="24" t="s">
        <v>119</v>
      </c>
      <c r="Z5" s="24" t="s">
        <v>120</v>
      </c>
    </row>
    <row r="6" spans="1:26">
      <c r="A6" s="139" t="s">
        <v>377</v>
      </c>
      <c r="B6" s="214"/>
      <c r="C6" s="215"/>
      <c r="D6" s="215"/>
      <c r="E6" s="215"/>
      <c r="F6" s="216"/>
      <c r="G6" s="27"/>
      <c r="H6" s="215"/>
      <c r="I6" s="27"/>
      <c r="J6" s="216"/>
      <c r="K6" s="27"/>
      <c r="L6" s="215"/>
      <c r="M6" s="110"/>
      <c r="N6" s="217"/>
      <c r="O6" s="217"/>
      <c r="P6" s="217"/>
      <c r="Q6" s="215"/>
      <c r="R6" s="217"/>
      <c r="S6" s="217"/>
      <c r="T6" s="217"/>
      <c r="U6" s="217"/>
      <c r="V6" s="110"/>
      <c r="W6" s="215"/>
      <c r="X6" s="215"/>
      <c r="Y6" s="215"/>
      <c r="Z6" s="215"/>
    </row>
    <row r="7" s="5" customFormat="1" ht="15" customHeight="1" spans="1:26">
      <c r="A7" s="25">
        <v>1</v>
      </c>
      <c r="B7" s="26" t="s">
        <v>111</v>
      </c>
      <c r="C7" s="28"/>
      <c r="D7" s="28"/>
      <c r="E7" s="28"/>
      <c r="F7" s="28"/>
      <c r="G7" s="62"/>
      <c r="H7" s="28"/>
      <c r="I7" s="62"/>
      <c r="J7" s="28"/>
      <c r="K7" s="62"/>
      <c r="L7" s="28"/>
      <c r="M7" s="62"/>
      <c r="N7" s="49">
        <f>SUM(N8:N37)</f>
        <v>0</v>
      </c>
      <c r="O7" s="49">
        <f>SUM(O8:O37)</f>
        <v>0</v>
      </c>
      <c r="P7" s="49">
        <f>SUM(P8:P37)</f>
        <v>0</v>
      </c>
      <c r="Q7" s="56" t="e">
        <f>O7/N7</f>
        <v>#DIV/0!</v>
      </c>
      <c r="R7" s="49">
        <f>SUM(R8:R37)</f>
        <v>0</v>
      </c>
      <c r="S7" s="49">
        <f>SUM(S8:S37)</f>
        <v>0</v>
      </c>
      <c r="T7" s="49">
        <f>SUM(T8:T37)</f>
        <v>0</v>
      </c>
      <c r="U7" s="49">
        <f>SUM(U8:U37)</f>
        <v>0</v>
      </c>
      <c r="V7" s="62"/>
      <c r="W7" s="28"/>
      <c r="X7" s="28"/>
      <c r="Y7" s="28"/>
      <c r="Z7" s="28"/>
    </row>
    <row r="8" spans="1:26">
      <c r="A8" s="29">
        <v>2</v>
      </c>
      <c r="B8" s="26" t="s">
        <v>123</v>
      </c>
      <c r="C8" s="43"/>
      <c r="D8" s="215"/>
      <c r="E8" s="215"/>
      <c r="F8" s="31"/>
      <c r="G8" s="63"/>
      <c r="H8" s="31"/>
      <c r="I8" s="63"/>
      <c r="J8" s="31"/>
      <c r="K8" s="63"/>
      <c r="L8" s="31"/>
      <c r="M8" s="63"/>
      <c r="N8" s="50"/>
      <c r="O8" s="50"/>
      <c r="P8" s="50"/>
      <c r="Q8" s="56" t="e">
        <f t="shared" ref="Q8:Q37" si="0">O8/N8</f>
        <v>#DIV/0!</v>
      </c>
      <c r="R8" s="219"/>
      <c r="S8" s="219"/>
      <c r="T8" s="219"/>
      <c r="U8" s="219"/>
      <c r="V8" s="199"/>
      <c r="W8" s="215"/>
      <c r="X8" s="215"/>
      <c r="Y8" s="215"/>
      <c r="Z8" s="215"/>
    </row>
    <row r="9" spans="1:26">
      <c r="A9" s="25">
        <v>3</v>
      </c>
      <c r="B9" s="26" t="s">
        <v>124</v>
      </c>
      <c r="C9" s="43"/>
      <c r="D9" s="215"/>
      <c r="E9" s="215"/>
      <c r="F9" s="31"/>
      <c r="G9" s="63"/>
      <c r="H9" s="31"/>
      <c r="I9" s="63"/>
      <c r="J9" s="31"/>
      <c r="K9" s="63"/>
      <c r="L9" s="31"/>
      <c r="M9" s="63"/>
      <c r="N9" s="50"/>
      <c r="O9" s="50"/>
      <c r="P9" s="50"/>
      <c r="Q9" s="56" t="e">
        <f t="shared" si="0"/>
        <v>#DIV/0!</v>
      </c>
      <c r="R9" s="219"/>
      <c r="S9" s="219"/>
      <c r="T9" s="219"/>
      <c r="U9" s="219"/>
      <c r="V9" s="199"/>
      <c r="W9" s="215"/>
      <c r="X9" s="215"/>
      <c r="Y9" s="215"/>
      <c r="Z9" s="215"/>
    </row>
    <row r="10" spans="1:26">
      <c r="A10" s="29">
        <v>4</v>
      </c>
      <c r="B10" s="26" t="s">
        <v>125</v>
      </c>
      <c r="C10" s="43"/>
      <c r="D10" s="215"/>
      <c r="E10" s="215"/>
      <c r="F10" s="31"/>
      <c r="G10" s="63"/>
      <c r="H10" s="31"/>
      <c r="I10" s="63"/>
      <c r="J10" s="31"/>
      <c r="K10" s="63"/>
      <c r="L10" s="31"/>
      <c r="M10" s="63"/>
      <c r="N10" s="50"/>
      <c r="O10" s="50"/>
      <c r="P10" s="50"/>
      <c r="Q10" s="56" t="e">
        <f t="shared" si="0"/>
        <v>#DIV/0!</v>
      </c>
      <c r="R10" s="219"/>
      <c r="S10" s="219"/>
      <c r="T10" s="219"/>
      <c r="U10" s="219"/>
      <c r="V10" s="199"/>
      <c r="W10" s="215"/>
      <c r="X10" s="215"/>
      <c r="Y10" s="215"/>
      <c r="Z10" s="215"/>
    </row>
    <row r="11" spans="1:26">
      <c r="A11" s="25">
        <v>5</v>
      </c>
      <c r="B11" s="26" t="s">
        <v>126</v>
      </c>
      <c r="C11" s="43"/>
      <c r="D11" s="215"/>
      <c r="E11" s="215"/>
      <c r="F11" s="31"/>
      <c r="G11" s="63"/>
      <c r="H11" s="31"/>
      <c r="I11" s="63"/>
      <c r="J11" s="31"/>
      <c r="K11" s="63"/>
      <c r="L11" s="31"/>
      <c r="M11" s="63"/>
      <c r="N11" s="50"/>
      <c r="O11" s="50"/>
      <c r="P11" s="50"/>
      <c r="Q11" s="56" t="e">
        <f t="shared" si="0"/>
        <v>#DIV/0!</v>
      </c>
      <c r="R11" s="219"/>
      <c r="S11" s="219"/>
      <c r="T11" s="219"/>
      <c r="U11" s="219"/>
      <c r="V11" s="199"/>
      <c r="W11" s="215"/>
      <c r="X11" s="215"/>
      <c r="Y11" s="215"/>
      <c r="Z11" s="215"/>
    </row>
    <row r="12" spans="1:26">
      <c r="A12" s="29">
        <v>6</v>
      </c>
      <c r="B12" s="26" t="s">
        <v>127</v>
      </c>
      <c r="C12" s="43"/>
      <c r="D12" s="215"/>
      <c r="E12" s="215"/>
      <c r="F12" s="31"/>
      <c r="G12" s="63"/>
      <c r="H12" s="31"/>
      <c r="I12" s="63"/>
      <c r="J12" s="31"/>
      <c r="K12" s="63"/>
      <c r="L12" s="31"/>
      <c r="M12" s="63"/>
      <c r="N12" s="50"/>
      <c r="O12" s="50"/>
      <c r="P12" s="50"/>
      <c r="Q12" s="56" t="e">
        <f t="shared" si="0"/>
        <v>#DIV/0!</v>
      </c>
      <c r="R12" s="219"/>
      <c r="S12" s="219"/>
      <c r="T12" s="219"/>
      <c r="U12" s="219"/>
      <c r="V12" s="199"/>
      <c r="W12" s="215"/>
      <c r="X12" s="215"/>
      <c r="Y12" s="215"/>
      <c r="Z12" s="215"/>
    </row>
    <row r="13" spans="1:26">
      <c r="A13" s="25">
        <v>7</v>
      </c>
      <c r="B13" s="26" t="s">
        <v>128</v>
      </c>
      <c r="C13" s="43"/>
      <c r="D13" s="215"/>
      <c r="E13" s="215"/>
      <c r="F13" s="31"/>
      <c r="G13" s="63"/>
      <c r="H13" s="31"/>
      <c r="I13" s="63"/>
      <c r="J13" s="31"/>
      <c r="K13" s="63"/>
      <c r="L13" s="31"/>
      <c r="M13" s="63"/>
      <c r="N13" s="50"/>
      <c r="O13" s="50"/>
      <c r="P13" s="50"/>
      <c r="Q13" s="56" t="e">
        <f t="shared" si="0"/>
        <v>#DIV/0!</v>
      </c>
      <c r="R13" s="219"/>
      <c r="S13" s="219"/>
      <c r="T13" s="219"/>
      <c r="U13" s="219"/>
      <c r="V13" s="199"/>
      <c r="W13" s="215"/>
      <c r="X13" s="215"/>
      <c r="Y13" s="215"/>
      <c r="Z13" s="215"/>
    </row>
    <row r="14" spans="1:26">
      <c r="A14" s="29">
        <v>8</v>
      </c>
      <c r="B14" s="26" t="s">
        <v>129</v>
      </c>
      <c r="C14" s="43"/>
      <c r="D14" s="215"/>
      <c r="E14" s="215"/>
      <c r="F14" s="31"/>
      <c r="G14" s="63"/>
      <c r="H14" s="31"/>
      <c r="I14" s="63"/>
      <c r="J14" s="31"/>
      <c r="K14" s="63"/>
      <c r="L14" s="31"/>
      <c r="M14" s="63"/>
      <c r="N14" s="50"/>
      <c r="O14" s="50"/>
      <c r="P14" s="50"/>
      <c r="Q14" s="56" t="e">
        <f t="shared" si="0"/>
        <v>#DIV/0!</v>
      </c>
      <c r="R14" s="219"/>
      <c r="S14" s="219"/>
      <c r="T14" s="219"/>
      <c r="U14" s="219"/>
      <c r="V14" s="199"/>
      <c r="W14" s="215"/>
      <c r="X14" s="215"/>
      <c r="Y14" s="215"/>
      <c r="Z14" s="215"/>
    </row>
    <row r="15" spans="1:26">
      <c r="A15" s="25">
        <v>9</v>
      </c>
      <c r="B15" s="26" t="s">
        <v>130</v>
      </c>
      <c r="C15" s="43"/>
      <c r="D15" s="215"/>
      <c r="E15" s="215"/>
      <c r="F15" s="31"/>
      <c r="G15" s="63"/>
      <c r="H15" s="31"/>
      <c r="I15" s="63"/>
      <c r="J15" s="31"/>
      <c r="K15" s="63"/>
      <c r="L15" s="31"/>
      <c r="M15" s="63"/>
      <c r="N15" s="50"/>
      <c r="O15" s="50"/>
      <c r="P15" s="50"/>
      <c r="Q15" s="56" t="e">
        <f t="shared" si="0"/>
        <v>#DIV/0!</v>
      </c>
      <c r="R15" s="219"/>
      <c r="S15" s="219"/>
      <c r="T15" s="219"/>
      <c r="U15" s="219"/>
      <c r="V15" s="199"/>
      <c r="W15" s="215"/>
      <c r="X15" s="215"/>
      <c r="Y15" s="215"/>
      <c r="Z15" s="215"/>
    </row>
    <row r="16" spans="1:26">
      <c r="A16" s="29">
        <v>10</v>
      </c>
      <c r="B16" s="26" t="s">
        <v>131</v>
      </c>
      <c r="C16" s="43"/>
      <c r="D16" s="215"/>
      <c r="E16" s="215"/>
      <c r="F16" s="31"/>
      <c r="G16" s="63"/>
      <c r="H16" s="31"/>
      <c r="I16" s="63"/>
      <c r="J16" s="31"/>
      <c r="K16" s="63"/>
      <c r="L16" s="31"/>
      <c r="M16" s="63"/>
      <c r="N16" s="50"/>
      <c r="O16" s="50"/>
      <c r="P16" s="50"/>
      <c r="Q16" s="56" t="e">
        <f t="shared" si="0"/>
        <v>#DIV/0!</v>
      </c>
      <c r="R16" s="219"/>
      <c r="S16" s="219"/>
      <c r="T16" s="219"/>
      <c r="U16" s="219"/>
      <c r="V16" s="199"/>
      <c r="W16" s="215"/>
      <c r="X16" s="215"/>
      <c r="Y16" s="215"/>
      <c r="Z16" s="215"/>
    </row>
    <row r="17" spans="1:26">
      <c r="A17" s="25">
        <v>11</v>
      </c>
      <c r="B17" s="26" t="s">
        <v>132</v>
      </c>
      <c r="C17" s="43"/>
      <c r="D17" s="215"/>
      <c r="E17" s="215"/>
      <c r="F17" s="31"/>
      <c r="G17" s="63"/>
      <c r="H17" s="31"/>
      <c r="I17" s="63"/>
      <c r="J17" s="31"/>
      <c r="K17" s="63"/>
      <c r="L17" s="31"/>
      <c r="M17" s="63"/>
      <c r="N17" s="50"/>
      <c r="O17" s="50"/>
      <c r="P17" s="50"/>
      <c r="Q17" s="56" t="e">
        <f t="shared" si="0"/>
        <v>#DIV/0!</v>
      </c>
      <c r="R17" s="219"/>
      <c r="S17" s="219"/>
      <c r="T17" s="219"/>
      <c r="U17" s="219"/>
      <c r="V17" s="199"/>
      <c r="W17" s="215"/>
      <c r="X17" s="215"/>
      <c r="Y17" s="215"/>
      <c r="Z17" s="215"/>
    </row>
    <row r="18" spans="1:26">
      <c r="A18" s="29">
        <v>12</v>
      </c>
      <c r="B18" s="26" t="s">
        <v>133</v>
      </c>
      <c r="C18" s="43"/>
      <c r="D18" s="215"/>
      <c r="E18" s="215"/>
      <c r="F18" s="31"/>
      <c r="G18" s="63"/>
      <c r="H18" s="31"/>
      <c r="I18" s="63"/>
      <c r="J18" s="31"/>
      <c r="K18" s="63"/>
      <c r="L18" s="31"/>
      <c r="M18" s="63"/>
      <c r="N18" s="50"/>
      <c r="O18" s="50"/>
      <c r="P18" s="50"/>
      <c r="Q18" s="56" t="e">
        <f t="shared" si="0"/>
        <v>#DIV/0!</v>
      </c>
      <c r="R18" s="219"/>
      <c r="S18" s="219"/>
      <c r="T18" s="219"/>
      <c r="U18" s="219"/>
      <c r="V18" s="199"/>
      <c r="W18" s="215"/>
      <c r="X18" s="215"/>
      <c r="Y18" s="215"/>
      <c r="Z18" s="215"/>
    </row>
    <row r="19" spans="1:26">
      <c r="A19" s="25">
        <v>13</v>
      </c>
      <c r="B19" s="26" t="s">
        <v>134</v>
      </c>
      <c r="C19" s="43"/>
      <c r="D19" s="215"/>
      <c r="E19" s="215"/>
      <c r="F19" s="31"/>
      <c r="G19" s="63"/>
      <c r="H19" s="31"/>
      <c r="I19" s="63"/>
      <c r="J19" s="31"/>
      <c r="K19" s="63"/>
      <c r="L19" s="31"/>
      <c r="M19" s="63"/>
      <c r="N19" s="50"/>
      <c r="O19" s="50"/>
      <c r="P19" s="50"/>
      <c r="Q19" s="56" t="e">
        <f t="shared" si="0"/>
        <v>#DIV/0!</v>
      </c>
      <c r="R19" s="219"/>
      <c r="S19" s="219"/>
      <c r="T19" s="219"/>
      <c r="U19" s="219"/>
      <c r="V19" s="199"/>
      <c r="W19" s="215"/>
      <c r="X19" s="215"/>
      <c r="Y19" s="215"/>
      <c r="Z19" s="215"/>
    </row>
    <row r="20" spans="1:26">
      <c r="A20" s="29">
        <v>14</v>
      </c>
      <c r="B20" s="26" t="s">
        <v>135</v>
      </c>
      <c r="C20" s="43"/>
      <c r="D20" s="215"/>
      <c r="E20" s="215"/>
      <c r="F20" s="31"/>
      <c r="G20" s="63"/>
      <c r="H20" s="31"/>
      <c r="I20" s="63"/>
      <c r="J20" s="31"/>
      <c r="K20" s="63"/>
      <c r="L20" s="31"/>
      <c r="M20" s="63"/>
      <c r="N20" s="50"/>
      <c r="O20" s="50"/>
      <c r="P20" s="50"/>
      <c r="Q20" s="56" t="e">
        <f t="shared" si="0"/>
        <v>#DIV/0!</v>
      </c>
      <c r="R20" s="219"/>
      <c r="S20" s="219"/>
      <c r="T20" s="219"/>
      <c r="U20" s="219"/>
      <c r="V20" s="199"/>
      <c r="W20" s="215"/>
      <c r="X20" s="215"/>
      <c r="Y20" s="215"/>
      <c r="Z20" s="215"/>
    </row>
    <row r="21" spans="1:26">
      <c r="A21" s="25">
        <v>15</v>
      </c>
      <c r="B21" s="26" t="s">
        <v>136</v>
      </c>
      <c r="C21" s="43"/>
      <c r="D21" s="215"/>
      <c r="E21" s="215"/>
      <c r="F21" s="31"/>
      <c r="G21" s="63"/>
      <c r="H21" s="31"/>
      <c r="I21" s="63"/>
      <c r="J21" s="31"/>
      <c r="K21" s="63"/>
      <c r="L21" s="31"/>
      <c r="M21" s="63"/>
      <c r="N21" s="50"/>
      <c r="O21" s="50"/>
      <c r="P21" s="50"/>
      <c r="Q21" s="56" t="e">
        <f t="shared" si="0"/>
        <v>#DIV/0!</v>
      </c>
      <c r="R21" s="219"/>
      <c r="S21" s="219"/>
      <c r="T21" s="219"/>
      <c r="U21" s="219"/>
      <c r="V21" s="199"/>
      <c r="W21" s="215"/>
      <c r="X21" s="215"/>
      <c r="Y21" s="215"/>
      <c r="Z21" s="215"/>
    </row>
    <row r="22" spans="1:26">
      <c r="A22" s="29">
        <v>16</v>
      </c>
      <c r="B22" s="26" t="s">
        <v>137</v>
      </c>
      <c r="C22" s="43"/>
      <c r="D22" s="215"/>
      <c r="E22" s="215"/>
      <c r="F22" s="31"/>
      <c r="G22" s="63"/>
      <c r="H22" s="31"/>
      <c r="I22" s="63"/>
      <c r="J22" s="31"/>
      <c r="K22" s="63"/>
      <c r="L22" s="31"/>
      <c r="M22" s="63"/>
      <c r="N22" s="50"/>
      <c r="O22" s="50"/>
      <c r="P22" s="50"/>
      <c r="Q22" s="56" t="e">
        <f t="shared" si="0"/>
        <v>#DIV/0!</v>
      </c>
      <c r="R22" s="219"/>
      <c r="S22" s="219"/>
      <c r="T22" s="219"/>
      <c r="U22" s="219"/>
      <c r="V22" s="199"/>
      <c r="W22" s="215"/>
      <c r="X22" s="215"/>
      <c r="Y22" s="215"/>
      <c r="Z22" s="215"/>
    </row>
    <row r="23" spans="1:26">
      <c r="A23" s="29">
        <v>17</v>
      </c>
      <c r="B23" s="26" t="s">
        <v>138</v>
      </c>
      <c r="C23" s="43"/>
      <c r="D23" s="215"/>
      <c r="E23" s="215"/>
      <c r="F23" s="31"/>
      <c r="G23" s="63"/>
      <c r="H23" s="31"/>
      <c r="I23" s="63"/>
      <c r="J23" s="31"/>
      <c r="K23" s="63"/>
      <c r="L23" s="31"/>
      <c r="M23" s="63"/>
      <c r="N23" s="50"/>
      <c r="O23" s="50"/>
      <c r="P23" s="50"/>
      <c r="Q23" s="56" t="e">
        <f t="shared" si="0"/>
        <v>#DIV/0!</v>
      </c>
      <c r="R23" s="219"/>
      <c r="S23" s="219"/>
      <c r="T23" s="219"/>
      <c r="U23" s="219"/>
      <c r="V23" s="199"/>
      <c r="W23" s="215"/>
      <c r="X23" s="215"/>
      <c r="Y23" s="215"/>
      <c r="Z23" s="215"/>
    </row>
    <row r="24" spans="1:26">
      <c r="A24" s="25">
        <v>18</v>
      </c>
      <c r="B24" s="26" t="s">
        <v>139</v>
      </c>
      <c r="C24" s="43"/>
      <c r="D24" s="215"/>
      <c r="E24" s="215"/>
      <c r="F24" s="31"/>
      <c r="G24" s="63"/>
      <c r="H24" s="31"/>
      <c r="I24" s="63"/>
      <c r="J24" s="31"/>
      <c r="K24" s="63"/>
      <c r="L24" s="31"/>
      <c r="M24" s="63"/>
      <c r="N24" s="50"/>
      <c r="O24" s="50"/>
      <c r="P24" s="50"/>
      <c r="Q24" s="56" t="e">
        <f t="shared" si="0"/>
        <v>#DIV/0!</v>
      </c>
      <c r="R24" s="219"/>
      <c r="S24" s="219"/>
      <c r="T24" s="219"/>
      <c r="U24" s="219"/>
      <c r="V24" s="199"/>
      <c r="W24" s="215"/>
      <c r="X24" s="215"/>
      <c r="Y24" s="215"/>
      <c r="Z24" s="215"/>
    </row>
    <row r="25" spans="1:26">
      <c r="A25" s="29">
        <v>19</v>
      </c>
      <c r="B25" s="26" t="s">
        <v>140</v>
      </c>
      <c r="C25" s="43"/>
      <c r="D25" s="215"/>
      <c r="E25" s="215"/>
      <c r="F25" s="31"/>
      <c r="G25" s="63"/>
      <c r="H25" s="31"/>
      <c r="I25" s="63"/>
      <c r="J25" s="31"/>
      <c r="K25" s="63"/>
      <c r="L25" s="31"/>
      <c r="M25" s="63"/>
      <c r="N25" s="50"/>
      <c r="O25" s="50"/>
      <c r="P25" s="50"/>
      <c r="Q25" s="56" t="e">
        <f t="shared" si="0"/>
        <v>#DIV/0!</v>
      </c>
      <c r="R25" s="219"/>
      <c r="S25" s="219"/>
      <c r="T25" s="219"/>
      <c r="U25" s="219"/>
      <c r="V25" s="199"/>
      <c r="W25" s="215"/>
      <c r="X25" s="215"/>
      <c r="Y25" s="215"/>
      <c r="Z25" s="215"/>
    </row>
    <row r="26" spans="1:26">
      <c r="A26" s="29">
        <v>20</v>
      </c>
      <c r="B26" s="26" t="s">
        <v>141</v>
      </c>
      <c r="C26" s="43"/>
      <c r="D26" s="215"/>
      <c r="E26" s="215"/>
      <c r="F26" s="31"/>
      <c r="G26" s="63"/>
      <c r="H26" s="31"/>
      <c r="I26" s="63"/>
      <c r="J26" s="31"/>
      <c r="K26" s="63"/>
      <c r="L26" s="31"/>
      <c r="M26" s="63"/>
      <c r="N26" s="50"/>
      <c r="O26" s="50"/>
      <c r="P26" s="50"/>
      <c r="Q26" s="56" t="e">
        <f t="shared" si="0"/>
        <v>#DIV/0!</v>
      </c>
      <c r="R26" s="219"/>
      <c r="S26" s="219"/>
      <c r="T26" s="219"/>
      <c r="U26" s="219"/>
      <c r="V26" s="199"/>
      <c r="W26" s="215"/>
      <c r="X26" s="215"/>
      <c r="Y26" s="215"/>
      <c r="Z26" s="215"/>
    </row>
    <row r="27" spans="1:26">
      <c r="A27" s="25">
        <v>21</v>
      </c>
      <c r="B27" s="26" t="s">
        <v>142</v>
      </c>
      <c r="C27" s="43"/>
      <c r="D27" s="215"/>
      <c r="E27" s="215"/>
      <c r="F27" s="31"/>
      <c r="G27" s="63"/>
      <c r="H27" s="31"/>
      <c r="I27" s="63"/>
      <c r="J27" s="31"/>
      <c r="K27" s="63"/>
      <c r="L27" s="31"/>
      <c r="M27" s="63"/>
      <c r="N27" s="50"/>
      <c r="O27" s="50"/>
      <c r="P27" s="50"/>
      <c r="Q27" s="56" t="e">
        <f t="shared" si="0"/>
        <v>#DIV/0!</v>
      </c>
      <c r="R27" s="219"/>
      <c r="S27" s="219"/>
      <c r="T27" s="219"/>
      <c r="U27" s="219"/>
      <c r="V27" s="199"/>
      <c r="W27" s="215"/>
      <c r="X27" s="215"/>
      <c r="Y27" s="215"/>
      <c r="Z27" s="215"/>
    </row>
    <row r="28" spans="1:26">
      <c r="A28" s="29">
        <v>22</v>
      </c>
      <c r="B28" s="26" t="s">
        <v>143</v>
      </c>
      <c r="C28" s="43"/>
      <c r="D28" s="215"/>
      <c r="E28" s="215"/>
      <c r="F28" s="31"/>
      <c r="G28" s="63"/>
      <c r="H28" s="31"/>
      <c r="I28" s="63"/>
      <c r="J28" s="31"/>
      <c r="K28" s="63"/>
      <c r="L28" s="31"/>
      <c r="M28" s="63"/>
      <c r="N28" s="50"/>
      <c r="O28" s="50"/>
      <c r="P28" s="50"/>
      <c r="Q28" s="56" t="e">
        <f t="shared" si="0"/>
        <v>#DIV/0!</v>
      </c>
      <c r="R28" s="219"/>
      <c r="S28" s="219"/>
      <c r="T28" s="219"/>
      <c r="U28" s="219"/>
      <c r="V28" s="199"/>
      <c r="W28" s="215"/>
      <c r="X28" s="215"/>
      <c r="Y28" s="215"/>
      <c r="Z28" s="215"/>
    </row>
    <row r="29" spans="1:26">
      <c r="A29" s="29">
        <v>23</v>
      </c>
      <c r="B29" s="26" t="s">
        <v>144</v>
      </c>
      <c r="C29" s="43"/>
      <c r="D29" s="215"/>
      <c r="E29" s="215"/>
      <c r="F29" s="31"/>
      <c r="G29" s="63"/>
      <c r="H29" s="31"/>
      <c r="I29" s="63"/>
      <c r="J29" s="31"/>
      <c r="K29" s="63"/>
      <c r="L29" s="31"/>
      <c r="M29" s="63"/>
      <c r="N29" s="50"/>
      <c r="O29" s="50"/>
      <c r="P29" s="50"/>
      <c r="Q29" s="56" t="e">
        <f t="shared" si="0"/>
        <v>#DIV/0!</v>
      </c>
      <c r="R29" s="219"/>
      <c r="S29" s="219"/>
      <c r="T29" s="219"/>
      <c r="U29" s="219"/>
      <c r="V29" s="199"/>
      <c r="W29" s="215"/>
      <c r="X29" s="215"/>
      <c r="Y29" s="215"/>
      <c r="Z29" s="215"/>
    </row>
    <row r="30" spans="1:26">
      <c r="A30" s="29">
        <v>24</v>
      </c>
      <c r="B30" s="26" t="s">
        <v>145</v>
      </c>
      <c r="C30" s="43"/>
      <c r="D30" s="215"/>
      <c r="E30" s="215"/>
      <c r="F30" s="31"/>
      <c r="G30" s="63"/>
      <c r="H30" s="31"/>
      <c r="I30" s="63"/>
      <c r="J30" s="31"/>
      <c r="K30" s="63"/>
      <c r="L30" s="31"/>
      <c r="M30" s="63"/>
      <c r="N30" s="50"/>
      <c r="O30" s="50"/>
      <c r="P30" s="50"/>
      <c r="Q30" s="56" t="e">
        <f t="shared" si="0"/>
        <v>#DIV/0!</v>
      </c>
      <c r="R30" s="219"/>
      <c r="S30" s="219"/>
      <c r="T30" s="219"/>
      <c r="U30" s="219"/>
      <c r="V30" s="199"/>
      <c r="W30" s="215"/>
      <c r="X30" s="215"/>
      <c r="Y30" s="215"/>
      <c r="Z30" s="215"/>
    </row>
    <row r="31" spans="1:26">
      <c r="A31" s="29">
        <v>25</v>
      </c>
      <c r="B31" s="26" t="s">
        <v>146</v>
      </c>
      <c r="C31" s="43"/>
      <c r="D31" s="215"/>
      <c r="E31" s="215"/>
      <c r="F31" s="31"/>
      <c r="G31" s="63"/>
      <c r="H31" s="31"/>
      <c r="I31" s="63"/>
      <c r="J31" s="31"/>
      <c r="K31" s="63"/>
      <c r="L31" s="31"/>
      <c r="M31" s="63"/>
      <c r="N31" s="50"/>
      <c r="O31" s="50"/>
      <c r="P31" s="50"/>
      <c r="Q31" s="56" t="e">
        <f t="shared" si="0"/>
        <v>#DIV/0!</v>
      </c>
      <c r="R31" s="219"/>
      <c r="S31" s="219"/>
      <c r="T31" s="219"/>
      <c r="U31" s="219"/>
      <c r="V31" s="199"/>
      <c r="W31" s="215"/>
      <c r="X31" s="215"/>
      <c r="Y31" s="215"/>
      <c r="Z31" s="215"/>
    </row>
    <row r="32" spans="1:26">
      <c r="A32" s="29">
        <v>26</v>
      </c>
      <c r="B32" s="26" t="s">
        <v>147</v>
      </c>
      <c r="C32" s="43"/>
      <c r="D32" s="215"/>
      <c r="E32" s="215"/>
      <c r="F32" s="31"/>
      <c r="G32" s="63"/>
      <c r="H32" s="31"/>
      <c r="I32" s="63"/>
      <c r="J32" s="31"/>
      <c r="K32" s="63"/>
      <c r="L32" s="31"/>
      <c r="M32" s="63"/>
      <c r="N32" s="50"/>
      <c r="O32" s="50"/>
      <c r="P32" s="50"/>
      <c r="Q32" s="56" t="e">
        <f t="shared" si="0"/>
        <v>#DIV/0!</v>
      </c>
      <c r="R32" s="219"/>
      <c r="S32" s="219"/>
      <c r="T32" s="219"/>
      <c r="U32" s="219"/>
      <c r="V32" s="199"/>
      <c r="W32" s="215"/>
      <c r="X32" s="215"/>
      <c r="Y32" s="215"/>
      <c r="Z32" s="215"/>
    </row>
    <row r="33" spans="1:26">
      <c r="A33" s="29">
        <v>27</v>
      </c>
      <c r="B33" s="26" t="s">
        <v>148</v>
      </c>
      <c r="C33" s="43"/>
      <c r="D33" s="215"/>
      <c r="E33" s="215"/>
      <c r="F33" s="31"/>
      <c r="G33" s="63"/>
      <c r="H33" s="31"/>
      <c r="I33" s="63"/>
      <c r="J33" s="31"/>
      <c r="K33" s="63"/>
      <c r="L33" s="31"/>
      <c r="M33" s="63"/>
      <c r="N33" s="50"/>
      <c r="O33" s="50"/>
      <c r="P33" s="50"/>
      <c r="Q33" s="56" t="e">
        <f t="shared" si="0"/>
        <v>#DIV/0!</v>
      </c>
      <c r="R33" s="219"/>
      <c r="S33" s="219"/>
      <c r="T33" s="219"/>
      <c r="U33" s="219"/>
      <c r="V33" s="199"/>
      <c r="W33" s="215"/>
      <c r="X33" s="215"/>
      <c r="Y33" s="215"/>
      <c r="Z33" s="215"/>
    </row>
    <row r="34" spans="1:26">
      <c r="A34" s="29">
        <v>28</v>
      </c>
      <c r="B34" s="26" t="s">
        <v>149</v>
      </c>
      <c r="C34" s="43"/>
      <c r="D34" s="215"/>
      <c r="E34" s="215"/>
      <c r="F34" s="31"/>
      <c r="G34" s="63"/>
      <c r="H34" s="31"/>
      <c r="I34" s="63"/>
      <c r="J34" s="31"/>
      <c r="K34" s="63"/>
      <c r="L34" s="31"/>
      <c r="M34" s="63"/>
      <c r="N34" s="50"/>
      <c r="O34" s="50"/>
      <c r="P34" s="50"/>
      <c r="Q34" s="56" t="e">
        <f t="shared" si="0"/>
        <v>#DIV/0!</v>
      </c>
      <c r="R34" s="219"/>
      <c r="S34" s="219"/>
      <c r="T34" s="219"/>
      <c r="U34" s="219"/>
      <c r="V34" s="199"/>
      <c r="W34" s="215"/>
      <c r="X34" s="215"/>
      <c r="Y34" s="215"/>
      <c r="Z34" s="215"/>
    </row>
    <row r="35" spans="1:26">
      <c r="A35" s="29">
        <v>29</v>
      </c>
      <c r="B35" s="26" t="s">
        <v>150</v>
      </c>
      <c r="C35" s="43"/>
      <c r="D35" s="215"/>
      <c r="E35" s="215"/>
      <c r="F35" s="31"/>
      <c r="G35" s="63"/>
      <c r="H35" s="31"/>
      <c r="I35" s="63"/>
      <c r="J35" s="31"/>
      <c r="K35" s="63"/>
      <c r="L35" s="31"/>
      <c r="M35" s="63"/>
      <c r="N35" s="50"/>
      <c r="O35" s="50"/>
      <c r="P35" s="50"/>
      <c r="Q35" s="56" t="e">
        <f t="shared" si="0"/>
        <v>#DIV/0!</v>
      </c>
      <c r="R35" s="219"/>
      <c r="S35" s="219"/>
      <c r="T35" s="219"/>
      <c r="U35" s="219"/>
      <c r="V35" s="199"/>
      <c r="W35" s="215"/>
      <c r="X35" s="215"/>
      <c r="Y35" s="215"/>
      <c r="Z35" s="215"/>
    </row>
    <row r="36" spans="1:26">
      <c r="A36" s="29">
        <v>30</v>
      </c>
      <c r="B36" s="26" t="s">
        <v>151</v>
      </c>
      <c r="C36" s="43"/>
      <c r="D36" s="215"/>
      <c r="E36" s="215"/>
      <c r="F36" s="31"/>
      <c r="G36" s="63"/>
      <c r="H36" s="31"/>
      <c r="I36" s="63"/>
      <c r="J36" s="31"/>
      <c r="K36" s="63"/>
      <c r="L36" s="31"/>
      <c r="M36" s="63"/>
      <c r="N36" s="50"/>
      <c r="O36" s="50"/>
      <c r="P36" s="50"/>
      <c r="Q36" s="56" t="e">
        <f t="shared" si="0"/>
        <v>#DIV/0!</v>
      </c>
      <c r="R36" s="219"/>
      <c r="S36" s="219"/>
      <c r="T36" s="219"/>
      <c r="U36" s="219"/>
      <c r="V36" s="199"/>
      <c r="W36" s="215"/>
      <c r="X36" s="215"/>
      <c r="Y36" s="215"/>
      <c r="Z36" s="215"/>
    </row>
    <row r="37" spans="1:26">
      <c r="A37" s="29">
        <v>31</v>
      </c>
      <c r="B37" s="26" t="s">
        <v>152</v>
      </c>
      <c r="C37" s="43"/>
      <c r="D37" s="215"/>
      <c r="E37" s="215"/>
      <c r="F37" s="31"/>
      <c r="G37" s="63"/>
      <c r="H37" s="31"/>
      <c r="I37" s="63"/>
      <c r="J37" s="31"/>
      <c r="K37" s="63"/>
      <c r="L37" s="31"/>
      <c r="M37" s="63"/>
      <c r="N37" s="50"/>
      <c r="O37" s="50"/>
      <c r="P37" s="50"/>
      <c r="Q37" s="56" t="e">
        <f t="shared" si="0"/>
        <v>#DIV/0!</v>
      </c>
      <c r="R37" s="219"/>
      <c r="S37" s="219"/>
      <c r="T37" s="219"/>
      <c r="U37" s="219"/>
      <c r="V37" s="199"/>
      <c r="W37" s="215"/>
      <c r="X37" s="215"/>
      <c r="Y37" s="215"/>
      <c r="Z37" s="215"/>
    </row>
    <row r="38" spans="1:26">
      <c r="A38" s="139" t="s">
        <v>378</v>
      </c>
      <c r="B38" s="214"/>
      <c r="C38" s="215"/>
      <c r="D38" s="215"/>
      <c r="E38" s="215"/>
      <c r="F38" s="216"/>
      <c r="G38" s="27"/>
      <c r="H38" s="215"/>
      <c r="I38" s="27"/>
      <c r="J38" s="216"/>
      <c r="K38" s="27"/>
      <c r="L38" s="215"/>
      <c r="M38" s="110"/>
      <c r="N38" s="217"/>
      <c r="O38" s="217"/>
      <c r="P38" s="217"/>
      <c r="Q38" s="215"/>
      <c r="R38" s="217"/>
      <c r="S38" s="217"/>
      <c r="T38" s="217"/>
      <c r="U38" s="217"/>
      <c r="V38" s="110"/>
      <c r="W38" s="215"/>
      <c r="X38" s="215"/>
      <c r="Y38" s="215"/>
      <c r="Z38" s="215"/>
    </row>
    <row r="39" s="5" customFormat="1" ht="15" customHeight="1" spans="1:26">
      <c r="A39" s="25">
        <v>32</v>
      </c>
      <c r="B39" s="26" t="s">
        <v>111</v>
      </c>
      <c r="C39" s="28"/>
      <c r="D39" s="28"/>
      <c r="E39" s="28"/>
      <c r="F39" s="28"/>
      <c r="G39" s="62"/>
      <c r="H39" s="28"/>
      <c r="I39" s="62"/>
      <c r="J39" s="28"/>
      <c r="K39" s="62"/>
      <c r="L39" s="28"/>
      <c r="M39" s="62"/>
      <c r="N39" s="49">
        <f>SUM(N40:N69)</f>
        <v>0</v>
      </c>
      <c r="O39" s="49">
        <f>SUM(O40:O69)</f>
        <v>0</v>
      </c>
      <c r="P39" s="49">
        <f>SUM(P40:P69)</f>
        <v>0</v>
      </c>
      <c r="Q39" s="56" t="e">
        <f>O39/N39</f>
        <v>#DIV/0!</v>
      </c>
      <c r="R39" s="49">
        <f>SUM(R40:R69)</f>
        <v>0</v>
      </c>
      <c r="S39" s="49">
        <f>SUM(S40:S69)</f>
        <v>0</v>
      </c>
      <c r="T39" s="49">
        <f>SUM(T40:T69)</f>
        <v>0</v>
      </c>
      <c r="U39" s="49">
        <f>SUM(U40:U69)</f>
        <v>0</v>
      </c>
      <c r="V39" s="199"/>
      <c r="W39" s="28"/>
      <c r="X39" s="28"/>
      <c r="Y39" s="28"/>
      <c r="Z39" s="28"/>
    </row>
    <row r="40" spans="1:26">
      <c r="A40" s="29">
        <v>33</v>
      </c>
      <c r="B40" s="26" t="s">
        <v>123</v>
      </c>
      <c r="C40" s="43"/>
      <c r="D40" s="215"/>
      <c r="E40" s="215"/>
      <c r="F40" s="31"/>
      <c r="G40" s="63"/>
      <c r="H40" s="31"/>
      <c r="I40" s="63"/>
      <c r="J40" s="31"/>
      <c r="K40" s="63"/>
      <c r="L40" s="31"/>
      <c r="M40" s="63"/>
      <c r="N40" s="50"/>
      <c r="O40" s="50"/>
      <c r="P40" s="50"/>
      <c r="Q40" s="56" t="e">
        <f t="shared" ref="Q40:Q69" si="1">O40/N40</f>
        <v>#DIV/0!</v>
      </c>
      <c r="R40" s="219"/>
      <c r="S40" s="219"/>
      <c r="T40" s="219"/>
      <c r="U40" s="219"/>
      <c r="V40" s="199"/>
      <c r="W40" s="215"/>
      <c r="X40" s="215"/>
      <c r="Y40" s="215"/>
      <c r="Z40" s="215"/>
    </row>
    <row r="41" spans="1:26">
      <c r="A41" s="25">
        <v>34</v>
      </c>
      <c r="B41" s="26" t="s">
        <v>124</v>
      </c>
      <c r="C41" s="43"/>
      <c r="D41" s="215"/>
      <c r="E41" s="215"/>
      <c r="F41" s="31"/>
      <c r="G41" s="63"/>
      <c r="H41" s="31"/>
      <c r="I41" s="63"/>
      <c r="J41" s="31"/>
      <c r="K41" s="63"/>
      <c r="L41" s="31"/>
      <c r="M41" s="63"/>
      <c r="N41" s="50"/>
      <c r="O41" s="50"/>
      <c r="P41" s="50"/>
      <c r="Q41" s="56" t="e">
        <f t="shared" si="1"/>
        <v>#DIV/0!</v>
      </c>
      <c r="R41" s="219"/>
      <c r="S41" s="219"/>
      <c r="T41" s="219"/>
      <c r="U41" s="219"/>
      <c r="V41" s="199"/>
      <c r="W41" s="215"/>
      <c r="X41" s="215"/>
      <c r="Y41" s="215"/>
      <c r="Z41" s="215"/>
    </row>
    <row r="42" spans="1:26">
      <c r="A42" s="29">
        <v>35</v>
      </c>
      <c r="B42" s="26" t="s">
        <v>125</v>
      </c>
      <c r="C42" s="43"/>
      <c r="D42" s="215"/>
      <c r="E42" s="215"/>
      <c r="F42" s="31"/>
      <c r="G42" s="63"/>
      <c r="H42" s="31"/>
      <c r="I42" s="63"/>
      <c r="J42" s="31"/>
      <c r="K42" s="63"/>
      <c r="L42" s="31"/>
      <c r="M42" s="63"/>
      <c r="N42" s="50"/>
      <c r="O42" s="50"/>
      <c r="P42" s="50"/>
      <c r="Q42" s="56" t="e">
        <f t="shared" si="1"/>
        <v>#DIV/0!</v>
      </c>
      <c r="R42" s="219"/>
      <c r="S42" s="219"/>
      <c r="T42" s="219"/>
      <c r="U42" s="219"/>
      <c r="V42" s="199"/>
      <c r="W42" s="215"/>
      <c r="X42" s="215"/>
      <c r="Y42" s="215"/>
      <c r="Z42" s="215"/>
    </row>
    <row r="43" spans="1:26">
      <c r="A43" s="25">
        <v>36</v>
      </c>
      <c r="B43" s="26" t="s">
        <v>126</v>
      </c>
      <c r="C43" s="43"/>
      <c r="D43" s="215"/>
      <c r="E43" s="215"/>
      <c r="F43" s="31"/>
      <c r="G43" s="63"/>
      <c r="H43" s="31"/>
      <c r="I43" s="63"/>
      <c r="J43" s="31"/>
      <c r="K43" s="63"/>
      <c r="L43" s="31"/>
      <c r="M43" s="63"/>
      <c r="N43" s="50"/>
      <c r="O43" s="50"/>
      <c r="P43" s="50"/>
      <c r="Q43" s="56" t="e">
        <f t="shared" si="1"/>
        <v>#DIV/0!</v>
      </c>
      <c r="R43" s="219"/>
      <c r="S43" s="219"/>
      <c r="T43" s="219"/>
      <c r="U43" s="219"/>
      <c r="V43" s="199"/>
      <c r="W43" s="215"/>
      <c r="X43" s="215"/>
      <c r="Y43" s="215"/>
      <c r="Z43" s="215"/>
    </row>
    <row r="44" spans="1:26">
      <c r="A44" s="29">
        <v>37</v>
      </c>
      <c r="B44" s="26" t="s">
        <v>127</v>
      </c>
      <c r="C44" s="43"/>
      <c r="D44" s="215"/>
      <c r="E44" s="215"/>
      <c r="F44" s="31"/>
      <c r="G44" s="63"/>
      <c r="H44" s="31"/>
      <c r="I44" s="63"/>
      <c r="J44" s="31"/>
      <c r="K44" s="63"/>
      <c r="L44" s="31"/>
      <c r="M44" s="63"/>
      <c r="N44" s="50"/>
      <c r="O44" s="50"/>
      <c r="P44" s="50"/>
      <c r="Q44" s="56" t="e">
        <f t="shared" si="1"/>
        <v>#DIV/0!</v>
      </c>
      <c r="R44" s="219"/>
      <c r="S44" s="219"/>
      <c r="T44" s="219"/>
      <c r="U44" s="219"/>
      <c r="V44" s="199"/>
      <c r="W44" s="215"/>
      <c r="X44" s="215"/>
      <c r="Y44" s="215"/>
      <c r="Z44" s="215"/>
    </row>
    <row r="45" spans="1:26">
      <c r="A45" s="25">
        <v>38</v>
      </c>
      <c r="B45" s="26" t="s">
        <v>128</v>
      </c>
      <c r="C45" s="43"/>
      <c r="D45" s="215"/>
      <c r="E45" s="215"/>
      <c r="F45" s="31"/>
      <c r="G45" s="63"/>
      <c r="H45" s="31"/>
      <c r="I45" s="63"/>
      <c r="J45" s="31"/>
      <c r="K45" s="63"/>
      <c r="L45" s="31"/>
      <c r="M45" s="63"/>
      <c r="N45" s="50"/>
      <c r="O45" s="50"/>
      <c r="P45" s="50"/>
      <c r="Q45" s="56" t="e">
        <f t="shared" si="1"/>
        <v>#DIV/0!</v>
      </c>
      <c r="R45" s="219"/>
      <c r="S45" s="219"/>
      <c r="T45" s="219"/>
      <c r="U45" s="219"/>
      <c r="V45" s="199"/>
      <c r="W45" s="215"/>
      <c r="X45" s="215"/>
      <c r="Y45" s="215"/>
      <c r="Z45" s="215"/>
    </row>
    <row r="46" spans="1:26">
      <c r="A46" s="29">
        <v>39</v>
      </c>
      <c r="B46" s="26" t="s">
        <v>129</v>
      </c>
      <c r="C46" s="43"/>
      <c r="D46" s="215"/>
      <c r="E46" s="215"/>
      <c r="F46" s="31"/>
      <c r="G46" s="63"/>
      <c r="H46" s="31"/>
      <c r="I46" s="63"/>
      <c r="J46" s="31"/>
      <c r="K46" s="63"/>
      <c r="L46" s="31"/>
      <c r="M46" s="63"/>
      <c r="N46" s="50"/>
      <c r="O46" s="50"/>
      <c r="P46" s="50"/>
      <c r="Q46" s="56" t="e">
        <f t="shared" si="1"/>
        <v>#DIV/0!</v>
      </c>
      <c r="R46" s="219"/>
      <c r="S46" s="219"/>
      <c r="T46" s="219"/>
      <c r="U46" s="219"/>
      <c r="V46" s="199"/>
      <c r="W46" s="215"/>
      <c r="X46" s="215"/>
      <c r="Y46" s="215"/>
      <c r="Z46" s="215"/>
    </row>
    <row r="47" spans="1:26">
      <c r="A47" s="25">
        <v>40</v>
      </c>
      <c r="B47" s="26" t="s">
        <v>130</v>
      </c>
      <c r="C47" s="43"/>
      <c r="D47" s="215"/>
      <c r="E47" s="215"/>
      <c r="F47" s="31"/>
      <c r="G47" s="63"/>
      <c r="H47" s="31"/>
      <c r="I47" s="63"/>
      <c r="J47" s="31"/>
      <c r="K47" s="63"/>
      <c r="L47" s="31"/>
      <c r="M47" s="63"/>
      <c r="N47" s="50"/>
      <c r="O47" s="50"/>
      <c r="P47" s="50"/>
      <c r="Q47" s="56" t="e">
        <f t="shared" si="1"/>
        <v>#DIV/0!</v>
      </c>
      <c r="R47" s="219"/>
      <c r="S47" s="219"/>
      <c r="T47" s="219"/>
      <c r="U47" s="219"/>
      <c r="V47" s="199"/>
      <c r="W47" s="215"/>
      <c r="X47" s="215"/>
      <c r="Y47" s="215"/>
      <c r="Z47" s="215"/>
    </row>
    <row r="48" spans="1:26">
      <c r="A48" s="29">
        <v>41</v>
      </c>
      <c r="B48" s="26" t="s">
        <v>131</v>
      </c>
      <c r="C48" s="43"/>
      <c r="D48" s="215"/>
      <c r="E48" s="215"/>
      <c r="F48" s="31"/>
      <c r="G48" s="63"/>
      <c r="H48" s="31"/>
      <c r="I48" s="63"/>
      <c r="J48" s="31"/>
      <c r="K48" s="63"/>
      <c r="L48" s="31"/>
      <c r="M48" s="63"/>
      <c r="N48" s="50"/>
      <c r="O48" s="50"/>
      <c r="P48" s="50"/>
      <c r="Q48" s="56" t="e">
        <f t="shared" si="1"/>
        <v>#DIV/0!</v>
      </c>
      <c r="R48" s="219"/>
      <c r="S48" s="219"/>
      <c r="T48" s="219"/>
      <c r="U48" s="219"/>
      <c r="V48" s="199"/>
      <c r="W48" s="215"/>
      <c r="X48" s="215"/>
      <c r="Y48" s="215"/>
      <c r="Z48" s="215"/>
    </row>
    <row r="49" spans="1:26">
      <c r="A49" s="25">
        <v>42</v>
      </c>
      <c r="B49" s="26" t="s">
        <v>132</v>
      </c>
      <c r="C49" s="43"/>
      <c r="D49" s="215"/>
      <c r="E49" s="215"/>
      <c r="F49" s="31"/>
      <c r="G49" s="63"/>
      <c r="H49" s="31"/>
      <c r="I49" s="63"/>
      <c r="J49" s="31"/>
      <c r="K49" s="63"/>
      <c r="L49" s="31"/>
      <c r="M49" s="63"/>
      <c r="N49" s="50"/>
      <c r="O49" s="50"/>
      <c r="P49" s="50"/>
      <c r="Q49" s="56" t="e">
        <f t="shared" si="1"/>
        <v>#DIV/0!</v>
      </c>
      <c r="R49" s="219"/>
      <c r="S49" s="219"/>
      <c r="T49" s="219"/>
      <c r="U49" s="219"/>
      <c r="V49" s="199"/>
      <c r="W49" s="215"/>
      <c r="X49" s="215"/>
      <c r="Y49" s="215"/>
      <c r="Z49" s="215"/>
    </row>
    <row r="50" spans="1:26">
      <c r="A50" s="29">
        <v>43</v>
      </c>
      <c r="B50" s="26" t="s">
        <v>133</v>
      </c>
      <c r="C50" s="43"/>
      <c r="D50" s="215"/>
      <c r="E50" s="215"/>
      <c r="F50" s="31"/>
      <c r="G50" s="63"/>
      <c r="H50" s="31"/>
      <c r="I50" s="63"/>
      <c r="J50" s="31"/>
      <c r="K50" s="63"/>
      <c r="L50" s="31"/>
      <c r="M50" s="63"/>
      <c r="N50" s="50"/>
      <c r="O50" s="50"/>
      <c r="P50" s="50"/>
      <c r="Q50" s="56" t="e">
        <f t="shared" si="1"/>
        <v>#DIV/0!</v>
      </c>
      <c r="R50" s="219"/>
      <c r="S50" s="219"/>
      <c r="T50" s="219"/>
      <c r="U50" s="219"/>
      <c r="V50" s="199"/>
      <c r="W50" s="215"/>
      <c r="X50" s="215"/>
      <c r="Y50" s="215"/>
      <c r="Z50" s="215"/>
    </row>
    <row r="51" spans="1:26">
      <c r="A51" s="25">
        <v>44</v>
      </c>
      <c r="B51" s="26" t="s">
        <v>134</v>
      </c>
      <c r="C51" s="43"/>
      <c r="D51" s="215"/>
      <c r="E51" s="215"/>
      <c r="F51" s="31"/>
      <c r="G51" s="63"/>
      <c r="H51" s="31"/>
      <c r="I51" s="63"/>
      <c r="J51" s="31"/>
      <c r="K51" s="63"/>
      <c r="L51" s="31"/>
      <c r="M51" s="63"/>
      <c r="N51" s="50"/>
      <c r="O51" s="50"/>
      <c r="P51" s="50"/>
      <c r="Q51" s="56" t="e">
        <f t="shared" si="1"/>
        <v>#DIV/0!</v>
      </c>
      <c r="R51" s="219"/>
      <c r="S51" s="219"/>
      <c r="T51" s="219"/>
      <c r="U51" s="219"/>
      <c r="V51" s="199"/>
      <c r="W51" s="215"/>
      <c r="X51" s="215"/>
      <c r="Y51" s="215"/>
      <c r="Z51" s="215"/>
    </row>
    <row r="52" spans="1:26">
      <c r="A52" s="29">
        <v>45</v>
      </c>
      <c r="B52" s="26" t="s">
        <v>135</v>
      </c>
      <c r="C52" s="43"/>
      <c r="D52" s="215"/>
      <c r="E52" s="215"/>
      <c r="F52" s="31"/>
      <c r="G52" s="63"/>
      <c r="H52" s="31"/>
      <c r="I52" s="63"/>
      <c r="J52" s="31"/>
      <c r="K52" s="63"/>
      <c r="L52" s="31"/>
      <c r="M52" s="63"/>
      <c r="N52" s="50"/>
      <c r="O52" s="50"/>
      <c r="P52" s="50"/>
      <c r="Q52" s="56" t="e">
        <f t="shared" si="1"/>
        <v>#DIV/0!</v>
      </c>
      <c r="R52" s="219"/>
      <c r="S52" s="219"/>
      <c r="T52" s="219"/>
      <c r="U52" s="219"/>
      <c r="V52" s="199"/>
      <c r="W52" s="215"/>
      <c r="X52" s="215"/>
      <c r="Y52" s="215"/>
      <c r="Z52" s="215"/>
    </row>
    <row r="53" spans="1:26">
      <c r="A53" s="25">
        <v>46</v>
      </c>
      <c r="B53" s="26" t="s">
        <v>136</v>
      </c>
      <c r="C53" s="43"/>
      <c r="D53" s="215"/>
      <c r="E53" s="215"/>
      <c r="F53" s="31"/>
      <c r="G53" s="63"/>
      <c r="H53" s="31"/>
      <c r="I53" s="63"/>
      <c r="J53" s="31"/>
      <c r="K53" s="63"/>
      <c r="L53" s="31"/>
      <c r="M53" s="63"/>
      <c r="N53" s="50"/>
      <c r="O53" s="50"/>
      <c r="P53" s="50"/>
      <c r="Q53" s="56" t="e">
        <f t="shared" si="1"/>
        <v>#DIV/0!</v>
      </c>
      <c r="R53" s="219"/>
      <c r="S53" s="219"/>
      <c r="T53" s="219"/>
      <c r="U53" s="219"/>
      <c r="V53" s="199"/>
      <c r="W53" s="215"/>
      <c r="X53" s="215"/>
      <c r="Y53" s="215"/>
      <c r="Z53" s="215"/>
    </row>
    <row r="54" spans="1:26">
      <c r="A54" s="29">
        <v>47</v>
      </c>
      <c r="B54" s="26" t="s">
        <v>137</v>
      </c>
      <c r="C54" s="43"/>
      <c r="D54" s="215"/>
      <c r="E54" s="215"/>
      <c r="F54" s="31"/>
      <c r="G54" s="63"/>
      <c r="H54" s="31"/>
      <c r="I54" s="63"/>
      <c r="J54" s="31"/>
      <c r="K54" s="63"/>
      <c r="L54" s="31"/>
      <c r="M54" s="63"/>
      <c r="N54" s="50"/>
      <c r="O54" s="50"/>
      <c r="P54" s="50"/>
      <c r="Q54" s="56" t="e">
        <f t="shared" si="1"/>
        <v>#DIV/0!</v>
      </c>
      <c r="R54" s="219"/>
      <c r="S54" s="219"/>
      <c r="T54" s="219"/>
      <c r="U54" s="219"/>
      <c r="V54" s="199"/>
      <c r="W54" s="215"/>
      <c r="X54" s="215"/>
      <c r="Y54" s="215"/>
      <c r="Z54" s="215"/>
    </row>
    <row r="55" spans="1:26">
      <c r="A55" s="25">
        <v>48</v>
      </c>
      <c r="B55" s="26" t="s">
        <v>138</v>
      </c>
      <c r="C55" s="43"/>
      <c r="D55" s="215"/>
      <c r="E55" s="215"/>
      <c r="F55" s="31"/>
      <c r="G55" s="63"/>
      <c r="H55" s="31"/>
      <c r="I55" s="63"/>
      <c r="J55" s="31"/>
      <c r="K55" s="63"/>
      <c r="L55" s="31"/>
      <c r="M55" s="63"/>
      <c r="N55" s="50"/>
      <c r="O55" s="50"/>
      <c r="P55" s="50"/>
      <c r="Q55" s="56" t="e">
        <f t="shared" si="1"/>
        <v>#DIV/0!</v>
      </c>
      <c r="R55" s="219"/>
      <c r="S55" s="219"/>
      <c r="T55" s="219"/>
      <c r="U55" s="219"/>
      <c r="V55" s="199"/>
      <c r="W55" s="215"/>
      <c r="X55" s="215"/>
      <c r="Y55" s="215"/>
      <c r="Z55" s="215"/>
    </row>
    <row r="56" spans="1:26">
      <c r="A56" s="29">
        <v>49</v>
      </c>
      <c r="B56" s="26" t="s">
        <v>139</v>
      </c>
      <c r="C56" s="43"/>
      <c r="D56" s="215"/>
      <c r="E56" s="215"/>
      <c r="F56" s="31"/>
      <c r="G56" s="63"/>
      <c r="H56" s="31"/>
      <c r="I56" s="63"/>
      <c r="J56" s="31"/>
      <c r="K56" s="63"/>
      <c r="L56" s="31"/>
      <c r="M56" s="63"/>
      <c r="N56" s="50"/>
      <c r="O56" s="50"/>
      <c r="P56" s="50"/>
      <c r="Q56" s="56" t="e">
        <f t="shared" si="1"/>
        <v>#DIV/0!</v>
      </c>
      <c r="R56" s="219"/>
      <c r="S56" s="219"/>
      <c r="T56" s="219"/>
      <c r="U56" s="219"/>
      <c r="V56" s="199"/>
      <c r="W56" s="215"/>
      <c r="X56" s="215"/>
      <c r="Y56" s="215"/>
      <c r="Z56" s="215"/>
    </row>
    <row r="57" spans="1:26">
      <c r="A57" s="25">
        <v>50</v>
      </c>
      <c r="B57" s="26" t="s">
        <v>140</v>
      </c>
      <c r="C57" s="43"/>
      <c r="D57" s="215"/>
      <c r="E57" s="215"/>
      <c r="F57" s="31"/>
      <c r="G57" s="63"/>
      <c r="H57" s="31"/>
      <c r="I57" s="63"/>
      <c r="J57" s="31"/>
      <c r="K57" s="63"/>
      <c r="L57" s="31"/>
      <c r="M57" s="63"/>
      <c r="N57" s="50"/>
      <c r="O57" s="50"/>
      <c r="P57" s="50"/>
      <c r="Q57" s="56" t="e">
        <f t="shared" si="1"/>
        <v>#DIV/0!</v>
      </c>
      <c r="R57" s="219"/>
      <c r="S57" s="219"/>
      <c r="T57" s="219"/>
      <c r="U57" s="219"/>
      <c r="V57" s="199"/>
      <c r="W57" s="215"/>
      <c r="X57" s="215"/>
      <c r="Y57" s="215"/>
      <c r="Z57" s="215"/>
    </row>
    <row r="58" spans="1:26">
      <c r="A58" s="29">
        <v>51</v>
      </c>
      <c r="B58" s="26" t="s">
        <v>141</v>
      </c>
      <c r="C58" s="43"/>
      <c r="D58" s="215"/>
      <c r="E58" s="215"/>
      <c r="F58" s="31"/>
      <c r="G58" s="63"/>
      <c r="H58" s="31"/>
      <c r="I58" s="63"/>
      <c r="J58" s="31"/>
      <c r="K58" s="63"/>
      <c r="L58" s="31"/>
      <c r="M58" s="63"/>
      <c r="N58" s="50"/>
      <c r="O58" s="50"/>
      <c r="P58" s="50"/>
      <c r="Q58" s="56" t="e">
        <f t="shared" si="1"/>
        <v>#DIV/0!</v>
      </c>
      <c r="R58" s="219"/>
      <c r="S58" s="219"/>
      <c r="T58" s="219"/>
      <c r="U58" s="219"/>
      <c r="V58" s="199"/>
      <c r="W58" s="215"/>
      <c r="X58" s="215"/>
      <c r="Y58" s="215"/>
      <c r="Z58" s="215"/>
    </row>
    <row r="59" spans="1:26">
      <c r="A59" s="25">
        <v>52</v>
      </c>
      <c r="B59" s="26" t="s">
        <v>142</v>
      </c>
      <c r="C59" s="43"/>
      <c r="D59" s="215"/>
      <c r="E59" s="215"/>
      <c r="F59" s="31"/>
      <c r="G59" s="63"/>
      <c r="H59" s="31"/>
      <c r="I59" s="63"/>
      <c r="J59" s="31"/>
      <c r="K59" s="63"/>
      <c r="L59" s="31"/>
      <c r="M59" s="63"/>
      <c r="N59" s="50"/>
      <c r="O59" s="50"/>
      <c r="P59" s="50"/>
      <c r="Q59" s="56" t="e">
        <f t="shared" si="1"/>
        <v>#DIV/0!</v>
      </c>
      <c r="R59" s="219"/>
      <c r="S59" s="219"/>
      <c r="T59" s="219"/>
      <c r="U59" s="219"/>
      <c r="V59" s="199"/>
      <c r="W59" s="215"/>
      <c r="X59" s="215"/>
      <c r="Y59" s="215"/>
      <c r="Z59" s="215"/>
    </row>
    <row r="60" spans="1:26">
      <c r="A60" s="29">
        <v>53</v>
      </c>
      <c r="B60" s="26" t="s">
        <v>143</v>
      </c>
      <c r="C60" s="43"/>
      <c r="D60" s="215"/>
      <c r="E60" s="215"/>
      <c r="F60" s="31"/>
      <c r="G60" s="63"/>
      <c r="H60" s="31"/>
      <c r="I60" s="63"/>
      <c r="J60" s="31"/>
      <c r="K60" s="63"/>
      <c r="L60" s="31"/>
      <c r="M60" s="63"/>
      <c r="N60" s="50"/>
      <c r="O60" s="50"/>
      <c r="P60" s="50"/>
      <c r="Q60" s="56" t="e">
        <f t="shared" si="1"/>
        <v>#DIV/0!</v>
      </c>
      <c r="R60" s="219"/>
      <c r="S60" s="219"/>
      <c r="T60" s="219"/>
      <c r="U60" s="219"/>
      <c r="V60" s="199"/>
      <c r="W60" s="215"/>
      <c r="X60" s="215"/>
      <c r="Y60" s="215"/>
      <c r="Z60" s="215"/>
    </row>
    <row r="61" spans="1:26">
      <c r="A61" s="25">
        <v>54</v>
      </c>
      <c r="B61" s="26" t="s">
        <v>144</v>
      </c>
      <c r="C61" s="43"/>
      <c r="D61" s="215"/>
      <c r="E61" s="215"/>
      <c r="F61" s="31"/>
      <c r="G61" s="63"/>
      <c r="H61" s="31"/>
      <c r="I61" s="63"/>
      <c r="J61" s="31"/>
      <c r="K61" s="63"/>
      <c r="L61" s="31"/>
      <c r="M61" s="63"/>
      <c r="N61" s="50"/>
      <c r="O61" s="50"/>
      <c r="P61" s="50"/>
      <c r="Q61" s="56" t="e">
        <f t="shared" si="1"/>
        <v>#DIV/0!</v>
      </c>
      <c r="R61" s="219"/>
      <c r="S61" s="219"/>
      <c r="T61" s="219"/>
      <c r="U61" s="219"/>
      <c r="V61" s="199"/>
      <c r="W61" s="215"/>
      <c r="X61" s="215"/>
      <c r="Y61" s="215"/>
      <c r="Z61" s="215"/>
    </row>
    <row r="62" spans="1:26">
      <c r="A62" s="29">
        <v>55</v>
      </c>
      <c r="B62" s="26" t="s">
        <v>145</v>
      </c>
      <c r="C62" s="43"/>
      <c r="D62" s="215"/>
      <c r="E62" s="215"/>
      <c r="F62" s="31"/>
      <c r="G62" s="63"/>
      <c r="H62" s="31"/>
      <c r="I62" s="63"/>
      <c r="J62" s="31"/>
      <c r="K62" s="63"/>
      <c r="L62" s="31"/>
      <c r="M62" s="63"/>
      <c r="N62" s="50"/>
      <c r="O62" s="50"/>
      <c r="P62" s="50"/>
      <c r="Q62" s="56" t="e">
        <f t="shared" si="1"/>
        <v>#DIV/0!</v>
      </c>
      <c r="R62" s="219"/>
      <c r="S62" s="219"/>
      <c r="T62" s="219"/>
      <c r="U62" s="219"/>
      <c r="V62" s="199"/>
      <c r="W62" s="215"/>
      <c r="X62" s="215"/>
      <c r="Y62" s="215"/>
      <c r="Z62" s="215"/>
    </row>
    <row r="63" spans="1:26">
      <c r="A63" s="25">
        <v>56</v>
      </c>
      <c r="B63" s="26" t="s">
        <v>146</v>
      </c>
      <c r="C63" s="43"/>
      <c r="D63" s="215"/>
      <c r="E63" s="215"/>
      <c r="F63" s="31"/>
      <c r="G63" s="63"/>
      <c r="H63" s="31"/>
      <c r="I63" s="63"/>
      <c r="J63" s="31"/>
      <c r="K63" s="63"/>
      <c r="L63" s="31"/>
      <c r="M63" s="63"/>
      <c r="N63" s="50"/>
      <c r="O63" s="50"/>
      <c r="P63" s="50"/>
      <c r="Q63" s="56" t="e">
        <f t="shared" si="1"/>
        <v>#DIV/0!</v>
      </c>
      <c r="R63" s="219"/>
      <c r="S63" s="219"/>
      <c r="T63" s="219"/>
      <c r="U63" s="219"/>
      <c r="V63" s="199"/>
      <c r="W63" s="215"/>
      <c r="X63" s="215"/>
      <c r="Y63" s="215"/>
      <c r="Z63" s="215"/>
    </row>
    <row r="64" spans="1:26">
      <c r="A64" s="29">
        <v>57</v>
      </c>
      <c r="B64" s="26" t="s">
        <v>147</v>
      </c>
      <c r="C64" s="43"/>
      <c r="D64" s="215"/>
      <c r="E64" s="215"/>
      <c r="F64" s="31"/>
      <c r="G64" s="63"/>
      <c r="H64" s="31"/>
      <c r="I64" s="63"/>
      <c r="J64" s="31"/>
      <c r="K64" s="63"/>
      <c r="L64" s="31"/>
      <c r="M64" s="63"/>
      <c r="N64" s="50"/>
      <c r="O64" s="50"/>
      <c r="P64" s="50"/>
      <c r="Q64" s="56" t="e">
        <f t="shared" si="1"/>
        <v>#DIV/0!</v>
      </c>
      <c r="R64" s="219"/>
      <c r="S64" s="219"/>
      <c r="T64" s="219"/>
      <c r="U64" s="219"/>
      <c r="V64" s="199"/>
      <c r="W64" s="215"/>
      <c r="X64" s="215"/>
      <c r="Y64" s="215"/>
      <c r="Z64" s="215"/>
    </row>
    <row r="65" spans="1:26">
      <c r="A65" s="25">
        <v>58</v>
      </c>
      <c r="B65" s="26" t="s">
        <v>148</v>
      </c>
      <c r="C65" s="43"/>
      <c r="D65" s="215"/>
      <c r="E65" s="215"/>
      <c r="F65" s="31"/>
      <c r="G65" s="63"/>
      <c r="H65" s="31"/>
      <c r="I65" s="63"/>
      <c r="J65" s="31"/>
      <c r="K65" s="63"/>
      <c r="L65" s="31"/>
      <c r="M65" s="63"/>
      <c r="N65" s="50"/>
      <c r="O65" s="50"/>
      <c r="P65" s="50"/>
      <c r="Q65" s="56" t="e">
        <f t="shared" si="1"/>
        <v>#DIV/0!</v>
      </c>
      <c r="R65" s="219"/>
      <c r="S65" s="219"/>
      <c r="T65" s="219"/>
      <c r="U65" s="219"/>
      <c r="V65" s="199"/>
      <c r="W65" s="215"/>
      <c r="X65" s="215"/>
      <c r="Y65" s="215"/>
      <c r="Z65" s="215"/>
    </row>
    <row r="66" spans="1:26">
      <c r="A66" s="29">
        <v>59</v>
      </c>
      <c r="B66" s="26" t="s">
        <v>149</v>
      </c>
      <c r="C66" s="43"/>
      <c r="D66" s="215"/>
      <c r="E66" s="215"/>
      <c r="F66" s="31"/>
      <c r="G66" s="63"/>
      <c r="H66" s="31"/>
      <c r="I66" s="63"/>
      <c r="J66" s="31"/>
      <c r="K66" s="63"/>
      <c r="L66" s="31"/>
      <c r="M66" s="63"/>
      <c r="N66" s="50"/>
      <c r="O66" s="50"/>
      <c r="P66" s="50"/>
      <c r="Q66" s="56" t="e">
        <f t="shared" si="1"/>
        <v>#DIV/0!</v>
      </c>
      <c r="R66" s="219"/>
      <c r="S66" s="219"/>
      <c r="T66" s="219"/>
      <c r="U66" s="219"/>
      <c r="V66" s="199"/>
      <c r="W66" s="215"/>
      <c r="X66" s="215"/>
      <c r="Y66" s="215"/>
      <c r="Z66" s="215"/>
    </row>
    <row r="67" spans="1:26">
      <c r="A67" s="25">
        <v>60</v>
      </c>
      <c r="B67" s="26" t="s">
        <v>150</v>
      </c>
      <c r="C67" s="43"/>
      <c r="D67" s="215"/>
      <c r="E67" s="215"/>
      <c r="F67" s="31"/>
      <c r="G67" s="63"/>
      <c r="H67" s="31"/>
      <c r="I67" s="63"/>
      <c r="J67" s="31"/>
      <c r="K67" s="63"/>
      <c r="L67" s="31"/>
      <c r="M67" s="63"/>
      <c r="N67" s="50"/>
      <c r="O67" s="50"/>
      <c r="P67" s="50"/>
      <c r="Q67" s="56" t="e">
        <f t="shared" si="1"/>
        <v>#DIV/0!</v>
      </c>
      <c r="R67" s="219"/>
      <c r="S67" s="219"/>
      <c r="T67" s="219"/>
      <c r="U67" s="219"/>
      <c r="V67" s="199"/>
      <c r="W67" s="215"/>
      <c r="X67" s="215"/>
      <c r="Y67" s="215"/>
      <c r="Z67" s="215"/>
    </row>
    <row r="68" spans="1:26">
      <c r="A68" s="29">
        <v>61</v>
      </c>
      <c r="B68" s="26" t="s">
        <v>151</v>
      </c>
      <c r="C68" s="43"/>
      <c r="D68" s="215"/>
      <c r="E68" s="215"/>
      <c r="F68" s="31"/>
      <c r="G68" s="63"/>
      <c r="H68" s="31"/>
      <c r="I68" s="63"/>
      <c r="J68" s="31"/>
      <c r="K68" s="63"/>
      <c r="L68" s="31"/>
      <c r="M68" s="63"/>
      <c r="N68" s="50"/>
      <c r="O68" s="50"/>
      <c r="P68" s="50"/>
      <c r="Q68" s="56" t="e">
        <f t="shared" si="1"/>
        <v>#DIV/0!</v>
      </c>
      <c r="R68" s="219"/>
      <c r="S68" s="219"/>
      <c r="T68" s="219"/>
      <c r="U68" s="219"/>
      <c r="V68" s="199"/>
      <c r="W68" s="215"/>
      <c r="X68" s="215"/>
      <c r="Y68" s="215"/>
      <c r="Z68" s="215"/>
    </row>
    <row r="69" spans="1:26">
      <c r="A69" s="25">
        <v>62</v>
      </c>
      <c r="B69" s="26" t="s">
        <v>152</v>
      </c>
      <c r="C69" s="43"/>
      <c r="D69" s="215"/>
      <c r="E69" s="215"/>
      <c r="F69" s="31"/>
      <c r="G69" s="63"/>
      <c r="H69" s="31"/>
      <c r="I69" s="63"/>
      <c r="J69" s="31"/>
      <c r="K69" s="63"/>
      <c r="L69" s="31"/>
      <c r="M69" s="63"/>
      <c r="N69" s="50"/>
      <c r="O69" s="50"/>
      <c r="P69" s="50"/>
      <c r="Q69" s="56" t="e">
        <f t="shared" si="1"/>
        <v>#DIV/0!</v>
      </c>
      <c r="R69" s="219"/>
      <c r="S69" s="219"/>
      <c r="T69" s="219"/>
      <c r="U69" s="219"/>
      <c r="V69" s="199"/>
      <c r="W69" s="215"/>
      <c r="X69" s="215"/>
      <c r="Y69" s="215"/>
      <c r="Z69" s="215"/>
    </row>
    <row r="70" spans="1:26">
      <c r="A70" s="107" t="s">
        <v>154</v>
      </c>
      <c r="B70" s="214"/>
      <c r="C70" s="215"/>
      <c r="D70" s="215"/>
      <c r="E70" s="215"/>
      <c r="F70" s="216"/>
      <c r="G70" s="27"/>
      <c r="H70" s="215"/>
      <c r="I70" s="27"/>
      <c r="J70" s="216"/>
      <c r="K70" s="27"/>
      <c r="L70" s="215"/>
      <c r="M70" s="110"/>
      <c r="N70" s="217"/>
      <c r="O70" s="217"/>
      <c r="P70" s="217"/>
      <c r="Q70" s="215"/>
      <c r="R70" s="217"/>
      <c r="S70" s="217"/>
      <c r="T70" s="217"/>
      <c r="U70" s="217"/>
      <c r="V70" s="110"/>
      <c r="W70" s="215"/>
      <c r="X70" s="215"/>
      <c r="Y70" s="215"/>
      <c r="Z70" s="215"/>
    </row>
    <row r="71" s="5" customFormat="1" ht="15" customHeight="1" spans="1:26">
      <c r="A71" s="25">
        <v>63</v>
      </c>
      <c r="B71" s="26" t="s">
        <v>111</v>
      </c>
      <c r="C71" s="28"/>
      <c r="D71" s="28"/>
      <c r="E71" s="28"/>
      <c r="F71" s="28"/>
      <c r="G71" s="62"/>
      <c r="H71" s="28"/>
      <c r="I71" s="62"/>
      <c r="J71" s="28"/>
      <c r="K71" s="62"/>
      <c r="L71" s="28"/>
      <c r="M71" s="62"/>
      <c r="N71" s="49">
        <f>SUM(N72:N101)</f>
        <v>0</v>
      </c>
      <c r="O71" s="49">
        <f>SUM(O72:O101)</f>
        <v>0</v>
      </c>
      <c r="P71" s="49">
        <f>SUM(P72:P101)</f>
        <v>0</v>
      </c>
      <c r="Q71" s="56" t="e">
        <f>O71/N71</f>
        <v>#DIV/0!</v>
      </c>
      <c r="R71" s="49">
        <f>SUM(R72:R101)</f>
        <v>0</v>
      </c>
      <c r="S71" s="49">
        <f>SUM(S72:S101)</f>
        <v>0</v>
      </c>
      <c r="T71" s="49">
        <f>SUM(T72:T101)</f>
        <v>0</v>
      </c>
      <c r="U71" s="49">
        <f>SUM(U72:U101)</f>
        <v>0</v>
      </c>
      <c r="V71" s="199"/>
      <c r="W71" s="28"/>
      <c r="X71" s="28"/>
      <c r="Y71" s="28"/>
      <c r="Z71" s="28"/>
    </row>
    <row r="72" spans="1:26">
      <c r="A72" s="29">
        <v>64</v>
      </c>
      <c r="B72" s="26" t="s">
        <v>123</v>
      </c>
      <c r="C72" s="43"/>
      <c r="D72" s="215"/>
      <c r="E72" s="215"/>
      <c r="F72" s="31"/>
      <c r="G72" s="63"/>
      <c r="H72" s="31"/>
      <c r="I72" s="63"/>
      <c r="J72" s="31"/>
      <c r="K72" s="63"/>
      <c r="L72" s="31"/>
      <c r="M72" s="63"/>
      <c r="N72" s="50"/>
      <c r="O72" s="50"/>
      <c r="P72" s="50"/>
      <c r="Q72" s="56" t="e">
        <f t="shared" ref="Q72:Q101" si="2">O72/N72</f>
        <v>#DIV/0!</v>
      </c>
      <c r="R72" s="219"/>
      <c r="S72" s="219"/>
      <c r="T72" s="219"/>
      <c r="U72" s="219"/>
      <c r="V72" s="199"/>
      <c r="W72" s="215"/>
      <c r="X72" s="215"/>
      <c r="Y72" s="215"/>
      <c r="Z72" s="215"/>
    </row>
    <row r="73" spans="1:26">
      <c r="A73" s="25">
        <v>65</v>
      </c>
      <c r="B73" s="26" t="s">
        <v>124</v>
      </c>
      <c r="C73" s="43"/>
      <c r="D73" s="215"/>
      <c r="E73" s="215"/>
      <c r="F73" s="31"/>
      <c r="G73" s="63"/>
      <c r="H73" s="31"/>
      <c r="I73" s="63"/>
      <c r="J73" s="31"/>
      <c r="K73" s="63"/>
      <c r="L73" s="31"/>
      <c r="M73" s="63"/>
      <c r="N73" s="50"/>
      <c r="O73" s="50"/>
      <c r="P73" s="50"/>
      <c r="Q73" s="56" t="e">
        <f t="shared" si="2"/>
        <v>#DIV/0!</v>
      </c>
      <c r="R73" s="219"/>
      <c r="S73" s="219"/>
      <c r="T73" s="219"/>
      <c r="U73" s="219"/>
      <c r="V73" s="199"/>
      <c r="W73" s="215"/>
      <c r="X73" s="215"/>
      <c r="Y73" s="215"/>
      <c r="Z73" s="215"/>
    </row>
    <row r="74" spans="1:26">
      <c r="A74" s="29">
        <v>66</v>
      </c>
      <c r="B74" s="26" t="s">
        <v>125</v>
      </c>
      <c r="C74" s="43"/>
      <c r="D74" s="215"/>
      <c r="E74" s="215"/>
      <c r="F74" s="31"/>
      <c r="G74" s="63"/>
      <c r="H74" s="31"/>
      <c r="I74" s="63"/>
      <c r="J74" s="31"/>
      <c r="K74" s="63"/>
      <c r="L74" s="31"/>
      <c r="M74" s="63"/>
      <c r="N74" s="50"/>
      <c r="O74" s="50"/>
      <c r="P74" s="50"/>
      <c r="Q74" s="56" t="e">
        <f t="shared" si="2"/>
        <v>#DIV/0!</v>
      </c>
      <c r="R74" s="219"/>
      <c r="S74" s="219"/>
      <c r="T74" s="219"/>
      <c r="U74" s="219"/>
      <c r="V74" s="199"/>
      <c r="W74" s="215"/>
      <c r="X74" s="215"/>
      <c r="Y74" s="215"/>
      <c r="Z74" s="215"/>
    </row>
    <row r="75" spans="1:26">
      <c r="A75" s="25">
        <v>67</v>
      </c>
      <c r="B75" s="26" t="s">
        <v>126</v>
      </c>
      <c r="C75" s="43"/>
      <c r="D75" s="215"/>
      <c r="E75" s="215"/>
      <c r="F75" s="31"/>
      <c r="G75" s="63"/>
      <c r="H75" s="31"/>
      <c r="I75" s="63"/>
      <c r="J75" s="31"/>
      <c r="K75" s="63"/>
      <c r="L75" s="31"/>
      <c r="M75" s="63"/>
      <c r="N75" s="50"/>
      <c r="O75" s="50"/>
      <c r="P75" s="50"/>
      <c r="Q75" s="56" t="e">
        <f t="shared" si="2"/>
        <v>#DIV/0!</v>
      </c>
      <c r="R75" s="219"/>
      <c r="S75" s="219"/>
      <c r="T75" s="219"/>
      <c r="U75" s="219"/>
      <c r="V75" s="199"/>
      <c r="W75" s="215"/>
      <c r="X75" s="215"/>
      <c r="Y75" s="215"/>
      <c r="Z75" s="215"/>
    </row>
    <row r="76" spans="1:26">
      <c r="A76" s="29">
        <v>68</v>
      </c>
      <c r="B76" s="26" t="s">
        <v>127</v>
      </c>
      <c r="C76" s="43"/>
      <c r="D76" s="215"/>
      <c r="E76" s="215"/>
      <c r="F76" s="31"/>
      <c r="G76" s="63"/>
      <c r="H76" s="31"/>
      <c r="I76" s="63"/>
      <c r="J76" s="31"/>
      <c r="K76" s="63"/>
      <c r="L76" s="31"/>
      <c r="M76" s="63"/>
      <c r="N76" s="50"/>
      <c r="O76" s="50"/>
      <c r="P76" s="50"/>
      <c r="Q76" s="56" t="e">
        <f t="shared" si="2"/>
        <v>#DIV/0!</v>
      </c>
      <c r="R76" s="219"/>
      <c r="S76" s="219"/>
      <c r="T76" s="219"/>
      <c r="U76" s="219"/>
      <c r="V76" s="199"/>
      <c r="W76" s="215"/>
      <c r="X76" s="215"/>
      <c r="Y76" s="215"/>
      <c r="Z76" s="215"/>
    </row>
    <row r="77" spans="1:26">
      <c r="A77" s="25">
        <v>69</v>
      </c>
      <c r="B77" s="26" t="s">
        <v>128</v>
      </c>
      <c r="C77" s="43"/>
      <c r="D77" s="215"/>
      <c r="E77" s="215"/>
      <c r="F77" s="31"/>
      <c r="G77" s="63"/>
      <c r="H77" s="31"/>
      <c r="I77" s="63"/>
      <c r="J77" s="31"/>
      <c r="K77" s="63"/>
      <c r="L77" s="31"/>
      <c r="M77" s="63"/>
      <c r="N77" s="50"/>
      <c r="O77" s="50"/>
      <c r="P77" s="50"/>
      <c r="Q77" s="56" t="e">
        <f t="shared" si="2"/>
        <v>#DIV/0!</v>
      </c>
      <c r="R77" s="219"/>
      <c r="S77" s="219"/>
      <c r="T77" s="219"/>
      <c r="U77" s="219"/>
      <c r="V77" s="199"/>
      <c r="W77" s="215"/>
      <c r="X77" s="215"/>
      <c r="Y77" s="215"/>
      <c r="Z77" s="215"/>
    </row>
    <row r="78" spans="1:26">
      <c r="A78" s="29">
        <v>70</v>
      </c>
      <c r="B78" s="26" t="s">
        <v>129</v>
      </c>
      <c r="C78" s="43"/>
      <c r="D78" s="215"/>
      <c r="E78" s="215"/>
      <c r="F78" s="31"/>
      <c r="G78" s="63"/>
      <c r="H78" s="31"/>
      <c r="I78" s="63"/>
      <c r="J78" s="31"/>
      <c r="K78" s="63"/>
      <c r="L78" s="31"/>
      <c r="M78" s="63"/>
      <c r="N78" s="50"/>
      <c r="O78" s="50"/>
      <c r="P78" s="50"/>
      <c r="Q78" s="56" t="e">
        <f t="shared" si="2"/>
        <v>#DIV/0!</v>
      </c>
      <c r="R78" s="219"/>
      <c r="S78" s="219"/>
      <c r="T78" s="219"/>
      <c r="U78" s="219"/>
      <c r="V78" s="199"/>
      <c r="W78" s="215"/>
      <c r="X78" s="215"/>
      <c r="Y78" s="215"/>
      <c r="Z78" s="215"/>
    </row>
    <row r="79" spans="1:26">
      <c r="A79" s="25">
        <v>71</v>
      </c>
      <c r="B79" s="26" t="s">
        <v>130</v>
      </c>
      <c r="C79" s="43"/>
      <c r="D79" s="215"/>
      <c r="E79" s="215"/>
      <c r="F79" s="31"/>
      <c r="G79" s="63"/>
      <c r="H79" s="31"/>
      <c r="I79" s="63"/>
      <c r="J79" s="31"/>
      <c r="K79" s="63"/>
      <c r="L79" s="31"/>
      <c r="M79" s="63"/>
      <c r="N79" s="50"/>
      <c r="O79" s="50"/>
      <c r="P79" s="50"/>
      <c r="Q79" s="56" t="e">
        <f t="shared" si="2"/>
        <v>#DIV/0!</v>
      </c>
      <c r="R79" s="219"/>
      <c r="S79" s="219"/>
      <c r="T79" s="219"/>
      <c r="U79" s="219"/>
      <c r="V79" s="199"/>
      <c r="W79" s="215"/>
      <c r="X79" s="215"/>
      <c r="Y79" s="215"/>
      <c r="Z79" s="215"/>
    </row>
    <row r="80" spans="1:26">
      <c r="A80" s="29">
        <v>72</v>
      </c>
      <c r="B80" s="26" t="s">
        <v>131</v>
      </c>
      <c r="C80" s="43"/>
      <c r="D80" s="215"/>
      <c r="E80" s="215"/>
      <c r="F80" s="31"/>
      <c r="G80" s="63"/>
      <c r="H80" s="31"/>
      <c r="I80" s="63"/>
      <c r="J80" s="31"/>
      <c r="K80" s="63"/>
      <c r="L80" s="31"/>
      <c r="M80" s="63"/>
      <c r="N80" s="50"/>
      <c r="O80" s="50"/>
      <c r="P80" s="50"/>
      <c r="Q80" s="56" t="e">
        <f t="shared" si="2"/>
        <v>#DIV/0!</v>
      </c>
      <c r="R80" s="219"/>
      <c r="S80" s="219"/>
      <c r="T80" s="219"/>
      <c r="U80" s="219"/>
      <c r="V80" s="199"/>
      <c r="W80" s="215"/>
      <c r="X80" s="215"/>
      <c r="Y80" s="215"/>
      <c r="Z80" s="215"/>
    </row>
    <row r="81" spans="1:26">
      <c r="A81" s="25">
        <v>73</v>
      </c>
      <c r="B81" s="26" t="s">
        <v>132</v>
      </c>
      <c r="C81" s="43"/>
      <c r="D81" s="215"/>
      <c r="E81" s="215"/>
      <c r="F81" s="31"/>
      <c r="G81" s="63"/>
      <c r="H81" s="31"/>
      <c r="I81" s="63"/>
      <c r="J81" s="31"/>
      <c r="K81" s="63"/>
      <c r="L81" s="31"/>
      <c r="M81" s="63"/>
      <c r="N81" s="50"/>
      <c r="O81" s="50"/>
      <c r="P81" s="50"/>
      <c r="Q81" s="56" t="e">
        <f t="shared" si="2"/>
        <v>#DIV/0!</v>
      </c>
      <c r="R81" s="219"/>
      <c r="S81" s="219"/>
      <c r="T81" s="219"/>
      <c r="U81" s="219"/>
      <c r="V81" s="199"/>
      <c r="W81" s="215"/>
      <c r="X81" s="215"/>
      <c r="Y81" s="215"/>
      <c r="Z81" s="215"/>
    </row>
    <row r="82" spans="1:26">
      <c r="A82" s="29">
        <v>74</v>
      </c>
      <c r="B82" s="26" t="s">
        <v>133</v>
      </c>
      <c r="C82" s="43"/>
      <c r="D82" s="215"/>
      <c r="E82" s="215"/>
      <c r="F82" s="31"/>
      <c r="G82" s="63"/>
      <c r="H82" s="31"/>
      <c r="I82" s="63"/>
      <c r="J82" s="31"/>
      <c r="K82" s="63"/>
      <c r="L82" s="31"/>
      <c r="M82" s="63"/>
      <c r="N82" s="50"/>
      <c r="O82" s="50"/>
      <c r="P82" s="50"/>
      <c r="Q82" s="56" t="e">
        <f t="shared" si="2"/>
        <v>#DIV/0!</v>
      </c>
      <c r="R82" s="219"/>
      <c r="S82" s="219"/>
      <c r="T82" s="219"/>
      <c r="U82" s="219"/>
      <c r="V82" s="199"/>
      <c r="W82" s="215"/>
      <c r="X82" s="215"/>
      <c r="Y82" s="215"/>
      <c r="Z82" s="215"/>
    </row>
    <row r="83" spans="1:26">
      <c r="A83" s="25">
        <v>75</v>
      </c>
      <c r="B83" s="26" t="s">
        <v>134</v>
      </c>
      <c r="C83" s="43"/>
      <c r="D83" s="215"/>
      <c r="E83" s="215"/>
      <c r="F83" s="31"/>
      <c r="G83" s="63"/>
      <c r="H83" s="31"/>
      <c r="I83" s="63"/>
      <c r="J83" s="31"/>
      <c r="K83" s="63"/>
      <c r="L83" s="31"/>
      <c r="M83" s="63"/>
      <c r="N83" s="50"/>
      <c r="O83" s="50"/>
      <c r="P83" s="50"/>
      <c r="Q83" s="56" t="e">
        <f t="shared" si="2"/>
        <v>#DIV/0!</v>
      </c>
      <c r="R83" s="219"/>
      <c r="S83" s="219"/>
      <c r="T83" s="219"/>
      <c r="U83" s="219"/>
      <c r="V83" s="199"/>
      <c r="W83" s="215"/>
      <c r="X83" s="215"/>
      <c r="Y83" s="215"/>
      <c r="Z83" s="215"/>
    </row>
    <row r="84" spans="1:26">
      <c r="A84" s="29">
        <v>76</v>
      </c>
      <c r="B84" s="26" t="s">
        <v>135</v>
      </c>
      <c r="C84" s="43"/>
      <c r="D84" s="215"/>
      <c r="E84" s="215"/>
      <c r="F84" s="31"/>
      <c r="G84" s="63"/>
      <c r="H84" s="31"/>
      <c r="I84" s="63"/>
      <c r="J84" s="31"/>
      <c r="K84" s="63"/>
      <c r="L84" s="31"/>
      <c r="M84" s="63"/>
      <c r="N84" s="50"/>
      <c r="O84" s="50"/>
      <c r="P84" s="50"/>
      <c r="Q84" s="56" t="e">
        <f t="shared" si="2"/>
        <v>#DIV/0!</v>
      </c>
      <c r="R84" s="219"/>
      <c r="S84" s="219"/>
      <c r="T84" s="219"/>
      <c r="U84" s="219"/>
      <c r="V84" s="199"/>
      <c r="W84" s="215"/>
      <c r="X84" s="215"/>
      <c r="Y84" s="215"/>
      <c r="Z84" s="215"/>
    </row>
    <row r="85" spans="1:26">
      <c r="A85" s="25">
        <v>77</v>
      </c>
      <c r="B85" s="26" t="s">
        <v>136</v>
      </c>
      <c r="C85" s="43"/>
      <c r="D85" s="215"/>
      <c r="E85" s="215"/>
      <c r="F85" s="31"/>
      <c r="G85" s="63"/>
      <c r="H85" s="31"/>
      <c r="I85" s="63"/>
      <c r="J85" s="31"/>
      <c r="K85" s="63"/>
      <c r="L85" s="31"/>
      <c r="M85" s="63"/>
      <c r="N85" s="50"/>
      <c r="O85" s="50"/>
      <c r="P85" s="50"/>
      <c r="Q85" s="56" t="e">
        <f t="shared" si="2"/>
        <v>#DIV/0!</v>
      </c>
      <c r="R85" s="219"/>
      <c r="S85" s="219"/>
      <c r="T85" s="219"/>
      <c r="U85" s="219"/>
      <c r="V85" s="199"/>
      <c r="W85" s="215"/>
      <c r="X85" s="215"/>
      <c r="Y85" s="215"/>
      <c r="Z85" s="215"/>
    </row>
    <row r="86" spans="1:26">
      <c r="A86" s="29">
        <v>78</v>
      </c>
      <c r="B86" s="26" t="s">
        <v>137</v>
      </c>
      <c r="C86" s="43"/>
      <c r="D86" s="215"/>
      <c r="E86" s="215"/>
      <c r="F86" s="31"/>
      <c r="G86" s="63"/>
      <c r="H86" s="31"/>
      <c r="I86" s="63"/>
      <c r="J86" s="31"/>
      <c r="K86" s="63"/>
      <c r="L86" s="31"/>
      <c r="M86" s="63"/>
      <c r="N86" s="50"/>
      <c r="O86" s="50"/>
      <c r="P86" s="50"/>
      <c r="Q86" s="56" t="e">
        <f t="shared" si="2"/>
        <v>#DIV/0!</v>
      </c>
      <c r="R86" s="219"/>
      <c r="S86" s="219"/>
      <c r="T86" s="219"/>
      <c r="U86" s="219"/>
      <c r="V86" s="199"/>
      <c r="W86" s="215"/>
      <c r="X86" s="215"/>
      <c r="Y86" s="215"/>
      <c r="Z86" s="215"/>
    </row>
    <row r="87" spans="1:26">
      <c r="A87" s="25">
        <v>79</v>
      </c>
      <c r="B87" s="26" t="s">
        <v>138</v>
      </c>
      <c r="C87" s="43"/>
      <c r="D87" s="215"/>
      <c r="E87" s="215"/>
      <c r="F87" s="31"/>
      <c r="G87" s="63"/>
      <c r="H87" s="31"/>
      <c r="I87" s="63"/>
      <c r="J87" s="31"/>
      <c r="K87" s="63"/>
      <c r="L87" s="31"/>
      <c r="M87" s="63"/>
      <c r="N87" s="50"/>
      <c r="O87" s="50"/>
      <c r="P87" s="50"/>
      <c r="Q87" s="56" t="e">
        <f t="shared" si="2"/>
        <v>#DIV/0!</v>
      </c>
      <c r="R87" s="219"/>
      <c r="S87" s="219"/>
      <c r="T87" s="219"/>
      <c r="U87" s="219"/>
      <c r="V87" s="199"/>
      <c r="W87" s="215"/>
      <c r="X87" s="215"/>
      <c r="Y87" s="215"/>
      <c r="Z87" s="215"/>
    </row>
    <row r="88" spans="1:26">
      <c r="A88" s="25">
        <v>80</v>
      </c>
      <c r="B88" s="26" t="s">
        <v>139</v>
      </c>
      <c r="C88" s="43"/>
      <c r="D88" s="215"/>
      <c r="E88" s="215"/>
      <c r="F88" s="31"/>
      <c r="G88" s="63"/>
      <c r="H88" s="31"/>
      <c r="I88" s="63"/>
      <c r="J88" s="31"/>
      <c r="K88" s="63"/>
      <c r="L88" s="31"/>
      <c r="M88" s="63"/>
      <c r="N88" s="50"/>
      <c r="O88" s="50"/>
      <c r="P88" s="50"/>
      <c r="Q88" s="56" t="e">
        <f t="shared" si="2"/>
        <v>#DIV/0!</v>
      </c>
      <c r="R88" s="219"/>
      <c r="S88" s="219"/>
      <c r="T88" s="219"/>
      <c r="U88" s="219"/>
      <c r="V88" s="199"/>
      <c r="W88" s="215"/>
      <c r="X88" s="215"/>
      <c r="Y88" s="215"/>
      <c r="Z88" s="215"/>
    </row>
    <row r="89" spans="1:26">
      <c r="A89" s="29">
        <v>81</v>
      </c>
      <c r="B89" s="26" t="s">
        <v>140</v>
      </c>
      <c r="C89" s="43"/>
      <c r="D89" s="215"/>
      <c r="E89" s="215"/>
      <c r="F89" s="31"/>
      <c r="G89" s="63"/>
      <c r="H89" s="31"/>
      <c r="I89" s="63"/>
      <c r="J89" s="31"/>
      <c r="K89" s="63"/>
      <c r="L89" s="31"/>
      <c r="M89" s="63"/>
      <c r="N89" s="50"/>
      <c r="O89" s="50"/>
      <c r="P89" s="50"/>
      <c r="Q89" s="56" t="e">
        <f t="shared" si="2"/>
        <v>#DIV/0!</v>
      </c>
      <c r="R89" s="219"/>
      <c r="S89" s="219"/>
      <c r="T89" s="219"/>
      <c r="U89" s="219"/>
      <c r="V89" s="199"/>
      <c r="W89" s="215"/>
      <c r="X89" s="215"/>
      <c r="Y89" s="215"/>
      <c r="Z89" s="215"/>
    </row>
    <row r="90" spans="1:26">
      <c r="A90" s="25">
        <v>82</v>
      </c>
      <c r="B90" s="26" t="s">
        <v>141</v>
      </c>
      <c r="C90" s="43"/>
      <c r="D90" s="215"/>
      <c r="E90" s="215"/>
      <c r="F90" s="31"/>
      <c r="G90" s="63"/>
      <c r="H90" s="31"/>
      <c r="I90" s="63"/>
      <c r="J90" s="31"/>
      <c r="K90" s="63"/>
      <c r="L90" s="31"/>
      <c r="M90" s="63"/>
      <c r="N90" s="50"/>
      <c r="O90" s="50"/>
      <c r="P90" s="50"/>
      <c r="Q90" s="56" t="e">
        <f t="shared" si="2"/>
        <v>#DIV/0!</v>
      </c>
      <c r="R90" s="219"/>
      <c r="S90" s="219"/>
      <c r="T90" s="219"/>
      <c r="U90" s="219"/>
      <c r="V90" s="199"/>
      <c r="W90" s="215"/>
      <c r="X90" s="215"/>
      <c r="Y90" s="215"/>
      <c r="Z90" s="215"/>
    </row>
    <row r="91" spans="1:26">
      <c r="A91" s="29">
        <v>83</v>
      </c>
      <c r="B91" s="26" t="s">
        <v>142</v>
      </c>
      <c r="C91" s="43"/>
      <c r="D91" s="215"/>
      <c r="E91" s="215"/>
      <c r="F91" s="31"/>
      <c r="G91" s="63"/>
      <c r="H91" s="31"/>
      <c r="I91" s="63"/>
      <c r="J91" s="31"/>
      <c r="K91" s="63"/>
      <c r="L91" s="31"/>
      <c r="M91" s="63"/>
      <c r="N91" s="50"/>
      <c r="O91" s="50"/>
      <c r="P91" s="50"/>
      <c r="Q91" s="56" t="e">
        <f t="shared" si="2"/>
        <v>#DIV/0!</v>
      </c>
      <c r="R91" s="219"/>
      <c r="S91" s="219"/>
      <c r="T91" s="219"/>
      <c r="U91" s="219"/>
      <c r="V91" s="199"/>
      <c r="W91" s="215"/>
      <c r="X91" s="215"/>
      <c r="Y91" s="215"/>
      <c r="Z91" s="215"/>
    </row>
    <row r="92" spans="1:26">
      <c r="A92" s="25">
        <v>84</v>
      </c>
      <c r="B92" s="26" t="s">
        <v>143</v>
      </c>
      <c r="C92" s="43"/>
      <c r="D92" s="215"/>
      <c r="E92" s="215"/>
      <c r="F92" s="31"/>
      <c r="G92" s="63"/>
      <c r="H92" s="31"/>
      <c r="I92" s="63"/>
      <c r="J92" s="31"/>
      <c r="K92" s="63"/>
      <c r="L92" s="31"/>
      <c r="M92" s="63"/>
      <c r="N92" s="50"/>
      <c r="O92" s="50"/>
      <c r="P92" s="50"/>
      <c r="Q92" s="56" t="e">
        <f t="shared" si="2"/>
        <v>#DIV/0!</v>
      </c>
      <c r="R92" s="219"/>
      <c r="S92" s="219"/>
      <c r="T92" s="219"/>
      <c r="U92" s="219"/>
      <c r="V92" s="199"/>
      <c r="W92" s="215"/>
      <c r="X92" s="215"/>
      <c r="Y92" s="215"/>
      <c r="Z92" s="215"/>
    </row>
    <row r="93" spans="1:26">
      <c r="A93" s="29">
        <v>85</v>
      </c>
      <c r="B93" s="26" t="s">
        <v>144</v>
      </c>
      <c r="C93" s="43"/>
      <c r="D93" s="215"/>
      <c r="E93" s="215"/>
      <c r="F93" s="31"/>
      <c r="G93" s="63"/>
      <c r="H93" s="31"/>
      <c r="I93" s="63"/>
      <c r="J93" s="31"/>
      <c r="K93" s="63"/>
      <c r="L93" s="31"/>
      <c r="M93" s="63"/>
      <c r="N93" s="50"/>
      <c r="O93" s="50"/>
      <c r="P93" s="50"/>
      <c r="Q93" s="56" t="e">
        <f t="shared" si="2"/>
        <v>#DIV/0!</v>
      </c>
      <c r="R93" s="219"/>
      <c r="S93" s="219"/>
      <c r="T93" s="219"/>
      <c r="U93" s="219"/>
      <c r="V93" s="199"/>
      <c r="W93" s="215"/>
      <c r="X93" s="215"/>
      <c r="Y93" s="215"/>
      <c r="Z93" s="215"/>
    </row>
    <row r="94" spans="1:26">
      <c r="A94" s="25">
        <v>86</v>
      </c>
      <c r="B94" s="26" t="s">
        <v>145</v>
      </c>
      <c r="C94" s="43"/>
      <c r="D94" s="215"/>
      <c r="E94" s="215"/>
      <c r="F94" s="31"/>
      <c r="G94" s="63"/>
      <c r="H94" s="31"/>
      <c r="I94" s="63"/>
      <c r="J94" s="31"/>
      <c r="K94" s="63"/>
      <c r="L94" s="31"/>
      <c r="M94" s="63"/>
      <c r="N94" s="50"/>
      <c r="O94" s="50"/>
      <c r="P94" s="50"/>
      <c r="Q94" s="56" t="e">
        <f t="shared" si="2"/>
        <v>#DIV/0!</v>
      </c>
      <c r="R94" s="219"/>
      <c r="S94" s="219"/>
      <c r="T94" s="219"/>
      <c r="U94" s="219"/>
      <c r="V94" s="199"/>
      <c r="W94" s="215"/>
      <c r="X94" s="215"/>
      <c r="Y94" s="215"/>
      <c r="Z94" s="215"/>
    </row>
    <row r="95" spans="1:26">
      <c r="A95" s="29">
        <v>87</v>
      </c>
      <c r="B95" s="26" t="s">
        <v>146</v>
      </c>
      <c r="C95" s="43"/>
      <c r="D95" s="215"/>
      <c r="E95" s="215"/>
      <c r="F95" s="31"/>
      <c r="G95" s="63"/>
      <c r="H95" s="31"/>
      <c r="I95" s="63"/>
      <c r="J95" s="31"/>
      <c r="K95" s="63"/>
      <c r="L95" s="31"/>
      <c r="M95" s="63"/>
      <c r="N95" s="50"/>
      <c r="O95" s="50"/>
      <c r="P95" s="50"/>
      <c r="Q95" s="56" t="e">
        <f t="shared" si="2"/>
        <v>#DIV/0!</v>
      </c>
      <c r="R95" s="219"/>
      <c r="S95" s="219"/>
      <c r="T95" s="219"/>
      <c r="U95" s="219"/>
      <c r="V95" s="199"/>
      <c r="W95" s="215"/>
      <c r="X95" s="215"/>
      <c r="Y95" s="215"/>
      <c r="Z95" s="215"/>
    </row>
    <row r="96" spans="1:26">
      <c r="A96" s="25">
        <v>88</v>
      </c>
      <c r="B96" s="26" t="s">
        <v>147</v>
      </c>
      <c r="C96" s="43"/>
      <c r="D96" s="215"/>
      <c r="E96" s="215"/>
      <c r="F96" s="31"/>
      <c r="G96" s="63"/>
      <c r="H96" s="31"/>
      <c r="I96" s="63"/>
      <c r="J96" s="31"/>
      <c r="K96" s="63"/>
      <c r="L96" s="31"/>
      <c r="M96" s="63"/>
      <c r="N96" s="50"/>
      <c r="O96" s="50"/>
      <c r="P96" s="50"/>
      <c r="Q96" s="56" t="e">
        <f t="shared" si="2"/>
        <v>#DIV/0!</v>
      </c>
      <c r="R96" s="219"/>
      <c r="S96" s="219"/>
      <c r="T96" s="219"/>
      <c r="U96" s="219"/>
      <c r="V96" s="199"/>
      <c r="W96" s="215"/>
      <c r="X96" s="215"/>
      <c r="Y96" s="215"/>
      <c r="Z96" s="215"/>
    </row>
    <row r="97" spans="1:26">
      <c r="A97" s="29">
        <v>89</v>
      </c>
      <c r="B97" s="26" t="s">
        <v>148</v>
      </c>
      <c r="C97" s="43"/>
      <c r="D97" s="215"/>
      <c r="E97" s="215"/>
      <c r="F97" s="31"/>
      <c r="G97" s="63"/>
      <c r="H97" s="31"/>
      <c r="I97" s="63"/>
      <c r="J97" s="31"/>
      <c r="K97" s="63"/>
      <c r="L97" s="31"/>
      <c r="M97" s="63"/>
      <c r="N97" s="50"/>
      <c r="O97" s="50"/>
      <c r="P97" s="50"/>
      <c r="Q97" s="56" t="e">
        <f t="shared" si="2"/>
        <v>#DIV/0!</v>
      </c>
      <c r="R97" s="219"/>
      <c r="S97" s="219"/>
      <c r="T97" s="219"/>
      <c r="U97" s="219"/>
      <c r="V97" s="199"/>
      <c r="W97" s="215"/>
      <c r="X97" s="215"/>
      <c r="Y97" s="215"/>
      <c r="Z97" s="215"/>
    </row>
    <row r="98" spans="1:26">
      <c r="A98" s="25">
        <v>90</v>
      </c>
      <c r="B98" s="26" t="s">
        <v>149</v>
      </c>
      <c r="C98" s="43"/>
      <c r="D98" s="215"/>
      <c r="E98" s="215"/>
      <c r="F98" s="31"/>
      <c r="G98" s="63"/>
      <c r="H98" s="31"/>
      <c r="I98" s="63"/>
      <c r="J98" s="31"/>
      <c r="K98" s="63"/>
      <c r="L98" s="31"/>
      <c r="M98" s="63"/>
      <c r="N98" s="50"/>
      <c r="O98" s="50"/>
      <c r="P98" s="50"/>
      <c r="Q98" s="56" t="e">
        <f t="shared" si="2"/>
        <v>#DIV/0!</v>
      </c>
      <c r="R98" s="219"/>
      <c r="S98" s="219"/>
      <c r="T98" s="219"/>
      <c r="U98" s="219"/>
      <c r="V98" s="199"/>
      <c r="W98" s="215"/>
      <c r="X98" s="215"/>
      <c r="Y98" s="215"/>
      <c r="Z98" s="215"/>
    </row>
    <row r="99" spans="1:26">
      <c r="A99" s="29">
        <v>91</v>
      </c>
      <c r="B99" s="26" t="s">
        <v>150</v>
      </c>
      <c r="C99" s="43"/>
      <c r="D99" s="215"/>
      <c r="E99" s="215"/>
      <c r="F99" s="31"/>
      <c r="G99" s="63"/>
      <c r="H99" s="31"/>
      <c r="I99" s="63"/>
      <c r="J99" s="31"/>
      <c r="K99" s="63"/>
      <c r="L99" s="31"/>
      <c r="M99" s="63"/>
      <c r="N99" s="50"/>
      <c r="O99" s="50"/>
      <c r="P99" s="50"/>
      <c r="Q99" s="56" t="e">
        <f t="shared" si="2"/>
        <v>#DIV/0!</v>
      </c>
      <c r="R99" s="219"/>
      <c r="S99" s="219"/>
      <c r="T99" s="219"/>
      <c r="U99" s="219"/>
      <c r="V99" s="199"/>
      <c r="W99" s="215"/>
      <c r="X99" s="215"/>
      <c r="Y99" s="215"/>
      <c r="Z99" s="215"/>
    </row>
    <row r="100" spans="1:26">
      <c r="A100" s="25">
        <v>92</v>
      </c>
      <c r="B100" s="26" t="s">
        <v>151</v>
      </c>
      <c r="C100" s="43"/>
      <c r="D100" s="215"/>
      <c r="E100" s="215"/>
      <c r="F100" s="31"/>
      <c r="G100" s="63"/>
      <c r="H100" s="31"/>
      <c r="I100" s="63"/>
      <c r="J100" s="31"/>
      <c r="K100" s="63"/>
      <c r="L100" s="31"/>
      <c r="M100" s="63"/>
      <c r="N100" s="50"/>
      <c r="O100" s="50"/>
      <c r="P100" s="50"/>
      <c r="Q100" s="56" t="e">
        <f t="shared" si="2"/>
        <v>#DIV/0!</v>
      </c>
      <c r="R100" s="219"/>
      <c r="S100" s="219"/>
      <c r="T100" s="219"/>
      <c r="U100" s="219"/>
      <c r="V100" s="199"/>
      <c r="W100" s="215"/>
      <c r="X100" s="215"/>
      <c r="Y100" s="215"/>
      <c r="Z100" s="215"/>
    </row>
    <row r="101" spans="1:26">
      <c r="A101" s="29">
        <v>93</v>
      </c>
      <c r="B101" s="26" t="s">
        <v>152</v>
      </c>
      <c r="C101" s="43"/>
      <c r="D101" s="215"/>
      <c r="E101" s="215"/>
      <c r="F101" s="31"/>
      <c r="G101" s="63"/>
      <c r="H101" s="31"/>
      <c r="I101" s="63"/>
      <c r="J101" s="31"/>
      <c r="K101" s="63"/>
      <c r="L101" s="31"/>
      <c r="M101" s="63"/>
      <c r="N101" s="50"/>
      <c r="O101" s="50"/>
      <c r="P101" s="50"/>
      <c r="Q101" s="56" t="e">
        <f t="shared" si="2"/>
        <v>#DIV/0!</v>
      </c>
      <c r="R101" s="219"/>
      <c r="S101" s="219"/>
      <c r="T101" s="219"/>
      <c r="U101" s="219"/>
      <c r="V101" s="199"/>
      <c r="W101" s="215"/>
      <c r="X101" s="215"/>
      <c r="Y101" s="215"/>
      <c r="Z101" s="215"/>
    </row>
    <row r="102" s="104" customFormat="1" ht="17.25" customHeight="1" spans="1:26">
      <c r="A102" s="103" t="s">
        <v>75</v>
      </c>
      <c r="C102" s="220"/>
      <c r="D102" s="208"/>
      <c r="E102" s="208"/>
      <c r="F102" s="208"/>
      <c r="H102" s="223"/>
      <c r="J102" s="208"/>
      <c r="L102" s="208"/>
      <c r="N102" s="211"/>
      <c r="O102" s="224"/>
      <c r="P102" s="211"/>
      <c r="Q102" s="208"/>
      <c r="R102" s="211"/>
      <c r="S102" s="211"/>
      <c r="T102" s="211"/>
      <c r="U102" s="211"/>
      <c r="W102" s="208"/>
      <c r="X102" s="208"/>
      <c r="Y102" s="208"/>
      <c r="Z102" s="208"/>
    </row>
    <row r="103" s="104" customFormat="1" ht="36.75" spans="1:26">
      <c r="A103" s="19">
        <v>94</v>
      </c>
      <c r="B103" s="19" t="s">
        <v>17</v>
      </c>
      <c r="C103" s="221" t="s">
        <v>379</v>
      </c>
      <c r="D103" s="208"/>
      <c r="E103" s="208"/>
      <c r="F103" s="208"/>
      <c r="G103" s="103"/>
      <c r="H103" s="220"/>
      <c r="J103" s="208"/>
      <c r="L103" s="208"/>
      <c r="N103" s="224"/>
      <c r="O103" s="211"/>
      <c r="P103" s="211"/>
      <c r="Q103" s="208"/>
      <c r="R103" s="211"/>
      <c r="S103" s="211"/>
      <c r="T103" s="211"/>
      <c r="U103" s="211"/>
      <c r="W103" s="208"/>
      <c r="X103" s="208"/>
      <c r="Y103" s="208"/>
      <c r="Z103" s="208"/>
    </row>
    <row r="104" s="104" customFormat="1" ht="17.25" customHeight="1" spans="1:26">
      <c r="A104" s="19">
        <v>95</v>
      </c>
      <c r="B104" s="20" t="s">
        <v>380</v>
      </c>
      <c r="C104" s="222"/>
      <c r="D104" s="208"/>
      <c r="E104" s="208"/>
      <c r="F104" s="208"/>
      <c r="G104" s="103"/>
      <c r="H104" s="220"/>
      <c r="J104" s="208"/>
      <c r="L104" s="208"/>
      <c r="N104" s="224"/>
      <c r="O104" s="211"/>
      <c r="P104" s="211"/>
      <c r="Q104" s="208"/>
      <c r="R104" s="211"/>
      <c r="S104" s="211"/>
      <c r="T104" s="211"/>
      <c r="U104" s="211"/>
      <c r="W104" s="208"/>
      <c r="X104" s="208"/>
      <c r="Y104" s="208"/>
      <c r="Z104" s="208"/>
    </row>
    <row r="105" s="104" customFormat="1" ht="17.25" customHeight="1" spans="1:26">
      <c r="A105" s="19">
        <v>96</v>
      </c>
      <c r="B105" s="20" t="s">
        <v>381</v>
      </c>
      <c r="C105" s="222"/>
      <c r="D105" s="208"/>
      <c r="E105" s="208"/>
      <c r="F105" s="208"/>
      <c r="G105" s="103"/>
      <c r="H105" s="220"/>
      <c r="J105" s="208"/>
      <c r="L105" s="208"/>
      <c r="N105" s="224"/>
      <c r="O105" s="211"/>
      <c r="P105" s="211"/>
      <c r="Q105" s="208"/>
      <c r="R105" s="211"/>
      <c r="S105" s="211"/>
      <c r="T105" s="211"/>
      <c r="U105" s="211"/>
      <c r="W105" s="208"/>
      <c r="X105" s="208"/>
      <c r="Y105" s="208"/>
      <c r="Z105" s="208"/>
    </row>
    <row r="106" s="104" customFormat="1" ht="17.25" customHeight="1" spans="1:26">
      <c r="A106" s="19">
        <v>97</v>
      </c>
      <c r="B106" s="20" t="s">
        <v>382</v>
      </c>
      <c r="C106" s="222"/>
      <c r="D106" s="208"/>
      <c r="E106" s="208"/>
      <c r="F106" s="208"/>
      <c r="G106" s="103"/>
      <c r="H106" s="220"/>
      <c r="J106" s="208"/>
      <c r="L106" s="208"/>
      <c r="N106" s="224"/>
      <c r="O106" s="211"/>
      <c r="P106" s="211"/>
      <c r="Q106" s="208"/>
      <c r="R106" s="211"/>
      <c r="S106" s="211"/>
      <c r="T106" s="211"/>
      <c r="U106" s="211"/>
      <c r="W106" s="208"/>
      <c r="X106" s="208"/>
      <c r="Y106" s="208"/>
      <c r="Z106" s="208"/>
    </row>
    <row r="107" s="104" customFormat="1" ht="17.25" customHeight="1" spans="1:26">
      <c r="A107" s="104" t="s">
        <v>155</v>
      </c>
      <c r="C107" s="208"/>
      <c r="D107" s="208"/>
      <c r="E107" s="208"/>
      <c r="F107" s="208"/>
      <c r="H107" s="223" t="s">
        <v>87</v>
      </c>
      <c r="J107" s="208"/>
      <c r="L107" s="208"/>
      <c r="N107" s="211"/>
      <c r="O107" s="224" t="s">
        <v>88</v>
      </c>
      <c r="P107" s="211"/>
      <c r="Q107" s="208"/>
      <c r="R107" s="211"/>
      <c r="S107" s="211"/>
      <c r="T107" s="211"/>
      <c r="U107" s="211"/>
      <c r="W107" s="208"/>
      <c r="X107" s="208"/>
      <c r="Y107" s="208"/>
      <c r="Z107" s="208"/>
    </row>
    <row r="108" s="104" customFormat="1" ht="12.75" spans="1:26">
      <c r="A108" s="33"/>
      <c r="B108" s="34" t="s">
        <v>89</v>
      </c>
      <c r="C108" s="208"/>
      <c r="D108" s="208"/>
      <c r="E108" s="208"/>
      <c r="F108" s="208"/>
      <c r="H108" s="208"/>
      <c r="J108" s="208"/>
      <c r="L108" s="208"/>
      <c r="N108" s="211"/>
      <c r="O108" s="211"/>
      <c r="P108" s="211"/>
      <c r="Q108" s="208"/>
      <c r="R108" s="211"/>
      <c r="S108" s="211"/>
      <c r="T108" s="211"/>
      <c r="U108" s="211"/>
      <c r="W108" s="208"/>
      <c r="X108" s="208"/>
      <c r="Y108" s="208"/>
      <c r="Z108" s="208"/>
    </row>
    <row r="109" spans="1:2">
      <c r="A109" s="35"/>
      <c r="B109" s="36" t="s">
        <v>90</v>
      </c>
    </row>
    <row r="110" spans="1:2">
      <c r="A110" s="40" t="s">
        <v>91</v>
      </c>
      <c r="B110" s="41">
        <v>241</v>
      </c>
    </row>
  </sheetData>
  <sheetProtection sort="0" autoFilter="0" pivotTables="0"/>
  <mergeCells count="13">
    <mergeCell ref="A1:Z1"/>
    <mergeCell ref="C4:E4"/>
    <mergeCell ref="H4:I4"/>
    <mergeCell ref="J4:K4"/>
    <mergeCell ref="L4:M4"/>
    <mergeCell ref="N4:Q4"/>
    <mergeCell ref="R4:U4"/>
    <mergeCell ref="W4:Z4"/>
    <mergeCell ref="A3:A5"/>
    <mergeCell ref="B3:B5"/>
    <mergeCell ref="F4:F5"/>
    <mergeCell ref="G4:G5"/>
    <mergeCell ref="V4:V5"/>
  </mergeCells>
  <conditionalFormatting sqref="C72:P101 C8:P37 C40:P69">
    <cfRule type="cellIs" dxfId="0" priority="1" stopIfTrue="1" operator="lessThan">
      <formula>0</formula>
    </cfRule>
  </conditionalFormatting>
  <pageMargins left="0.75" right="0.75" top="0.279166666666667" bottom="0.46875" header="0.16875" footer="0.309027777777778"/>
  <pageSetup paperSize="9" scale="67" fitToHeight="0" orientation="landscape"/>
  <headerFooter alignWithMargins="0" scaleWithDoc="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IV74"/>
  <sheetViews>
    <sheetView workbookViewId="0">
      <selection activeCell="A74" sqref="A74:B74"/>
    </sheetView>
  </sheetViews>
  <sheetFormatPr defaultColWidth="9" defaultRowHeight="13.5"/>
  <cols>
    <col min="1" max="1" width="6.5" style="178" customWidth="1"/>
    <col min="2" max="2" width="22.1666666666667" style="9" customWidth="1"/>
    <col min="3" max="3" width="9.66666666666667" style="10" customWidth="1"/>
    <col min="4" max="4" width="11.1666666666667" style="10" customWidth="1"/>
    <col min="5" max="6" width="9.66666666666667" style="10" customWidth="1"/>
    <col min="7" max="9" width="9.66666666666667" style="11" customWidth="1"/>
    <col min="10" max="10" width="9.66666666666667" style="10" customWidth="1"/>
    <col min="11" max="11" width="11.6666666666667" style="9" customWidth="1"/>
    <col min="12" max="15" width="9" style="10"/>
    <col min="16" max="224" width="9" style="9"/>
    <col min="225" max="16384" width="9" style="12"/>
  </cols>
  <sheetData>
    <row r="1" s="1" customFormat="1" ht="26" customHeight="1" spans="1:15">
      <c r="A1" s="13" t="s">
        <v>383</v>
      </c>
      <c r="B1" s="13"/>
      <c r="C1" s="179"/>
      <c r="D1" s="179"/>
      <c r="E1" s="179"/>
      <c r="F1" s="179"/>
      <c r="G1" s="191"/>
      <c r="H1" s="191"/>
      <c r="I1" s="191"/>
      <c r="J1" s="179"/>
      <c r="K1" s="13"/>
      <c r="L1" s="179"/>
      <c r="M1" s="179"/>
      <c r="N1" s="179"/>
      <c r="O1" s="179"/>
    </row>
    <row r="2" ht="20.25" customHeight="1" spans="1:232">
      <c r="A2" s="16" t="s">
        <v>1</v>
      </c>
      <c r="B2" s="180"/>
      <c r="D2" s="181" t="s">
        <v>93</v>
      </c>
      <c r="E2" s="181"/>
      <c r="F2" s="181"/>
      <c r="G2" s="192"/>
      <c r="I2" s="192" t="s">
        <v>384</v>
      </c>
      <c r="J2" s="195"/>
      <c r="HQ2" s="9"/>
      <c r="HR2" s="9"/>
      <c r="HS2" s="9"/>
      <c r="HT2" s="9"/>
      <c r="HU2" s="9"/>
      <c r="HV2" s="9"/>
      <c r="HW2" s="9"/>
      <c r="HX2" s="9"/>
    </row>
    <row r="3" s="3" customFormat="1" ht="12.75" spans="1:15">
      <c r="A3" s="19" t="s">
        <v>4</v>
      </c>
      <c r="B3" s="182" t="s">
        <v>385</v>
      </c>
      <c r="C3" s="22" t="s">
        <v>6</v>
      </c>
      <c r="D3" s="22" t="s">
        <v>7</v>
      </c>
      <c r="E3" s="22" t="s">
        <v>8</v>
      </c>
      <c r="F3" s="22" t="s">
        <v>9</v>
      </c>
      <c r="G3" s="47" t="s">
        <v>10</v>
      </c>
      <c r="H3" s="47" t="s">
        <v>11</v>
      </c>
      <c r="I3" s="48" t="s">
        <v>12</v>
      </c>
      <c r="J3" s="22" t="s">
        <v>13</v>
      </c>
      <c r="K3" s="21" t="s">
        <v>96</v>
      </c>
      <c r="L3" s="22" t="s">
        <v>97</v>
      </c>
      <c r="M3" s="22" t="s">
        <v>98</v>
      </c>
      <c r="N3" s="22" t="s">
        <v>99</v>
      </c>
      <c r="O3" s="22" t="s">
        <v>100</v>
      </c>
    </row>
    <row r="4" s="4" customFormat="1" ht="12.75" spans="1:15">
      <c r="A4" s="183"/>
      <c r="B4" s="182"/>
      <c r="C4" s="24" t="s">
        <v>356</v>
      </c>
      <c r="D4" s="24"/>
      <c r="E4" s="24"/>
      <c r="F4" s="24" t="s">
        <v>359</v>
      </c>
      <c r="G4" s="48" t="s">
        <v>232</v>
      </c>
      <c r="H4" s="48"/>
      <c r="I4" s="48"/>
      <c r="J4" s="24"/>
      <c r="K4" s="20" t="s">
        <v>370</v>
      </c>
      <c r="L4" s="24" t="s">
        <v>371</v>
      </c>
      <c r="M4" s="205"/>
      <c r="N4" s="205"/>
      <c r="O4" s="205"/>
    </row>
    <row r="5" s="4" customFormat="1" ht="37" customHeight="1" spans="1:15">
      <c r="A5" s="183"/>
      <c r="B5" s="182"/>
      <c r="C5" s="24" t="s">
        <v>372</v>
      </c>
      <c r="D5" s="24" t="s">
        <v>362</v>
      </c>
      <c r="E5" s="24" t="s">
        <v>373</v>
      </c>
      <c r="F5" s="24"/>
      <c r="G5" s="48" t="s">
        <v>374</v>
      </c>
      <c r="H5" s="48" t="s">
        <v>375</v>
      </c>
      <c r="I5" s="48" t="s">
        <v>376</v>
      </c>
      <c r="J5" s="55" t="s">
        <v>358</v>
      </c>
      <c r="K5" s="196"/>
      <c r="L5" s="24" t="s">
        <v>117</v>
      </c>
      <c r="M5" s="24" t="s">
        <v>118</v>
      </c>
      <c r="N5" s="24" t="s">
        <v>119</v>
      </c>
      <c r="O5" s="24" t="s">
        <v>120</v>
      </c>
    </row>
    <row r="6" s="4" customFormat="1" ht="12.75" spans="1:15">
      <c r="A6" s="184" t="s">
        <v>386</v>
      </c>
      <c r="B6" s="185"/>
      <c r="C6" s="186"/>
      <c r="D6" s="186"/>
      <c r="E6" s="186"/>
      <c r="F6" s="186"/>
      <c r="G6" s="193"/>
      <c r="H6" s="193"/>
      <c r="I6" s="193"/>
      <c r="J6" s="186"/>
      <c r="K6" s="108"/>
      <c r="L6" s="197"/>
      <c r="M6" s="197"/>
      <c r="N6" s="197"/>
      <c r="O6" s="197"/>
    </row>
    <row r="7" s="5" customFormat="1" ht="15" customHeight="1" spans="1:15">
      <c r="A7" s="25">
        <v>1</v>
      </c>
      <c r="B7" s="26" t="s">
        <v>111</v>
      </c>
      <c r="C7" s="28"/>
      <c r="D7" s="28"/>
      <c r="E7" s="28"/>
      <c r="F7" s="28"/>
      <c r="G7" s="49">
        <f>SUM(G8:G27)</f>
        <v>0</v>
      </c>
      <c r="H7" s="49">
        <f>SUM(H8:H27)</f>
        <v>0</v>
      </c>
      <c r="I7" s="49">
        <f>SUM(I8:I27)</f>
        <v>0</v>
      </c>
      <c r="J7" s="56" t="e">
        <f>H7/G7</f>
        <v>#DIV/0!</v>
      </c>
      <c r="K7" s="62"/>
      <c r="L7" s="198"/>
      <c r="M7" s="198"/>
      <c r="N7" s="198"/>
      <c r="O7" s="198"/>
    </row>
    <row r="8" spans="1:237">
      <c r="A8" s="25">
        <v>2</v>
      </c>
      <c r="B8" s="187" t="s">
        <v>159</v>
      </c>
      <c r="C8" s="43"/>
      <c r="D8" s="43"/>
      <c r="E8" s="43"/>
      <c r="F8" s="31"/>
      <c r="G8" s="50"/>
      <c r="H8" s="50"/>
      <c r="I8" s="50"/>
      <c r="J8" s="56" t="e">
        <f t="shared" ref="J8:J15" si="0">H8/G8</f>
        <v>#DIV/0!</v>
      </c>
      <c r="K8" s="199"/>
      <c r="L8" s="43"/>
      <c r="M8" s="43"/>
      <c r="N8" s="43"/>
      <c r="O8" s="43"/>
      <c r="HQ8" s="9"/>
      <c r="HR8" s="9"/>
      <c r="HS8" s="9"/>
      <c r="HT8" s="9"/>
      <c r="HU8" s="9"/>
      <c r="HV8" s="9"/>
      <c r="HW8" s="9"/>
      <c r="HX8" s="9"/>
      <c r="HY8" s="9"/>
      <c r="HZ8" s="9"/>
      <c r="IA8" s="9"/>
      <c r="IB8" s="9"/>
      <c r="IC8" s="9"/>
    </row>
    <row r="9" spans="1:237">
      <c r="A9" s="25">
        <v>3</v>
      </c>
      <c r="B9" s="187" t="s">
        <v>160</v>
      </c>
      <c r="C9" s="43"/>
      <c r="D9" s="43"/>
      <c r="E9" s="43"/>
      <c r="F9" s="31"/>
      <c r="G9" s="50"/>
      <c r="H9" s="50"/>
      <c r="I9" s="50"/>
      <c r="J9" s="56" t="e">
        <f t="shared" si="0"/>
        <v>#DIV/0!</v>
      </c>
      <c r="K9" s="199"/>
      <c r="L9" s="43"/>
      <c r="M9" s="43"/>
      <c r="N9" s="43"/>
      <c r="O9" s="43"/>
      <c r="HQ9" s="9"/>
      <c r="HR9" s="9"/>
      <c r="HS9" s="9"/>
      <c r="HT9" s="9"/>
      <c r="HU9" s="9"/>
      <c r="HV9" s="9"/>
      <c r="HW9" s="9"/>
      <c r="HX9" s="9"/>
      <c r="HY9" s="9"/>
      <c r="HZ9" s="9"/>
      <c r="IA9" s="9"/>
      <c r="IB9" s="9"/>
      <c r="IC9" s="9"/>
    </row>
    <row r="10" spans="1:237">
      <c r="A10" s="25">
        <v>4</v>
      </c>
      <c r="B10" s="187" t="s">
        <v>161</v>
      </c>
      <c r="C10" s="43"/>
      <c r="D10" s="43"/>
      <c r="E10" s="43"/>
      <c r="F10" s="31"/>
      <c r="G10" s="50"/>
      <c r="H10" s="50"/>
      <c r="I10" s="50"/>
      <c r="J10" s="56" t="e">
        <f t="shared" si="0"/>
        <v>#DIV/0!</v>
      </c>
      <c r="K10" s="199"/>
      <c r="L10" s="43"/>
      <c r="M10" s="43"/>
      <c r="N10" s="43"/>
      <c r="O10" s="43"/>
      <c r="HQ10" s="9"/>
      <c r="HR10" s="9"/>
      <c r="HS10" s="9"/>
      <c r="HT10" s="9"/>
      <c r="HU10" s="9"/>
      <c r="HV10" s="9"/>
      <c r="HW10" s="9"/>
      <c r="HX10" s="9"/>
      <c r="HY10" s="9"/>
      <c r="HZ10" s="9"/>
      <c r="IA10" s="9"/>
      <c r="IB10" s="9"/>
      <c r="IC10" s="9"/>
    </row>
    <row r="11" ht="24" spans="1:237">
      <c r="A11" s="25">
        <v>5</v>
      </c>
      <c r="B11" s="187" t="s">
        <v>162</v>
      </c>
      <c r="C11" s="43"/>
      <c r="D11" s="43"/>
      <c r="E11" s="43"/>
      <c r="F11" s="31"/>
      <c r="G11" s="50"/>
      <c r="H11" s="50"/>
      <c r="I11" s="50"/>
      <c r="J11" s="56" t="e">
        <f t="shared" si="0"/>
        <v>#DIV/0!</v>
      </c>
      <c r="K11" s="199"/>
      <c r="L11" s="43"/>
      <c r="M11" s="43"/>
      <c r="N11" s="43"/>
      <c r="O11" s="43"/>
      <c r="HQ11" s="9"/>
      <c r="HR11" s="9"/>
      <c r="HS11" s="9"/>
      <c r="HT11" s="9"/>
      <c r="HU11" s="9"/>
      <c r="HV11" s="9"/>
      <c r="HW11" s="9"/>
      <c r="HX11" s="9"/>
      <c r="HY11" s="9"/>
      <c r="HZ11" s="9"/>
      <c r="IA11" s="9"/>
      <c r="IB11" s="9"/>
      <c r="IC11" s="9"/>
    </row>
    <row r="12" spans="1:237">
      <c r="A12" s="25">
        <v>6</v>
      </c>
      <c r="B12" s="187" t="s">
        <v>163</v>
      </c>
      <c r="C12" s="43"/>
      <c r="D12" s="43"/>
      <c r="E12" s="43"/>
      <c r="F12" s="31"/>
      <c r="G12" s="50"/>
      <c r="H12" s="50"/>
      <c r="I12" s="50"/>
      <c r="J12" s="56" t="e">
        <f t="shared" si="0"/>
        <v>#DIV/0!</v>
      </c>
      <c r="K12" s="199"/>
      <c r="L12" s="43"/>
      <c r="M12" s="43"/>
      <c r="N12" s="43"/>
      <c r="O12" s="43"/>
      <c r="HQ12" s="9"/>
      <c r="HR12" s="9"/>
      <c r="HS12" s="9"/>
      <c r="HT12" s="9"/>
      <c r="HU12" s="9"/>
      <c r="HV12" s="9"/>
      <c r="HW12" s="9"/>
      <c r="HX12" s="9"/>
      <c r="HY12" s="9"/>
      <c r="HZ12" s="9"/>
      <c r="IA12" s="9"/>
      <c r="IB12" s="9"/>
      <c r="IC12" s="9"/>
    </row>
    <row r="13" spans="1:237">
      <c r="A13" s="25">
        <v>7</v>
      </c>
      <c r="B13" s="187" t="s">
        <v>164</v>
      </c>
      <c r="C13" s="43"/>
      <c r="D13" s="43"/>
      <c r="E13" s="43"/>
      <c r="F13" s="31"/>
      <c r="G13" s="50"/>
      <c r="H13" s="50"/>
      <c r="I13" s="50"/>
      <c r="J13" s="56" t="e">
        <f t="shared" si="0"/>
        <v>#DIV/0!</v>
      </c>
      <c r="K13" s="199"/>
      <c r="L13" s="43"/>
      <c r="M13" s="43"/>
      <c r="N13" s="43"/>
      <c r="O13" s="43"/>
      <c r="HQ13" s="9"/>
      <c r="HR13" s="9"/>
      <c r="HS13" s="9"/>
      <c r="HT13" s="9"/>
      <c r="HU13" s="9"/>
      <c r="HV13" s="9"/>
      <c r="HW13" s="9"/>
      <c r="HX13" s="9"/>
      <c r="HY13" s="9"/>
      <c r="HZ13" s="9"/>
      <c r="IA13" s="9"/>
      <c r="IB13" s="9"/>
      <c r="IC13" s="9"/>
    </row>
    <row r="14" spans="1:237">
      <c r="A14" s="25">
        <v>8</v>
      </c>
      <c r="B14" s="187" t="s">
        <v>165</v>
      </c>
      <c r="C14" s="43"/>
      <c r="D14" s="43"/>
      <c r="E14" s="43"/>
      <c r="F14" s="31"/>
      <c r="G14" s="50"/>
      <c r="H14" s="50"/>
      <c r="I14" s="50"/>
      <c r="J14" s="56" t="e">
        <f t="shared" si="0"/>
        <v>#DIV/0!</v>
      </c>
      <c r="K14" s="199"/>
      <c r="L14" s="43"/>
      <c r="M14" s="43"/>
      <c r="N14" s="43"/>
      <c r="O14" s="43"/>
      <c r="HQ14" s="9"/>
      <c r="HR14" s="9"/>
      <c r="HS14" s="9"/>
      <c r="HT14" s="9"/>
      <c r="HU14" s="9"/>
      <c r="HV14" s="9"/>
      <c r="HW14" s="9"/>
      <c r="HX14" s="9"/>
      <c r="HY14" s="9"/>
      <c r="HZ14" s="9"/>
      <c r="IA14" s="9"/>
      <c r="IB14" s="9"/>
      <c r="IC14" s="9"/>
    </row>
    <row r="15" spans="1:237">
      <c r="A15" s="25">
        <v>9</v>
      </c>
      <c r="B15" s="187" t="s">
        <v>166</v>
      </c>
      <c r="C15" s="43"/>
      <c r="D15" s="43"/>
      <c r="E15" s="43"/>
      <c r="F15" s="31"/>
      <c r="G15" s="50"/>
      <c r="H15" s="50"/>
      <c r="I15" s="50"/>
      <c r="J15" s="56" t="e">
        <f t="shared" si="0"/>
        <v>#DIV/0!</v>
      </c>
      <c r="K15" s="199"/>
      <c r="L15" s="43"/>
      <c r="M15" s="43"/>
      <c r="N15" s="43"/>
      <c r="O15" s="43"/>
      <c r="HQ15" s="9"/>
      <c r="HR15" s="9"/>
      <c r="HS15" s="9"/>
      <c r="HT15" s="9"/>
      <c r="HU15" s="9"/>
      <c r="HV15" s="9"/>
      <c r="HW15" s="9"/>
      <c r="HX15" s="9"/>
      <c r="HY15" s="9"/>
      <c r="HZ15" s="9"/>
      <c r="IA15" s="9"/>
      <c r="IB15" s="9"/>
      <c r="IC15" s="9"/>
    </row>
    <row r="16" ht="24" spans="1:237">
      <c r="A16" s="25">
        <v>10</v>
      </c>
      <c r="B16" s="187" t="s">
        <v>167</v>
      </c>
      <c r="C16" s="43"/>
      <c r="D16" s="43"/>
      <c r="E16" s="43"/>
      <c r="F16" s="31"/>
      <c r="G16" s="50"/>
      <c r="H16" s="50"/>
      <c r="I16" s="50"/>
      <c r="J16" s="56" t="e">
        <f t="shared" ref="J16:J27" si="1">H16/G16</f>
        <v>#DIV/0!</v>
      </c>
      <c r="K16" s="199"/>
      <c r="L16" s="43"/>
      <c r="M16" s="43"/>
      <c r="N16" s="43"/>
      <c r="O16" s="43"/>
      <c r="HQ16" s="9"/>
      <c r="HR16" s="9"/>
      <c r="HS16" s="9"/>
      <c r="HT16" s="9"/>
      <c r="HU16" s="9"/>
      <c r="HV16" s="9"/>
      <c r="HW16" s="9"/>
      <c r="HX16" s="9"/>
      <c r="HY16" s="9"/>
      <c r="HZ16" s="9"/>
      <c r="IA16" s="9"/>
      <c r="IB16" s="9"/>
      <c r="IC16" s="9"/>
    </row>
    <row r="17" spans="1:237">
      <c r="A17" s="25">
        <v>11</v>
      </c>
      <c r="B17" s="187" t="s">
        <v>168</v>
      </c>
      <c r="C17" s="43"/>
      <c r="D17" s="43"/>
      <c r="E17" s="43"/>
      <c r="F17" s="31"/>
      <c r="G17" s="50"/>
      <c r="H17" s="50"/>
      <c r="I17" s="50"/>
      <c r="J17" s="56" t="e">
        <f t="shared" si="1"/>
        <v>#DIV/0!</v>
      </c>
      <c r="K17" s="199"/>
      <c r="L17" s="43"/>
      <c r="M17" s="43"/>
      <c r="N17" s="43"/>
      <c r="O17" s="43"/>
      <c r="HQ17" s="9"/>
      <c r="HR17" s="9"/>
      <c r="HS17" s="9"/>
      <c r="HT17" s="9"/>
      <c r="HU17" s="9"/>
      <c r="HV17" s="9"/>
      <c r="HW17" s="9"/>
      <c r="HX17" s="9"/>
      <c r="HY17" s="9"/>
      <c r="HZ17" s="9"/>
      <c r="IA17" s="9"/>
      <c r="IB17" s="9"/>
      <c r="IC17" s="9"/>
    </row>
    <row r="18" spans="1:237">
      <c r="A18" s="25">
        <v>12</v>
      </c>
      <c r="B18" s="187" t="s">
        <v>169</v>
      </c>
      <c r="C18" s="43"/>
      <c r="D18" s="43"/>
      <c r="E18" s="43"/>
      <c r="F18" s="31"/>
      <c r="G18" s="50"/>
      <c r="H18" s="50"/>
      <c r="I18" s="50"/>
      <c r="J18" s="56" t="e">
        <f t="shared" si="1"/>
        <v>#DIV/0!</v>
      </c>
      <c r="K18" s="199"/>
      <c r="L18" s="43"/>
      <c r="M18" s="43"/>
      <c r="N18" s="43"/>
      <c r="O18" s="43"/>
      <c r="HQ18" s="9"/>
      <c r="HR18" s="9"/>
      <c r="HS18" s="9"/>
      <c r="HT18" s="9"/>
      <c r="HU18" s="9"/>
      <c r="HV18" s="9"/>
      <c r="HW18" s="9"/>
      <c r="HX18" s="9"/>
      <c r="HY18" s="9"/>
      <c r="HZ18" s="9"/>
      <c r="IA18" s="9"/>
      <c r="IB18" s="9"/>
      <c r="IC18" s="9"/>
    </row>
    <row r="19" spans="1:237">
      <c r="A19" s="25">
        <v>13</v>
      </c>
      <c r="B19" s="187" t="s">
        <v>170</v>
      </c>
      <c r="C19" s="43"/>
      <c r="D19" s="43"/>
      <c r="E19" s="43"/>
      <c r="F19" s="31"/>
      <c r="G19" s="50"/>
      <c r="H19" s="50"/>
      <c r="I19" s="50"/>
      <c r="J19" s="56" t="e">
        <f t="shared" si="1"/>
        <v>#DIV/0!</v>
      </c>
      <c r="K19" s="199"/>
      <c r="L19" s="43"/>
      <c r="M19" s="43"/>
      <c r="N19" s="43"/>
      <c r="O19" s="43"/>
      <c r="HQ19" s="9"/>
      <c r="HR19" s="9"/>
      <c r="HS19" s="9"/>
      <c r="HT19" s="9"/>
      <c r="HU19" s="9"/>
      <c r="HV19" s="9"/>
      <c r="HW19" s="9"/>
      <c r="HX19" s="9"/>
      <c r="HY19" s="9"/>
      <c r="HZ19" s="9"/>
      <c r="IA19" s="9"/>
      <c r="IB19" s="9"/>
      <c r="IC19" s="9"/>
    </row>
    <row r="20" spans="1:237">
      <c r="A20" s="25">
        <v>14</v>
      </c>
      <c r="B20" s="187" t="s">
        <v>171</v>
      </c>
      <c r="C20" s="43"/>
      <c r="D20" s="43"/>
      <c r="E20" s="43"/>
      <c r="F20" s="31"/>
      <c r="G20" s="50"/>
      <c r="H20" s="50"/>
      <c r="I20" s="50"/>
      <c r="J20" s="56" t="e">
        <f t="shared" si="1"/>
        <v>#DIV/0!</v>
      </c>
      <c r="K20" s="199"/>
      <c r="L20" s="43"/>
      <c r="M20" s="43"/>
      <c r="N20" s="43"/>
      <c r="O20" s="43"/>
      <c r="HQ20" s="9"/>
      <c r="HR20" s="9"/>
      <c r="HS20" s="9"/>
      <c r="HT20" s="9"/>
      <c r="HU20" s="9"/>
      <c r="HV20" s="9"/>
      <c r="HW20" s="9"/>
      <c r="HX20" s="9"/>
      <c r="HY20" s="9"/>
      <c r="HZ20" s="9"/>
      <c r="IA20" s="9"/>
      <c r="IB20" s="9"/>
      <c r="IC20" s="9"/>
    </row>
    <row r="21" spans="1:237">
      <c r="A21" s="25">
        <v>15</v>
      </c>
      <c r="B21" s="187" t="s">
        <v>172</v>
      </c>
      <c r="C21" s="43"/>
      <c r="D21" s="43"/>
      <c r="E21" s="43"/>
      <c r="F21" s="31"/>
      <c r="G21" s="50"/>
      <c r="H21" s="50"/>
      <c r="I21" s="50"/>
      <c r="J21" s="56" t="e">
        <f t="shared" si="1"/>
        <v>#DIV/0!</v>
      </c>
      <c r="K21" s="199"/>
      <c r="L21" s="43"/>
      <c r="M21" s="43"/>
      <c r="N21" s="43"/>
      <c r="O21" s="43"/>
      <c r="HQ21" s="9"/>
      <c r="HR21" s="9"/>
      <c r="HS21" s="9"/>
      <c r="HT21" s="9"/>
      <c r="HU21" s="9"/>
      <c r="HV21" s="9"/>
      <c r="HW21" s="9"/>
      <c r="HX21" s="9"/>
      <c r="HY21" s="9"/>
      <c r="HZ21" s="9"/>
      <c r="IA21" s="9"/>
      <c r="IB21" s="9"/>
      <c r="IC21" s="9"/>
    </row>
    <row r="22" spans="1:237">
      <c r="A22" s="25">
        <v>16</v>
      </c>
      <c r="B22" s="187" t="s">
        <v>173</v>
      </c>
      <c r="C22" s="43"/>
      <c r="D22" s="43"/>
      <c r="E22" s="43"/>
      <c r="F22" s="31"/>
      <c r="G22" s="50"/>
      <c r="H22" s="50"/>
      <c r="I22" s="50"/>
      <c r="J22" s="56" t="e">
        <f t="shared" si="1"/>
        <v>#DIV/0!</v>
      </c>
      <c r="K22" s="199"/>
      <c r="L22" s="43"/>
      <c r="M22" s="43"/>
      <c r="N22" s="43"/>
      <c r="O22" s="43"/>
      <c r="HQ22" s="9"/>
      <c r="HR22" s="9"/>
      <c r="HS22" s="9"/>
      <c r="HT22" s="9"/>
      <c r="HU22" s="9"/>
      <c r="HV22" s="9"/>
      <c r="HW22" s="9"/>
      <c r="HX22" s="9"/>
      <c r="HY22" s="9"/>
      <c r="HZ22" s="9"/>
      <c r="IA22" s="9"/>
      <c r="IB22" s="9"/>
      <c r="IC22" s="9"/>
    </row>
    <row r="23" spans="1:237">
      <c r="A23" s="25">
        <v>17</v>
      </c>
      <c r="B23" s="187" t="s">
        <v>174</v>
      </c>
      <c r="C23" s="43"/>
      <c r="D23" s="43"/>
      <c r="E23" s="43"/>
      <c r="F23" s="31"/>
      <c r="G23" s="50"/>
      <c r="H23" s="50"/>
      <c r="I23" s="50"/>
      <c r="J23" s="56" t="e">
        <f t="shared" si="1"/>
        <v>#DIV/0!</v>
      </c>
      <c r="K23" s="199"/>
      <c r="L23" s="43"/>
      <c r="M23" s="43"/>
      <c r="N23" s="43"/>
      <c r="O23" s="43"/>
      <c r="HQ23" s="9"/>
      <c r="HR23" s="9"/>
      <c r="HS23" s="9"/>
      <c r="HT23" s="9"/>
      <c r="HU23" s="9"/>
      <c r="HV23" s="9"/>
      <c r="HW23" s="9"/>
      <c r="HX23" s="9"/>
      <c r="HY23" s="9"/>
      <c r="HZ23" s="9"/>
      <c r="IA23" s="9"/>
      <c r="IB23" s="9"/>
      <c r="IC23" s="9"/>
    </row>
    <row r="24" spans="1:237">
      <c r="A24" s="25">
        <v>18</v>
      </c>
      <c r="B24" s="187" t="s">
        <v>175</v>
      </c>
      <c r="C24" s="43"/>
      <c r="D24" s="43"/>
      <c r="E24" s="43"/>
      <c r="F24" s="31"/>
      <c r="G24" s="50"/>
      <c r="H24" s="50"/>
      <c r="I24" s="50"/>
      <c r="J24" s="56" t="e">
        <f t="shared" si="1"/>
        <v>#DIV/0!</v>
      </c>
      <c r="K24" s="199"/>
      <c r="L24" s="43"/>
      <c r="M24" s="43"/>
      <c r="N24" s="43"/>
      <c r="O24" s="43"/>
      <c r="HQ24" s="9"/>
      <c r="HR24" s="9"/>
      <c r="HS24" s="9"/>
      <c r="HT24" s="9"/>
      <c r="HU24" s="9"/>
      <c r="HV24" s="9"/>
      <c r="HW24" s="9"/>
      <c r="HX24" s="9"/>
      <c r="HY24" s="9"/>
      <c r="HZ24" s="9"/>
      <c r="IA24" s="9"/>
      <c r="IB24" s="9"/>
      <c r="IC24" s="9"/>
    </row>
    <row r="25" spans="1:237">
      <c r="A25" s="25">
        <v>19</v>
      </c>
      <c r="B25" s="187" t="s">
        <v>176</v>
      </c>
      <c r="C25" s="43"/>
      <c r="D25" s="43"/>
      <c r="E25" s="43"/>
      <c r="F25" s="31"/>
      <c r="G25" s="50"/>
      <c r="H25" s="50"/>
      <c r="I25" s="50"/>
      <c r="J25" s="56" t="e">
        <f t="shared" si="1"/>
        <v>#DIV/0!</v>
      </c>
      <c r="K25" s="199"/>
      <c r="L25" s="43"/>
      <c r="M25" s="43"/>
      <c r="N25" s="43"/>
      <c r="O25" s="43"/>
      <c r="HQ25" s="9"/>
      <c r="HR25" s="9"/>
      <c r="HS25" s="9"/>
      <c r="HT25" s="9"/>
      <c r="HU25" s="9"/>
      <c r="HV25" s="9"/>
      <c r="HW25" s="9"/>
      <c r="HX25" s="9"/>
      <c r="HY25" s="9"/>
      <c r="HZ25" s="9"/>
      <c r="IA25" s="9"/>
      <c r="IB25" s="9"/>
      <c r="IC25" s="9"/>
    </row>
    <row r="26" ht="24" spans="1:237">
      <c r="A26" s="25">
        <v>20</v>
      </c>
      <c r="B26" s="187" t="s">
        <v>177</v>
      </c>
      <c r="C26" s="43"/>
      <c r="D26" s="43"/>
      <c r="E26" s="43"/>
      <c r="F26" s="31"/>
      <c r="G26" s="50"/>
      <c r="H26" s="50"/>
      <c r="I26" s="50"/>
      <c r="J26" s="56" t="e">
        <f t="shared" si="1"/>
        <v>#DIV/0!</v>
      </c>
      <c r="K26" s="199"/>
      <c r="L26" s="43"/>
      <c r="M26" s="43"/>
      <c r="N26" s="43"/>
      <c r="O26" s="43"/>
      <c r="HQ26" s="9"/>
      <c r="HR26" s="9"/>
      <c r="HS26" s="9"/>
      <c r="HT26" s="9"/>
      <c r="HU26" s="9"/>
      <c r="HV26" s="9"/>
      <c r="HW26" s="9"/>
      <c r="HX26" s="9"/>
      <c r="HY26" s="9"/>
      <c r="HZ26" s="9"/>
      <c r="IA26" s="9"/>
      <c r="IB26" s="9"/>
      <c r="IC26" s="9"/>
    </row>
    <row r="27" spans="1:237">
      <c r="A27" s="25">
        <v>21</v>
      </c>
      <c r="B27" s="187" t="s">
        <v>178</v>
      </c>
      <c r="C27" s="43"/>
      <c r="D27" s="43"/>
      <c r="E27" s="43"/>
      <c r="F27" s="31"/>
      <c r="G27" s="50"/>
      <c r="H27" s="50"/>
      <c r="I27" s="50"/>
      <c r="J27" s="56" t="e">
        <f t="shared" si="1"/>
        <v>#DIV/0!</v>
      </c>
      <c r="K27" s="199"/>
      <c r="L27" s="43"/>
      <c r="M27" s="43"/>
      <c r="N27" s="43"/>
      <c r="O27" s="43"/>
      <c r="HQ27" s="9"/>
      <c r="HR27" s="9"/>
      <c r="HS27" s="9"/>
      <c r="HT27" s="9"/>
      <c r="HU27" s="9"/>
      <c r="HV27" s="9"/>
      <c r="HW27" s="9"/>
      <c r="HX27" s="9"/>
      <c r="HY27" s="9"/>
      <c r="HZ27" s="9"/>
      <c r="IA27" s="9"/>
      <c r="IB27" s="9"/>
      <c r="IC27" s="9"/>
    </row>
    <row r="28" s="4" customFormat="1" ht="12.75" spans="1:15">
      <c r="A28" s="184" t="s">
        <v>387</v>
      </c>
      <c r="B28" s="185"/>
      <c r="C28" s="186"/>
      <c r="D28" s="186"/>
      <c r="E28" s="186"/>
      <c r="F28" s="186"/>
      <c r="G28" s="193"/>
      <c r="H28" s="193"/>
      <c r="I28" s="193"/>
      <c r="J28" s="186"/>
      <c r="K28" s="200"/>
      <c r="L28" s="197"/>
      <c r="M28" s="197"/>
      <c r="N28" s="197"/>
      <c r="O28" s="197"/>
    </row>
    <row r="29" s="5" customFormat="1" ht="15" customHeight="1" spans="1:15">
      <c r="A29" s="25">
        <v>22</v>
      </c>
      <c r="B29" s="26" t="s">
        <v>111</v>
      </c>
      <c r="C29" s="28"/>
      <c r="D29" s="28"/>
      <c r="E29" s="28"/>
      <c r="F29" s="28"/>
      <c r="G29" s="49">
        <f>SUM(G30:G63)</f>
        <v>0</v>
      </c>
      <c r="H29" s="49">
        <f>SUM(H30:H63)</f>
        <v>0</v>
      </c>
      <c r="I29" s="49">
        <f>SUM(I30:I63)</f>
        <v>0</v>
      </c>
      <c r="J29" s="56" t="e">
        <f>H29/G29</f>
        <v>#DIV/0!</v>
      </c>
      <c r="K29" s="201"/>
      <c r="L29" s="198"/>
      <c r="M29" s="198"/>
      <c r="N29" s="198"/>
      <c r="O29" s="198"/>
    </row>
    <row r="30" spans="1:237">
      <c r="A30" s="25">
        <v>23</v>
      </c>
      <c r="B30" s="109" t="s">
        <v>180</v>
      </c>
      <c r="C30" s="43"/>
      <c r="D30" s="43"/>
      <c r="E30" s="43"/>
      <c r="F30" s="31"/>
      <c r="G30" s="50"/>
      <c r="H30" s="50"/>
      <c r="I30" s="50"/>
      <c r="J30" s="56" t="e">
        <f t="shared" ref="J30:J63" si="2">H30/G30</f>
        <v>#DIV/0!</v>
      </c>
      <c r="K30" s="199"/>
      <c r="L30" s="43"/>
      <c r="M30" s="43"/>
      <c r="N30" s="43"/>
      <c r="O30" s="43"/>
      <c r="HQ30" s="9"/>
      <c r="HR30" s="9"/>
      <c r="HS30" s="9"/>
      <c r="HT30" s="9"/>
      <c r="HU30" s="9"/>
      <c r="HV30" s="9"/>
      <c r="HW30" s="9"/>
      <c r="HX30" s="9"/>
      <c r="HY30" s="9"/>
      <c r="HZ30" s="9"/>
      <c r="IA30" s="9"/>
      <c r="IB30" s="9"/>
      <c r="IC30" s="9"/>
    </row>
    <row r="31" spans="1:237">
      <c r="A31" s="25">
        <v>24</v>
      </c>
      <c r="B31" s="109" t="s">
        <v>181</v>
      </c>
      <c r="C31" s="43"/>
      <c r="D31" s="43"/>
      <c r="E31" s="43"/>
      <c r="F31" s="31"/>
      <c r="G31" s="50"/>
      <c r="H31" s="50"/>
      <c r="I31" s="50"/>
      <c r="J31" s="56" t="e">
        <f t="shared" si="2"/>
        <v>#DIV/0!</v>
      </c>
      <c r="K31" s="199"/>
      <c r="L31" s="43"/>
      <c r="M31" s="43"/>
      <c r="N31" s="43"/>
      <c r="O31" s="43"/>
      <c r="HQ31" s="9"/>
      <c r="HR31" s="9"/>
      <c r="HS31" s="9"/>
      <c r="HT31" s="9"/>
      <c r="HU31" s="9"/>
      <c r="HV31" s="9"/>
      <c r="HW31" s="9"/>
      <c r="HX31" s="9"/>
      <c r="HY31" s="9"/>
      <c r="HZ31" s="9"/>
      <c r="IA31" s="9"/>
      <c r="IB31" s="9"/>
      <c r="IC31" s="9"/>
    </row>
    <row r="32" spans="1:237">
      <c r="A32" s="25">
        <v>25</v>
      </c>
      <c r="B32" s="109" t="s">
        <v>182</v>
      </c>
      <c r="C32" s="43"/>
      <c r="D32" s="43"/>
      <c r="E32" s="43"/>
      <c r="F32" s="31"/>
      <c r="G32" s="50"/>
      <c r="H32" s="50"/>
      <c r="I32" s="50"/>
      <c r="J32" s="56" t="e">
        <f t="shared" si="2"/>
        <v>#DIV/0!</v>
      </c>
      <c r="K32" s="199"/>
      <c r="L32" s="43"/>
      <c r="M32" s="43"/>
      <c r="N32" s="43"/>
      <c r="O32" s="43"/>
      <c r="HQ32" s="9"/>
      <c r="HR32" s="9"/>
      <c r="HS32" s="9"/>
      <c r="HT32" s="9"/>
      <c r="HU32" s="9"/>
      <c r="HV32" s="9"/>
      <c r="HW32" s="9"/>
      <c r="HX32" s="9"/>
      <c r="HY32" s="9"/>
      <c r="HZ32" s="9"/>
      <c r="IA32" s="9"/>
      <c r="IB32" s="9"/>
      <c r="IC32" s="9"/>
    </row>
    <row r="33" spans="1:237">
      <c r="A33" s="25">
        <v>26</v>
      </c>
      <c r="B33" s="109" t="s">
        <v>183</v>
      </c>
      <c r="C33" s="43"/>
      <c r="D33" s="43"/>
      <c r="E33" s="43"/>
      <c r="F33" s="31"/>
      <c r="G33" s="50"/>
      <c r="H33" s="50"/>
      <c r="I33" s="50"/>
      <c r="J33" s="56" t="e">
        <f t="shared" si="2"/>
        <v>#DIV/0!</v>
      </c>
      <c r="K33" s="199"/>
      <c r="L33" s="43"/>
      <c r="M33" s="43"/>
      <c r="N33" s="43"/>
      <c r="O33" s="43"/>
      <c r="HQ33" s="9"/>
      <c r="HR33" s="9"/>
      <c r="HS33" s="9"/>
      <c r="HT33" s="9"/>
      <c r="HU33" s="9"/>
      <c r="HV33" s="9"/>
      <c r="HW33" s="9"/>
      <c r="HX33" s="9"/>
      <c r="HY33" s="9"/>
      <c r="HZ33" s="9"/>
      <c r="IA33" s="9"/>
      <c r="IB33" s="9"/>
      <c r="IC33" s="9"/>
    </row>
    <row r="34" spans="1:237">
      <c r="A34" s="25">
        <v>27</v>
      </c>
      <c r="B34" s="109" t="s">
        <v>184</v>
      </c>
      <c r="C34" s="43"/>
      <c r="D34" s="43"/>
      <c r="E34" s="43"/>
      <c r="F34" s="31"/>
      <c r="G34" s="50"/>
      <c r="H34" s="50"/>
      <c r="I34" s="50"/>
      <c r="J34" s="56" t="e">
        <f t="shared" si="2"/>
        <v>#DIV/0!</v>
      </c>
      <c r="K34" s="199"/>
      <c r="L34" s="43"/>
      <c r="M34" s="43"/>
      <c r="N34" s="43"/>
      <c r="O34" s="43"/>
      <c r="HQ34" s="9"/>
      <c r="HR34" s="9"/>
      <c r="HS34" s="9"/>
      <c r="HT34" s="9"/>
      <c r="HU34" s="9"/>
      <c r="HV34" s="9"/>
      <c r="HW34" s="9"/>
      <c r="HX34" s="9"/>
      <c r="HY34" s="9"/>
      <c r="HZ34" s="9"/>
      <c r="IA34" s="9"/>
      <c r="IB34" s="9"/>
      <c r="IC34" s="9"/>
    </row>
    <row r="35" spans="1:237">
      <c r="A35" s="25">
        <v>28</v>
      </c>
      <c r="B35" s="109" t="s">
        <v>185</v>
      </c>
      <c r="C35" s="43"/>
      <c r="D35" s="43"/>
      <c r="E35" s="43"/>
      <c r="F35" s="31"/>
      <c r="G35" s="50"/>
      <c r="H35" s="50"/>
      <c r="I35" s="50"/>
      <c r="J35" s="56" t="e">
        <f t="shared" si="2"/>
        <v>#DIV/0!</v>
      </c>
      <c r="K35" s="199"/>
      <c r="L35" s="43"/>
      <c r="M35" s="43"/>
      <c r="N35" s="43"/>
      <c r="O35" s="43"/>
      <c r="HQ35" s="9"/>
      <c r="HR35" s="9"/>
      <c r="HS35" s="9"/>
      <c r="HT35" s="9"/>
      <c r="HU35" s="9"/>
      <c r="HV35" s="9"/>
      <c r="HW35" s="9"/>
      <c r="HX35" s="9"/>
      <c r="HY35" s="9"/>
      <c r="HZ35" s="9"/>
      <c r="IA35" s="9"/>
      <c r="IB35" s="9"/>
      <c r="IC35" s="9"/>
    </row>
    <row r="36" spans="1:237">
      <c r="A36" s="25">
        <v>29</v>
      </c>
      <c r="B36" s="109" t="s">
        <v>186</v>
      </c>
      <c r="C36" s="43"/>
      <c r="D36" s="43"/>
      <c r="E36" s="43"/>
      <c r="F36" s="31"/>
      <c r="G36" s="50"/>
      <c r="H36" s="50"/>
      <c r="I36" s="50"/>
      <c r="J36" s="56" t="e">
        <f t="shared" si="2"/>
        <v>#DIV/0!</v>
      </c>
      <c r="K36" s="199"/>
      <c r="L36" s="43"/>
      <c r="M36" s="43"/>
      <c r="N36" s="43"/>
      <c r="O36" s="43"/>
      <c r="HQ36" s="9"/>
      <c r="HR36" s="9"/>
      <c r="HS36" s="9"/>
      <c r="HT36" s="9"/>
      <c r="HU36" s="9"/>
      <c r="HV36" s="9"/>
      <c r="HW36" s="9"/>
      <c r="HX36" s="9"/>
      <c r="HY36" s="9"/>
      <c r="HZ36" s="9"/>
      <c r="IA36" s="9"/>
      <c r="IB36" s="9"/>
      <c r="IC36" s="9"/>
    </row>
    <row r="37" spans="1:237">
      <c r="A37" s="25">
        <v>30</v>
      </c>
      <c r="B37" s="109" t="s">
        <v>187</v>
      </c>
      <c r="C37" s="43"/>
      <c r="D37" s="43"/>
      <c r="E37" s="43"/>
      <c r="F37" s="31"/>
      <c r="G37" s="50"/>
      <c r="H37" s="50"/>
      <c r="I37" s="50"/>
      <c r="J37" s="56" t="e">
        <f t="shared" si="2"/>
        <v>#DIV/0!</v>
      </c>
      <c r="K37" s="199"/>
      <c r="L37" s="43"/>
      <c r="M37" s="43"/>
      <c r="N37" s="43"/>
      <c r="O37" s="43"/>
      <c r="HQ37" s="9"/>
      <c r="HR37" s="9"/>
      <c r="HS37" s="9"/>
      <c r="HT37" s="9"/>
      <c r="HU37" s="9"/>
      <c r="HV37" s="9"/>
      <c r="HW37" s="9"/>
      <c r="HX37" s="9"/>
      <c r="HY37" s="9"/>
      <c r="HZ37" s="9"/>
      <c r="IA37" s="9"/>
      <c r="IB37" s="9"/>
      <c r="IC37" s="9"/>
    </row>
    <row r="38" spans="1:237">
      <c r="A38" s="25">
        <v>31</v>
      </c>
      <c r="B38" s="109" t="s">
        <v>188</v>
      </c>
      <c r="C38" s="43"/>
      <c r="D38" s="43"/>
      <c r="E38" s="43"/>
      <c r="F38" s="31"/>
      <c r="G38" s="50"/>
      <c r="H38" s="50"/>
      <c r="I38" s="50"/>
      <c r="J38" s="56" t="e">
        <f t="shared" si="2"/>
        <v>#DIV/0!</v>
      </c>
      <c r="K38" s="199"/>
      <c r="L38" s="43"/>
      <c r="M38" s="43"/>
      <c r="N38" s="43"/>
      <c r="O38" s="43"/>
      <c r="HQ38" s="9"/>
      <c r="HR38" s="9"/>
      <c r="HS38" s="9"/>
      <c r="HT38" s="9"/>
      <c r="HU38" s="9"/>
      <c r="HV38" s="9"/>
      <c r="HW38" s="9"/>
      <c r="HX38" s="9"/>
      <c r="HY38" s="9"/>
      <c r="HZ38" s="9"/>
      <c r="IA38" s="9"/>
      <c r="IB38" s="9"/>
      <c r="IC38" s="9"/>
    </row>
    <row r="39" spans="1:237">
      <c r="A39" s="25">
        <v>32</v>
      </c>
      <c r="B39" s="109" t="s">
        <v>189</v>
      </c>
      <c r="C39" s="43"/>
      <c r="D39" s="43"/>
      <c r="E39" s="43"/>
      <c r="F39" s="31"/>
      <c r="G39" s="50"/>
      <c r="H39" s="50"/>
      <c r="I39" s="50"/>
      <c r="J39" s="56" t="e">
        <f t="shared" si="2"/>
        <v>#DIV/0!</v>
      </c>
      <c r="K39" s="199"/>
      <c r="L39" s="43"/>
      <c r="M39" s="43"/>
      <c r="N39" s="43"/>
      <c r="O39" s="43"/>
      <c r="HQ39" s="9"/>
      <c r="HR39" s="9"/>
      <c r="HS39" s="9"/>
      <c r="HT39" s="9"/>
      <c r="HU39" s="9"/>
      <c r="HV39" s="9"/>
      <c r="HW39" s="9"/>
      <c r="HX39" s="9"/>
      <c r="HY39" s="9"/>
      <c r="HZ39" s="9"/>
      <c r="IA39" s="9"/>
      <c r="IB39" s="9"/>
      <c r="IC39" s="9"/>
    </row>
    <row r="40" spans="1:237">
      <c r="A40" s="25">
        <v>33</v>
      </c>
      <c r="B40" s="109" t="s">
        <v>190</v>
      </c>
      <c r="C40" s="43"/>
      <c r="D40" s="43"/>
      <c r="E40" s="43"/>
      <c r="F40" s="31"/>
      <c r="G40" s="50"/>
      <c r="H40" s="50"/>
      <c r="I40" s="50"/>
      <c r="J40" s="56" t="e">
        <f t="shared" si="2"/>
        <v>#DIV/0!</v>
      </c>
      <c r="K40" s="199"/>
      <c r="L40" s="43"/>
      <c r="M40" s="43"/>
      <c r="N40" s="43"/>
      <c r="O40" s="43"/>
      <c r="HQ40" s="9"/>
      <c r="HR40" s="9"/>
      <c r="HS40" s="9"/>
      <c r="HT40" s="9"/>
      <c r="HU40" s="9"/>
      <c r="HV40" s="9"/>
      <c r="HW40" s="9"/>
      <c r="HX40" s="9"/>
      <c r="HY40" s="9"/>
      <c r="HZ40" s="9"/>
      <c r="IA40" s="9"/>
      <c r="IB40" s="9"/>
      <c r="IC40" s="9"/>
    </row>
    <row r="41" spans="1:237">
      <c r="A41" s="25">
        <v>34</v>
      </c>
      <c r="B41" s="109" t="s">
        <v>191</v>
      </c>
      <c r="C41" s="43"/>
      <c r="D41" s="43"/>
      <c r="E41" s="43"/>
      <c r="F41" s="31"/>
      <c r="G41" s="50"/>
      <c r="H41" s="50"/>
      <c r="I41" s="50"/>
      <c r="J41" s="56" t="e">
        <f t="shared" si="2"/>
        <v>#DIV/0!</v>
      </c>
      <c r="K41" s="199"/>
      <c r="L41" s="43"/>
      <c r="M41" s="43"/>
      <c r="N41" s="43"/>
      <c r="O41" s="43"/>
      <c r="HQ41" s="9"/>
      <c r="HR41" s="9"/>
      <c r="HS41" s="9"/>
      <c r="HT41" s="9"/>
      <c r="HU41" s="9"/>
      <c r="HV41" s="9"/>
      <c r="HW41" s="9"/>
      <c r="HX41" s="9"/>
      <c r="HY41" s="9"/>
      <c r="HZ41" s="9"/>
      <c r="IA41" s="9"/>
      <c r="IB41" s="9"/>
      <c r="IC41" s="9"/>
    </row>
    <row r="42" spans="1:237">
      <c r="A42" s="25">
        <v>35</v>
      </c>
      <c r="B42" s="109" t="s">
        <v>192</v>
      </c>
      <c r="C42" s="43"/>
      <c r="D42" s="43"/>
      <c r="E42" s="43"/>
      <c r="F42" s="31"/>
      <c r="G42" s="50"/>
      <c r="H42" s="50"/>
      <c r="I42" s="50"/>
      <c r="J42" s="56" t="e">
        <f t="shared" si="2"/>
        <v>#DIV/0!</v>
      </c>
      <c r="K42" s="199"/>
      <c r="L42" s="43"/>
      <c r="M42" s="43"/>
      <c r="N42" s="43"/>
      <c r="O42" s="43"/>
      <c r="HQ42" s="9"/>
      <c r="HR42" s="9"/>
      <c r="HS42" s="9"/>
      <c r="HT42" s="9"/>
      <c r="HU42" s="9"/>
      <c r="HV42" s="9"/>
      <c r="HW42" s="9"/>
      <c r="HX42" s="9"/>
      <c r="HY42" s="9"/>
      <c r="HZ42" s="9"/>
      <c r="IA42" s="9"/>
      <c r="IB42" s="9"/>
      <c r="IC42" s="9"/>
    </row>
    <row r="43" spans="1:237">
      <c r="A43" s="25">
        <v>36</v>
      </c>
      <c r="B43" s="109" t="s">
        <v>193</v>
      </c>
      <c r="C43" s="43"/>
      <c r="D43" s="43"/>
      <c r="E43" s="43"/>
      <c r="F43" s="31"/>
      <c r="G43" s="50"/>
      <c r="H43" s="50"/>
      <c r="I43" s="50"/>
      <c r="J43" s="56" t="e">
        <f t="shared" si="2"/>
        <v>#DIV/0!</v>
      </c>
      <c r="K43" s="199"/>
      <c r="L43" s="43"/>
      <c r="M43" s="43"/>
      <c r="N43" s="43"/>
      <c r="O43" s="43"/>
      <c r="HQ43" s="9"/>
      <c r="HR43" s="9"/>
      <c r="HS43" s="9"/>
      <c r="HT43" s="9"/>
      <c r="HU43" s="9"/>
      <c r="HV43" s="9"/>
      <c r="HW43" s="9"/>
      <c r="HX43" s="9"/>
      <c r="HY43" s="9"/>
      <c r="HZ43" s="9"/>
      <c r="IA43" s="9"/>
      <c r="IB43" s="9"/>
      <c r="IC43" s="9"/>
    </row>
    <row r="44" spans="1:237">
      <c r="A44" s="25">
        <v>37</v>
      </c>
      <c r="B44" s="109" t="s">
        <v>194</v>
      </c>
      <c r="C44" s="43"/>
      <c r="D44" s="43"/>
      <c r="E44" s="43"/>
      <c r="F44" s="31"/>
      <c r="G44" s="50"/>
      <c r="H44" s="50"/>
      <c r="I44" s="50"/>
      <c r="J44" s="56" t="e">
        <f t="shared" si="2"/>
        <v>#DIV/0!</v>
      </c>
      <c r="K44" s="199"/>
      <c r="L44" s="43"/>
      <c r="M44" s="43"/>
      <c r="N44" s="43"/>
      <c r="O44" s="43"/>
      <c r="HQ44" s="9"/>
      <c r="HR44" s="9"/>
      <c r="HS44" s="9"/>
      <c r="HT44" s="9"/>
      <c r="HU44" s="9"/>
      <c r="HV44" s="9"/>
      <c r="HW44" s="9"/>
      <c r="HX44" s="9"/>
      <c r="HY44" s="9"/>
      <c r="HZ44" s="9"/>
      <c r="IA44" s="9"/>
      <c r="IB44" s="9"/>
      <c r="IC44" s="9"/>
    </row>
    <row r="45" spans="1:237">
      <c r="A45" s="25">
        <v>38</v>
      </c>
      <c r="B45" s="109" t="s">
        <v>195</v>
      </c>
      <c r="C45" s="43"/>
      <c r="D45" s="43"/>
      <c r="E45" s="43"/>
      <c r="F45" s="31"/>
      <c r="G45" s="50"/>
      <c r="H45" s="50"/>
      <c r="I45" s="50"/>
      <c r="J45" s="56" t="e">
        <f t="shared" si="2"/>
        <v>#DIV/0!</v>
      </c>
      <c r="K45" s="199"/>
      <c r="L45" s="43"/>
      <c r="M45" s="43"/>
      <c r="N45" s="43"/>
      <c r="O45" s="43"/>
      <c r="HQ45" s="9"/>
      <c r="HR45" s="9"/>
      <c r="HS45" s="9"/>
      <c r="HT45" s="9"/>
      <c r="HU45" s="9"/>
      <c r="HV45" s="9"/>
      <c r="HW45" s="9"/>
      <c r="HX45" s="9"/>
      <c r="HY45" s="9"/>
      <c r="HZ45" s="9"/>
      <c r="IA45" s="9"/>
      <c r="IB45" s="9"/>
      <c r="IC45" s="9"/>
    </row>
    <row r="46" spans="1:237">
      <c r="A46" s="25">
        <v>39</v>
      </c>
      <c r="B46" s="109" t="s">
        <v>196</v>
      </c>
      <c r="C46" s="43"/>
      <c r="D46" s="43"/>
      <c r="E46" s="43"/>
      <c r="F46" s="31"/>
      <c r="G46" s="50"/>
      <c r="H46" s="50"/>
      <c r="I46" s="50"/>
      <c r="J46" s="56" t="e">
        <f t="shared" si="2"/>
        <v>#DIV/0!</v>
      </c>
      <c r="K46" s="199"/>
      <c r="L46" s="43"/>
      <c r="M46" s="43"/>
      <c r="N46" s="43"/>
      <c r="O46" s="43"/>
      <c r="HQ46" s="9"/>
      <c r="HR46" s="9"/>
      <c r="HS46" s="9"/>
      <c r="HT46" s="9"/>
      <c r="HU46" s="9"/>
      <c r="HV46" s="9"/>
      <c r="HW46" s="9"/>
      <c r="HX46" s="9"/>
      <c r="HY46" s="9"/>
      <c r="HZ46" s="9"/>
      <c r="IA46" s="9"/>
      <c r="IB46" s="9"/>
      <c r="IC46" s="9"/>
    </row>
    <row r="47" spans="1:237">
      <c r="A47" s="25">
        <v>40</v>
      </c>
      <c r="B47" s="109" t="s">
        <v>197</v>
      </c>
      <c r="C47" s="43"/>
      <c r="D47" s="43"/>
      <c r="E47" s="43"/>
      <c r="F47" s="31"/>
      <c r="G47" s="50"/>
      <c r="H47" s="50"/>
      <c r="I47" s="50"/>
      <c r="J47" s="56" t="e">
        <f t="shared" si="2"/>
        <v>#DIV/0!</v>
      </c>
      <c r="K47" s="199"/>
      <c r="L47" s="43"/>
      <c r="M47" s="43"/>
      <c r="N47" s="43"/>
      <c r="O47" s="43"/>
      <c r="HQ47" s="9"/>
      <c r="HR47" s="9"/>
      <c r="HS47" s="9"/>
      <c r="HT47" s="9"/>
      <c r="HU47" s="9"/>
      <c r="HV47" s="9"/>
      <c r="HW47" s="9"/>
      <c r="HX47" s="9"/>
      <c r="HY47" s="9"/>
      <c r="HZ47" s="9"/>
      <c r="IA47" s="9"/>
      <c r="IB47" s="9"/>
      <c r="IC47" s="9"/>
    </row>
    <row r="48" spans="1:237">
      <c r="A48" s="25">
        <v>41</v>
      </c>
      <c r="B48" s="109" t="s">
        <v>198</v>
      </c>
      <c r="C48" s="43"/>
      <c r="D48" s="43"/>
      <c r="E48" s="43"/>
      <c r="F48" s="31"/>
      <c r="G48" s="50"/>
      <c r="H48" s="50"/>
      <c r="I48" s="50"/>
      <c r="J48" s="56" t="e">
        <f t="shared" si="2"/>
        <v>#DIV/0!</v>
      </c>
      <c r="K48" s="199"/>
      <c r="L48" s="43"/>
      <c r="M48" s="43"/>
      <c r="N48" s="43"/>
      <c r="O48" s="43"/>
      <c r="HQ48" s="9"/>
      <c r="HR48" s="9"/>
      <c r="HS48" s="9"/>
      <c r="HT48" s="9"/>
      <c r="HU48" s="9"/>
      <c r="HV48" s="9"/>
      <c r="HW48" s="9"/>
      <c r="HX48" s="9"/>
      <c r="HY48" s="9"/>
      <c r="HZ48" s="9"/>
      <c r="IA48" s="9"/>
      <c r="IB48" s="9"/>
      <c r="IC48" s="9"/>
    </row>
    <row r="49" spans="1:237">
      <c r="A49" s="25">
        <v>42</v>
      </c>
      <c r="B49" s="109" t="s">
        <v>199</v>
      </c>
      <c r="C49" s="43"/>
      <c r="D49" s="43"/>
      <c r="E49" s="43"/>
      <c r="F49" s="31"/>
      <c r="G49" s="50"/>
      <c r="H49" s="50"/>
      <c r="I49" s="50"/>
      <c r="J49" s="56" t="e">
        <f t="shared" si="2"/>
        <v>#DIV/0!</v>
      </c>
      <c r="K49" s="199"/>
      <c r="L49" s="43"/>
      <c r="M49" s="43"/>
      <c r="N49" s="43"/>
      <c r="O49" s="43"/>
      <c r="HQ49" s="9"/>
      <c r="HR49" s="9"/>
      <c r="HS49" s="9"/>
      <c r="HT49" s="9"/>
      <c r="HU49" s="9"/>
      <c r="HV49" s="9"/>
      <c r="HW49" s="9"/>
      <c r="HX49" s="9"/>
      <c r="HY49" s="9"/>
      <c r="HZ49" s="9"/>
      <c r="IA49" s="9"/>
      <c r="IB49" s="9"/>
      <c r="IC49" s="9"/>
    </row>
    <row r="50" s="104" customFormat="1" ht="12.75" spans="1:15">
      <c r="A50" s="25">
        <v>43</v>
      </c>
      <c r="B50" s="109" t="s">
        <v>200</v>
      </c>
      <c r="C50" s="43"/>
      <c r="D50" s="43"/>
      <c r="E50" s="43"/>
      <c r="F50" s="31"/>
      <c r="G50" s="50"/>
      <c r="H50" s="50"/>
      <c r="I50" s="50"/>
      <c r="J50" s="56" t="e">
        <f t="shared" si="2"/>
        <v>#DIV/0!</v>
      </c>
      <c r="K50" s="202"/>
      <c r="L50" s="203"/>
      <c r="M50" s="203"/>
      <c r="N50" s="203"/>
      <c r="O50" s="203"/>
    </row>
    <row r="51" s="104" customFormat="1" ht="12.75" spans="1:15">
      <c r="A51" s="25">
        <v>44</v>
      </c>
      <c r="B51" s="109" t="s">
        <v>201</v>
      </c>
      <c r="C51" s="43"/>
      <c r="D51" s="43"/>
      <c r="E51" s="43"/>
      <c r="F51" s="31"/>
      <c r="G51" s="50"/>
      <c r="H51" s="50"/>
      <c r="I51" s="50"/>
      <c r="J51" s="56" t="e">
        <f t="shared" si="2"/>
        <v>#DIV/0!</v>
      </c>
      <c r="K51" s="202"/>
      <c r="L51" s="203"/>
      <c r="M51" s="203"/>
      <c r="N51" s="203"/>
      <c r="O51" s="203"/>
    </row>
    <row r="52" s="104" customFormat="1" spans="1:256">
      <c r="A52" s="25">
        <v>45</v>
      </c>
      <c r="B52" s="109" t="s">
        <v>202</v>
      </c>
      <c r="C52" s="43"/>
      <c r="D52" s="43"/>
      <c r="E52" s="43"/>
      <c r="F52" s="31"/>
      <c r="G52" s="50"/>
      <c r="H52" s="50"/>
      <c r="I52" s="50"/>
      <c r="J52" s="56" t="e">
        <f t="shared" si="2"/>
        <v>#DIV/0!</v>
      </c>
      <c r="K52" s="199"/>
      <c r="L52" s="43"/>
      <c r="M52" s="43"/>
      <c r="N52" s="43"/>
      <c r="O52" s="43"/>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9"/>
      <c r="DS52" s="9"/>
      <c r="DT52" s="9"/>
      <c r="DU52" s="9"/>
      <c r="DV52" s="9"/>
      <c r="DW52" s="9"/>
      <c r="DX52" s="9"/>
      <c r="DY52" s="9"/>
      <c r="DZ52" s="9"/>
      <c r="EA52" s="9"/>
      <c r="EB52" s="9"/>
      <c r="EC52" s="9"/>
      <c r="ED52" s="9"/>
      <c r="EE52" s="9"/>
      <c r="EF52" s="9"/>
      <c r="EG52" s="9"/>
      <c r="EH52" s="9"/>
      <c r="EI52" s="9"/>
      <c r="EJ52" s="9"/>
      <c r="EK52" s="9"/>
      <c r="EL52" s="9"/>
      <c r="EM52" s="9"/>
      <c r="EN52" s="9"/>
      <c r="EO52" s="9"/>
      <c r="EP52" s="9"/>
      <c r="EQ52" s="9"/>
      <c r="ER52" s="9"/>
      <c r="ES52" s="9"/>
      <c r="ET52" s="9"/>
      <c r="EU52" s="9"/>
      <c r="EV52" s="9"/>
      <c r="EW52" s="9"/>
      <c r="EX52" s="9"/>
      <c r="EY52" s="9"/>
      <c r="EZ52" s="9"/>
      <c r="FA52" s="9"/>
      <c r="FB52" s="9"/>
      <c r="FC52" s="9"/>
      <c r="FD52" s="9"/>
      <c r="FE52" s="9"/>
      <c r="FF52" s="9"/>
      <c r="FG52" s="9"/>
      <c r="FH52" s="9"/>
      <c r="FI52" s="9"/>
      <c r="FJ52" s="9"/>
      <c r="FK52" s="9"/>
      <c r="FL52" s="9"/>
      <c r="FM52" s="9"/>
      <c r="FN52" s="9"/>
      <c r="FO52" s="9"/>
      <c r="FP52" s="9"/>
      <c r="FQ52" s="9"/>
      <c r="FR52" s="9"/>
      <c r="FS52" s="9"/>
      <c r="FT52" s="9"/>
      <c r="FU52" s="9"/>
      <c r="FV52" s="9"/>
      <c r="FW52" s="9"/>
      <c r="FX52" s="9"/>
      <c r="FY52" s="9"/>
      <c r="FZ52" s="9"/>
      <c r="GA52" s="9"/>
      <c r="GB52" s="9"/>
      <c r="GC52" s="9"/>
      <c r="GD52" s="9"/>
      <c r="GE52" s="9"/>
      <c r="GF52" s="9"/>
      <c r="GG52" s="9"/>
      <c r="GH52" s="9"/>
      <c r="GI52" s="9"/>
      <c r="GJ52" s="9"/>
      <c r="GK52" s="9"/>
      <c r="GL52" s="9"/>
      <c r="GM52" s="9"/>
      <c r="GN52" s="9"/>
      <c r="GO52" s="9"/>
      <c r="GP52" s="9"/>
      <c r="GQ52" s="9"/>
      <c r="GR52" s="9"/>
      <c r="GS52" s="9"/>
      <c r="GT52" s="9"/>
      <c r="GU52" s="9"/>
      <c r="GV52" s="9"/>
      <c r="GW52" s="9"/>
      <c r="GX52" s="9"/>
      <c r="GY52" s="9"/>
      <c r="GZ52" s="9"/>
      <c r="HA52" s="9"/>
      <c r="HB52" s="9"/>
      <c r="HC52" s="9"/>
      <c r="HD52" s="9"/>
      <c r="HE52" s="9"/>
      <c r="HF52" s="9"/>
      <c r="HG52" s="9"/>
      <c r="HH52" s="9"/>
      <c r="HI52" s="9"/>
      <c r="HJ52" s="9"/>
      <c r="HK52" s="9"/>
      <c r="HL52" s="9"/>
      <c r="HM52" s="9"/>
      <c r="HN52" s="9"/>
      <c r="HO52" s="9"/>
      <c r="HP52" s="9"/>
      <c r="HQ52" s="9"/>
      <c r="HR52" s="9"/>
      <c r="HS52" s="9"/>
      <c r="HT52" s="9"/>
      <c r="HU52" s="9"/>
      <c r="HV52" s="9"/>
      <c r="HW52" s="9"/>
      <c r="HX52" s="9"/>
      <c r="HY52" s="9"/>
      <c r="HZ52" s="12"/>
      <c r="IA52" s="12"/>
      <c r="IB52" s="12"/>
      <c r="IC52" s="12"/>
      <c r="ID52" s="12"/>
      <c r="IE52" s="12"/>
      <c r="IF52" s="12"/>
      <c r="IG52" s="12"/>
      <c r="IH52" s="12"/>
      <c r="II52" s="12"/>
      <c r="IJ52" s="12"/>
      <c r="IK52" s="12"/>
      <c r="IL52" s="12"/>
      <c r="IM52" s="12"/>
      <c r="IN52" s="12"/>
      <c r="IO52" s="12"/>
      <c r="IP52" s="12"/>
      <c r="IQ52" s="12"/>
      <c r="IR52" s="12"/>
      <c r="IS52" s="12"/>
      <c r="IT52" s="12"/>
      <c r="IU52" s="12"/>
      <c r="IV52" s="12"/>
    </row>
    <row r="53" spans="1:233">
      <c r="A53" s="25">
        <v>46</v>
      </c>
      <c r="B53" s="109" t="s">
        <v>203</v>
      </c>
      <c r="C53" s="43"/>
      <c r="D53" s="43"/>
      <c r="E53" s="43"/>
      <c r="F53" s="31"/>
      <c r="G53" s="50"/>
      <c r="H53" s="50"/>
      <c r="I53" s="50"/>
      <c r="J53" s="56" t="e">
        <f t="shared" si="2"/>
        <v>#DIV/0!</v>
      </c>
      <c r="K53" s="199"/>
      <c r="L53" s="43"/>
      <c r="M53" s="43"/>
      <c r="N53" s="43"/>
      <c r="O53" s="43"/>
      <c r="HQ53" s="9"/>
      <c r="HR53" s="9"/>
      <c r="HS53" s="9"/>
      <c r="HT53" s="9"/>
      <c r="HU53" s="9"/>
      <c r="HV53" s="9"/>
      <c r="HW53" s="9"/>
      <c r="HX53" s="9"/>
      <c r="HY53" s="9"/>
    </row>
    <row r="54" spans="1:233">
      <c r="A54" s="25">
        <v>47</v>
      </c>
      <c r="B54" s="109" t="s">
        <v>204</v>
      </c>
      <c r="C54" s="43"/>
      <c r="D54" s="43"/>
      <c r="E54" s="43"/>
      <c r="F54" s="31"/>
      <c r="G54" s="50"/>
      <c r="H54" s="50"/>
      <c r="I54" s="50"/>
      <c r="J54" s="56" t="e">
        <f t="shared" si="2"/>
        <v>#DIV/0!</v>
      </c>
      <c r="K54" s="199"/>
      <c r="L54" s="43"/>
      <c r="M54" s="43"/>
      <c r="N54" s="43"/>
      <c r="O54" s="43"/>
      <c r="HQ54" s="9"/>
      <c r="HR54" s="9"/>
      <c r="HS54" s="9"/>
      <c r="HT54" s="9"/>
      <c r="HU54" s="9"/>
      <c r="HV54" s="9"/>
      <c r="HW54" s="9"/>
      <c r="HX54" s="9"/>
      <c r="HY54" s="9"/>
    </row>
    <row r="55" spans="1:233">
      <c r="A55" s="25">
        <v>48</v>
      </c>
      <c r="B55" s="109" t="s">
        <v>205</v>
      </c>
      <c r="C55" s="43"/>
      <c r="D55" s="43"/>
      <c r="E55" s="43"/>
      <c r="F55" s="31"/>
      <c r="G55" s="50"/>
      <c r="H55" s="50"/>
      <c r="I55" s="50"/>
      <c r="J55" s="56" t="e">
        <f t="shared" si="2"/>
        <v>#DIV/0!</v>
      </c>
      <c r="K55" s="199"/>
      <c r="L55" s="43"/>
      <c r="M55" s="43"/>
      <c r="N55" s="43"/>
      <c r="O55" s="43"/>
      <c r="HQ55" s="9"/>
      <c r="HR55" s="9"/>
      <c r="HS55" s="9"/>
      <c r="HT55" s="9"/>
      <c r="HU55" s="9"/>
      <c r="HV55" s="9"/>
      <c r="HW55" s="9"/>
      <c r="HX55" s="9"/>
      <c r="HY55" s="9"/>
    </row>
    <row r="56" spans="1:233">
      <c r="A56" s="25">
        <v>49</v>
      </c>
      <c r="B56" s="109" t="s">
        <v>206</v>
      </c>
      <c r="C56" s="43"/>
      <c r="D56" s="43"/>
      <c r="E56" s="43"/>
      <c r="F56" s="31"/>
      <c r="G56" s="50"/>
      <c r="H56" s="50"/>
      <c r="I56" s="50"/>
      <c r="J56" s="56" t="e">
        <f t="shared" si="2"/>
        <v>#DIV/0!</v>
      </c>
      <c r="K56" s="199"/>
      <c r="L56" s="43"/>
      <c r="M56" s="43"/>
      <c r="N56" s="43"/>
      <c r="O56" s="43"/>
      <c r="HQ56" s="9"/>
      <c r="HR56" s="9"/>
      <c r="HS56" s="9"/>
      <c r="HT56" s="9"/>
      <c r="HU56" s="9"/>
      <c r="HV56" s="9"/>
      <c r="HW56" s="9"/>
      <c r="HX56" s="9"/>
      <c r="HY56" s="9"/>
    </row>
    <row r="57" spans="1:233">
      <c r="A57" s="25">
        <v>50</v>
      </c>
      <c r="B57" s="109" t="s">
        <v>207</v>
      </c>
      <c r="C57" s="43"/>
      <c r="D57" s="43"/>
      <c r="E57" s="43"/>
      <c r="F57" s="31"/>
      <c r="G57" s="50"/>
      <c r="H57" s="50"/>
      <c r="I57" s="50"/>
      <c r="J57" s="56" t="e">
        <f t="shared" si="2"/>
        <v>#DIV/0!</v>
      </c>
      <c r="K57" s="199"/>
      <c r="L57" s="43"/>
      <c r="M57" s="43"/>
      <c r="N57" s="43"/>
      <c r="O57" s="43"/>
      <c r="HQ57" s="9"/>
      <c r="HR57" s="9"/>
      <c r="HS57" s="9"/>
      <c r="HT57" s="9"/>
      <c r="HU57" s="9"/>
      <c r="HV57" s="9"/>
      <c r="HW57" s="9"/>
      <c r="HX57" s="9"/>
      <c r="HY57" s="9"/>
    </row>
    <row r="58" spans="1:233">
      <c r="A58" s="25">
        <v>51</v>
      </c>
      <c r="B58" s="109" t="s">
        <v>208</v>
      </c>
      <c r="C58" s="43"/>
      <c r="D58" s="43"/>
      <c r="E58" s="43"/>
      <c r="F58" s="31"/>
      <c r="G58" s="50"/>
      <c r="H58" s="50"/>
      <c r="I58" s="50"/>
      <c r="J58" s="56" t="e">
        <f t="shared" si="2"/>
        <v>#DIV/0!</v>
      </c>
      <c r="K58" s="199"/>
      <c r="L58" s="43"/>
      <c r="M58" s="43"/>
      <c r="N58" s="43"/>
      <c r="O58" s="43"/>
      <c r="HQ58" s="9"/>
      <c r="HR58" s="9"/>
      <c r="HS58" s="9"/>
      <c r="HT58" s="9"/>
      <c r="HU58" s="9"/>
      <c r="HV58" s="9"/>
      <c r="HW58" s="9"/>
      <c r="HX58" s="9"/>
      <c r="HY58" s="9"/>
    </row>
    <row r="59" spans="1:233">
      <c r="A59" s="25">
        <v>52</v>
      </c>
      <c r="B59" s="109" t="s">
        <v>209</v>
      </c>
      <c r="C59" s="43"/>
      <c r="D59" s="43"/>
      <c r="E59" s="43"/>
      <c r="F59" s="31"/>
      <c r="G59" s="50"/>
      <c r="H59" s="50"/>
      <c r="I59" s="50"/>
      <c r="J59" s="56" t="e">
        <f t="shared" si="2"/>
        <v>#DIV/0!</v>
      </c>
      <c r="K59" s="199"/>
      <c r="L59" s="43"/>
      <c r="M59" s="43"/>
      <c r="N59" s="43"/>
      <c r="O59" s="43"/>
      <c r="HQ59" s="9"/>
      <c r="HR59" s="9"/>
      <c r="HS59" s="9"/>
      <c r="HT59" s="9"/>
      <c r="HU59" s="9"/>
      <c r="HV59" s="9"/>
      <c r="HW59" s="9"/>
      <c r="HX59" s="9"/>
      <c r="HY59" s="9"/>
    </row>
    <row r="60" spans="1:233">
      <c r="A60" s="25">
        <v>53</v>
      </c>
      <c r="B60" s="109" t="s">
        <v>210</v>
      </c>
      <c r="C60" s="43"/>
      <c r="D60" s="43"/>
      <c r="E60" s="43"/>
      <c r="F60" s="31"/>
      <c r="G60" s="50"/>
      <c r="H60" s="50"/>
      <c r="I60" s="50"/>
      <c r="J60" s="56" t="e">
        <f t="shared" si="2"/>
        <v>#DIV/0!</v>
      </c>
      <c r="K60" s="199"/>
      <c r="L60" s="43"/>
      <c r="M60" s="43"/>
      <c r="N60" s="43"/>
      <c r="O60" s="43"/>
      <c r="HQ60" s="9"/>
      <c r="HR60" s="9"/>
      <c r="HS60" s="9"/>
      <c r="HT60" s="9"/>
      <c r="HU60" s="9"/>
      <c r="HV60" s="9"/>
      <c r="HW60" s="9"/>
      <c r="HX60" s="9"/>
      <c r="HY60" s="9"/>
    </row>
    <row r="61" spans="1:233">
      <c r="A61" s="25">
        <v>54</v>
      </c>
      <c r="B61" s="109" t="s">
        <v>211</v>
      </c>
      <c r="C61" s="43"/>
      <c r="D61" s="43"/>
      <c r="E61" s="43"/>
      <c r="F61" s="31"/>
      <c r="G61" s="50"/>
      <c r="H61" s="50"/>
      <c r="I61" s="50"/>
      <c r="J61" s="56" t="e">
        <f t="shared" si="2"/>
        <v>#DIV/0!</v>
      </c>
      <c r="K61" s="199"/>
      <c r="L61" s="43"/>
      <c r="M61" s="43"/>
      <c r="N61" s="43"/>
      <c r="O61" s="43"/>
      <c r="HQ61" s="9"/>
      <c r="HR61" s="9"/>
      <c r="HS61" s="9"/>
      <c r="HT61" s="9"/>
      <c r="HU61" s="9"/>
      <c r="HV61" s="9"/>
      <c r="HW61" s="9"/>
      <c r="HX61" s="9"/>
      <c r="HY61" s="9"/>
    </row>
    <row r="62" spans="1:233">
      <c r="A62" s="25">
        <v>55</v>
      </c>
      <c r="B62" s="109" t="s">
        <v>212</v>
      </c>
      <c r="C62" s="43"/>
      <c r="D62" s="43"/>
      <c r="E62" s="43"/>
      <c r="F62" s="31"/>
      <c r="G62" s="50"/>
      <c r="H62" s="50"/>
      <c r="I62" s="50"/>
      <c r="J62" s="56" t="e">
        <f t="shared" si="2"/>
        <v>#DIV/0!</v>
      </c>
      <c r="K62" s="199"/>
      <c r="L62" s="43"/>
      <c r="M62" s="43"/>
      <c r="N62" s="43"/>
      <c r="O62" s="43"/>
      <c r="HQ62" s="9"/>
      <c r="HR62" s="9"/>
      <c r="HS62" s="9"/>
      <c r="HT62" s="9"/>
      <c r="HU62" s="9"/>
      <c r="HV62" s="9"/>
      <c r="HW62" s="9"/>
      <c r="HX62" s="9"/>
      <c r="HY62" s="9"/>
    </row>
    <row r="63" spans="1:233">
      <c r="A63" s="25">
        <v>56</v>
      </c>
      <c r="B63" s="109" t="s">
        <v>213</v>
      </c>
      <c r="C63" s="43"/>
      <c r="D63" s="43"/>
      <c r="E63" s="43"/>
      <c r="F63" s="31"/>
      <c r="G63" s="50"/>
      <c r="H63" s="50"/>
      <c r="I63" s="50"/>
      <c r="J63" s="56" t="e">
        <f t="shared" si="2"/>
        <v>#DIV/0!</v>
      </c>
      <c r="K63" s="199"/>
      <c r="L63" s="43"/>
      <c r="M63" s="43"/>
      <c r="N63" s="43"/>
      <c r="O63" s="43"/>
      <c r="HQ63" s="9"/>
      <c r="HR63" s="9"/>
      <c r="HS63" s="9"/>
      <c r="HT63" s="9"/>
      <c r="HU63" s="9"/>
      <c r="HV63" s="9"/>
      <c r="HW63" s="9"/>
      <c r="HX63" s="9"/>
      <c r="HY63" s="9"/>
    </row>
    <row r="64" s="3" customFormat="1" ht="12.75" spans="1:15">
      <c r="A64" s="188" t="s">
        <v>388</v>
      </c>
      <c r="B64" s="189"/>
      <c r="C64" s="190"/>
      <c r="D64" s="190"/>
      <c r="E64" s="190"/>
      <c r="F64" s="190"/>
      <c r="G64" s="194"/>
      <c r="H64" s="194"/>
      <c r="I64" s="194"/>
      <c r="J64" s="190"/>
      <c r="K64" s="189"/>
      <c r="L64" s="204"/>
      <c r="M64" s="204"/>
      <c r="N64" s="204"/>
      <c r="O64" s="204"/>
    </row>
    <row r="65" s="5" customFormat="1" ht="15" customHeight="1" spans="1:15">
      <c r="A65" s="25">
        <v>57</v>
      </c>
      <c r="B65" s="26" t="s">
        <v>111</v>
      </c>
      <c r="C65" s="28"/>
      <c r="D65" s="28"/>
      <c r="E65" s="28"/>
      <c r="F65" s="28"/>
      <c r="G65" s="49">
        <f>SUM(G66:G68)</f>
        <v>0</v>
      </c>
      <c r="H65" s="49">
        <f>SUM(H66:H68)</f>
        <v>0</v>
      </c>
      <c r="I65" s="49">
        <f>SUM(I66:I68)</f>
        <v>0</v>
      </c>
      <c r="J65" s="56" t="e">
        <f t="shared" ref="J65:J70" si="3">H65/G65</f>
        <v>#DIV/0!</v>
      </c>
      <c r="K65" s="201"/>
      <c r="L65" s="198"/>
      <c r="M65" s="198"/>
      <c r="N65" s="198"/>
      <c r="O65" s="198"/>
    </row>
    <row r="66" spans="1:237">
      <c r="A66" s="25">
        <v>58</v>
      </c>
      <c r="B66" s="109" t="s">
        <v>215</v>
      </c>
      <c r="C66" s="43"/>
      <c r="D66" s="43"/>
      <c r="E66" s="43"/>
      <c r="F66" s="31"/>
      <c r="G66" s="50"/>
      <c r="H66" s="50"/>
      <c r="I66" s="50"/>
      <c r="J66" s="56" t="e">
        <f t="shared" si="3"/>
        <v>#DIV/0!</v>
      </c>
      <c r="K66" s="199"/>
      <c r="L66" s="43"/>
      <c r="M66" s="43"/>
      <c r="N66" s="43"/>
      <c r="O66" s="43"/>
      <c r="HQ66" s="9"/>
      <c r="HR66" s="9"/>
      <c r="HS66" s="9"/>
      <c r="HT66" s="9"/>
      <c r="HU66" s="9"/>
      <c r="HV66" s="9"/>
      <c r="HW66" s="9"/>
      <c r="HX66" s="9"/>
      <c r="HY66" s="9"/>
      <c r="HZ66" s="9"/>
      <c r="IA66" s="9"/>
      <c r="IB66" s="9"/>
      <c r="IC66" s="9"/>
    </row>
    <row r="67" spans="1:237">
      <c r="A67" s="25">
        <v>59</v>
      </c>
      <c r="B67" s="109" t="s">
        <v>216</v>
      </c>
      <c r="C67" s="43"/>
      <c r="D67" s="43"/>
      <c r="E67" s="43"/>
      <c r="F67" s="31"/>
      <c r="G67" s="50"/>
      <c r="H67" s="50"/>
      <c r="I67" s="50"/>
      <c r="J67" s="56" t="e">
        <f t="shared" si="3"/>
        <v>#DIV/0!</v>
      </c>
      <c r="K67" s="199"/>
      <c r="L67" s="43"/>
      <c r="M67" s="43"/>
      <c r="N67" s="43"/>
      <c r="O67" s="43"/>
      <c r="HQ67" s="9"/>
      <c r="HR67" s="9"/>
      <c r="HS67" s="9"/>
      <c r="HT67" s="9"/>
      <c r="HU67" s="9"/>
      <c r="HV67" s="9"/>
      <c r="HW67" s="9"/>
      <c r="HX67" s="9"/>
      <c r="HY67" s="9"/>
      <c r="HZ67" s="9"/>
      <c r="IA67" s="9"/>
      <c r="IB67" s="9"/>
      <c r="IC67" s="9"/>
    </row>
    <row r="68" ht="15" customHeight="1" spans="1:237">
      <c r="A68" s="25">
        <v>60</v>
      </c>
      <c r="B68" s="109" t="s">
        <v>217</v>
      </c>
      <c r="C68" s="43"/>
      <c r="D68" s="43"/>
      <c r="E68" s="43"/>
      <c r="F68" s="31"/>
      <c r="G68" s="49">
        <f>G69+G70</f>
        <v>0</v>
      </c>
      <c r="H68" s="49">
        <f>H69+H70</f>
        <v>0</v>
      </c>
      <c r="I68" s="49">
        <f>I69+I70</f>
        <v>0</v>
      </c>
      <c r="J68" s="56" t="e">
        <f t="shared" si="3"/>
        <v>#DIV/0!</v>
      </c>
      <c r="K68" s="199"/>
      <c r="L68" s="43"/>
      <c r="M68" s="43"/>
      <c r="N68" s="43"/>
      <c r="O68" s="43"/>
      <c r="HQ68" s="9"/>
      <c r="HR68" s="9"/>
      <c r="HS68" s="9"/>
      <c r="HT68" s="9"/>
      <c r="HU68" s="9"/>
      <c r="HV68" s="9"/>
      <c r="HW68" s="9"/>
      <c r="HX68" s="9"/>
      <c r="HY68" s="9"/>
      <c r="HZ68" s="9"/>
      <c r="IA68" s="9"/>
      <c r="IB68" s="9"/>
      <c r="IC68" s="9"/>
    </row>
    <row r="69" spans="1:237">
      <c r="A69" s="25">
        <v>61</v>
      </c>
      <c r="B69" s="109" t="s">
        <v>218</v>
      </c>
      <c r="C69" s="43"/>
      <c r="D69" s="43"/>
      <c r="E69" s="43"/>
      <c r="F69" s="31"/>
      <c r="G69" s="50"/>
      <c r="H69" s="50"/>
      <c r="I69" s="50"/>
      <c r="J69" s="56" t="e">
        <f t="shared" si="3"/>
        <v>#DIV/0!</v>
      </c>
      <c r="K69" s="199"/>
      <c r="L69" s="43"/>
      <c r="M69" s="43"/>
      <c r="N69" s="43"/>
      <c r="O69" s="43"/>
      <c r="HQ69" s="9"/>
      <c r="HR69" s="9"/>
      <c r="HS69" s="9"/>
      <c r="HT69" s="9"/>
      <c r="HU69" s="9"/>
      <c r="HV69" s="9"/>
      <c r="HW69" s="9"/>
      <c r="HX69" s="9"/>
      <c r="HY69" s="9"/>
      <c r="HZ69" s="9"/>
      <c r="IA69" s="9"/>
      <c r="IB69" s="9"/>
      <c r="IC69" s="9"/>
    </row>
    <row r="70" spans="1:237">
      <c r="A70" s="25">
        <v>62</v>
      </c>
      <c r="B70" s="109" t="s">
        <v>219</v>
      </c>
      <c r="C70" s="199"/>
      <c r="D70" s="199"/>
      <c r="E70" s="199"/>
      <c r="F70" s="199"/>
      <c r="G70" s="199"/>
      <c r="H70" s="199"/>
      <c r="I70" s="199"/>
      <c r="J70" s="56" t="e">
        <f t="shared" si="3"/>
        <v>#DIV/0!</v>
      </c>
      <c r="K70" s="199"/>
      <c r="L70" s="43"/>
      <c r="M70" s="43"/>
      <c r="N70" s="43"/>
      <c r="O70" s="43"/>
      <c r="HQ70" s="9"/>
      <c r="HR70" s="9"/>
      <c r="HS70" s="9"/>
      <c r="HT70" s="9"/>
      <c r="HU70" s="9"/>
      <c r="HV70" s="9"/>
      <c r="HW70" s="9"/>
      <c r="HX70" s="9"/>
      <c r="HY70" s="9"/>
      <c r="HZ70" s="9"/>
      <c r="IA70" s="9"/>
      <c r="IB70" s="9"/>
      <c r="IC70" s="9"/>
    </row>
    <row r="71" s="177" customFormat="1" ht="17.25" customHeight="1" spans="1:15">
      <c r="A71" s="206" t="s">
        <v>155</v>
      </c>
      <c r="B71" s="206"/>
      <c r="C71" s="207"/>
      <c r="D71" s="207"/>
      <c r="E71" s="207"/>
      <c r="F71" s="209" t="s">
        <v>87</v>
      </c>
      <c r="G71" s="210"/>
      <c r="H71" s="210"/>
      <c r="I71" s="210" t="s">
        <v>88</v>
      </c>
      <c r="J71" s="212"/>
      <c r="L71" s="212"/>
      <c r="M71" s="212"/>
      <c r="N71" s="212"/>
      <c r="O71" s="212"/>
    </row>
    <row r="72" s="104" customFormat="1" ht="12.75" spans="1:15">
      <c r="A72" s="33"/>
      <c r="B72" s="34" t="s">
        <v>89</v>
      </c>
      <c r="C72" s="208"/>
      <c r="D72" s="208"/>
      <c r="E72" s="208"/>
      <c r="F72" s="208"/>
      <c r="G72" s="211"/>
      <c r="H72" s="211"/>
      <c r="I72" s="211"/>
      <c r="J72" s="208"/>
      <c r="L72" s="208"/>
      <c r="M72" s="208"/>
      <c r="N72" s="208"/>
      <c r="O72" s="208"/>
    </row>
    <row r="73" spans="1:2">
      <c r="A73" s="35"/>
      <c r="B73" s="36" t="s">
        <v>90</v>
      </c>
    </row>
    <row r="74" spans="1:2">
      <c r="A74" s="40" t="s">
        <v>91</v>
      </c>
      <c r="B74" s="41">
        <v>241</v>
      </c>
    </row>
  </sheetData>
  <sheetProtection sort="0" autoFilter="0" pivotTables="0"/>
  <mergeCells count="8">
    <mergeCell ref="A1:O1"/>
    <mergeCell ref="C4:E4"/>
    <mergeCell ref="G4:J4"/>
    <mergeCell ref="L4:O4"/>
    <mergeCell ref="A3:A5"/>
    <mergeCell ref="B3:B5"/>
    <mergeCell ref="F4:F5"/>
    <mergeCell ref="K4:K5"/>
  </mergeCells>
  <conditionalFormatting sqref="C8:I27 C66:I67 C68:F68 C69:I69 C30:I63">
    <cfRule type="cellIs" dxfId="0" priority="1" stopIfTrue="1" operator="lessThan">
      <formula>0</formula>
    </cfRule>
  </conditionalFormatting>
  <pageMargins left="0.75" right="0.75" top="1" bottom="1" header="0.509027777777778" footer="0.509027777777778"/>
  <pageSetup paperSize="9" scale="58" fitToHeight="0" orientation="portrait"/>
  <headerFooter alignWithMargins="0" scaleWithDoc="0"/>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pageSetUpPr fitToPage="1"/>
  </sheetPr>
  <dimension ref="A1:IV108"/>
  <sheetViews>
    <sheetView workbookViewId="0">
      <selection activeCell="A89" sqref="A89:B89"/>
    </sheetView>
  </sheetViews>
  <sheetFormatPr defaultColWidth="9" defaultRowHeight="14.25"/>
  <cols>
    <col min="1" max="1" width="7" style="129" customWidth="1"/>
    <col min="2" max="2" width="11.6666666666667" style="130" customWidth="1"/>
    <col min="3" max="3" width="12.5" style="129" customWidth="1"/>
    <col min="4" max="4" width="10.6666666666667" style="129" customWidth="1"/>
    <col min="5" max="6" width="12.1666666666667" style="129" customWidth="1"/>
    <col min="7" max="7" width="10.5" style="131" customWidth="1"/>
    <col min="8" max="9" width="10.3333333333333" style="131" customWidth="1"/>
    <col min="10" max="10" width="10.3333333333333" style="129" customWidth="1"/>
    <col min="11" max="11" width="9.5" style="129" customWidth="1"/>
    <col min="12" max="16384" width="9" style="129"/>
  </cols>
  <sheetData>
    <row r="1" s="12" customFormat="1" ht="24" customHeight="1" spans="1:256">
      <c r="A1" s="132" t="s">
        <v>389</v>
      </c>
      <c r="B1" s="133"/>
      <c r="C1" s="132"/>
      <c r="D1" s="132"/>
      <c r="E1" s="132"/>
      <c r="F1" s="132"/>
      <c r="G1" s="152"/>
      <c r="H1" s="152"/>
      <c r="I1" s="152"/>
      <c r="J1" s="132"/>
      <c r="K1" s="132"/>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129"/>
      <c r="AK1" s="129"/>
      <c r="AL1" s="129"/>
      <c r="AM1" s="129"/>
      <c r="AN1" s="129"/>
      <c r="AO1" s="129"/>
      <c r="AP1" s="129"/>
      <c r="AQ1" s="129"/>
      <c r="AR1" s="129"/>
      <c r="AS1" s="129"/>
      <c r="AT1" s="129"/>
      <c r="AU1" s="129"/>
      <c r="AV1" s="129"/>
      <c r="AW1" s="129"/>
      <c r="AX1" s="129"/>
      <c r="AY1" s="129"/>
      <c r="AZ1" s="129"/>
      <c r="BA1" s="129"/>
      <c r="BB1" s="129"/>
      <c r="BC1" s="129"/>
      <c r="BD1" s="129"/>
      <c r="BE1" s="129"/>
      <c r="BF1" s="129"/>
      <c r="BG1" s="129"/>
      <c r="BH1" s="129"/>
      <c r="BI1" s="129"/>
      <c r="BJ1" s="129"/>
      <c r="BK1" s="129"/>
      <c r="BL1" s="129"/>
      <c r="BM1" s="129"/>
      <c r="BN1" s="129"/>
      <c r="BO1" s="129"/>
      <c r="BP1" s="129"/>
      <c r="BQ1" s="129"/>
      <c r="BR1" s="129"/>
      <c r="BS1" s="129"/>
      <c r="BT1" s="129"/>
      <c r="BU1" s="129"/>
      <c r="BV1" s="129"/>
      <c r="BW1" s="129"/>
      <c r="BX1" s="129"/>
      <c r="BY1" s="129"/>
      <c r="BZ1" s="129"/>
      <c r="CA1" s="129"/>
      <c r="CB1" s="129"/>
      <c r="CC1" s="129"/>
      <c r="CD1" s="129"/>
      <c r="CE1" s="129"/>
      <c r="CF1" s="129"/>
      <c r="CG1" s="129"/>
      <c r="CH1" s="129"/>
      <c r="CI1" s="129"/>
      <c r="CJ1" s="129"/>
      <c r="CK1" s="129"/>
      <c r="CL1" s="129"/>
      <c r="CM1" s="129"/>
      <c r="CN1" s="129"/>
      <c r="CO1" s="129"/>
      <c r="CP1" s="129"/>
      <c r="CQ1" s="129"/>
      <c r="CR1" s="129"/>
      <c r="CS1" s="129"/>
      <c r="CT1" s="129"/>
      <c r="CU1" s="129"/>
      <c r="CV1" s="129"/>
      <c r="CW1" s="129"/>
      <c r="CX1" s="129"/>
      <c r="CY1" s="129"/>
      <c r="CZ1" s="129"/>
      <c r="DA1" s="129"/>
      <c r="DB1" s="129"/>
      <c r="DC1" s="129"/>
      <c r="DD1" s="129"/>
      <c r="DE1" s="129"/>
      <c r="DF1" s="129"/>
      <c r="DG1" s="129"/>
      <c r="DH1" s="129"/>
      <c r="DI1" s="129"/>
      <c r="DJ1" s="129"/>
      <c r="DK1" s="129"/>
      <c r="DL1" s="129"/>
      <c r="DM1" s="129"/>
      <c r="DN1" s="129"/>
      <c r="DO1" s="129"/>
      <c r="DP1" s="129"/>
      <c r="DQ1" s="129"/>
      <c r="DR1" s="129"/>
      <c r="DS1" s="129"/>
      <c r="DT1" s="129"/>
      <c r="DU1" s="129"/>
      <c r="DV1" s="129"/>
      <c r="DW1" s="129"/>
      <c r="DX1" s="129"/>
      <c r="DY1" s="129"/>
      <c r="DZ1" s="129"/>
      <c r="EA1" s="129"/>
      <c r="EB1" s="129"/>
      <c r="EC1" s="129"/>
      <c r="ED1" s="129"/>
      <c r="EE1" s="129"/>
      <c r="EF1" s="129"/>
      <c r="EG1" s="129"/>
      <c r="EH1" s="129"/>
      <c r="EI1" s="129"/>
      <c r="EJ1" s="129"/>
      <c r="EK1" s="129"/>
      <c r="EL1" s="129"/>
      <c r="EM1" s="129"/>
      <c r="EN1" s="129"/>
      <c r="EO1" s="129"/>
      <c r="EP1" s="129"/>
      <c r="EQ1" s="129"/>
      <c r="ER1" s="129"/>
      <c r="ES1" s="129"/>
      <c r="ET1" s="129"/>
      <c r="EU1" s="129"/>
      <c r="EV1" s="129"/>
      <c r="EW1" s="129"/>
      <c r="EX1" s="129"/>
      <c r="EY1" s="129"/>
      <c r="EZ1" s="129"/>
      <c r="FA1" s="129"/>
      <c r="FB1" s="129"/>
      <c r="FC1" s="129"/>
      <c r="FD1" s="129"/>
      <c r="FE1" s="129"/>
      <c r="FF1" s="129"/>
      <c r="FG1" s="129"/>
      <c r="FH1" s="129"/>
      <c r="FI1" s="129"/>
      <c r="FJ1" s="129"/>
      <c r="FK1" s="129"/>
      <c r="FL1" s="129"/>
      <c r="FM1" s="129"/>
      <c r="FN1" s="129"/>
      <c r="FO1" s="129"/>
      <c r="FP1" s="129"/>
      <c r="FQ1" s="129"/>
      <c r="FR1" s="129"/>
      <c r="FS1" s="129"/>
      <c r="FT1" s="129"/>
      <c r="FU1" s="129"/>
      <c r="FV1" s="129"/>
      <c r="FW1" s="129"/>
      <c r="FX1" s="129"/>
      <c r="FY1" s="129"/>
      <c r="FZ1" s="129"/>
      <c r="GA1" s="129"/>
      <c r="GB1" s="129"/>
      <c r="GC1" s="129"/>
      <c r="GD1" s="129"/>
      <c r="GE1" s="129"/>
      <c r="GF1" s="129"/>
      <c r="GG1" s="129"/>
      <c r="GH1" s="129"/>
      <c r="GI1" s="129"/>
      <c r="GJ1" s="129"/>
      <c r="GK1" s="129"/>
      <c r="GL1" s="129"/>
      <c r="GM1" s="129"/>
      <c r="GN1" s="129"/>
      <c r="GO1" s="129"/>
      <c r="GP1" s="129"/>
      <c r="GQ1" s="129"/>
      <c r="GR1" s="129"/>
      <c r="GS1" s="129"/>
      <c r="GT1" s="129"/>
      <c r="GU1" s="129"/>
      <c r="GV1" s="129"/>
      <c r="GW1" s="129"/>
      <c r="GX1" s="129"/>
      <c r="GY1" s="129"/>
      <c r="GZ1" s="129"/>
      <c r="HA1" s="129"/>
      <c r="HB1" s="129"/>
      <c r="HC1" s="129"/>
      <c r="HD1" s="129"/>
      <c r="HE1" s="129"/>
      <c r="HF1" s="129"/>
      <c r="HG1" s="129"/>
      <c r="HH1" s="129"/>
      <c r="HI1" s="129"/>
      <c r="HJ1" s="129"/>
      <c r="HK1" s="129"/>
      <c r="HL1" s="129"/>
      <c r="HM1" s="129"/>
      <c r="HN1" s="129"/>
      <c r="HO1" s="129"/>
      <c r="HP1" s="129"/>
      <c r="HQ1" s="129"/>
      <c r="HR1" s="129"/>
      <c r="HS1" s="129"/>
      <c r="HT1" s="129"/>
      <c r="HU1" s="129"/>
      <c r="HV1" s="129"/>
      <c r="HW1" s="129"/>
      <c r="HX1" s="129"/>
      <c r="HY1" s="129"/>
      <c r="HZ1" s="129"/>
      <c r="IA1" s="129"/>
      <c r="IB1" s="129"/>
      <c r="IC1" s="129"/>
      <c r="ID1" s="129"/>
      <c r="IE1" s="129"/>
      <c r="IF1" s="129"/>
      <c r="IG1" s="129"/>
      <c r="IH1" s="129"/>
      <c r="II1" s="129"/>
      <c r="IJ1" s="129"/>
      <c r="IK1" s="129"/>
      <c r="IL1" s="129"/>
      <c r="IM1" s="129"/>
      <c r="IN1" s="129"/>
      <c r="IO1" s="129"/>
      <c r="IP1" s="129"/>
      <c r="IQ1" s="129"/>
      <c r="IR1" s="129"/>
      <c r="IS1" s="129"/>
      <c r="IT1" s="129"/>
      <c r="IU1" s="129"/>
      <c r="IV1" s="129"/>
    </row>
    <row r="2" s="103" customFormat="1" ht="12.75" spans="1:11">
      <c r="A2" s="34" t="s">
        <v>1</v>
      </c>
      <c r="B2" s="134"/>
      <c r="C2" s="34"/>
      <c r="D2" s="123"/>
      <c r="G2" s="153" t="s">
        <v>279</v>
      </c>
      <c r="H2" s="154"/>
      <c r="I2" s="162"/>
      <c r="J2" s="123" t="s">
        <v>390</v>
      </c>
      <c r="K2" s="123"/>
    </row>
    <row r="3" s="103" customFormat="1" ht="12" spans="1:11">
      <c r="A3" s="121" t="s">
        <v>4</v>
      </c>
      <c r="B3" s="135" t="s">
        <v>6</v>
      </c>
      <c r="C3" s="21" t="s">
        <v>7</v>
      </c>
      <c r="D3" s="21" t="s">
        <v>8</v>
      </c>
      <c r="E3" s="21" t="s">
        <v>9</v>
      </c>
      <c r="F3" s="21" t="s">
        <v>10</v>
      </c>
      <c r="G3" s="155" t="s">
        <v>11</v>
      </c>
      <c r="H3" s="155" t="s">
        <v>12</v>
      </c>
      <c r="I3" s="156" t="s">
        <v>13</v>
      </c>
      <c r="J3" s="26" t="s">
        <v>96</v>
      </c>
      <c r="K3" s="26" t="s">
        <v>97</v>
      </c>
    </row>
    <row r="4" s="103" customFormat="1" ht="12.75" spans="1:11">
      <c r="A4" s="121"/>
      <c r="B4" s="136" t="s">
        <v>256</v>
      </c>
      <c r="C4" s="121" t="s">
        <v>257</v>
      </c>
      <c r="D4" s="26" t="s">
        <v>356</v>
      </c>
      <c r="E4" s="26"/>
      <c r="F4" s="26"/>
      <c r="G4" s="156" t="s">
        <v>391</v>
      </c>
      <c r="H4" s="156"/>
      <c r="I4" s="156"/>
      <c r="J4" s="26"/>
      <c r="K4" s="20" t="s">
        <v>359</v>
      </c>
    </row>
    <row r="5" s="128" customFormat="1" ht="24" spans="1:256">
      <c r="A5" s="121"/>
      <c r="B5" s="137"/>
      <c r="C5" s="138"/>
      <c r="D5" s="121" t="s">
        <v>392</v>
      </c>
      <c r="E5" s="121" t="s">
        <v>362</v>
      </c>
      <c r="F5" s="121" t="s">
        <v>393</v>
      </c>
      <c r="G5" s="157" t="s">
        <v>374</v>
      </c>
      <c r="H5" s="157" t="s">
        <v>375</v>
      </c>
      <c r="I5" s="157" t="s">
        <v>376</v>
      </c>
      <c r="J5" s="121" t="s">
        <v>358</v>
      </c>
      <c r="K5" s="20"/>
      <c r="L5" s="163"/>
      <c r="M5" s="163"/>
      <c r="N5" s="163"/>
      <c r="O5" s="163"/>
      <c r="P5" s="163"/>
      <c r="Q5" s="163"/>
      <c r="R5" s="163"/>
      <c r="S5" s="163"/>
      <c r="T5" s="163"/>
      <c r="U5" s="163"/>
      <c r="V5" s="163"/>
      <c r="W5" s="163"/>
      <c r="X5" s="163"/>
      <c r="Y5" s="163"/>
      <c r="Z5" s="163"/>
      <c r="AA5" s="163"/>
      <c r="AB5" s="163"/>
      <c r="AC5" s="163"/>
      <c r="AD5" s="163"/>
      <c r="AE5" s="163"/>
      <c r="AF5" s="163"/>
      <c r="AG5" s="163"/>
      <c r="AH5" s="163"/>
      <c r="AI5" s="163"/>
      <c r="AJ5" s="163"/>
      <c r="AK5" s="163"/>
      <c r="AL5" s="163"/>
      <c r="AM5" s="163"/>
      <c r="AN5" s="163"/>
      <c r="AO5" s="163"/>
      <c r="AP5" s="163"/>
      <c r="AQ5" s="163"/>
      <c r="AR5" s="163"/>
      <c r="AS5" s="163"/>
      <c r="AT5" s="163"/>
      <c r="AU5" s="163"/>
      <c r="AV5" s="163"/>
      <c r="AW5" s="163"/>
      <c r="AX5" s="163"/>
      <c r="AY5" s="163"/>
      <c r="AZ5" s="163"/>
      <c r="BA5" s="163"/>
      <c r="BB5" s="163"/>
      <c r="BC5" s="163"/>
      <c r="BD5" s="163"/>
      <c r="BE5" s="163"/>
      <c r="BF5" s="163"/>
      <c r="BG5" s="163"/>
      <c r="BH5" s="163"/>
      <c r="BI5" s="163"/>
      <c r="BJ5" s="163"/>
      <c r="BK5" s="163"/>
      <c r="BL5" s="163"/>
      <c r="BM5" s="163"/>
      <c r="BN5" s="163"/>
      <c r="BO5" s="163"/>
      <c r="BP5" s="163"/>
      <c r="BQ5" s="163"/>
      <c r="BR5" s="163"/>
      <c r="BS5" s="163"/>
      <c r="BT5" s="163"/>
      <c r="BU5" s="163"/>
      <c r="BV5" s="163"/>
      <c r="BW5" s="163"/>
      <c r="BX5" s="163"/>
      <c r="BY5" s="163"/>
      <c r="BZ5" s="163"/>
      <c r="CA5" s="163"/>
      <c r="CB5" s="163"/>
      <c r="CC5" s="163"/>
      <c r="CD5" s="163"/>
      <c r="CE5" s="163"/>
      <c r="CF5" s="163"/>
      <c r="CG5" s="163"/>
      <c r="CH5" s="163"/>
      <c r="CI5" s="163"/>
      <c r="CJ5" s="163"/>
      <c r="CK5" s="163"/>
      <c r="CL5" s="163"/>
      <c r="CM5" s="163"/>
      <c r="CN5" s="163"/>
      <c r="CO5" s="163"/>
      <c r="CP5" s="163"/>
      <c r="CQ5" s="163"/>
      <c r="CR5" s="163"/>
      <c r="CS5" s="163"/>
      <c r="CT5" s="163"/>
      <c r="CU5" s="163"/>
      <c r="CV5" s="163"/>
      <c r="CW5" s="163"/>
      <c r="CX5" s="163"/>
      <c r="CY5" s="163"/>
      <c r="CZ5" s="163"/>
      <c r="DA5" s="163"/>
      <c r="DB5" s="163"/>
      <c r="DC5" s="163"/>
      <c r="DD5" s="163"/>
      <c r="DE5" s="163"/>
      <c r="DF5" s="163"/>
      <c r="DG5" s="163"/>
      <c r="DH5" s="163"/>
      <c r="DI5" s="163"/>
      <c r="DJ5" s="163"/>
      <c r="DK5" s="163"/>
      <c r="DL5" s="163"/>
      <c r="DM5" s="163"/>
      <c r="DN5" s="163"/>
      <c r="DO5" s="163"/>
      <c r="DP5" s="163"/>
      <c r="DQ5" s="163"/>
      <c r="DR5" s="163"/>
      <c r="DS5" s="163"/>
      <c r="DT5" s="163"/>
      <c r="DU5" s="163"/>
      <c r="DV5" s="163"/>
      <c r="DW5" s="163"/>
      <c r="DX5" s="163"/>
      <c r="DY5" s="163"/>
      <c r="DZ5" s="163"/>
      <c r="EA5" s="163"/>
      <c r="EB5" s="163"/>
      <c r="EC5" s="163"/>
      <c r="ED5" s="163"/>
      <c r="EE5" s="163"/>
      <c r="EF5" s="163"/>
      <c r="EG5" s="163"/>
      <c r="EH5" s="163"/>
      <c r="EI5" s="163"/>
      <c r="EJ5" s="163"/>
      <c r="EK5" s="163"/>
      <c r="EL5" s="163"/>
      <c r="EM5" s="163"/>
      <c r="EN5" s="163"/>
      <c r="EO5" s="163"/>
      <c r="EP5" s="163"/>
      <c r="EQ5" s="163"/>
      <c r="ER5" s="163"/>
      <c r="ES5" s="163"/>
      <c r="ET5" s="163"/>
      <c r="EU5" s="163"/>
      <c r="EV5" s="163"/>
      <c r="EW5" s="163"/>
      <c r="EX5" s="163"/>
      <c r="EY5" s="163"/>
      <c r="EZ5" s="163"/>
      <c r="FA5" s="163"/>
      <c r="FB5" s="163"/>
      <c r="FC5" s="163"/>
      <c r="FD5" s="163"/>
      <c r="FE5" s="163"/>
      <c r="FF5" s="163"/>
      <c r="FG5" s="163"/>
      <c r="FH5" s="163"/>
      <c r="FI5" s="163"/>
      <c r="FJ5" s="163"/>
      <c r="FK5" s="163"/>
      <c r="FL5" s="163"/>
      <c r="FM5" s="163"/>
      <c r="FN5" s="163"/>
      <c r="FO5" s="163"/>
      <c r="FP5" s="163"/>
      <c r="FQ5" s="163"/>
      <c r="FR5" s="163"/>
      <c r="FS5" s="163"/>
      <c r="FT5" s="163"/>
      <c r="FU5" s="163"/>
      <c r="FV5" s="163"/>
      <c r="FW5" s="163"/>
      <c r="FX5" s="163"/>
      <c r="FY5" s="163"/>
      <c r="FZ5" s="163"/>
      <c r="GA5" s="163"/>
      <c r="GB5" s="163"/>
      <c r="GC5" s="163"/>
      <c r="GD5" s="163"/>
      <c r="GE5" s="163"/>
      <c r="GF5" s="163"/>
      <c r="GG5" s="163"/>
      <c r="GH5" s="163"/>
      <c r="GI5" s="163"/>
      <c r="GJ5" s="163"/>
      <c r="GK5" s="163"/>
      <c r="GL5" s="163"/>
      <c r="GM5" s="163"/>
      <c r="GN5" s="163"/>
      <c r="GO5" s="163"/>
      <c r="GP5" s="163"/>
      <c r="GQ5" s="163"/>
      <c r="GR5" s="163"/>
      <c r="GS5" s="163"/>
      <c r="GT5" s="163"/>
      <c r="GU5" s="163"/>
      <c r="GV5" s="163"/>
      <c r="GW5" s="163"/>
      <c r="GX5" s="163"/>
      <c r="GY5" s="163"/>
      <c r="GZ5" s="163"/>
      <c r="HA5" s="163"/>
      <c r="HB5" s="163"/>
      <c r="HC5" s="163"/>
      <c r="HD5" s="163"/>
      <c r="HE5" s="163"/>
      <c r="HF5" s="163"/>
      <c r="HG5" s="163"/>
      <c r="HH5" s="163"/>
      <c r="HI5" s="163"/>
      <c r="HJ5" s="163"/>
      <c r="HK5" s="163"/>
      <c r="HL5" s="163"/>
      <c r="HM5" s="163"/>
      <c r="HN5" s="163"/>
      <c r="HO5" s="163"/>
      <c r="HP5" s="163"/>
      <c r="HQ5" s="163"/>
      <c r="HR5" s="163"/>
      <c r="HS5" s="163"/>
      <c r="HT5" s="163"/>
      <c r="HU5" s="163"/>
      <c r="HV5" s="163"/>
      <c r="HW5" s="163"/>
      <c r="HX5" s="163"/>
      <c r="HY5" s="163"/>
      <c r="HZ5" s="163"/>
      <c r="IA5" s="163"/>
      <c r="IB5" s="163"/>
      <c r="IC5" s="163"/>
      <c r="ID5" s="163"/>
      <c r="IE5" s="163"/>
      <c r="IF5" s="163"/>
      <c r="IG5" s="163"/>
      <c r="IH5" s="163"/>
      <c r="II5" s="163"/>
      <c r="IJ5" s="163"/>
      <c r="IK5" s="163"/>
      <c r="IL5" s="163"/>
      <c r="IM5" s="163"/>
      <c r="IN5" s="163"/>
      <c r="IO5" s="163"/>
      <c r="IP5" s="163"/>
      <c r="IQ5" s="163"/>
      <c r="IR5" s="163"/>
      <c r="IS5" s="163"/>
      <c r="IT5" s="163"/>
      <c r="IU5" s="163"/>
      <c r="IV5" s="163"/>
    </row>
    <row r="6" s="128" customFormat="1" spans="1:256">
      <c r="A6" s="139" t="s">
        <v>274</v>
      </c>
      <c r="B6" s="140"/>
      <c r="C6" s="122"/>
      <c r="D6" s="122"/>
      <c r="E6" s="122"/>
      <c r="F6" s="122"/>
      <c r="G6" s="158"/>
      <c r="H6" s="158"/>
      <c r="I6" s="158"/>
      <c r="J6" s="122"/>
      <c r="K6" s="108"/>
      <c r="L6" s="163"/>
      <c r="M6" s="163"/>
      <c r="N6" s="163"/>
      <c r="O6" s="163"/>
      <c r="P6" s="163"/>
      <c r="Q6" s="163"/>
      <c r="R6" s="163"/>
      <c r="S6" s="163"/>
      <c r="T6" s="163"/>
      <c r="U6" s="163"/>
      <c r="V6" s="163"/>
      <c r="W6" s="163"/>
      <c r="X6" s="163"/>
      <c r="Y6" s="163"/>
      <c r="Z6" s="163"/>
      <c r="AA6" s="163"/>
      <c r="AB6" s="163"/>
      <c r="AC6" s="163"/>
      <c r="AD6" s="163"/>
      <c r="AE6" s="163"/>
      <c r="AF6" s="163"/>
      <c r="AG6" s="163"/>
      <c r="AH6" s="163"/>
      <c r="AI6" s="163"/>
      <c r="AJ6" s="163"/>
      <c r="AK6" s="163"/>
      <c r="AL6" s="163"/>
      <c r="AM6" s="163"/>
      <c r="AN6" s="163"/>
      <c r="AO6" s="163"/>
      <c r="AP6" s="163"/>
      <c r="AQ6" s="163"/>
      <c r="AR6" s="163"/>
      <c r="AS6" s="163"/>
      <c r="AT6" s="163"/>
      <c r="AU6" s="163"/>
      <c r="AV6" s="163"/>
      <c r="AW6" s="163"/>
      <c r="AX6" s="163"/>
      <c r="AY6" s="163"/>
      <c r="AZ6" s="163"/>
      <c r="BA6" s="163"/>
      <c r="BB6" s="163"/>
      <c r="BC6" s="163"/>
      <c r="BD6" s="163"/>
      <c r="BE6" s="163"/>
      <c r="BF6" s="163"/>
      <c r="BG6" s="163"/>
      <c r="BH6" s="163"/>
      <c r="BI6" s="163"/>
      <c r="BJ6" s="163"/>
      <c r="BK6" s="163"/>
      <c r="BL6" s="163"/>
      <c r="BM6" s="163"/>
      <c r="BN6" s="163"/>
      <c r="BO6" s="163"/>
      <c r="BP6" s="163"/>
      <c r="BQ6" s="163"/>
      <c r="BR6" s="163"/>
      <c r="BS6" s="163"/>
      <c r="BT6" s="163"/>
      <c r="BU6" s="163"/>
      <c r="BV6" s="163"/>
      <c r="BW6" s="163"/>
      <c r="BX6" s="163"/>
      <c r="BY6" s="163"/>
      <c r="BZ6" s="163"/>
      <c r="CA6" s="163"/>
      <c r="CB6" s="163"/>
      <c r="CC6" s="163"/>
      <c r="CD6" s="163"/>
      <c r="CE6" s="163"/>
      <c r="CF6" s="163"/>
      <c r="CG6" s="163"/>
      <c r="CH6" s="163"/>
      <c r="CI6" s="163"/>
      <c r="CJ6" s="163"/>
      <c r="CK6" s="163"/>
      <c r="CL6" s="163"/>
      <c r="CM6" s="163"/>
      <c r="CN6" s="163"/>
      <c r="CO6" s="163"/>
      <c r="CP6" s="163"/>
      <c r="CQ6" s="163"/>
      <c r="CR6" s="163"/>
      <c r="CS6" s="163"/>
      <c r="CT6" s="163"/>
      <c r="CU6" s="163"/>
      <c r="CV6" s="163"/>
      <c r="CW6" s="163"/>
      <c r="CX6" s="163"/>
      <c r="CY6" s="163"/>
      <c r="CZ6" s="163"/>
      <c r="DA6" s="163"/>
      <c r="DB6" s="163"/>
      <c r="DC6" s="163"/>
      <c r="DD6" s="163"/>
      <c r="DE6" s="163"/>
      <c r="DF6" s="163"/>
      <c r="DG6" s="163"/>
      <c r="DH6" s="163"/>
      <c r="DI6" s="163"/>
      <c r="DJ6" s="163"/>
      <c r="DK6" s="163"/>
      <c r="DL6" s="163"/>
      <c r="DM6" s="163"/>
      <c r="DN6" s="163"/>
      <c r="DO6" s="163"/>
      <c r="DP6" s="163"/>
      <c r="DQ6" s="163"/>
      <c r="DR6" s="163"/>
      <c r="DS6" s="163"/>
      <c r="DT6" s="163"/>
      <c r="DU6" s="163"/>
      <c r="DV6" s="163"/>
      <c r="DW6" s="163"/>
      <c r="DX6" s="163"/>
      <c r="DY6" s="163"/>
      <c r="DZ6" s="163"/>
      <c r="EA6" s="163"/>
      <c r="EB6" s="163"/>
      <c r="EC6" s="163"/>
      <c r="ED6" s="163"/>
      <c r="EE6" s="163"/>
      <c r="EF6" s="163"/>
      <c r="EG6" s="163"/>
      <c r="EH6" s="163"/>
      <c r="EI6" s="163"/>
      <c r="EJ6" s="163"/>
      <c r="EK6" s="163"/>
      <c r="EL6" s="163"/>
      <c r="EM6" s="163"/>
      <c r="EN6" s="163"/>
      <c r="EO6" s="163"/>
      <c r="EP6" s="163"/>
      <c r="EQ6" s="163"/>
      <c r="ER6" s="163"/>
      <c r="ES6" s="163"/>
      <c r="ET6" s="163"/>
      <c r="EU6" s="163"/>
      <c r="EV6" s="163"/>
      <c r="EW6" s="163"/>
      <c r="EX6" s="163"/>
      <c r="EY6" s="163"/>
      <c r="EZ6" s="163"/>
      <c r="FA6" s="163"/>
      <c r="FB6" s="163"/>
      <c r="FC6" s="163"/>
      <c r="FD6" s="163"/>
      <c r="FE6" s="163"/>
      <c r="FF6" s="163"/>
      <c r="FG6" s="163"/>
      <c r="FH6" s="163"/>
      <c r="FI6" s="163"/>
      <c r="FJ6" s="163"/>
      <c r="FK6" s="163"/>
      <c r="FL6" s="163"/>
      <c r="FM6" s="163"/>
      <c r="FN6" s="163"/>
      <c r="FO6" s="163"/>
      <c r="FP6" s="163"/>
      <c r="FQ6" s="163"/>
      <c r="FR6" s="163"/>
      <c r="FS6" s="163"/>
      <c r="FT6" s="163"/>
      <c r="FU6" s="163"/>
      <c r="FV6" s="163"/>
      <c r="FW6" s="163"/>
      <c r="FX6" s="163"/>
      <c r="FY6" s="163"/>
      <c r="FZ6" s="163"/>
      <c r="GA6" s="163"/>
      <c r="GB6" s="163"/>
      <c r="GC6" s="163"/>
      <c r="GD6" s="163"/>
      <c r="GE6" s="163"/>
      <c r="GF6" s="163"/>
      <c r="GG6" s="163"/>
      <c r="GH6" s="163"/>
      <c r="GI6" s="163"/>
      <c r="GJ6" s="163"/>
      <c r="GK6" s="163"/>
      <c r="GL6" s="163"/>
      <c r="GM6" s="163"/>
      <c r="GN6" s="163"/>
      <c r="GO6" s="163"/>
      <c r="GP6" s="163"/>
      <c r="GQ6" s="163"/>
      <c r="GR6" s="163"/>
      <c r="GS6" s="163"/>
      <c r="GT6" s="163"/>
      <c r="GU6" s="163"/>
      <c r="GV6" s="163"/>
      <c r="GW6" s="163"/>
      <c r="GX6" s="163"/>
      <c r="GY6" s="163"/>
      <c r="GZ6" s="163"/>
      <c r="HA6" s="163"/>
      <c r="HB6" s="163"/>
      <c r="HC6" s="163"/>
      <c r="HD6" s="163"/>
      <c r="HE6" s="163"/>
      <c r="HF6" s="163"/>
      <c r="HG6" s="163"/>
      <c r="HH6" s="163"/>
      <c r="HI6" s="163"/>
      <c r="HJ6" s="163"/>
      <c r="HK6" s="163"/>
      <c r="HL6" s="163"/>
      <c r="HM6" s="163"/>
      <c r="HN6" s="163"/>
      <c r="HO6" s="163"/>
      <c r="HP6" s="163"/>
      <c r="HQ6" s="163"/>
      <c r="HR6" s="163"/>
      <c r="HS6" s="163"/>
      <c r="HT6" s="163"/>
      <c r="HU6" s="163"/>
      <c r="HV6" s="163"/>
      <c r="HW6" s="163"/>
      <c r="HX6" s="163"/>
      <c r="HY6" s="163"/>
      <c r="HZ6" s="163"/>
      <c r="IA6" s="163"/>
      <c r="IB6" s="163"/>
      <c r="IC6" s="163"/>
      <c r="ID6" s="163"/>
      <c r="IE6" s="163"/>
      <c r="IF6" s="163"/>
      <c r="IG6" s="163"/>
      <c r="IH6" s="163"/>
      <c r="II6" s="163"/>
      <c r="IJ6" s="163"/>
      <c r="IK6" s="163"/>
      <c r="IL6" s="163"/>
      <c r="IM6" s="163"/>
      <c r="IN6" s="163"/>
      <c r="IO6" s="163"/>
      <c r="IP6" s="163"/>
      <c r="IQ6" s="163"/>
      <c r="IR6" s="163"/>
      <c r="IS6" s="163"/>
      <c r="IT6" s="163"/>
      <c r="IU6" s="163"/>
      <c r="IV6" s="163"/>
    </row>
    <row r="7" s="103" customFormat="1" ht="12.75" spans="1:11">
      <c r="A7" s="141">
        <v>1</v>
      </c>
      <c r="B7" s="136" t="s">
        <v>111</v>
      </c>
      <c r="C7" s="121"/>
      <c r="D7" s="142"/>
      <c r="E7" s="142"/>
      <c r="F7" s="142"/>
      <c r="G7" s="159">
        <f>SUM(G8:G22)</f>
        <v>0</v>
      </c>
      <c r="H7" s="159">
        <f>SUM(H8:H22)</f>
        <v>0</v>
      </c>
      <c r="I7" s="159">
        <f>SUM(I8:I23)</f>
        <v>0</v>
      </c>
      <c r="J7" s="61" t="e">
        <f>H7/G7</f>
        <v>#DIV/0!</v>
      </c>
      <c r="K7" s="142"/>
    </row>
    <row r="8" s="103" customFormat="1" ht="12.75" spans="1:11">
      <c r="A8" s="141">
        <v>2</v>
      </c>
      <c r="B8" s="143">
        <v>0.0005</v>
      </c>
      <c r="C8" s="144">
        <v>0.0013</v>
      </c>
      <c r="D8" s="145"/>
      <c r="E8" s="145"/>
      <c r="F8" s="145"/>
      <c r="G8" s="160"/>
      <c r="H8" s="160"/>
      <c r="I8" s="160"/>
      <c r="J8" s="61" t="e">
        <f t="shared" ref="J7:J22" si="0">H8/G8</f>
        <v>#DIV/0!</v>
      </c>
      <c r="K8" s="145"/>
    </row>
    <row r="9" s="103" customFormat="1" ht="12.75" spans="1:11">
      <c r="A9" s="141">
        <v>3</v>
      </c>
      <c r="B9" s="143">
        <v>0.0013</v>
      </c>
      <c r="C9" s="146">
        <v>0.002</v>
      </c>
      <c r="D9" s="145"/>
      <c r="E9" s="145"/>
      <c r="F9" s="145"/>
      <c r="G9" s="160"/>
      <c r="H9" s="160"/>
      <c r="I9" s="160"/>
      <c r="J9" s="61" t="e">
        <f t="shared" si="0"/>
        <v>#DIV/0!</v>
      </c>
      <c r="K9" s="145"/>
    </row>
    <row r="10" s="103" customFormat="1" ht="12.75" spans="1:11">
      <c r="A10" s="141">
        <v>4</v>
      </c>
      <c r="B10" s="143">
        <v>0.002</v>
      </c>
      <c r="C10" s="146">
        <v>0.0033</v>
      </c>
      <c r="D10" s="145"/>
      <c r="E10" s="145"/>
      <c r="F10" s="145"/>
      <c r="G10" s="160"/>
      <c r="H10" s="160"/>
      <c r="I10" s="160"/>
      <c r="J10" s="61" t="e">
        <f t="shared" si="0"/>
        <v>#DIV/0!</v>
      </c>
      <c r="K10" s="145"/>
    </row>
    <row r="11" s="103" customFormat="1" ht="12.75" spans="1:11">
      <c r="A11" s="141">
        <v>5</v>
      </c>
      <c r="B11" s="143">
        <v>0.0033</v>
      </c>
      <c r="C11" s="146">
        <v>0.0053</v>
      </c>
      <c r="D11" s="145"/>
      <c r="E11" s="145"/>
      <c r="F11" s="145"/>
      <c r="G11" s="160"/>
      <c r="H11" s="160"/>
      <c r="I11" s="160"/>
      <c r="J11" s="61" t="e">
        <f t="shared" si="0"/>
        <v>#DIV/0!</v>
      </c>
      <c r="K11" s="145"/>
    </row>
    <row r="12" s="103" customFormat="1" ht="12.75" spans="1:11">
      <c r="A12" s="141">
        <v>6</v>
      </c>
      <c r="B12" s="143">
        <v>0.0053</v>
      </c>
      <c r="C12" s="146">
        <v>0.0086</v>
      </c>
      <c r="D12" s="145"/>
      <c r="E12" s="145"/>
      <c r="F12" s="145"/>
      <c r="G12" s="160"/>
      <c r="H12" s="160"/>
      <c r="I12" s="160"/>
      <c r="J12" s="61" t="e">
        <f t="shared" si="0"/>
        <v>#DIV/0!</v>
      </c>
      <c r="K12" s="145"/>
    </row>
    <row r="13" s="103" customFormat="1" ht="12.75" spans="1:11">
      <c r="A13" s="141">
        <v>7</v>
      </c>
      <c r="B13" s="143">
        <v>0.0086</v>
      </c>
      <c r="C13" s="146">
        <v>0.0137</v>
      </c>
      <c r="D13" s="145"/>
      <c r="E13" s="145"/>
      <c r="F13" s="145"/>
      <c r="G13" s="160"/>
      <c r="H13" s="160"/>
      <c r="I13" s="160"/>
      <c r="J13" s="61" t="e">
        <f t="shared" si="0"/>
        <v>#DIV/0!</v>
      </c>
      <c r="K13" s="145"/>
    </row>
    <row r="14" s="103" customFormat="1" ht="12.75" spans="1:11">
      <c r="A14" s="141">
        <v>8</v>
      </c>
      <c r="B14" s="143">
        <v>0.0137</v>
      </c>
      <c r="C14" s="146">
        <v>0.0214</v>
      </c>
      <c r="D14" s="145"/>
      <c r="E14" s="145"/>
      <c r="F14" s="145"/>
      <c r="G14" s="160"/>
      <c r="H14" s="160"/>
      <c r="I14" s="160"/>
      <c r="J14" s="61" t="e">
        <f t="shared" si="0"/>
        <v>#DIV/0!</v>
      </c>
      <c r="K14" s="145"/>
    </row>
    <row r="15" s="103" customFormat="1" ht="12.75" spans="1:11">
      <c r="A15" s="141">
        <v>9</v>
      </c>
      <c r="B15" s="143">
        <v>0.0214</v>
      </c>
      <c r="C15" s="146">
        <v>0.0341</v>
      </c>
      <c r="D15" s="145"/>
      <c r="E15" s="145"/>
      <c r="F15" s="145"/>
      <c r="G15" s="160"/>
      <c r="H15" s="160"/>
      <c r="I15" s="160"/>
      <c r="J15" s="61" t="e">
        <f t="shared" si="0"/>
        <v>#DIV/0!</v>
      </c>
      <c r="K15" s="145"/>
    </row>
    <row r="16" s="103" customFormat="1" ht="12.75" spans="1:11">
      <c r="A16" s="141">
        <v>10</v>
      </c>
      <c r="B16" s="143">
        <v>0.0341</v>
      </c>
      <c r="C16" s="146">
        <v>0.0549</v>
      </c>
      <c r="D16" s="145"/>
      <c r="E16" s="145"/>
      <c r="F16" s="145"/>
      <c r="G16" s="160"/>
      <c r="H16" s="160"/>
      <c r="I16" s="160"/>
      <c r="J16" s="61" t="e">
        <f t="shared" si="0"/>
        <v>#DIV/0!</v>
      </c>
      <c r="K16" s="145"/>
    </row>
    <row r="17" s="103" customFormat="1" ht="12.75" spans="1:11">
      <c r="A17" s="141">
        <v>11</v>
      </c>
      <c r="B17" s="143">
        <v>0.0549</v>
      </c>
      <c r="C17" s="146">
        <v>0.0877</v>
      </c>
      <c r="D17" s="145"/>
      <c r="E17" s="145"/>
      <c r="F17" s="145"/>
      <c r="G17" s="160"/>
      <c r="H17" s="160"/>
      <c r="I17" s="160"/>
      <c r="J17" s="61" t="e">
        <f t="shared" si="0"/>
        <v>#DIV/0!</v>
      </c>
      <c r="K17" s="145"/>
    </row>
    <row r="18" s="103" customFormat="1" ht="12.75" spans="1:11">
      <c r="A18" s="141">
        <v>12</v>
      </c>
      <c r="B18" s="143">
        <v>0.0877</v>
      </c>
      <c r="C18" s="146">
        <v>0.1407</v>
      </c>
      <c r="D18" s="145"/>
      <c r="E18" s="145"/>
      <c r="F18" s="145"/>
      <c r="G18" s="160"/>
      <c r="H18" s="160"/>
      <c r="I18" s="160"/>
      <c r="J18" s="61" t="e">
        <f t="shared" si="0"/>
        <v>#DIV/0!</v>
      </c>
      <c r="K18" s="145"/>
    </row>
    <row r="19" s="103" customFormat="1" ht="12.75" spans="1:11">
      <c r="A19" s="141">
        <v>13</v>
      </c>
      <c r="B19" s="143">
        <v>0.1407</v>
      </c>
      <c r="C19" s="146">
        <v>0.2324</v>
      </c>
      <c r="D19" s="145"/>
      <c r="E19" s="145"/>
      <c r="F19" s="145"/>
      <c r="G19" s="160"/>
      <c r="H19" s="160"/>
      <c r="I19" s="160"/>
      <c r="J19" s="61" t="e">
        <f t="shared" si="0"/>
        <v>#DIV/0!</v>
      </c>
      <c r="K19" s="145"/>
    </row>
    <row r="20" s="103" customFormat="1" ht="12.75" spans="1:11">
      <c r="A20" s="141">
        <v>14</v>
      </c>
      <c r="B20" s="143">
        <v>0.2324</v>
      </c>
      <c r="C20" s="146">
        <v>0.3873</v>
      </c>
      <c r="D20" s="145"/>
      <c r="E20" s="145"/>
      <c r="F20" s="145"/>
      <c r="G20" s="160"/>
      <c r="H20" s="160"/>
      <c r="I20" s="160"/>
      <c r="J20" s="61" t="e">
        <f t="shared" si="0"/>
        <v>#DIV/0!</v>
      </c>
      <c r="K20" s="145"/>
    </row>
    <row r="21" s="103" customFormat="1" ht="12.75" spans="1:11">
      <c r="A21" s="141">
        <v>15</v>
      </c>
      <c r="B21" s="143">
        <v>0.3873</v>
      </c>
      <c r="C21" s="146">
        <v>0.6519</v>
      </c>
      <c r="D21" s="145"/>
      <c r="E21" s="145"/>
      <c r="F21" s="145"/>
      <c r="G21" s="160"/>
      <c r="H21" s="160"/>
      <c r="I21" s="160"/>
      <c r="J21" s="61" t="e">
        <f t="shared" si="0"/>
        <v>#DIV/0!</v>
      </c>
      <c r="K21" s="145"/>
    </row>
    <row r="22" s="103" customFormat="1" ht="12.75" spans="1:11">
      <c r="A22" s="141">
        <v>16</v>
      </c>
      <c r="B22" s="143">
        <v>0.6519</v>
      </c>
      <c r="C22" s="147">
        <v>1</v>
      </c>
      <c r="D22" s="145"/>
      <c r="E22" s="145"/>
      <c r="F22" s="145"/>
      <c r="G22" s="160"/>
      <c r="H22" s="160"/>
      <c r="I22" s="160"/>
      <c r="J22" s="61" t="e">
        <f t="shared" si="0"/>
        <v>#DIV/0!</v>
      </c>
      <c r="K22" s="145"/>
    </row>
    <row r="23" s="103" customFormat="1" ht="12.75" spans="1:11">
      <c r="A23" s="141">
        <v>17</v>
      </c>
      <c r="B23" s="148">
        <v>1</v>
      </c>
      <c r="C23" s="147">
        <v>1</v>
      </c>
      <c r="D23" s="149"/>
      <c r="E23" s="149"/>
      <c r="F23" s="149"/>
      <c r="G23" s="161"/>
      <c r="H23" s="161"/>
      <c r="I23" s="160"/>
      <c r="J23" s="164"/>
      <c r="K23" s="149"/>
    </row>
    <row r="24" s="128" customFormat="1" spans="1:256">
      <c r="A24" s="139" t="s">
        <v>275</v>
      </c>
      <c r="B24" s="140"/>
      <c r="C24" s="122"/>
      <c r="D24" s="122"/>
      <c r="E24" s="122"/>
      <c r="F24" s="122"/>
      <c r="G24" s="158"/>
      <c r="H24" s="158"/>
      <c r="I24" s="158"/>
      <c r="J24" s="122"/>
      <c r="K24" s="108"/>
      <c r="L24" s="163"/>
      <c r="M24" s="163"/>
      <c r="N24" s="163"/>
      <c r="O24" s="163"/>
      <c r="P24" s="163"/>
      <c r="Q24" s="163"/>
      <c r="R24" s="163"/>
      <c r="S24" s="163"/>
      <c r="T24" s="163"/>
      <c r="U24" s="163"/>
      <c r="V24" s="163"/>
      <c r="W24" s="163"/>
      <c r="X24" s="163"/>
      <c r="Y24" s="163"/>
      <c r="Z24" s="163"/>
      <c r="AA24" s="163"/>
      <c r="AB24" s="163"/>
      <c r="AC24" s="163"/>
      <c r="AD24" s="163"/>
      <c r="AE24" s="163"/>
      <c r="AF24" s="163"/>
      <c r="AG24" s="163"/>
      <c r="AH24" s="163"/>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c r="BI24" s="163"/>
      <c r="BJ24" s="163"/>
      <c r="BK24" s="163"/>
      <c r="BL24" s="163"/>
      <c r="BM24" s="163"/>
      <c r="BN24" s="163"/>
      <c r="BO24" s="163"/>
      <c r="BP24" s="163"/>
      <c r="BQ24" s="163"/>
      <c r="BR24" s="163"/>
      <c r="BS24" s="163"/>
      <c r="BT24" s="163"/>
      <c r="BU24" s="163"/>
      <c r="BV24" s="163"/>
      <c r="BW24" s="163"/>
      <c r="BX24" s="163"/>
      <c r="BY24" s="163"/>
      <c r="BZ24" s="163"/>
      <c r="CA24" s="163"/>
      <c r="CB24" s="163"/>
      <c r="CC24" s="163"/>
      <c r="CD24" s="163"/>
      <c r="CE24" s="163"/>
      <c r="CF24" s="163"/>
      <c r="CG24" s="163"/>
      <c r="CH24" s="163"/>
      <c r="CI24" s="163"/>
      <c r="CJ24" s="163"/>
      <c r="CK24" s="163"/>
      <c r="CL24" s="163"/>
      <c r="CM24" s="163"/>
      <c r="CN24" s="163"/>
      <c r="CO24" s="163"/>
      <c r="CP24" s="163"/>
      <c r="CQ24" s="163"/>
      <c r="CR24" s="163"/>
      <c r="CS24" s="163"/>
      <c r="CT24" s="163"/>
      <c r="CU24" s="163"/>
      <c r="CV24" s="163"/>
      <c r="CW24" s="163"/>
      <c r="CX24" s="163"/>
      <c r="CY24" s="163"/>
      <c r="CZ24" s="163"/>
      <c r="DA24" s="163"/>
      <c r="DB24" s="163"/>
      <c r="DC24" s="163"/>
      <c r="DD24" s="163"/>
      <c r="DE24" s="163"/>
      <c r="DF24" s="163"/>
      <c r="DG24" s="163"/>
      <c r="DH24" s="163"/>
      <c r="DI24" s="163"/>
      <c r="DJ24" s="163"/>
      <c r="DK24" s="163"/>
      <c r="DL24" s="163"/>
      <c r="DM24" s="163"/>
      <c r="DN24" s="163"/>
      <c r="DO24" s="163"/>
      <c r="DP24" s="163"/>
      <c r="DQ24" s="163"/>
      <c r="DR24" s="163"/>
      <c r="DS24" s="163"/>
      <c r="DT24" s="163"/>
      <c r="DU24" s="163"/>
      <c r="DV24" s="163"/>
      <c r="DW24" s="163"/>
      <c r="DX24" s="163"/>
      <c r="DY24" s="163"/>
      <c r="DZ24" s="163"/>
      <c r="EA24" s="163"/>
      <c r="EB24" s="163"/>
      <c r="EC24" s="163"/>
      <c r="ED24" s="163"/>
      <c r="EE24" s="163"/>
      <c r="EF24" s="163"/>
      <c r="EG24" s="163"/>
      <c r="EH24" s="163"/>
      <c r="EI24" s="163"/>
      <c r="EJ24" s="163"/>
      <c r="EK24" s="163"/>
      <c r="EL24" s="163"/>
      <c r="EM24" s="163"/>
      <c r="EN24" s="163"/>
      <c r="EO24" s="163"/>
      <c r="EP24" s="163"/>
      <c r="EQ24" s="163"/>
      <c r="ER24" s="163"/>
      <c r="ES24" s="163"/>
      <c r="ET24" s="163"/>
      <c r="EU24" s="163"/>
      <c r="EV24" s="163"/>
      <c r="EW24" s="163"/>
      <c r="EX24" s="163"/>
      <c r="EY24" s="163"/>
      <c r="EZ24" s="163"/>
      <c r="FA24" s="163"/>
      <c r="FB24" s="163"/>
      <c r="FC24" s="163"/>
      <c r="FD24" s="163"/>
      <c r="FE24" s="163"/>
      <c r="FF24" s="163"/>
      <c r="FG24" s="163"/>
      <c r="FH24" s="163"/>
      <c r="FI24" s="163"/>
      <c r="FJ24" s="163"/>
      <c r="FK24" s="163"/>
      <c r="FL24" s="163"/>
      <c r="FM24" s="163"/>
      <c r="FN24" s="163"/>
      <c r="FO24" s="163"/>
      <c r="FP24" s="163"/>
      <c r="FQ24" s="163"/>
      <c r="FR24" s="163"/>
      <c r="FS24" s="163"/>
      <c r="FT24" s="163"/>
      <c r="FU24" s="163"/>
      <c r="FV24" s="163"/>
      <c r="FW24" s="163"/>
      <c r="FX24" s="163"/>
      <c r="FY24" s="163"/>
      <c r="FZ24" s="163"/>
      <c r="GA24" s="163"/>
      <c r="GB24" s="163"/>
      <c r="GC24" s="163"/>
      <c r="GD24" s="163"/>
      <c r="GE24" s="163"/>
      <c r="GF24" s="163"/>
      <c r="GG24" s="163"/>
      <c r="GH24" s="163"/>
      <c r="GI24" s="163"/>
      <c r="GJ24" s="163"/>
      <c r="GK24" s="163"/>
      <c r="GL24" s="163"/>
      <c r="GM24" s="163"/>
      <c r="GN24" s="163"/>
      <c r="GO24" s="163"/>
      <c r="GP24" s="163"/>
      <c r="GQ24" s="163"/>
      <c r="GR24" s="163"/>
      <c r="GS24" s="163"/>
      <c r="GT24" s="163"/>
      <c r="GU24" s="163"/>
      <c r="GV24" s="163"/>
      <c r="GW24" s="163"/>
      <c r="GX24" s="163"/>
      <c r="GY24" s="163"/>
      <c r="GZ24" s="163"/>
      <c r="HA24" s="163"/>
      <c r="HB24" s="163"/>
      <c r="HC24" s="163"/>
      <c r="HD24" s="163"/>
      <c r="HE24" s="163"/>
      <c r="HF24" s="163"/>
      <c r="HG24" s="163"/>
      <c r="HH24" s="163"/>
      <c r="HI24" s="163"/>
      <c r="HJ24" s="163"/>
      <c r="HK24" s="163"/>
      <c r="HL24" s="163"/>
      <c r="HM24" s="163"/>
      <c r="HN24" s="163"/>
      <c r="HO24" s="163"/>
      <c r="HP24" s="163"/>
      <c r="HQ24" s="163"/>
      <c r="HR24" s="163"/>
      <c r="HS24" s="163"/>
      <c r="HT24" s="163"/>
      <c r="HU24" s="163"/>
      <c r="HV24" s="163"/>
      <c r="HW24" s="163"/>
      <c r="HX24" s="163"/>
      <c r="HY24" s="163"/>
      <c r="HZ24" s="163"/>
      <c r="IA24" s="163"/>
      <c r="IB24" s="163"/>
      <c r="IC24" s="163"/>
      <c r="ID24" s="163"/>
      <c r="IE24" s="163"/>
      <c r="IF24" s="163"/>
      <c r="IG24" s="163"/>
      <c r="IH24" s="163"/>
      <c r="II24" s="163"/>
      <c r="IJ24" s="163"/>
      <c r="IK24" s="163"/>
      <c r="IL24" s="163"/>
      <c r="IM24" s="163"/>
      <c r="IN24" s="163"/>
      <c r="IO24" s="163"/>
      <c r="IP24" s="163"/>
      <c r="IQ24" s="163"/>
      <c r="IR24" s="163"/>
      <c r="IS24" s="163"/>
      <c r="IT24" s="163"/>
      <c r="IU24" s="163"/>
      <c r="IV24" s="163"/>
    </row>
    <row r="25" s="103" customFormat="1" ht="12.75" spans="1:11">
      <c r="A25" s="141">
        <v>18</v>
      </c>
      <c r="B25" s="150" t="s">
        <v>111</v>
      </c>
      <c r="C25" s="151"/>
      <c r="D25" s="142"/>
      <c r="E25" s="142"/>
      <c r="F25" s="142"/>
      <c r="G25" s="159">
        <f>SUM(G26:G40)</f>
        <v>0</v>
      </c>
      <c r="H25" s="159">
        <f>SUM(H26:H40)</f>
        <v>0</v>
      </c>
      <c r="I25" s="159">
        <f>SUM(I26:I41)</f>
        <v>0</v>
      </c>
      <c r="J25" s="61" t="e">
        <f t="shared" ref="J25:J40" si="1">H25/G25</f>
        <v>#DIV/0!</v>
      </c>
      <c r="K25" s="142"/>
    </row>
    <row r="26" s="103" customFormat="1" ht="12.75" spans="1:11">
      <c r="A26" s="141">
        <v>19</v>
      </c>
      <c r="B26" s="143">
        <v>0.0005</v>
      </c>
      <c r="C26" s="146">
        <v>0.0013</v>
      </c>
      <c r="D26" s="145"/>
      <c r="E26" s="145"/>
      <c r="F26" s="145"/>
      <c r="G26" s="160"/>
      <c r="H26" s="160"/>
      <c r="I26" s="160"/>
      <c r="J26" s="61" t="e">
        <f t="shared" si="1"/>
        <v>#DIV/0!</v>
      </c>
      <c r="K26" s="145"/>
    </row>
    <row r="27" s="103" customFormat="1" ht="12.75" spans="1:11">
      <c r="A27" s="141">
        <v>20</v>
      </c>
      <c r="B27" s="143">
        <v>0.0013</v>
      </c>
      <c r="C27" s="146">
        <v>0.002</v>
      </c>
      <c r="D27" s="145"/>
      <c r="E27" s="145"/>
      <c r="F27" s="145"/>
      <c r="G27" s="160"/>
      <c r="H27" s="160"/>
      <c r="I27" s="160"/>
      <c r="J27" s="61" t="e">
        <f t="shared" si="1"/>
        <v>#DIV/0!</v>
      </c>
      <c r="K27" s="145"/>
    </row>
    <row r="28" s="103" customFormat="1" ht="12.75" spans="1:11">
      <c r="A28" s="141">
        <v>21</v>
      </c>
      <c r="B28" s="143">
        <v>0.002</v>
      </c>
      <c r="C28" s="146">
        <v>0.0033</v>
      </c>
      <c r="D28" s="145"/>
      <c r="E28" s="145"/>
      <c r="F28" s="145"/>
      <c r="G28" s="160"/>
      <c r="H28" s="160"/>
      <c r="I28" s="160"/>
      <c r="J28" s="61" t="e">
        <f t="shared" si="1"/>
        <v>#DIV/0!</v>
      </c>
      <c r="K28" s="145"/>
    </row>
    <row r="29" s="103" customFormat="1" ht="12.75" spans="1:11">
      <c r="A29" s="141">
        <v>22</v>
      </c>
      <c r="B29" s="143">
        <v>0.0033</v>
      </c>
      <c r="C29" s="146">
        <v>0.0053</v>
      </c>
      <c r="D29" s="145"/>
      <c r="E29" s="145"/>
      <c r="F29" s="145"/>
      <c r="G29" s="160"/>
      <c r="H29" s="160"/>
      <c r="I29" s="160"/>
      <c r="J29" s="61" t="e">
        <f t="shared" si="1"/>
        <v>#DIV/0!</v>
      </c>
      <c r="K29" s="145"/>
    </row>
    <row r="30" s="103" customFormat="1" ht="12.75" spans="1:11">
      <c r="A30" s="141">
        <v>23</v>
      </c>
      <c r="B30" s="143">
        <v>0.0053</v>
      </c>
      <c r="C30" s="146">
        <v>0.0086</v>
      </c>
      <c r="D30" s="145"/>
      <c r="E30" s="145"/>
      <c r="F30" s="145"/>
      <c r="G30" s="160"/>
      <c r="H30" s="160"/>
      <c r="I30" s="160"/>
      <c r="J30" s="61" t="e">
        <f t="shared" si="1"/>
        <v>#DIV/0!</v>
      </c>
      <c r="K30" s="145"/>
    </row>
    <row r="31" s="103" customFormat="1" ht="12.75" spans="1:11">
      <c r="A31" s="141">
        <v>24</v>
      </c>
      <c r="B31" s="143">
        <v>0.0086</v>
      </c>
      <c r="C31" s="146">
        <v>0.0137</v>
      </c>
      <c r="D31" s="145"/>
      <c r="E31" s="145"/>
      <c r="F31" s="145"/>
      <c r="G31" s="160"/>
      <c r="H31" s="160"/>
      <c r="I31" s="160"/>
      <c r="J31" s="61" t="e">
        <f t="shared" si="1"/>
        <v>#DIV/0!</v>
      </c>
      <c r="K31" s="145"/>
    </row>
    <row r="32" s="103" customFormat="1" ht="12.75" spans="1:11">
      <c r="A32" s="141">
        <v>25</v>
      </c>
      <c r="B32" s="143">
        <v>0.0137</v>
      </c>
      <c r="C32" s="146">
        <v>0.0214</v>
      </c>
      <c r="D32" s="145"/>
      <c r="E32" s="145"/>
      <c r="F32" s="145"/>
      <c r="G32" s="160"/>
      <c r="H32" s="160"/>
      <c r="I32" s="160"/>
      <c r="J32" s="61" t="e">
        <f t="shared" si="1"/>
        <v>#DIV/0!</v>
      </c>
      <c r="K32" s="145"/>
    </row>
    <row r="33" s="103" customFormat="1" ht="12.75" spans="1:11">
      <c r="A33" s="141">
        <v>26</v>
      </c>
      <c r="B33" s="143">
        <v>0.0214</v>
      </c>
      <c r="C33" s="146">
        <v>0.0341</v>
      </c>
      <c r="D33" s="145"/>
      <c r="E33" s="145"/>
      <c r="F33" s="145"/>
      <c r="G33" s="160"/>
      <c r="H33" s="160"/>
      <c r="I33" s="160"/>
      <c r="J33" s="61" t="e">
        <f t="shared" si="1"/>
        <v>#DIV/0!</v>
      </c>
      <c r="K33" s="145"/>
    </row>
    <row r="34" s="103" customFormat="1" ht="12.75" spans="1:11">
      <c r="A34" s="141">
        <v>27</v>
      </c>
      <c r="B34" s="143">
        <v>0.0341</v>
      </c>
      <c r="C34" s="146">
        <v>0.0549</v>
      </c>
      <c r="D34" s="145"/>
      <c r="E34" s="145"/>
      <c r="F34" s="145"/>
      <c r="G34" s="160"/>
      <c r="H34" s="160"/>
      <c r="I34" s="160"/>
      <c r="J34" s="61" t="e">
        <f t="shared" si="1"/>
        <v>#DIV/0!</v>
      </c>
      <c r="K34" s="145"/>
    </row>
    <row r="35" s="103" customFormat="1" ht="12.75" spans="1:11">
      <c r="A35" s="141">
        <v>28</v>
      </c>
      <c r="B35" s="143">
        <v>0.0549</v>
      </c>
      <c r="C35" s="146">
        <v>0.0877</v>
      </c>
      <c r="D35" s="145"/>
      <c r="E35" s="145"/>
      <c r="F35" s="145"/>
      <c r="G35" s="160"/>
      <c r="H35" s="160"/>
      <c r="I35" s="160"/>
      <c r="J35" s="61" t="e">
        <f t="shared" si="1"/>
        <v>#DIV/0!</v>
      </c>
      <c r="K35" s="145"/>
    </row>
    <row r="36" s="103" customFormat="1" ht="12.75" spans="1:11">
      <c r="A36" s="141">
        <v>29</v>
      </c>
      <c r="B36" s="143">
        <v>0.0877</v>
      </c>
      <c r="C36" s="146">
        <v>0.1407</v>
      </c>
      <c r="D36" s="145"/>
      <c r="E36" s="145"/>
      <c r="F36" s="145"/>
      <c r="G36" s="160"/>
      <c r="H36" s="160"/>
      <c r="I36" s="160"/>
      <c r="J36" s="61" t="e">
        <f t="shared" si="1"/>
        <v>#DIV/0!</v>
      </c>
      <c r="K36" s="145"/>
    </row>
    <row r="37" s="103" customFormat="1" ht="12.75" spans="1:11">
      <c r="A37" s="141">
        <v>30</v>
      </c>
      <c r="B37" s="143">
        <v>0.1407</v>
      </c>
      <c r="C37" s="146">
        <v>0.2324</v>
      </c>
      <c r="D37" s="145"/>
      <c r="E37" s="145"/>
      <c r="F37" s="145"/>
      <c r="G37" s="160"/>
      <c r="H37" s="160"/>
      <c r="I37" s="160"/>
      <c r="J37" s="61" t="e">
        <f t="shared" si="1"/>
        <v>#DIV/0!</v>
      </c>
      <c r="K37" s="145"/>
    </row>
    <row r="38" s="103" customFormat="1" ht="12.75" spans="1:11">
      <c r="A38" s="141">
        <v>31</v>
      </c>
      <c r="B38" s="143">
        <v>0.2324</v>
      </c>
      <c r="C38" s="146">
        <v>0.3873</v>
      </c>
      <c r="D38" s="145"/>
      <c r="E38" s="145"/>
      <c r="F38" s="145"/>
      <c r="G38" s="160"/>
      <c r="H38" s="160"/>
      <c r="I38" s="160"/>
      <c r="J38" s="61" t="e">
        <f t="shared" si="1"/>
        <v>#DIV/0!</v>
      </c>
      <c r="K38" s="145"/>
    </row>
    <row r="39" s="103" customFormat="1" ht="12.75" spans="1:11">
      <c r="A39" s="141">
        <v>32</v>
      </c>
      <c r="B39" s="143">
        <v>0.3873</v>
      </c>
      <c r="C39" s="146">
        <v>0.6519</v>
      </c>
      <c r="D39" s="145"/>
      <c r="E39" s="145"/>
      <c r="F39" s="145"/>
      <c r="G39" s="160"/>
      <c r="H39" s="160"/>
      <c r="I39" s="160"/>
      <c r="J39" s="61" t="e">
        <f t="shared" si="1"/>
        <v>#DIV/0!</v>
      </c>
      <c r="K39" s="145"/>
    </row>
    <row r="40" s="103" customFormat="1" ht="12.75" spans="1:11">
      <c r="A40" s="141">
        <v>33</v>
      </c>
      <c r="B40" s="143">
        <v>0.6519</v>
      </c>
      <c r="C40" s="146">
        <v>1</v>
      </c>
      <c r="D40" s="145"/>
      <c r="E40" s="145"/>
      <c r="F40" s="145"/>
      <c r="G40" s="160"/>
      <c r="H40" s="160"/>
      <c r="I40" s="160"/>
      <c r="J40" s="61" t="e">
        <f t="shared" si="1"/>
        <v>#DIV/0!</v>
      </c>
      <c r="K40" s="145"/>
    </row>
    <row r="41" s="103" customFormat="1" ht="12.75" spans="1:11">
      <c r="A41" s="141">
        <v>34</v>
      </c>
      <c r="B41" s="143">
        <v>1</v>
      </c>
      <c r="C41" s="146">
        <v>1</v>
      </c>
      <c r="D41" s="149"/>
      <c r="E41" s="149"/>
      <c r="F41" s="149"/>
      <c r="G41" s="161"/>
      <c r="H41" s="161"/>
      <c r="I41" s="160"/>
      <c r="J41" s="164"/>
      <c r="K41" s="149"/>
    </row>
    <row r="42" s="128" customFormat="1" spans="1:256">
      <c r="A42" s="139" t="s">
        <v>276</v>
      </c>
      <c r="B42" s="140"/>
      <c r="C42" s="122"/>
      <c r="D42" s="122"/>
      <c r="E42" s="122"/>
      <c r="F42" s="122"/>
      <c r="G42" s="158"/>
      <c r="H42" s="158"/>
      <c r="I42" s="158"/>
      <c r="J42" s="122"/>
      <c r="K42" s="108"/>
      <c r="L42" s="163"/>
      <c r="M42" s="163"/>
      <c r="N42" s="163"/>
      <c r="O42" s="163"/>
      <c r="P42" s="163"/>
      <c r="Q42" s="163"/>
      <c r="R42" s="163"/>
      <c r="S42" s="163"/>
      <c r="T42" s="163"/>
      <c r="U42" s="163"/>
      <c r="V42" s="163"/>
      <c r="W42" s="163"/>
      <c r="X42" s="163"/>
      <c r="Y42" s="163"/>
      <c r="Z42" s="163"/>
      <c r="AA42" s="163"/>
      <c r="AB42" s="163"/>
      <c r="AC42" s="163"/>
      <c r="AD42" s="163"/>
      <c r="AE42" s="163"/>
      <c r="AF42" s="163"/>
      <c r="AG42" s="163"/>
      <c r="AH42" s="163"/>
      <c r="AI42" s="163"/>
      <c r="AJ42" s="163"/>
      <c r="AK42" s="163"/>
      <c r="AL42" s="163"/>
      <c r="AM42" s="163"/>
      <c r="AN42" s="163"/>
      <c r="AO42" s="163"/>
      <c r="AP42" s="163"/>
      <c r="AQ42" s="163"/>
      <c r="AR42" s="163"/>
      <c r="AS42" s="163"/>
      <c r="AT42" s="163"/>
      <c r="AU42" s="163"/>
      <c r="AV42" s="163"/>
      <c r="AW42" s="163"/>
      <c r="AX42" s="163"/>
      <c r="AY42" s="163"/>
      <c r="AZ42" s="163"/>
      <c r="BA42" s="163"/>
      <c r="BB42" s="163"/>
      <c r="BC42" s="163"/>
      <c r="BD42" s="163"/>
      <c r="BE42" s="163"/>
      <c r="BF42" s="163"/>
      <c r="BG42" s="163"/>
      <c r="BH42" s="163"/>
      <c r="BI42" s="163"/>
      <c r="BJ42" s="163"/>
      <c r="BK42" s="163"/>
      <c r="BL42" s="163"/>
      <c r="BM42" s="163"/>
      <c r="BN42" s="163"/>
      <c r="BO42" s="163"/>
      <c r="BP42" s="163"/>
      <c r="BQ42" s="163"/>
      <c r="BR42" s="163"/>
      <c r="BS42" s="163"/>
      <c r="BT42" s="163"/>
      <c r="BU42" s="163"/>
      <c r="BV42" s="163"/>
      <c r="BW42" s="163"/>
      <c r="BX42" s="163"/>
      <c r="BY42" s="163"/>
      <c r="BZ42" s="163"/>
      <c r="CA42" s="163"/>
      <c r="CB42" s="163"/>
      <c r="CC42" s="163"/>
      <c r="CD42" s="163"/>
      <c r="CE42" s="163"/>
      <c r="CF42" s="163"/>
      <c r="CG42" s="163"/>
      <c r="CH42" s="163"/>
      <c r="CI42" s="163"/>
      <c r="CJ42" s="163"/>
      <c r="CK42" s="163"/>
      <c r="CL42" s="163"/>
      <c r="CM42" s="163"/>
      <c r="CN42" s="163"/>
      <c r="CO42" s="163"/>
      <c r="CP42" s="163"/>
      <c r="CQ42" s="163"/>
      <c r="CR42" s="163"/>
      <c r="CS42" s="163"/>
      <c r="CT42" s="163"/>
      <c r="CU42" s="163"/>
      <c r="CV42" s="163"/>
      <c r="CW42" s="163"/>
      <c r="CX42" s="163"/>
      <c r="CY42" s="163"/>
      <c r="CZ42" s="163"/>
      <c r="DA42" s="163"/>
      <c r="DB42" s="163"/>
      <c r="DC42" s="163"/>
      <c r="DD42" s="163"/>
      <c r="DE42" s="163"/>
      <c r="DF42" s="163"/>
      <c r="DG42" s="163"/>
      <c r="DH42" s="163"/>
      <c r="DI42" s="163"/>
      <c r="DJ42" s="163"/>
      <c r="DK42" s="163"/>
      <c r="DL42" s="163"/>
      <c r="DM42" s="163"/>
      <c r="DN42" s="163"/>
      <c r="DO42" s="163"/>
      <c r="DP42" s="163"/>
      <c r="DQ42" s="163"/>
      <c r="DR42" s="163"/>
      <c r="DS42" s="163"/>
      <c r="DT42" s="163"/>
      <c r="DU42" s="163"/>
      <c r="DV42" s="163"/>
      <c r="DW42" s="163"/>
      <c r="DX42" s="163"/>
      <c r="DY42" s="163"/>
      <c r="DZ42" s="163"/>
      <c r="EA42" s="163"/>
      <c r="EB42" s="163"/>
      <c r="EC42" s="163"/>
      <c r="ED42" s="163"/>
      <c r="EE42" s="163"/>
      <c r="EF42" s="163"/>
      <c r="EG42" s="163"/>
      <c r="EH42" s="163"/>
      <c r="EI42" s="163"/>
      <c r="EJ42" s="163"/>
      <c r="EK42" s="163"/>
      <c r="EL42" s="163"/>
      <c r="EM42" s="163"/>
      <c r="EN42" s="163"/>
      <c r="EO42" s="163"/>
      <c r="EP42" s="163"/>
      <c r="EQ42" s="163"/>
      <c r="ER42" s="163"/>
      <c r="ES42" s="163"/>
      <c r="ET42" s="163"/>
      <c r="EU42" s="163"/>
      <c r="EV42" s="163"/>
      <c r="EW42" s="163"/>
      <c r="EX42" s="163"/>
      <c r="EY42" s="163"/>
      <c r="EZ42" s="163"/>
      <c r="FA42" s="163"/>
      <c r="FB42" s="163"/>
      <c r="FC42" s="163"/>
      <c r="FD42" s="163"/>
      <c r="FE42" s="163"/>
      <c r="FF42" s="163"/>
      <c r="FG42" s="163"/>
      <c r="FH42" s="163"/>
      <c r="FI42" s="163"/>
      <c r="FJ42" s="163"/>
      <c r="FK42" s="163"/>
      <c r="FL42" s="163"/>
      <c r="FM42" s="163"/>
      <c r="FN42" s="163"/>
      <c r="FO42" s="163"/>
      <c r="FP42" s="163"/>
      <c r="FQ42" s="163"/>
      <c r="FR42" s="163"/>
      <c r="FS42" s="163"/>
      <c r="FT42" s="163"/>
      <c r="FU42" s="163"/>
      <c r="FV42" s="163"/>
      <c r="FW42" s="163"/>
      <c r="FX42" s="163"/>
      <c r="FY42" s="163"/>
      <c r="FZ42" s="163"/>
      <c r="GA42" s="163"/>
      <c r="GB42" s="163"/>
      <c r="GC42" s="163"/>
      <c r="GD42" s="163"/>
      <c r="GE42" s="163"/>
      <c r="GF42" s="163"/>
      <c r="GG42" s="163"/>
      <c r="GH42" s="163"/>
      <c r="GI42" s="163"/>
      <c r="GJ42" s="163"/>
      <c r="GK42" s="163"/>
      <c r="GL42" s="163"/>
      <c r="GM42" s="163"/>
      <c r="GN42" s="163"/>
      <c r="GO42" s="163"/>
      <c r="GP42" s="163"/>
      <c r="GQ42" s="163"/>
      <c r="GR42" s="163"/>
      <c r="GS42" s="163"/>
      <c r="GT42" s="163"/>
      <c r="GU42" s="163"/>
      <c r="GV42" s="163"/>
      <c r="GW42" s="163"/>
      <c r="GX42" s="163"/>
      <c r="GY42" s="163"/>
      <c r="GZ42" s="163"/>
      <c r="HA42" s="163"/>
      <c r="HB42" s="163"/>
      <c r="HC42" s="163"/>
      <c r="HD42" s="163"/>
      <c r="HE42" s="163"/>
      <c r="HF42" s="163"/>
      <c r="HG42" s="163"/>
      <c r="HH42" s="163"/>
      <c r="HI42" s="163"/>
      <c r="HJ42" s="163"/>
      <c r="HK42" s="163"/>
      <c r="HL42" s="163"/>
      <c r="HM42" s="163"/>
      <c r="HN42" s="163"/>
      <c r="HO42" s="163"/>
      <c r="HP42" s="163"/>
      <c r="HQ42" s="163"/>
      <c r="HR42" s="163"/>
      <c r="HS42" s="163"/>
      <c r="HT42" s="163"/>
      <c r="HU42" s="163"/>
      <c r="HV42" s="163"/>
      <c r="HW42" s="163"/>
      <c r="HX42" s="163"/>
      <c r="HY42" s="163"/>
      <c r="HZ42" s="163"/>
      <c r="IA42" s="163"/>
      <c r="IB42" s="163"/>
      <c r="IC42" s="163"/>
      <c r="ID42" s="163"/>
      <c r="IE42" s="163"/>
      <c r="IF42" s="163"/>
      <c r="IG42" s="163"/>
      <c r="IH42" s="163"/>
      <c r="II42" s="163"/>
      <c r="IJ42" s="163"/>
      <c r="IK42" s="163"/>
      <c r="IL42" s="163"/>
      <c r="IM42" s="163"/>
      <c r="IN42" s="163"/>
      <c r="IO42" s="163"/>
      <c r="IP42" s="163"/>
      <c r="IQ42" s="163"/>
      <c r="IR42" s="163"/>
      <c r="IS42" s="163"/>
      <c r="IT42" s="163"/>
      <c r="IU42" s="163"/>
      <c r="IV42" s="163"/>
    </row>
    <row r="43" s="103" customFormat="1" ht="12.75" spans="1:11">
      <c r="A43" s="141">
        <v>35</v>
      </c>
      <c r="B43" s="136" t="s">
        <v>111</v>
      </c>
      <c r="C43" s="121"/>
      <c r="D43" s="142"/>
      <c r="E43" s="142"/>
      <c r="F43" s="142"/>
      <c r="G43" s="159">
        <f>SUM(G44:G58)</f>
        <v>0</v>
      </c>
      <c r="H43" s="159">
        <f>SUM(H44:H58)</f>
        <v>0</v>
      </c>
      <c r="I43" s="159">
        <f>SUM(I44:I59)</f>
        <v>0</v>
      </c>
      <c r="J43" s="61" t="e">
        <f t="shared" ref="J43:J58" si="2">H43/G43</f>
        <v>#DIV/0!</v>
      </c>
      <c r="K43" s="142"/>
    </row>
    <row r="44" s="103" customFormat="1" ht="12.75" spans="1:11">
      <c r="A44" s="141">
        <v>36</v>
      </c>
      <c r="B44" s="143">
        <v>0.0005</v>
      </c>
      <c r="C44" s="146">
        <v>0.0013</v>
      </c>
      <c r="D44" s="145"/>
      <c r="E44" s="145"/>
      <c r="F44" s="145"/>
      <c r="G44" s="160"/>
      <c r="H44" s="160"/>
      <c r="I44" s="160"/>
      <c r="J44" s="61" t="e">
        <f t="shared" si="2"/>
        <v>#DIV/0!</v>
      </c>
      <c r="K44" s="145"/>
    </row>
    <row r="45" s="103" customFormat="1" ht="12.75" spans="1:11">
      <c r="A45" s="141">
        <v>37</v>
      </c>
      <c r="B45" s="143">
        <v>0.0013</v>
      </c>
      <c r="C45" s="146">
        <v>0.002</v>
      </c>
      <c r="D45" s="145"/>
      <c r="E45" s="145"/>
      <c r="F45" s="145"/>
      <c r="G45" s="160"/>
      <c r="H45" s="160"/>
      <c r="I45" s="160"/>
      <c r="J45" s="61" t="e">
        <f t="shared" si="2"/>
        <v>#DIV/0!</v>
      </c>
      <c r="K45" s="145"/>
    </row>
    <row r="46" s="103" customFormat="1" ht="12.75" spans="1:11">
      <c r="A46" s="141">
        <v>38</v>
      </c>
      <c r="B46" s="143">
        <v>0.002</v>
      </c>
      <c r="C46" s="146">
        <v>0.0033</v>
      </c>
      <c r="D46" s="145"/>
      <c r="E46" s="145"/>
      <c r="F46" s="145"/>
      <c r="G46" s="160"/>
      <c r="H46" s="160"/>
      <c r="I46" s="160"/>
      <c r="J46" s="61" t="e">
        <f t="shared" si="2"/>
        <v>#DIV/0!</v>
      </c>
      <c r="K46" s="145"/>
    </row>
    <row r="47" s="103" customFormat="1" ht="12.75" spans="1:11">
      <c r="A47" s="141">
        <v>39</v>
      </c>
      <c r="B47" s="143">
        <v>0.0033</v>
      </c>
      <c r="C47" s="146">
        <v>0.0053</v>
      </c>
      <c r="D47" s="145"/>
      <c r="E47" s="145"/>
      <c r="F47" s="145"/>
      <c r="G47" s="160"/>
      <c r="H47" s="160"/>
      <c r="I47" s="160"/>
      <c r="J47" s="61" t="e">
        <f t="shared" si="2"/>
        <v>#DIV/0!</v>
      </c>
      <c r="K47" s="145"/>
    </row>
    <row r="48" s="103" customFormat="1" ht="12.75" spans="1:11">
      <c r="A48" s="141">
        <v>40</v>
      </c>
      <c r="B48" s="143">
        <v>0.0053</v>
      </c>
      <c r="C48" s="146">
        <v>0.0086</v>
      </c>
      <c r="D48" s="145"/>
      <c r="E48" s="145"/>
      <c r="F48" s="145"/>
      <c r="G48" s="160"/>
      <c r="H48" s="160"/>
      <c r="I48" s="160"/>
      <c r="J48" s="61" t="e">
        <f t="shared" si="2"/>
        <v>#DIV/0!</v>
      </c>
      <c r="K48" s="145"/>
    </row>
    <row r="49" s="103" customFormat="1" ht="12.75" spans="1:11">
      <c r="A49" s="141">
        <v>41</v>
      </c>
      <c r="B49" s="143">
        <v>0.0086</v>
      </c>
      <c r="C49" s="146">
        <v>0.0137</v>
      </c>
      <c r="D49" s="145"/>
      <c r="E49" s="145"/>
      <c r="F49" s="145"/>
      <c r="G49" s="160"/>
      <c r="H49" s="160"/>
      <c r="I49" s="160"/>
      <c r="J49" s="61" t="e">
        <f t="shared" si="2"/>
        <v>#DIV/0!</v>
      </c>
      <c r="K49" s="145"/>
    </row>
    <row r="50" s="103" customFormat="1" ht="12.75" spans="1:11">
      <c r="A50" s="141">
        <v>42</v>
      </c>
      <c r="B50" s="143">
        <v>0.0137</v>
      </c>
      <c r="C50" s="146">
        <v>0.0214</v>
      </c>
      <c r="D50" s="145"/>
      <c r="E50" s="145"/>
      <c r="F50" s="145"/>
      <c r="G50" s="160"/>
      <c r="H50" s="160"/>
      <c r="I50" s="160"/>
      <c r="J50" s="61" t="e">
        <f t="shared" si="2"/>
        <v>#DIV/0!</v>
      </c>
      <c r="K50" s="145"/>
    </row>
    <row r="51" s="103" customFormat="1" ht="12.75" spans="1:11">
      <c r="A51" s="141">
        <v>43</v>
      </c>
      <c r="B51" s="143">
        <v>0.0214</v>
      </c>
      <c r="C51" s="146">
        <v>0.0341</v>
      </c>
      <c r="D51" s="145"/>
      <c r="E51" s="145"/>
      <c r="F51" s="145"/>
      <c r="G51" s="160"/>
      <c r="H51" s="160"/>
      <c r="I51" s="160"/>
      <c r="J51" s="61" t="e">
        <f t="shared" si="2"/>
        <v>#DIV/0!</v>
      </c>
      <c r="K51" s="145"/>
    </row>
    <row r="52" s="103" customFormat="1" ht="12.75" spans="1:11">
      <c r="A52" s="141">
        <v>44</v>
      </c>
      <c r="B52" s="143">
        <v>0.0341</v>
      </c>
      <c r="C52" s="146">
        <v>0.0549</v>
      </c>
      <c r="D52" s="145"/>
      <c r="E52" s="145"/>
      <c r="F52" s="145"/>
      <c r="G52" s="160"/>
      <c r="H52" s="160"/>
      <c r="I52" s="160"/>
      <c r="J52" s="61" t="e">
        <f t="shared" si="2"/>
        <v>#DIV/0!</v>
      </c>
      <c r="K52" s="145"/>
    </row>
    <row r="53" s="103" customFormat="1" ht="12.75" spans="1:11">
      <c r="A53" s="141">
        <v>45</v>
      </c>
      <c r="B53" s="143">
        <v>0.0549</v>
      </c>
      <c r="C53" s="146">
        <v>0.0877</v>
      </c>
      <c r="D53" s="145"/>
      <c r="E53" s="145"/>
      <c r="F53" s="145"/>
      <c r="G53" s="160"/>
      <c r="H53" s="160"/>
      <c r="I53" s="160"/>
      <c r="J53" s="61" t="e">
        <f t="shared" si="2"/>
        <v>#DIV/0!</v>
      </c>
      <c r="K53" s="145"/>
    </row>
    <row r="54" s="103" customFormat="1" ht="12.75" spans="1:11">
      <c r="A54" s="141">
        <v>46</v>
      </c>
      <c r="B54" s="143">
        <v>0.0877</v>
      </c>
      <c r="C54" s="146">
        <v>0.1407</v>
      </c>
      <c r="D54" s="145"/>
      <c r="E54" s="145"/>
      <c r="F54" s="145"/>
      <c r="G54" s="160"/>
      <c r="H54" s="160"/>
      <c r="I54" s="160"/>
      <c r="J54" s="61" t="e">
        <f t="shared" si="2"/>
        <v>#DIV/0!</v>
      </c>
      <c r="K54" s="145"/>
    </row>
    <row r="55" s="103" customFormat="1" ht="12.75" spans="1:11">
      <c r="A55" s="141">
        <v>47</v>
      </c>
      <c r="B55" s="143">
        <v>0.1407</v>
      </c>
      <c r="C55" s="146">
        <v>0.2324</v>
      </c>
      <c r="D55" s="145"/>
      <c r="E55" s="145"/>
      <c r="F55" s="145"/>
      <c r="G55" s="160"/>
      <c r="H55" s="160"/>
      <c r="I55" s="160"/>
      <c r="J55" s="61" t="e">
        <f t="shared" si="2"/>
        <v>#DIV/0!</v>
      </c>
      <c r="K55" s="145"/>
    </row>
    <row r="56" s="103" customFormat="1" ht="12.75" spans="1:11">
      <c r="A56" s="141">
        <v>48</v>
      </c>
      <c r="B56" s="143">
        <v>0.2324</v>
      </c>
      <c r="C56" s="146">
        <v>0.3873</v>
      </c>
      <c r="D56" s="145"/>
      <c r="E56" s="145"/>
      <c r="F56" s="145"/>
      <c r="G56" s="160"/>
      <c r="H56" s="160"/>
      <c r="I56" s="160"/>
      <c r="J56" s="61" t="e">
        <f t="shared" si="2"/>
        <v>#DIV/0!</v>
      </c>
      <c r="K56" s="145"/>
    </row>
    <row r="57" s="103" customFormat="1" ht="12.75" spans="1:11">
      <c r="A57" s="141">
        <v>49</v>
      </c>
      <c r="B57" s="143">
        <v>0.3873</v>
      </c>
      <c r="C57" s="146">
        <v>0.6519</v>
      </c>
      <c r="D57" s="145"/>
      <c r="E57" s="145"/>
      <c r="F57" s="145"/>
      <c r="G57" s="160"/>
      <c r="H57" s="160"/>
      <c r="I57" s="160"/>
      <c r="J57" s="61" t="e">
        <f t="shared" si="2"/>
        <v>#DIV/0!</v>
      </c>
      <c r="K57" s="145"/>
    </row>
    <row r="58" s="103" customFormat="1" ht="12.75" spans="1:11">
      <c r="A58" s="141">
        <v>50</v>
      </c>
      <c r="B58" s="143">
        <v>0.6519</v>
      </c>
      <c r="C58" s="146">
        <v>1</v>
      </c>
      <c r="D58" s="145"/>
      <c r="E58" s="145"/>
      <c r="F58" s="145"/>
      <c r="G58" s="160"/>
      <c r="H58" s="160"/>
      <c r="I58" s="160"/>
      <c r="J58" s="61" t="e">
        <f t="shared" si="2"/>
        <v>#DIV/0!</v>
      </c>
      <c r="K58" s="145"/>
    </row>
    <row r="59" s="103" customFormat="1" ht="12.75" spans="1:11">
      <c r="A59" s="141">
        <v>51</v>
      </c>
      <c r="B59" s="143">
        <v>1</v>
      </c>
      <c r="C59" s="146">
        <v>1</v>
      </c>
      <c r="D59" s="149"/>
      <c r="E59" s="149"/>
      <c r="F59" s="149"/>
      <c r="G59" s="161"/>
      <c r="H59" s="161"/>
      <c r="I59" s="160"/>
      <c r="J59" s="164"/>
      <c r="K59" s="149"/>
    </row>
    <row r="60" s="128" customFormat="1" spans="1:256">
      <c r="A60" s="139" t="s">
        <v>277</v>
      </c>
      <c r="B60" s="140"/>
      <c r="C60" s="122"/>
      <c r="D60" s="122"/>
      <c r="E60" s="122"/>
      <c r="F60" s="122"/>
      <c r="G60" s="158"/>
      <c r="H60" s="158"/>
      <c r="I60" s="158"/>
      <c r="J60" s="122"/>
      <c r="K60" s="108"/>
      <c r="L60" s="163"/>
      <c r="M60" s="163"/>
      <c r="N60" s="163"/>
      <c r="O60" s="163"/>
      <c r="P60" s="163"/>
      <c r="Q60" s="163"/>
      <c r="R60" s="163"/>
      <c r="S60" s="163"/>
      <c r="T60" s="163"/>
      <c r="U60" s="163"/>
      <c r="V60" s="163"/>
      <c r="W60" s="163"/>
      <c r="X60" s="163"/>
      <c r="Y60" s="163"/>
      <c r="Z60" s="163"/>
      <c r="AA60" s="163"/>
      <c r="AB60" s="163"/>
      <c r="AC60" s="163"/>
      <c r="AD60" s="163"/>
      <c r="AE60" s="163"/>
      <c r="AF60" s="163"/>
      <c r="AG60" s="163"/>
      <c r="AH60" s="163"/>
      <c r="AI60" s="163"/>
      <c r="AJ60" s="163"/>
      <c r="AK60" s="163"/>
      <c r="AL60" s="163"/>
      <c r="AM60" s="163"/>
      <c r="AN60" s="163"/>
      <c r="AO60" s="163"/>
      <c r="AP60" s="163"/>
      <c r="AQ60" s="163"/>
      <c r="AR60" s="163"/>
      <c r="AS60" s="163"/>
      <c r="AT60" s="163"/>
      <c r="AU60" s="163"/>
      <c r="AV60" s="163"/>
      <c r="AW60" s="163"/>
      <c r="AX60" s="163"/>
      <c r="AY60" s="163"/>
      <c r="AZ60" s="163"/>
      <c r="BA60" s="163"/>
      <c r="BB60" s="163"/>
      <c r="BC60" s="163"/>
      <c r="BD60" s="163"/>
      <c r="BE60" s="163"/>
      <c r="BF60" s="163"/>
      <c r="BG60" s="163"/>
      <c r="BH60" s="163"/>
      <c r="BI60" s="163"/>
      <c r="BJ60" s="163"/>
      <c r="BK60" s="163"/>
      <c r="BL60" s="163"/>
      <c r="BM60" s="163"/>
      <c r="BN60" s="163"/>
      <c r="BO60" s="163"/>
      <c r="BP60" s="163"/>
      <c r="BQ60" s="163"/>
      <c r="BR60" s="163"/>
      <c r="BS60" s="163"/>
      <c r="BT60" s="163"/>
      <c r="BU60" s="163"/>
      <c r="BV60" s="163"/>
      <c r="BW60" s="163"/>
      <c r="BX60" s="163"/>
      <c r="BY60" s="163"/>
      <c r="BZ60" s="163"/>
      <c r="CA60" s="163"/>
      <c r="CB60" s="163"/>
      <c r="CC60" s="163"/>
      <c r="CD60" s="163"/>
      <c r="CE60" s="163"/>
      <c r="CF60" s="163"/>
      <c r="CG60" s="163"/>
      <c r="CH60" s="163"/>
      <c r="CI60" s="163"/>
      <c r="CJ60" s="163"/>
      <c r="CK60" s="163"/>
      <c r="CL60" s="163"/>
      <c r="CM60" s="163"/>
      <c r="CN60" s="163"/>
      <c r="CO60" s="163"/>
      <c r="CP60" s="163"/>
      <c r="CQ60" s="163"/>
      <c r="CR60" s="163"/>
      <c r="CS60" s="163"/>
      <c r="CT60" s="163"/>
      <c r="CU60" s="163"/>
      <c r="CV60" s="163"/>
      <c r="CW60" s="163"/>
      <c r="CX60" s="163"/>
      <c r="CY60" s="163"/>
      <c r="CZ60" s="163"/>
      <c r="DA60" s="163"/>
      <c r="DB60" s="163"/>
      <c r="DC60" s="163"/>
      <c r="DD60" s="163"/>
      <c r="DE60" s="163"/>
      <c r="DF60" s="163"/>
      <c r="DG60" s="163"/>
      <c r="DH60" s="163"/>
      <c r="DI60" s="163"/>
      <c r="DJ60" s="163"/>
      <c r="DK60" s="163"/>
      <c r="DL60" s="163"/>
      <c r="DM60" s="163"/>
      <c r="DN60" s="163"/>
      <c r="DO60" s="163"/>
      <c r="DP60" s="163"/>
      <c r="DQ60" s="163"/>
      <c r="DR60" s="163"/>
      <c r="DS60" s="163"/>
      <c r="DT60" s="163"/>
      <c r="DU60" s="163"/>
      <c r="DV60" s="163"/>
      <c r="DW60" s="163"/>
      <c r="DX60" s="163"/>
      <c r="DY60" s="163"/>
      <c r="DZ60" s="163"/>
      <c r="EA60" s="163"/>
      <c r="EB60" s="163"/>
      <c r="EC60" s="163"/>
      <c r="ED60" s="163"/>
      <c r="EE60" s="163"/>
      <c r="EF60" s="163"/>
      <c r="EG60" s="163"/>
      <c r="EH60" s="163"/>
      <c r="EI60" s="163"/>
      <c r="EJ60" s="163"/>
      <c r="EK60" s="163"/>
      <c r="EL60" s="163"/>
      <c r="EM60" s="163"/>
      <c r="EN60" s="163"/>
      <c r="EO60" s="163"/>
      <c r="EP60" s="163"/>
      <c r="EQ60" s="163"/>
      <c r="ER60" s="163"/>
      <c r="ES60" s="163"/>
      <c r="ET60" s="163"/>
      <c r="EU60" s="163"/>
      <c r="EV60" s="163"/>
      <c r="EW60" s="163"/>
      <c r="EX60" s="163"/>
      <c r="EY60" s="163"/>
      <c r="EZ60" s="163"/>
      <c r="FA60" s="163"/>
      <c r="FB60" s="163"/>
      <c r="FC60" s="163"/>
      <c r="FD60" s="163"/>
      <c r="FE60" s="163"/>
      <c r="FF60" s="163"/>
      <c r="FG60" s="163"/>
      <c r="FH60" s="163"/>
      <c r="FI60" s="163"/>
      <c r="FJ60" s="163"/>
      <c r="FK60" s="163"/>
      <c r="FL60" s="163"/>
      <c r="FM60" s="163"/>
      <c r="FN60" s="163"/>
      <c r="FO60" s="163"/>
      <c r="FP60" s="163"/>
      <c r="FQ60" s="163"/>
      <c r="FR60" s="163"/>
      <c r="FS60" s="163"/>
      <c r="FT60" s="163"/>
      <c r="FU60" s="163"/>
      <c r="FV60" s="163"/>
      <c r="FW60" s="163"/>
      <c r="FX60" s="163"/>
      <c r="FY60" s="163"/>
      <c r="FZ60" s="163"/>
      <c r="GA60" s="163"/>
      <c r="GB60" s="163"/>
      <c r="GC60" s="163"/>
      <c r="GD60" s="163"/>
      <c r="GE60" s="163"/>
      <c r="GF60" s="163"/>
      <c r="GG60" s="163"/>
      <c r="GH60" s="163"/>
      <c r="GI60" s="163"/>
      <c r="GJ60" s="163"/>
      <c r="GK60" s="163"/>
      <c r="GL60" s="163"/>
      <c r="GM60" s="163"/>
      <c r="GN60" s="163"/>
      <c r="GO60" s="163"/>
      <c r="GP60" s="163"/>
      <c r="GQ60" s="163"/>
      <c r="GR60" s="163"/>
      <c r="GS60" s="163"/>
      <c r="GT60" s="163"/>
      <c r="GU60" s="163"/>
      <c r="GV60" s="163"/>
      <c r="GW60" s="163"/>
      <c r="GX60" s="163"/>
      <c r="GY60" s="163"/>
      <c r="GZ60" s="163"/>
      <c r="HA60" s="163"/>
      <c r="HB60" s="163"/>
      <c r="HC60" s="163"/>
      <c r="HD60" s="163"/>
      <c r="HE60" s="163"/>
      <c r="HF60" s="163"/>
      <c r="HG60" s="163"/>
      <c r="HH60" s="163"/>
      <c r="HI60" s="163"/>
      <c r="HJ60" s="163"/>
      <c r="HK60" s="163"/>
      <c r="HL60" s="163"/>
      <c r="HM60" s="163"/>
      <c r="HN60" s="163"/>
      <c r="HO60" s="163"/>
      <c r="HP60" s="163"/>
      <c r="HQ60" s="163"/>
      <c r="HR60" s="163"/>
      <c r="HS60" s="163"/>
      <c r="HT60" s="163"/>
      <c r="HU60" s="163"/>
      <c r="HV60" s="163"/>
      <c r="HW60" s="163"/>
      <c r="HX60" s="163"/>
      <c r="HY60" s="163"/>
      <c r="HZ60" s="163"/>
      <c r="IA60" s="163"/>
      <c r="IB60" s="163"/>
      <c r="IC60" s="163"/>
      <c r="ID60" s="163"/>
      <c r="IE60" s="163"/>
      <c r="IF60" s="163"/>
      <c r="IG60" s="163"/>
      <c r="IH60" s="163"/>
      <c r="II60" s="163"/>
      <c r="IJ60" s="163"/>
      <c r="IK60" s="163"/>
      <c r="IL60" s="163"/>
      <c r="IM60" s="163"/>
      <c r="IN60" s="163"/>
      <c r="IO60" s="163"/>
      <c r="IP60" s="163"/>
      <c r="IQ60" s="163"/>
      <c r="IR60" s="163"/>
      <c r="IS60" s="163"/>
      <c r="IT60" s="163"/>
      <c r="IU60" s="163"/>
      <c r="IV60" s="163"/>
    </row>
    <row r="61" s="103" customFormat="1" ht="12.75" spans="1:11">
      <c r="A61" s="141">
        <v>52</v>
      </c>
      <c r="B61" s="136" t="s">
        <v>111</v>
      </c>
      <c r="C61" s="121"/>
      <c r="D61" s="142"/>
      <c r="E61" s="142"/>
      <c r="F61" s="142"/>
      <c r="G61" s="159">
        <f>SUM(G62:G76)</f>
        <v>0</v>
      </c>
      <c r="H61" s="159">
        <f>SUM(H62:H76)</f>
        <v>0</v>
      </c>
      <c r="I61" s="159">
        <f>SUM(I62:I77)</f>
        <v>0</v>
      </c>
      <c r="J61" s="61" t="e">
        <f t="shared" ref="J61:J76" si="3">H61/G61</f>
        <v>#DIV/0!</v>
      </c>
      <c r="K61" s="142"/>
    </row>
    <row r="62" s="103" customFormat="1" ht="12.75" spans="1:11">
      <c r="A62" s="141">
        <v>53</v>
      </c>
      <c r="B62" s="143">
        <v>0.0005</v>
      </c>
      <c r="C62" s="146">
        <v>0.0013</v>
      </c>
      <c r="D62" s="145"/>
      <c r="E62" s="145"/>
      <c r="F62" s="145"/>
      <c r="G62" s="160"/>
      <c r="H62" s="160"/>
      <c r="I62" s="160"/>
      <c r="J62" s="61" t="e">
        <f t="shared" si="3"/>
        <v>#DIV/0!</v>
      </c>
      <c r="K62" s="145"/>
    </row>
    <row r="63" s="103" customFormat="1" ht="12.75" spans="1:11">
      <c r="A63" s="141">
        <v>54</v>
      </c>
      <c r="B63" s="143">
        <v>0.0013</v>
      </c>
      <c r="C63" s="146">
        <v>0.002</v>
      </c>
      <c r="D63" s="145"/>
      <c r="E63" s="145"/>
      <c r="F63" s="145"/>
      <c r="G63" s="160"/>
      <c r="H63" s="160"/>
      <c r="I63" s="160"/>
      <c r="J63" s="61" t="e">
        <f t="shared" si="3"/>
        <v>#DIV/0!</v>
      </c>
      <c r="K63" s="145"/>
    </row>
    <row r="64" s="103" customFormat="1" ht="12.75" spans="1:11">
      <c r="A64" s="141">
        <v>55</v>
      </c>
      <c r="B64" s="143">
        <v>0.002</v>
      </c>
      <c r="C64" s="146">
        <v>0.0033</v>
      </c>
      <c r="D64" s="145"/>
      <c r="E64" s="145"/>
      <c r="F64" s="145"/>
      <c r="G64" s="160"/>
      <c r="H64" s="160"/>
      <c r="I64" s="160"/>
      <c r="J64" s="61" t="e">
        <f t="shared" si="3"/>
        <v>#DIV/0!</v>
      </c>
      <c r="K64" s="145"/>
    </row>
    <row r="65" s="103" customFormat="1" ht="12.75" spans="1:11">
      <c r="A65" s="141">
        <v>56</v>
      </c>
      <c r="B65" s="143">
        <v>0.0033</v>
      </c>
      <c r="C65" s="146">
        <v>0.0053</v>
      </c>
      <c r="D65" s="145"/>
      <c r="E65" s="145"/>
      <c r="F65" s="145"/>
      <c r="G65" s="160"/>
      <c r="H65" s="160"/>
      <c r="I65" s="160"/>
      <c r="J65" s="61" t="e">
        <f t="shared" si="3"/>
        <v>#DIV/0!</v>
      </c>
      <c r="K65" s="145"/>
    </row>
    <row r="66" s="103" customFormat="1" ht="12.75" spans="1:11">
      <c r="A66" s="141">
        <v>57</v>
      </c>
      <c r="B66" s="143">
        <v>0.0053</v>
      </c>
      <c r="C66" s="146">
        <v>0.0086</v>
      </c>
      <c r="D66" s="145"/>
      <c r="E66" s="145"/>
      <c r="F66" s="145"/>
      <c r="G66" s="160"/>
      <c r="H66" s="160"/>
      <c r="I66" s="160"/>
      <c r="J66" s="61" t="e">
        <f t="shared" si="3"/>
        <v>#DIV/0!</v>
      </c>
      <c r="K66" s="145"/>
    </row>
    <row r="67" s="103" customFormat="1" ht="12.75" spans="1:11">
      <c r="A67" s="141">
        <v>58</v>
      </c>
      <c r="B67" s="143">
        <v>0.0086</v>
      </c>
      <c r="C67" s="146">
        <v>0.0137</v>
      </c>
      <c r="D67" s="145"/>
      <c r="E67" s="145"/>
      <c r="F67" s="145"/>
      <c r="G67" s="160"/>
      <c r="H67" s="160"/>
      <c r="I67" s="160"/>
      <c r="J67" s="61" t="e">
        <f t="shared" si="3"/>
        <v>#DIV/0!</v>
      </c>
      <c r="K67" s="145"/>
    </row>
    <row r="68" s="103" customFormat="1" ht="12.75" spans="1:11">
      <c r="A68" s="141">
        <v>59</v>
      </c>
      <c r="B68" s="143">
        <v>0.0137</v>
      </c>
      <c r="C68" s="146">
        <v>0.0214</v>
      </c>
      <c r="D68" s="145"/>
      <c r="E68" s="145"/>
      <c r="F68" s="145"/>
      <c r="G68" s="160"/>
      <c r="H68" s="160"/>
      <c r="I68" s="160"/>
      <c r="J68" s="61" t="e">
        <f t="shared" si="3"/>
        <v>#DIV/0!</v>
      </c>
      <c r="K68" s="145"/>
    </row>
    <row r="69" s="103" customFormat="1" ht="12.75" spans="1:11">
      <c r="A69" s="141">
        <v>60</v>
      </c>
      <c r="B69" s="143">
        <v>0.0214</v>
      </c>
      <c r="C69" s="146">
        <v>0.0341</v>
      </c>
      <c r="D69" s="145"/>
      <c r="E69" s="145"/>
      <c r="F69" s="145"/>
      <c r="G69" s="160"/>
      <c r="H69" s="160"/>
      <c r="I69" s="160"/>
      <c r="J69" s="61" t="e">
        <f t="shared" si="3"/>
        <v>#DIV/0!</v>
      </c>
      <c r="K69" s="145"/>
    </row>
    <row r="70" s="103" customFormat="1" ht="12.75" spans="1:11">
      <c r="A70" s="141">
        <v>61</v>
      </c>
      <c r="B70" s="143">
        <v>0.0341</v>
      </c>
      <c r="C70" s="146">
        <v>0.0549</v>
      </c>
      <c r="D70" s="145"/>
      <c r="E70" s="145"/>
      <c r="F70" s="145"/>
      <c r="G70" s="160"/>
      <c r="H70" s="160"/>
      <c r="I70" s="160"/>
      <c r="J70" s="61" t="e">
        <f t="shared" si="3"/>
        <v>#DIV/0!</v>
      </c>
      <c r="K70" s="145"/>
    </row>
    <row r="71" s="103" customFormat="1" ht="12.75" spans="1:11">
      <c r="A71" s="141">
        <v>62</v>
      </c>
      <c r="B71" s="143">
        <v>0.0549</v>
      </c>
      <c r="C71" s="146">
        <v>0.0877</v>
      </c>
      <c r="D71" s="145"/>
      <c r="E71" s="145"/>
      <c r="F71" s="145"/>
      <c r="G71" s="160"/>
      <c r="H71" s="160"/>
      <c r="I71" s="160"/>
      <c r="J71" s="61" t="e">
        <f t="shared" si="3"/>
        <v>#DIV/0!</v>
      </c>
      <c r="K71" s="145"/>
    </row>
    <row r="72" s="103" customFormat="1" ht="12.75" spans="1:11">
      <c r="A72" s="141">
        <v>63</v>
      </c>
      <c r="B72" s="143">
        <v>0.0877</v>
      </c>
      <c r="C72" s="146">
        <v>0.1407</v>
      </c>
      <c r="D72" s="145"/>
      <c r="E72" s="145"/>
      <c r="F72" s="145"/>
      <c r="G72" s="160"/>
      <c r="H72" s="160"/>
      <c r="I72" s="160"/>
      <c r="J72" s="61" t="e">
        <f t="shared" si="3"/>
        <v>#DIV/0!</v>
      </c>
      <c r="K72" s="145"/>
    </row>
    <row r="73" s="103" customFormat="1" ht="12.75" spans="1:11">
      <c r="A73" s="141">
        <v>64</v>
      </c>
      <c r="B73" s="143">
        <v>0.1407</v>
      </c>
      <c r="C73" s="146">
        <v>0.2324</v>
      </c>
      <c r="D73" s="145"/>
      <c r="E73" s="145"/>
      <c r="F73" s="145"/>
      <c r="G73" s="160"/>
      <c r="H73" s="160"/>
      <c r="I73" s="160"/>
      <c r="J73" s="61" t="e">
        <f t="shared" si="3"/>
        <v>#DIV/0!</v>
      </c>
      <c r="K73" s="145"/>
    </row>
    <row r="74" s="103" customFormat="1" ht="12.75" spans="1:11">
      <c r="A74" s="141">
        <v>65</v>
      </c>
      <c r="B74" s="143">
        <v>0.2324</v>
      </c>
      <c r="C74" s="146">
        <v>0.3873</v>
      </c>
      <c r="D74" s="145"/>
      <c r="E74" s="145"/>
      <c r="F74" s="145"/>
      <c r="G74" s="160"/>
      <c r="H74" s="160"/>
      <c r="I74" s="160"/>
      <c r="J74" s="61" t="e">
        <f t="shared" si="3"/>
        <v>#DIV/0!</v>
      </c>
      <c r="K74" s="145"/>
    </row>
    <row r="75" s="103" customFormat="1" ht="12.75" spans="1:11">
      <c r="A75" s="141">
        <v>66</v>
      </c>
      <c r="B75" s="143">
        <v>0.3873</v>
      </c>
      <c r="C75" s="146">
        <v>0.6519</v>
      </c>
      <c r="D75" s="145"/>
      <c r="E75" s="145"/>
      <c r="F75" s="145"/>
      <c r="G75" s="160"/>
      <c r="H75" s="160"/>
      <c r="I75" s="160"/>
      <c r="J75" s="61" t="e">
        <f t="shared" si="3"/>
        <v>#DIV/0!</v>
      </c>
      <c r="K75" s="145"/>
    </row>
    <row r="76" s="103" customFormat="1" ht="12.75" spans="1:11">
      <c r="A76" s="141">
        <v>67</v>
      </c>
      <c r="B76" s="143">
        <v>0.6519</v>
      </c>
      <c r="C76" s="146">
        <v>1</v>
      </c>
      <c r="D76" s="145"/>
      <c r="E76" s="145"/>
      <c r="F76" s="145"/>
      <c r="G76" s="160"/>
      <c r="H76" s="160"/>
      <c r="I76" s="160"/>
      <c r="J76" s="61" t="e">
        <f t="shared" si="3"/>
        <v>#DIV/0!</v>
      </c>
      <c r="K76" s="145"/>
    </row>
    <row r="77" s="103" customFormat="1" ht="12.75" spans="1:11">
      <c r="A77" s="141">
        <v>68</v>
      </c>
      <c r="B77" s="143">
        <v>1</v>
      </c>
      <c r="C77" s="146">
        <v>1</v>
      </c>
      <c r="D77" s="149"/>
      <c r="E77" s="149"/>
      <c r="F77" s="149"/>
      <c r="G77" s="161"/>
      <c r="H77" s="161"/>
      <c r="I77" s="160"/>
      <c r="J77" s="164"/>
      <c r="K77" s="149"/>
    </row>
    <row r="78" s="103" customFormat="1" ht="12" spans="1:22">
      <c r="A78" s="103" t="s">
        <v>75</v>
      </c>
      <c r="B78" s="165"/>
      <c r="C78" s="166"/>
      <c r="D78" s="166"/>
      <c r="E78" s="166"/>
      <c r="F78" s="166"/>
      <c r="G78" s="175"/>
      <c r="H78" s="175"/>
      <c r="I78" s="175"/>
      <c r="J78" s="166"/>
      <c r="K78" s="166"/>
      <c r="L78" s="166"/>
      <c r="M78" s="166"/>
      <c r="N78" s="166"/>
      <c r="O78" s="166"/>
      <c r="P78" s="166"/>
      <c r="Q78" s="166"/>
      <c r="R78" s="166"/>
      <c r="S78" s="166"/>
      <c r="T78" s="166"/>
      <c r="U78" s="166"/>
      <c r="V78" s="166"/>
    </row>
    <row r="79" s="103" customFormat="1" ht="36" spans="1:22">
      <c r="A79" s="141">
        <v>69</v>
      </c>
      <c r="B79" s="167" t="s">
        <v>394</v>
      </c>
      <c r="C79" s="168"/>
      <c r="D79" s="166"/>
      <c r="E79" s="166"/>
      <c r="F79" s="166"/>
      <c r="G79" s="175"/>
      <c r="H79" s="175"/>
      <c r="I79" s="175"/>
      <c r="J79" s="166"/>
      <c r="K79" s="166"/>
      <c r="L79" s="166"/>
      <c r="M79" s="166"/>
      <c r="N79" s="166"/>
      <c r="O79" s="166"/>
      <c r="P79" s="166"/>
      <c r="Q79" s="166"/>
      <c r="R79" s="166"/>
      <c r="S79" s="166"/>
      <c r="T79" s="166"/>
      <c r="U79" s="166"/>
      <c r="V79" s="166"/>
    </row>
    <row r="80" s="103" customFormat="1" ht="48" spans="1:22">
      <c r="A80" s="141">
        <v>70</v>
      </c>
      <c r="B80" s="169" t="s">
        <v>395</v>
      </c>
      <c r="C80" s="170"/>
      <c r="D80" s="166"/>
      <c r="E80" s="166"/>
      <c r="F80" s="166"/>
      <c r="G80" s="175"/>
      <c r="H80" s="175"/>
      <c r="I80" s="175"/>
      <c r="J80" s="166"/>
      <c r="K80" s="166"/>
      <c r="L80" s="166"/>
      <c r="M80" s="166"/>
      <c r="N80" s="166"/>
      <c r="O80" s="166"/>
      <c r="P80" s="166"/>
      <c r="Q80" s="166"/>
      <c r="R80" s="166"/>
      <c r="S80" s="166"/>
      <c r="T80" s="166"/>
      <c r="U80" s="166"/>
      <c r="V80" s="166"/>
    </row>
    <row r="81" s="103" customFormat="1" ht="60" spans="1:22">
      <c r="A81" s="141">
        <v>71</v>
      </c>
      <c r="B81" s="167" t="s">
        <v>396</v>
      </c>
      <c r="C81" s="168"/>
      <c r="D81" s="166"/>
      <c r="E81" s="166"/>
      <c r="F81" s="166"/>
      <c r="G81" s="175"/>
      <c r="H81" s="175"/>
      <c r="I81" s="175"/>
      <c r="J81" s="166"/>
      <c r="K81" s="166"/>
      <c r="L81" s="166"/>
      <c r="M81" s="166"/>
      <c r="N81" s="166"/>
      <c r="O81" s="166"/>
      <c r="P81" s="166"/>
      <c r="Q81" s="166"/>
      <c r="R81" s="166"/>
      <c r="S81" s="166"/>
      <c r="T81" s="166"/>
      <c r="U81" s="166"/>
      <c r="V81" s="166"/>
    </row>
    <row r="82" s="103" customFormat="1" ht="36" spans="1:22">
      <c r="A82" s="141">
        <v>72</v>
      </c>
      <c r="B82" s="167" t="s">
        <v>397</v>
      </c>
      <c r="C82" s="168"/>
      <c r="D82" s="166"/>
      <c r="E82" s="166"/>
      <c r="F82" s="166"/>
      <c r="G82" s="175"/>
      <c r="H82" s="175"/>
      <c r="I82" s="175"/>
      <c r="J82" s="166"/>
      <c r="K82" s="166"/>
      <c r="L82" s="166"/>
      <c r="M82" s="166"/>
      <c r="N82" s="166"/>
      <c r="O82" s="166"/>
      <c r="P82" s="166"/>
      <c r="Q82" s="166"/>
      <c r="R82" s="166"/>
      <c r="S82" s="166"/>
      <c r="T82" s="166"/>
      <c r="U82" s="166"/>
      <c r="V82" s="166"/>
    </row>
    <row r="83" s="104" customFormat="1" ht="36" spans="1:15">
      <c r="A83" s="141">
        <v>73</v>
      </c>
      <c r="B83" s="171" t="s">
        <v>398</v>
      </c>
      <c r="C83" s="172"/>
      <c r="H83" s="103"/>
      <c r="O83" s="103"/>
    </row>
    <row r="84" s="104" customFormat="1" ht="36" spans="1:15">
      <c r="A84" s="141">
        <v>74</v>
      </c>
      <c r="B84" s="171" t="s">
        <v>399</v>
      </c>
      <c r="C84" s="172"/>
      <c r="H84" s="103"/>
      <c r="O84" s="103"/>
    </row>
    <row r="85" s="104" customFormat="1" ht="36" spans="1:15">
      <c r="A85" s="141">
        <v>75</v>
      </c>
      <c r="B85" s="171" t="s">
        <v>400</v>
      </c>
      <c r="C85" s="172"/>
      <c r="H85" s="103"/>
      <c r="O85" s="103"/>
    </row>
    <row r="86" s="104" customFormat="1" ht="17.25" customHeight="1" spans="1:9">
      <c r="A86" s="103" t="s">
        <v>155</v>
      </c>
      <c r="B86" s="173"/>
      <c r="F86" s="103" t="s">
        <v>87</v>
      </c>
      <c r="G86" s="176"/>
      <c r="H86" s="176"/>
      <c r="I86" s="162" t="s">
        <v>88</v>
      </c>
    </row>
    <row r="87" s="104" customFormat="1" ht="12.75" spans="1:9">
      <c r="A87" s="33"/>
      <c r="B87" s="134" t="s">
        <v>89</v>
      </c>
      <c r="C87" s="34"/>
      <c r="G87" s="176"/>
      <c r="H87" s="176"/>
      <c r="I87" s="176"/>
    </row>
    <row r="88" ht="13.5" spans="1:2">
      <c r="A88" s="35"/>
      <c r="B88" s="174" t="s">
        <v>90</v>
      </c>
    </row>
    <row r="89" ht="13.5" spans="1:2">
      <c r="A89" s="40" t="s">
        <v>91</v>
      </c>
      <c r="B89" s="41">
        <v>241</v>
      </c>
    </row>
    <row r="92" s="12" customFormat="1" spans="1:256">
      <c r="A92" s="129"/>
      <c r="B92" s="130"/>
      <c r="C92" s="129"/>
      <c r="D92" s="129"/>
      <c r="E92" s="129"/>
      <c r="F92" s="129"/>
      <c r="G92" s="131"/>
      <c r="H92" s="131"/>
      <c r="I92" s="131"/>
      <c r="J92" s="129"/>
      <c r="K92" s="129"/>
      <c r="L92" s="129"/>
      <c r="M92" s="129"/>
      <c r="N92" s="129"/>
      <c r="O92" s="129"/>
      <c r="P92" s="129"/>
      <c r="Q92" s="129"/>
      <c r="R92" s="129"/>
      <c r="S92" s="129"/>
      <c r="T92" s="129"/>
      <c r="U92" s="129"/>
      <c r="V92" s="129"/>
      <c r="W92" s="129"/>
      <c r="X92" s="129"/>
      <c r="Y92" s="129"/>
      <c r="Z92" s="129"/>
      <c r="AA92" s="129"/>
      <c r="AB92" s="129"/>
      <c r="AC92" s="129"/>
      <c r="AD92" s="129"/>
      <c r="AE92" s="129"/>
      <c r="AF92" s="129"/>
      <c r="AG92" s="129"/>
      <c r="AH92" s="129"/>
      <c r="AI92" s="129"/>
      <c r="AJ92" s="129"/>
      <c r="AK92" s="129"/>
      <c r="AL92" s="129"/>
      <c r="AM92" s="129"/>
      <c r="AN92" s="129"/>
      <c r="AO92" s="129"/>
      <c r="AP92" s="129"/>
      <c r="AQ92" s="129"/>
      <c r="AR92" s="129"/>
      <c r="AS92" s="129"/>
      <c r="AT92" s="129"/>
      <c r="AU92" s="129"/>
      <c r="AV92" s="129"/>
      <c r="AW92" s="129"/>
      <c r="AX92" s="129"/>
      <c r="AY92" s="129"/>
      <c r="AZ92" s="129"/>
      <c r="BA92" s="129"/>
      <c r="BB92" s="129"/>
      <c r="BC92" s="129"/>
      <c r="BD92" s="129"/>
      <c r="BE92" s="129"/>
      <c r="BF92" s="129"/>
      <c r="BG92" s="129"/>
      <c r="BH92" s="129"/>
      <c r="BI92" s="129"/>
      <c r="BJ92" s="129"/>
      <c r="BK92" s="129"/>
      <c r="BL92" s="129"/>
      <c r="BM92" s="129"/>
      <c r="BN92" s="129"/>
      <c r="BO92" s="129"/>
      <c r="BP92" s="129"/>
      <c r="BQ92" s="129"/>
      <c r="BR92" s="129"/>
      <c r="BS92" s="129"/>
      <c r="BT92" s="129"/>
      <c r="BU92" s="129"/>
      <c r="BV92" s="129"/>
      <c r="BW92" s="129"/>
      <c r="BX92" s="129"/>
      <c r="BY92" s="129"/>
      <c r="BZ92" s="129"/>
      <c r="CA92" s="129"/>
      <c r="CB92" s="129"/>
      <c r="CC92" s="129"/>
      <c r="CD92" s="129"/>
      <c r="CE92" s="129"/>
      <c r="CF92" s="129"/>
      <c r="CG92" s="129"/>
      <c r="CH92" s="129"/>
      <c r="CI92" s="129"/>
      <c r="CJ92" s="129"/>
      <c r="CK92" s="129"/>
      <c r="CL92" s="129"/>
      <c r="CM92" s="129"/>
      <c r="CN92" s="129"/>
      <c r="CO92" s="129"/>
      <c r="CP92" s="129"/>
      <c r="CQ92" s="129"/>
      <c r="CR92" s="129"/>
      <c r="CS92" s="129"/>
      <c r="CT92" s="129"/>
      <c r="CU92" s="129"/>
      <c r="CV92" s="129"/>
      <c r="CW92" s="129"/>
      <c r="CX92" s="129"/>
      <c r="CY92" s="129"/>
      <c r="CZ92" s="129"/>
      <c r="DA92" s="129"/>
      <c r="DB92" s="129"/>
      <c r="DC92" s="129"/>
      <c r="DD92" s="129"/>
      <c r="DE92" s="129"/>
      <c r="DF92" s="129"/>
      <c r="DG92" s="129"/>
      <c r="DH92" s="129"/>
      <c r="DI92" s="129"/>
      <c r="DJ92" s="129"/>
      <c r="DK92" s="129"/>
      <c r="DL92" s="129"/>
      <c r="DM92" s="129"/>
      <c r="DN92" s="129"/>
      <c r="DO92" s="129"/>
      <c r="DP92" s="129"/>
      <c r="DQ92" s="129"/>
      <c r="DR92" s="129"/>
      <c r="DS92" s="129"/>
      <c r="DT92" s="129"/>
      <c r="DU92" s="129"/>
      <c r="DV92" s="129"/>
      <c r="DW92" s="129"/>
      <c r="DX92" s="129"/>
      <c r="DY92" s="129"/>
      <c r="DZ92" s="129"/>
      <c r="EA92" s="129"/>
      <c r="EB92" s="129"/>
      <c r="EC92" s="129"/>
      <c r="ED92" s="129"/>
      <c r="EE92" s="129"/>
      <c r="EF92" s="129"/>
      <c r="EG92" s="129"/>
      <c r="EH92" s="129"/>
      <c r="EI92" s="129"/>
      <c r="EJ92" s="129"/>
      <c r="EK92" s="129"/>
      <c r="EL92" s="129"/>
      <c r="EM92" s="129"/>
      <c r="EN92" s="129"/>
      <c r="EO92" s="129"/>
      <c r="EP92" s="129"/>
      <c r="EQ92" s="129"/>
      <c r="ER92" s="129"/>
      <c r="ES92" s="129"/>
      <c r="ET92" s="129"/>
      <c r="EU92" s="129"/>
      <c r="EV92" s="129"/>
      <c r="EW92" s="129"/>
      <c r="EX92" s="129"/>
      <c r="EY92" s="129"/>
      <c r="EZ92" s="129"/>
      <c r="FA92" s="129"/>
      <c r="FB92" s="129"/>
      <c r="FC92" s="129"/>
      <c r="FD92" s="129"/>
      <c r="FE92" s="129"/>
      <c r="FF92" s="129"/>
      <c r="FG92" s="129"/>
      <c r="FH92" s="129"/>
      <c r="FI92" s="129"/>
      <c r="FJ92" s="129"/>
      <c r="FK92" s="129"/>
      <c r="FL92" s="129"/>
      <c r="FM92" s="129"/>
      <c r="FN92" s="129"/>
      <c r="FO92" s="129"/>
      <c r="FP92" s="129"/>
      <c r="FQ92" s="129"/>
      <c r="FR92" s="129"/>
      <c r="FS92" s="129"/>
      <c r="FT92" s="129"/>
      <c r="FU92" s="129"/>
      <c r="FV92" s="129"/>
      <c r="FW92" s="129"/>
      <c r="FX92" s="129"/>
      <c r="FY92" s="129"/>
      <c r="FZ92" s="129"/>
      <c r="GA92" s="129"/>
      <c r="GB92" s="129"/>
      <c r="GC92" s="129"/>
      <c r="GD92" s="129"/>
      <c r="GE92" s="129"/>
      <c r="GF92" s="129"/>
      <c r="GG92" s="129"/>
      <c r="GH92" s="129"/>
      <c r="GI92" s="129"/>
      <c r="GJ92" s="129"/>
      <c r="GK92" s="129"/>
      <c r="GL92" s="129"/>
      <c r="GM92" s="129"/>
      <c r="GN92" s="129"/>
      <c r="GO92" s="129"/>
      <c r="GP92" s="129"/>
      <c r="GQ92" s="129"/>
      <c r="GR92" s="129"/>
      <c r="GS92" s="129"/>
      <c r="GT92" s="129"/>
      <c r="GU92" s="129"/>
      <c r="GV92" s="129"/>
      <c r="GW92" s="129"/>
      <c r="GX92" s="129"/>
      <c r="GY92" s="129"/>
      <c r="GZ92" s="129"/>
      <c r="HA92" s="129"/>
      <c r="HB92" s="129"/>
      <c r="HC92" s="129"/>
      <c r="HD92" s="129"/>
      <c r="HE92" s="129"/>
      <c r="HF92" s="129"/>
      <c r="HG92" s="129"/>
      <c r="HH92" s="129"/>
      <c r="HI92" s="129"/>
      <c r="HJ92" s="129"/>
      <c r="HK92" s="129"/>
      <c r="HL92" s="129"/>
      <c r="HM92" s="129"/>
      <c r="HN92" s="129"/>
      <c r="HO92" s="129"/>
      <c r="HP92" s="129"/>
      <c r="HQ92" s="129"/>
      <c r="HR92" s="129"/>
      <c r="HS92" s="129"/>
      <c r="HT92" s="129"/>
      <c r="HU92" s="129"/>
      <c r="HV92" s="129"/>
      <c r="HW92" s="129"/>
      <c r="HX92" s="129"/>
      <c r="HY92" s="129"/>
      <c r="HZ92" s="129"/>
      <c r="IA92" s="129"/>
      <c r="IB92" s="129"/>
      <c r="IC92" s="129"/>
      <c r="ID92" s="129"/>
      <c r="IE92" s="129"/>
      <c r="IF92" s="129"/>
      <c r="IG92" s="129"/>
      <c r="IH92" s="129"/>
      <c r="II92" s="129"/>
      <c r="IJ92" s="129"/>
      <c r="IK92" s="129"/>
      <c r="IL92" s="129"/>
      <c r="IM92" s="129"/>
      <c r="IN92" s="129"/>
      <c r="IO92" s="129"/>
      <c r="IP92" s="129"/>
      <c r="IQ92" s="129"/>
      <c r="IR92" s="129"/>
      <c r="IS92" s="129"/>
      <c r="IT92" s="129"/>
      <c r="IU92" s="129"/>
      <c r="IV92" s="129"/>
    </row>
    <row r="93" s="12" customFormat="1" spans="1:256">
      <c r="A93" s="129"/>
      <c r="B93" s="130"/>
      <c r="C93" s="129"/>
      <c r="D93" s="129"/>
      <c r="E93" s="129"/>
      <c r="F93" s="129"/>
      <c r="G93" s="131"/>
      <c r="H93" s="131"/>
      <c r="I93" s="131"/>
      <c r="J93" s="129"/>
      <c r="K93" s="129"/>
      <c r="L93" s="129"/>
      <c r="M93" s="129"/>
      <c r="N93" s="129"/>
      <c r="O93" s="129"/>
      <c r="P93" s="129"/>
      <c r="Q93" s="129"/>
      <c r="R93" s="129"/>
      <c r="S93" s="129"/>
      <c r="T93" s="129"/>
      <c r="U93" s="129"/>
      <c r="V93" s="129"/>
      <c r="W93" s="129"/>
      <c r="X93" s="129"/>
      <c r="Y93" s="129"/>
      <c r="Z93" s="129"/>
      <c r="AA93" s="129"/>
      <c r="AB93" s="129"/>
      <c r="AC93" s="129"/>
      <c r="AD93" s="129"/>
      <c r="AE93" s="129"/>
      <c r="AF93" s="129"/>
      <c r="AG93" s="129"/>
      <c r="AH93" s="129"/>
      <c r="AI93" s="129"/>
      <c r="AJ93" s="129"/>
      <c r="AK93" s="129"/>
      <c r="AL93" s="129"/>
      <c r="AM93" s="129"/>
      <c r="AN93" s="129"/>
      <c r="AO93" s="129"/>
      <c r="AP93" s="129"/>
      <c r="AQ93" s="129"/>
      <c r="AR93" s="129"/>
      <c r="AS93" s="129"/>
      <c r="AT93" s="129"/>
      <c r="AU93" s="129"/>
      <c r="AV93" s="129"/>
      <c r="AW93" s="129"/>
      <c r="AX93" s="129"/>
      <c r="AY93" s="129"/>
      <c r="AZ93" s="129"/>
      <c r="BA93" s="129"/>
      <c r="BB93" s="129"/>
      <c r="BC93" s="129"/>
      <c r="BD93" s="129"/>
      <c r="BE93" s="129"/>
      <c r="BF93" s="129"/>
      <c r="BG93" s="129"/>
      <c r="BH93" s="129"/>
      <c r="BI93" s="129"/>
      <c r="BJ93" s="129"/>
      <c r="BK93" s="129"/>
      <c r="BL93" s="129"/>
      <c r="BM93" s="129"/>
      <c r="BN93" s="129"/>
      <c r="BO93" s="129"/>
      <c r="BP93" s="129"/>
      <c r="BQ93" s="129"/>
      <c r="BR93" s="129"/>
      <c r="BS93" s="129"/>
      <c r="BT93" s="129"/>
      <c r="BU93" s="129"/>
      <c r="BV93" s="129"/>
      <c r="BW93" s="129"/>
      <c r="BX93" s="129"/>
      <c r="BY93" s="129"/>
      <c r="BZ93" s="129"/>
      <c r="CA93" s="129"/>
      <c r="CB93" s="129"/>
      <c r="CC93" s="129"/>
      <c r="CD93" s="129"/>
      <c r="CE93" s="129"/>
      <c r="CF93" s="129"/>
      <c r="CG93" s="129"/>
      <c r="CH93" s="129"/>
      <c r="CI93" s="129"/>
      <c r="CJ93" s="129"/>
      <c r="CK93" s="129"/>
      <c r="CL93" s="129"/>
      <c r="CM93" s="129"/>
      <c r="CN93" s="129"/>
      <c r="CO93" s="129"/>
      <c r="CP93" s="129"/>
      <c r="CQ93" s="129"/>
      <c r="CR93" s="129"/>
      <c r="CS93" s="129"/>
      <c r="CT93" s="129"/>
      <c r="CU93" s="129"/>
      <c r="CV93" s="129"/>
      <c r="CW93" s="129"/>
      <c r="CX93" s="129"/>
      <c r="CY93" s="129"/>
      <c r="CZ93" s="129"/>
      <c r="DA93" s="129"/>
      <c r="DB93" s="129"/>
      <c r="DC93" s="129"/>
      <c r="DD93" s="129"/>
      <c r="DE93" s="129"/>
      <c r="DF93" s="129"/>
      <c r="DG93" s="129"/>
      <c r="DH93" s="129"/>
      <c r="DI93" s="129"/>
      <c r="DJ93" s="129"/>
      <c r="DK93" s="129"/>
      <c r="DL93" s="129"/>
      <c r="DM93" s="129"/>
      <c r="DN93" s="129"/>
      <c r="DO93" s="129"/>
      <c r="DP93" s="129"/>
      <c r="DQ93" s="129"/>
      <c r="DR93" s="129"/>
      <c r="DS93" s="129"/>
      <c r="DT93" s="129"/>
      <c r="DU93" s="129"/>
      <c r="DV93" s="129"/>
      <c r="DW93" s="129"/>
      <c r="DX93" s="129"/>
      <c r="DY93" s="129"/>
      <c r="DZ93" s="129"/>
      <c r="EA93" s="129"/>
      <c r="EB93" s="129"/>
      <c r="EC93" s="129"/>
      <c r="ED93" s="129"/>
      <c r="EE93" s="129"/>
      <c r="EF93" s="129"/>
      <c r="EG93" s="129"/>
      <c r="EH93" s="129"/>
      <c r="EI93" s="129"/>
      <c r="EJ93" s="129"/>
      <c r="EK93" s="129"/>
      <c r="EL93" s="129"/>
      <c r="EM93" s="129"/>
      <c r="EN93" s="129"/>
      <c r="EO93" s="129"/>
      <c r="EP93" s="129"/>
      <c r="EQ93" s="129"/>
      <c r="ER93" s="129"/>
      <c r="ES93" s="129"/>
      <c r="ET93" s="129"/>
      <c r="EU93" s="129"/>
      <c r="EV93" s="129"/>
      <c r="EW93" s="129"/>
      <c r="EX93" s="129"/>
      <c r="EY93" s="129"/>
      <c r="EZ93" s="129"/>
      <c r="FA93" s="129"/>
      <c r="FB93" s="129"/>
      <c r="FC93" s="129"/>
      <c r="FD93" s="129"/>
      <c r="FE93" s="129"/>
      <c r="FF93" s="129"/>
      <c r="FG93" s="129"/>
      <c r="FH93" s="129"/>
      <c r="FI93" s="129"/>
      <c r="FJ93" s="129"/>
      <c r="FK93" s="129"/>
      <c r="FL93" s="129"/>
      <c r="FM93" s="129"/>
      <c r="FN93" s="129"/>
      <c r="FO93" s="129"/>
      <c r="FP93" s="129"/>
      <c r="FQ93" s="129"/>
      <c r="FR93" s="129"/>
      <c r="FS93" s="129"/>
      <c r="FT93" s="129"/>
      <c r="FU93" s="129"/>
      <c r="FV93" s="129"/>
      <c r="FW93" s="129"/>
      <c r="FX93" s="129"/>
      <c r="FY93" s="129"/>
      <c r="FZ93" s="129"/>
      <c r="GA93" s="129"/>
      <c r="GB93" s="129"/>
      <c r="GC93" s="129"/>
      <c r="GD93" s="129"/>
      <c r="GE93" s="129"/>
      <c r="GF93" s="129"/>
      <c r="GG93" s="129"/>
      <c r="GH93" s="129"/>
      <c r="GI93" s="129"/>
      <c r="GJ93" s="129"/>
      <c r="GK93" s="129"/>
      <c r="GL93" s="129"/>
      <c r="GM93" s="129"/>
      <c r="GN93" s="129"/>
      <c r="GO93" s="129"/>
      <c r="GP93" s="129"/>
      <c r="GQ93" s="129"/>
      <c r="GR93" s="129"/>
      <c r="GS93" s="129"/>
      <c r="GT93" s="129"/>
      <c r="GU93" s="129"/>
      <c r="GV93" s="129"/>
      <c r="GW93" s="129"/>
      <c r="GX93" s="129"/>
      <c r="GY93" s="129"/>
      <c r="GZ93" s="129"/>
      <c r="HA93" s="129"/>
      <c r="HB93" s="129"/>
      <c r="HC93" s="129"/>
      <c r="HD93" s="129"/>
      <c r="HE93" s="129"/>
      <c r="HF93" s="129"/>
      <c r="HG93" s="129"/>
      <c r="HH93" s="129"/>
      <c r="HI93" s="129"/>
      <c r="HJ93" s="129"/>
      <c r="HK93" s="129"/>
      <c r="HL93" s="129"/>
      <c r="HM93" s="129"/>
      <c r="HN93" s="129"/>
      <c r="HO93" s="129"/>
      <c r="HP93" s="129"/>
      <c r="HQ93" s="129"/>
      <c r="HR93" s="129"/>
      <c r="HS93" s="129"/>
      <c r="HT93" s="129"/>
      <c r="HU93" s="129"/>
      <c r="HV93" s="129"/>
      <c r="HW93" s="129"/>
      <c r="HX93" s="129"/>
      <c r="HY93" s="129"/>
      <c r="HZ93" s="129"/>
      <c r="IA93" s="129"/>
      <c r="IB93" s="129"/>
      <c r="IC93" s="129"/>
      <c r="ID93" s="129"/>
      <c r="IE93" s="129"/>
      <c r="IF93" s="129"/>
      <c r="IG93" s="129"/>
      <c r="IH93" s="129"/>
      <c r="II93" s="129"/>
      <c r="IJ93" s="129"/>
      <c r="IK93" s="129"/>
      <c r="IL93" s="129"/>
      <c r="IM93" s="129"/>
      <c r="IN93" s="129"/>
      <c r="IO93" s="129"/>
      <c r="IP93" s="129"/>
      <c r="IQ93" s="129"/>
      <c r="IR93" s="129"/>
      <c r="IS93" s="129"/>
      <c r="IT93" s="129"/>
      <c r="IU93" s="129"/>
      <c r="IV93" s="129"/>
    </row>
    <row r="94" s="12" customFormat="1" spans="1:256">
      <c r="A94" s="129"/>
      <c r="B94" s="130"/>
      <c r="C94" s="129"/>
      <c r="D94" s="129"/>
      <c r="E94" s="129"/>
      <c r="F94" s="129"/>
      <c r="G94" s="131"/>
      <c r="H94" s="131"/>
      <c r="I94" s="131"/>
      <c r="J94" s="129"/>
      <c r="K94" s="129"/>
      <c r="L94" s="129"/>
      <c r="M94" s="129"/>
      <c r="N94" s="129"/>
      <c r="O94" s="129"/>
      <c r="P94" s="129"/>
      <c r="Q94" s="129"/>
      <c r="R94" s="129"/>
      <c r="S94" s="129"/>
      <c r="T94" s="129"/>
      <c r="U94" s="129"/>
      <c r="V94" s="129"/>
      <c r="W94" s="129"/>
      <c r="X94" s="129"/>
      <c r="Y94" s="129"/>
      <c r="Z94" s="129"/>
      <c r="AA94" s="129"/>
      <c r="AB94" s="129"/>
      <c r="AC94" s="129"/>
      <c r="AD94" s="129"/>
      <c r="AE94" s="129"/>
      <c r="AF94" s="129"/>
      <c r="AG94" s="129"/>
      <c r="AH94" s="129"/>
      <c r="AI94" s="129"/>
      <c r="AJ94" s="129"/>
      <c r="AK94" s="129"/>
      <c r="AL94" s="129"/>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29"/>
      <c r="BQ94" s="129"/>
      <c r="BR94" s="129"/>
      <c r="BS94" s="129"/>
      <c r="BT94" s="129"/>
      <c r="BU94" s="129"/>
      <c r="BV94" s="129"/>
      <c r="BW94" s="129"/>
      <c r="BX94" s="129"/>
      <c r="BY94" s="129"/>
      <c r="BZ94" s="129"/>
      <c r="CA94" s="129"/>
      <c r="CB94" s="129"/>
      <c r="CC94" s="129"/>
      <c r="CD94" s="129"/>
      <c r="CE94" s="129"/>
      <c r="CF94" s="129"/>
      <c r="CG94" s="129"/>
      <c r="CH94" s="129"/>
      <c r="CI94" s="129"/>
      <c r="CJ94" s="129"/>
      <c r="CK94" s="129"/>
      <c r="CL94" s="129"/>
      <c r="CM94" s="129"/>
      <c r="CN94" s="129"/>
      <c r="CO94" s="129"/>
      <c r="CP94" s="129"/>
      <c r="CQ94" s="129"/>
      <c r="CR94" s="129"/>
      <c r="CS94" s="129"/>
      <c r="CT94" s="129"/>
      <c r="CU94" s="129"/>
      <c r="CV94" s="129"/>
      <c r="CW94" s="129"/>
      <c r="CX94" s="129"/>
      <c r="CY94" s="129"/>
      <c r="CZ94" s="129"/>
      <c r="DA94" s="129"/>
      <c r="DB94" s="129"/>
      <c r="DC94" s="129"/>
      <c r="DD94" s="129"/>
      <c r="DE94" s="129"/>
      <c r="DF94" s="129"/>
      <c r="DG94" s="129"/>
      <c r="DH94" s="129"/>
      <c r="DI94" s="129"/>
      <c r="DJ94" s="129"/>
      <c r="DK94" s="129"/>
      <c r="DL94" s="129"/>
      <c r="DM94" s="129"/>
      <c r="DN94" s="129"/>
      <c r="DO94" s="129"/>
      <c r="DP94" s="129"/>
      <c r="DQ94" s="129"/>
      <c r="DR94" s="129"/>
      <c r="DS94" s="129"/>
      <c r="DT94" s="129"/>
      <c r="DU94" s="129"/>
      <c r="DV94" s="129"/>
      <c r="DW94" s="129"/>
      <c r="DX94" s="129"/>
      <c r="DY94" s="129"/>
      <c r="DZ94" s="129"/>
      <c r="EA94" s="129"/>
      <c r="EB94" s="129"/>
      <c r="EC94" s="129"/>
      <c r="ED94" s="129"/>
      <c r="EE94" s="129"/>
      <c r="EF94" s="129"/>
      <c r="EG94" s="129"/>
      <c r="EH94" s="129"/>
      <c r="EI94" s="129"/>
      <c r="EJ94" s="129"/>
      <c r="EK94" s="129"/>
      <c r="EL94" s="129"/>
      <c r="EM94" s="129"/>
      <c r="EN94" s="129"/>
      <c r="EO94" s="129"/>
      <c r="EP94" s="129"/>
      <c r="EQ94" s="129"/>
      <c r="ER94" s="129"/>
      <c r="ES94" s="129"/>
      <c r="ET94" s="129"/>
      <c r="EU94" s="129"/>
      <c r="EV94" s="129"/>
      <c r="EW94" s="129"/>
      <c r="EX94" s="129"/>
      <c r="EY94" s="129"/>
      <c r="EZ94" s="129"/>
      <c r="FA94" s="129"/>
      <c r="FB94" s="129"/>
      <c r="FC94" s="129"/>
      <c r="FD94" s="129"/>
      <c r="FE94" s="129"/>
      <c r="FF94" s="129"/>
      <c r="FG94" s="129"/>
      <c r="FH94" s="129"/>
      <c r="FI94" s="129"/>
      <c r="FJ94" s="129"/>
      <c r="FK94" s="129"/>
      <c r="FL94" s="129"/>
      <c r="FM94" s="129"/>
      <c r="FN94" s="129"/>
      <c r="FO94" s="129"/>
      <c r="FP94" s="129"/>
      <c r="FQ94" s="129"/>
      <c r="FR94" s="129"/>
      <c r="FS94" s="129"/>
      <c r="FT94" s="129"/>
      <c r="FU94" s="129"/>
      <c r="FV94" s="129"/>
      <c r="FW94" s="129"/>
      <c r="FX94" s="129"/>
      <c r="FY94" s="129"/>
      <c r="FZ94" s="129"/>
      <c r="GA94" s="129"/>
      <c r="GB94" s="129"/>
      <c r="GC94" s="129"/>
      <c r="GD94" s="129"/>
      <c r="GE94" s="129"/>
      <c r="GF94" s="129"/>
      <c r="GG94" s="129"/>
      <c r="GH94" s="129"/>
      <c r="GI94" s="129"/>
      <c r="GJ94" s="129"/>
      <c r="GK94" s="129"/>
      <c r="GL94" s="129"/>
      <c r="GM94" s="129"/>
      <c r="GN94" s="129"/>
      <c r="GO94" s="129"/>
      <c r="GP94" s="129"/>
      <c r="GQ94" s="129"/>
      <c r="GR94" s="129"/>
      <c r="GS94" s="129"/>
      <c r="GT94" s="129"/>
      <c r="GU94" s="129"/>
      <c r="GV94" s="129"/>
      <c r="GW94" s="129"/>
      <c r="GX94" s="129"/>
      <c r="GY94" s="129"/>
      <c r="GZ94" s="129"/>
      <c r="HA94" s="129"/>
      <c r="HB94" s="129"/>
      <c r="HC94" s="129"/>
      <c r="HD94" s="129"/>
      <c r="HE94" s="129"/>
      <c r="HF94" s="129"/>
      <c r="HG94" s="129"/>
      <c r="HH94" s="129"/>
      <c r="HI94" s="129"/>
      <c r="HJ94" s="129"/>
      <c r="HK94" s="129"/>
      <c r="HL94" s="129"/>
      <c r="HM94" s="129"/>
      <c r="HN94" s="129"/>
      <c r="HO94" s="129"/>
      <c r="HP94" s="129"/>
      <c r="HQ94" s="129"/>
      <c r="HR94" s="129"/>
      <c r="HS94" s="129"/>
      <c r="HT94" s="129"/>
      <c r="HU94" s="129"/>
      <c r="HV94" s="129"/>
      <c r="HW94" s="129"/>
      <c r="HX94" s="129"/>
      <c r="HY94" s="129"/>
      <c r="HZ94" s="129"/>
      <c r="IA94" s="129"/>
      <c r="IB94" s="129"/>
      <c r="IC94" s="129"/>
      <c r="ID94" s="129"/>
      <c r="IE94" s="129"/>
      <c r="IF94" s="129"/>
      <c r="IG94" s="129"/>
      <c r="IH94" s="129"/>
      <c r="II94" s="129"/>
      <c r="IJ94" s="129"/>
      <c r="IK94" s="129"/>
      <c r="IL94" s="129"/>
      <c r="IM94" s="129"/>
      <c r="IN94" s="129"/>
      <c r="IO94" s="129"/>
      <c r="IP94" s="129"/>
      <c r="IQ94" s="129"/>
      <c r="IR94" s="129"/>
      <c r="IS94" s="129"/>
      <c r="IT94" s="129"/>
      <c r="IU94" s="129"/>
      <c r="IV94" s="129"/>
    </row>
    <row r="95" s="12" customFormat="1" spans="1:256">
      <c r="A95" s="129"/>
      <c r="B95" s="130"/>
      <c r="C95" s="129"/>
      <c r="D95" s="129"/>
      <c r="E95" s="129"/>
      <c r="F95" s="129"/>
      <c r="G95" s="131"/>
      <c r="H95" s="131"/>
      <c r="I95" s="131"/>
      <c r="J95" s="129"/>
      <c r="K95" s="129"/>
      <c r="L95" s="129"/>
      <c r="M95" s="129"/>
      <c r="N95" s="129"/>
      <c r="O95" s="129"/>
      <c r="P95" s="129"/>
      <c r="Q95" s="129"/>
      <c r="R95" s="129"/>
      <c r="S95" s="129"/>
      <c r="T95" s="129"/>
      <c r="U95" s="129"/>
      <c r="V95" s="129"/>
      <c r="W95" s="129"/>
      <c r="X95" s="129"/>
      <c r="Y95" s="129"/>
      <c r="Z95" s="129"/>
      <c r="AA95" s="129"/>
      <c r="AB95" s="129"/>
      <c r="AC95" s="129"/>
      <c r="AD95" s="129"/>
      <c r="AE95" s="129"/>
      <c r="AF95" s="129"/>
      <c r="AG95" s="129"/>
      <c r="AH95" s="129"/>
      <c r="AI95" s="129"/>
      <c r="AJ95" s="129"/>
      <c r="AK95" s="129"/>
      <c r="AL95" s="129"/>
      <c r="AM95" s="129"/>
      <c r="AN95" s="129"/>
      <c r="AO95" s="129"/>
      <c r="AP95" s="129"/>
      <c r="AQ95" s="129"/>
      <c r="AR95" s="129"/>
      <c r="AS95" s="129"/>
      <c r="AT95" s="129"/>
      <c r="AU95" s="129"/>
      <c r="AV95" s="129"/>
      <c r="AW95" s="129"/>
      <c r="AX95" s="129"/>
      <c r="AY95" s="129"/>
      <c r="AZ95" s="129"/>
      <c r="BA95" s="129"/>
      <c r="BB95" s="129"/>
      <c r="BC95" s="129"/>
      <c r="BD95" s="129"/>
      <c r="BE95" s="129"/>
      <c r="BF95" s="129"/>
      <c r="BG95" s="129"/>
      <c r="BH95" s="129"/>
      <c r="BI95" s="129"/>
      <c r="BJ95" s="129"/>
      <c r="BK95" s="129"/>
      <c r="BL95" s="129"/>
      <c r="BM95" s="129"/>
      <c r="BN95" s="129"/>
      <c r="BO95" s="129"/>
      <c r="BP95" s="129"/>
      <c r="BQ95" s="129"/>
      <c r="BR95" s="129"/>
      <c r="BS95" s="129"/>
      <c r="BT95" s="129"/>
      <c r="BU95" s="129"/>
      <c r="BV95" s="129"/>
      <c r="BW95" s="129"/>
      <c r="BX95" s="129"/>
      <c r="BY95" s="129"/>
      <c r="BZ95" s="129"/>
      <c r="CA95" s="129"/>
      <c r="CB95" s="129"/>
      <c r="CC95" s="129"/>
      <c r="CD95" s="129"/>
      <c r="CE95" s="129"/>
      <c r="CF95" s="129"/>
      <c r="CG95" s="129"/>
      <c r="CH95" s="129"/>
      <c r="CI95" s="129"/>
      <c r="CJ95" s="129"/>
      <c r="CK95" s="129"/>
      <c r="CL95" s="129"/>
      <c r="CM95" s="129"/>
      <c r="CN95" s="129"/>
      <c r="CO95" s="129"/>
      <c r="CP95" s="129"/>
      <c r="CQ95" s="129"/>
      <c r="CR95" s="129"/>
      <c r="CS95" s="129"/>
      <c r="CT95" s="129"/>
      <c r="CU95" s="129"/>
      <c r="CV95" s="129"/>
      <c r="CW95" s="129"/>
      <c r="CX95" s="129"/>
      <c r="CY95" s="129"/>
      <c r="CZ95" s="129"/>
      <c r="DA95" s="129"/>
      <c r="DB95" s="129"/>
      <c r="DC95" s="129"/>
      <c r="DD95" s="129"/>
      <c r="DE95" s="129"/>
      <c r="DF95" s="129"/>
      <c r="DG95" s="129"/>
      <c r="DH95" s="129"/>
      <c r="DI95" s="129"/>
      <c r="DJ95" s="129"/>
      <c r="DK95" s="129"/>
      <c r="DL95" s="129"/>
      <c r="DM95" s="129"/>
      <c r="DN95" s="129"/>
      <c r="DO95" s="129"/>
      <c r="DP95" s="129"/>
      <c r="DQ95" s="129"/>
      <c r="DR95" s="129"/>
      <c r="DS95" s="129"/>
      <c r="DT95" s="129"/>
      <c r="DU95" s="129"/>
      <c r="DV95" s="129"/>
      <c r="DW95" s="129"/>
      <c r="DX95" s="129"/>
      <c r="DY95" s="129"/>
      <c r="DZ95" s="129"/>
      <c r="EA95" s="129"/>
      <c r="EB95" s="129"/>
      <c r="EC95" s="129"/>
      <c r="ED95" s="129"/>
      <c r="EE95" s="129"/>
      <c r="EF95" s="129"/>
      <c r="EG95" s="129"/>
      <c r="EH95" s="129"/>
      <c r="EI95" s="129"/>
      <c r="EJ95" s="129"/>
      <c r="EK95" s="129"/>
      <c r="EL95" s="129"/>
      <c r="EM95" s="129"/>
      <c r="EN95" s="129"/>
      <c r="EO95" s="129"/>
      <c r="EP95" s="129"/>
      <c r="EQ95" s="129"/>
      <c r="ER95" s="129"/>
      <c r="ES95" s="129"/>
      <c r="ET95" s="129"/>
      <c r="EU95" s="129"/>
      <c r="EV95" s="129"/>
      <c r="EW95" s="129"/>
      <c r="EX95" s="129"/>
      <c r="EY95" s="129"/>
      <c r="EZ95" s="129"/>
      <c r="FA95" s="129"/>
      <c r="FB95" s="129"/>
      <c r="FC95" s="129"/>
      <c r="FD95" s="129"/>
      <c r="FE95" s="129"/>
      <c r="FF95" s="129"/>
      <c r="FG95" s="129"/>
      <c r="FH95" s="129"/>
      <c r="FI95" s="129"/>
      <c r="FJ95" s="129"/>
      <c r="FK95" s="129"/>
      <c r="FL95" s="129"/>
      <c r="FM95" s="129"/>
      <c r="FN95" s="129"/>
      <c r="FO95" s="129"/>
      <c r="FP95" s="129"/>
      <c r="FQ95" s="129"/>
      <c r="FR95" s="129"/>
      <c r="FS95" s="129"/>
      <c r="FT95" s="129"/>
      <c r="FU95" s="129"/>
      <c r="FV95" s="129"/>
      <c r="FW95" s="129"/>
      <c r="FX95" s="129"/>
      <c r="FY95" s="129"/>
      <c r="FZ95" s="129"/>
      <c r="GA95" s="129"/>
      <c r="GB95" s="129"/>
      <c r="GC95" s="129"/>
      <c r="GD95" s="129"/>
      <c r="GE95" s="129"/>
      <c r="GF95" s="129"/>
      <c r="GG95" s="129"/>
      <c r="GH95" s="129"/>
      <c r="GI95" s="129"/>
      <c r="GJ95" s="129"/>
      <c r="GK95" s="129"/>
      <c r="GL95" s="129"/>
      <c r="GM95" s="129"/>
      <c r="GN95" s="129"/>
      <c r="GO95" s="129"/>
      <c r="GP95" s="129"/>
      <c r="GQ95" s="129"/>
      <c r="GR95" s="129"/>
      <c r="GS95" s="129"/>
      <c r="GT95" s="129"/>
      <c r="GU95" s="129"/>
      <c r="GV95" s="129"/>
      <c r="GW95" s="129"/>
      <c r="GX95" s="129"/>
      <c r="GY95" s="129"/>
      <c r="GZ95" s="129"/>
      <c r="HA95" s="129"/>
      <c r="HB95" s="129"/>
      <c r="HC95" s="129"/>
      <c r="HD95" s="129"/>
      <c r="HE95" s="129"/>
      <c r="HF95" s="129"/>
      <c r="HG95" s="129"/>
      <c r="HH95" s="129"/>
      <c r="HI95" s="129"/>
      <c r="HJ95" s="129"/>
      <c r="HK95" s="129"/>
      <c r="HL95" s="129"/>
      <c r="HM95" s="129"/>
      <c r="HN95" s="129"/>
      <c r="HO95" s="129"/>
      <c r="HP95" s="129"/>
      <c r="HQ95" s="129"/>
      <c r="HR95" s="129"/>
      <c r="HS95" s="129"/>
      <c r="HT95" s="129"/>
      <c r="HU95" s="129"/>
      <c r="HV95" s="129"/>
      <c r="HW95" s="129"/>
      <c r="HX95" s="129"/>
      <c r="HY95" s="129"/>
      <c r="HZ95" s="129"/>
      <c r="IA95" s="129"/>
      <c r="IB95" s="129"/>
      <c r="IC95" s="129"/>
      <c r="ID95" s="129"/>
      <c r="IE95" s="129"/>
      <c r="IF95" s="129"/>
      <c r="IG95" s="129"/>
      <c r="IH95" s="129"/>
      <c r="II95" s="129"/>
      <c r="IJ95" s="129"/>
      <c r="IK95" s="129"/>
      <c r="IL95" s="129"/>
      <c r="IM95" s="129"/>
      <c r="IN95" s="129"/>
      <c r="IO95" s="129"/>
      <c r="IP95" s="129"/>
      <c r="IQ95" s="129"/>
      <c r="IR95" s="129"/>
      <c r="IS95" s="129"/>
      <c r="IT95" s="129"/>
      <c r="IU95" s="129"/>
      <c r="IV95" s="129"/>
    </row>
    <row r="96" s="12" customFormat="1" spans="1:256">
      <c r="A96" s="129"/>
      <c r="B96" s="130"/>
      <c r="C96" s="129"/>
      <c r="D96" s="129"/>
      <c r="E96" s="129"/>
      <c r="F96" s="129"/>
      <c r="G96" s="131"/>
      <c r="H96" s="131"/>
      <c r="I96" s="131"/>
      <c r="J96" s="129"/>
      <c r="K96" s="129"/>
      <c r="L96" s="129"/>
      <c r="M96" s="129"/>
      <c r="N96" s="129"/>
      <c r="O96" s="129"/>
      <c r="P96" s="129"/>
      <c r="Q96" s="129"/>
      <c r="R96" s="129"/>
      <c r="S96" s="129"/>
      <c r="T96" s="129"/>
      <c r="U96" s="129"/>
      <c r="V96" s="129"/>
      <c r="W96" s="129"/>
      <c r="X96" s="129"/>
      <c r="Y96" s="129"/>
      <c r="Z96" s="129"/>
      <c r="AA96" s="129"/>
      <c r="AB96" s="129"/>
      <c r="AC96" s="129"/>
      <c r="AD96" s="129"/>
      <c r="AE96" s="129"/>
      <c r="AF96" s="129"/>
      <c r="AG96" s="129"/>
      <c r="AH96" s="129"/>
      <c r="AI96" s="129"/>
      <c r="AJ96" s="129"/>
      <c r="AK96" s="129"/>
      <c r="AL96" s="129"/>
      <c r="AM96" s="129"/>
      <c r="AN96" s="129"/>
      <c r="AO96" s="129"/>
      <c r="AP96" s="129"/>
      <c r="AQ96" s="129"/>
      <c r="AR96" s="129"/>
      <c r="AS96" s="129"/>
      <c r="AT96" s="129"/>
      <c r="AU96" s="129"/>
      <c r="AV96" s="129"/>
      <c r="AW96" s="129"/>
      <c r="AX96" s="129"/>
      <c r="AY96" s="129"/>
      <c r="AZ96" s="129"/>
      <c r="BA96" s="129"/>
      <c r="BB96" s="129"/>
      <c r="BC96" s="129"/>
      <c r="BD96" s="129"/>
      <c r="BE96" s="129"/>
      <c r="BF96" s="129"/>
      <c r="BG96" s="129"/>
      <c r="BH96" s="129"/>
      <c r="BI96" s="129"/>
      <c r="BJ96" s="129"/>
      <c r="BK96" s="129"/>
      <c r="BL96" s="129"/>
      <c r="BM96" s="129"/>
      <c r="BN96" s="129"/>
      <c r="BO96" s="129"/>
      <c r="BP96" s="129"/>
      <c r="BQ96" s="129"/>
      <c r="BR96" s="129"/>
      <c r="BS96" s="129"/>
      <c r="BT96" s="129"/>
      <c r="BU96" s="129"/>
      <c r="BV96" s="129"/>
      <c r="BW96" s="129"/>
      <c r="BX96" s="129"/>
      <c r="BY96" s="129"/>
      <c r="BZ96" s="129"/>
      <c r="CA96" s="129"/>
      <c r="CB96" s="129"/>
      <c r="CC96" s="129"/>
      <c r="CD96" s="129"/>
      <c r="CE96" s="129"/>
      <c r="CF96" s="129"/>
      <c r="CG96" s="129"/>
      <c r="CH96" s="129"/>
      <c r="CI96" s="129"/>
      <c r="CJ96" s="129"/>
      <c r="CK96" s="129"/>
      <c r="CL96" s="129"/>
      <c r="CM96" s="129"/>
      <c r="CN96" s="129"/>
      <c r="CO96" s="129"/>
      <c r="CP96" s="129"/>
      <c r="CQ96" s="129"/>
      <c r="CR96" s="129"/>
      <c r="CS96" s="129"/>
      <c r="CT96" s="129"/>
      <c r="CU96" s="129"/>
      <c r="CV96" s="129"/>
      <c r="CW96" s="129"/>
      <c r="CX96" s="129"/>
      <c r="CY96" s="129"/>
      <c r="CZ96" s="129"/>
      <c r="DA96" s="129"/>
      <c r="DB96" s="129"/>
      <c r="DC96" s="129"/>
      <c r="DD96" s="129"/>
      <c r="DE96" s="129"/>
      <c r="DF96" s="129"/>
      <c r="DG96" s="129"/>
      <c r="DH96" s="129"/>
      <c r="DI96" s="129"/>
      <c r="DJ96" s="129"/>
      <c r="DK96" s="129"/>
      <c r="DL96" s="129"/>
      <c r="DM96" s="129"/>
      <c r="DN96" s="129"/>
      <c r="DO96" s="129"/>
      <c r="DP96" s="129"/>
      <c r="DQ96" s="129"/>
      <c r="DR96" s="129"/>
      <c r="DS96" s="129"/>
      <c r="DT96" s="129"/>
      <c r="DU96" s="129"/>
      <c r="DV96" s="129"/>
      <c r="DW96" s="129"/>
      <c r="DX96" s="129"/>
      <c r="DY96" s="129"/>
      <c r="DZ96" s="129"/>
      <c r="EA96" s="129"/>
      <c r="EB96" s="129"/>
      <c r="EC96" s="129"/>
      <c r="ED96" s="129"/>
      <c r="EE96" s="129"/>
      <c r="EF96" s="129"/>
      <c r="EG96" s="129"/>
      <c r="EH96" s="129"/>
      <c r="EI96" s="129"/>
      <c r="EJ96" s="129"/>
      <c r="EK96" s="129"/>
      <c r="EL96" s="129"/>
      <c r="EM96" s="129"/>
      <c r="EN96" s="129"/>
      <c r="EO96" s="129"/>
      <c r="EP96" s="129"/>
      <c r="EQ96" s="129"/>
      <c r="ER96" s="129"/>
      <c r="ES96" s="129"/>
      <c r="ET96" s="129"/>
      <c r="EU96" s="129"/>
      <c r="EV96" s="129"/>
      <c r="EW96" s="129"/>
      <c r="EX96" s="129"/>
      <c r="EY96" s="129"/>
      <c r="EZ96" s="129"/>
      <c r="FA96" s="129"/>
      <c r="FB96" s="129"/>
      <c r="FC96" s="129"/>
      <c r="FD96" s="129"/>
      <c r="FE96" s="129"/>
      <c r="FF96" s="129"/>
      <c r="FG96" s="129"/>
      <c r="FH96" s="129"/>
      <c r="FI96" s="129"/>
      <c r="FJ96" s="129"/>
      <c r="FK96" s="129"/>
      <c r="FL96" s="129"/>
      <c r="FM96" s="129"/>
      <c r="FN96" s="129"/>
      <c r="FO96" s="129"/>
      <c r="FP96" s="129"/>
      <c r="FQ96" s="129"/>
      <c r="FR96" s="129"/>
      <c r="FS96" s="129"/>
      <c r="FT96" s="129"/>
      <c r="FU96" s="129"/>
      <c r="FV96" s="129"/>
      <c r="FW96" s="129"/>
      <c r="FX96" s="129"/>
      <c r="FY96" s="129"/>
      <c r="FZ96" s="129"/>
      <c r="GA96" s="129"/>
      <c r="GB96" s="129"/>
      <c r="GC96" s="129"/>
      <c r="GD96" s="129"/>
      <c r="GE96" s="129"/>
      <c r="GF96" s="129"/>
      <c r="GG96" s="129"/>
      <c r="GH96" s="129"/>
      <c r="GI96" s="129"/>
      <c r="GJ96" s="129"/>
      <c r="GK96" s="129"/>
      <c r="GL96" s="129"/>
      <c r="GM96" s="129"/>
      <c r="GN96" s="129"/>
      <c r="GO96" s="129"/>
      <c r="GP96" s="129"/>
      <c r="GQ96" s="129"/>
      <c r="GR96" s="129"/>
      <c r="GS96" s="129"/>
      <c r="GT96" s="129"/>
      <c r="GU96" s="129"/>
      <c r="GV96" s="129"/>
      <c r="GW96" s="129"/>
      <c r="GX96" s="129"/>
      <c r="GY96" s="129"/>
      <c r="GZ96" s="129"/>
      <c r="HA96" s="129"/>
      <c r="HB96" s="129"/>
      <c r="HC96" s="129"/>
      <c r="HD96" s="129"/>
      <c r="HE96" s="129"/>
      <c r="HF96" s="129"/>
      <c r="HG96" s="129"/>
      <c r="HH96" s="129"/>
      <c r="HI96" s="129"/>
      <c r="HJ96" s="129"/>
      <c r="HK96" s="129"/>
      <c r="HL96" s="129"/>
      <c r="HM96" s="129"/>
      <c r="HN96" s="129"/>
      <c r="HO96" s="129"/>
      <c r="HP96" s="129"/>
      <c r="HQ96" s="129"/>
      <c r="HR96" s="129"/>
      <c r="HS96" s="129"/>
      <c r="HT96" s="129"/>
      <c r="HU96" s="129"/>
      <c r="HV96" s="129"/>
      <c r="HW96" s="129"/>
      <c r="HX96" s="129"/>
      <c r="HY96" s="129"/>
      <c r="HZ96" s="129"/>
      <c r="IA96" s="129"/>
      <c r="IB96" s="129"/>
      <c r="IC96" s="129"/>
      <c r="ID96" s="129"/>
      <c r="IE96" s="129"/>
      <c r="IF96" s="129"/>
      <c r="IG96" s="129"/>
      <c r="IH96" s="129"/>
      <c r="II96" s="129"/>
      <c r="IJ96" s="129"/>
      <c r="IK96" s="129"/>
      <c r="IL96" s="129"/>
      <c r="IM96" s="129"/>
      <c r="IN96" s="129"/>
      <c r="IO96" s="129"/>
      <c r="IP96" s="129"/>
      <c r="IQ96" s="129"/>
      <c r="IR96" s="129"/>
      <c r="IS96" s="129"/>
      <c r="IT96" s="129"/>
      <c r="IU96" s="129"/>
      <c r="IV96" s="129"/>
    </row>
    <row r="97" s="12" customFormat="1" spans="1:256">
      <c r="A97" s="129"/>
      <c r="B97" s="130"/>
      <c r="C97" s="129"/>
      <c r="D97" s="129"/>
      <c r="E97" s="129"/>
      <c r="F97" s="129"/>
      <c r="G97" s="131"/>
      <c r="H97" s="131"/>
      <c r="I97" s="131"/>
      <c r="J97" s="129"/>
      <c r="K97" s="129"/>
      <c r="L97" s="129"/>
      <c r="M97" s="129"/>
      <c r="N97" s="129"/>
      <c r="O97" s="129"/>
      <c r="P97" s="129"/>
      <c r="Q97" s="129"/>
      <c r="R97" s="129"/>
      <c r="S97" s="129"/>
      <c r="T97" s="129"/>
      <c r="U97" s="129"/>
      <c r="V97" s="129"/>
      <c r="W97" s="129"/>
      <c r="X97" s="129"/>
      <c r="Y97" s="129"/>
      <c r="Z97" s="129"/>
      <c r="AA97" s="129"/>
      <c r="AB97" s="129"/>
      <c r="AC97" s="129"/>
      <c r="AD97" s="129"/>
      <c r="AE97" s="129"/>
      <c r="AF97" s="129"/>
      <c r="AG97" s="129"/>
      <c r="AH97" s="129"/>
      <c r="AI97" s="129"/>
      <c r="AJ97" s="129"/>
      <c r="AK97" s="129"/>
      <c r="AL97" s="129"/>
      <c r="AM97" s="129"/>
      <c r="AN97" s="129"/>
      <c r="AO97" s="129"/>
      <c r="AP97" s="129"/>
      <c r="AQ97" s="129"/>
      <c r="AR97" s="129"/>
      <c r="AS97" s="129"/>
      <c r="AT97" s="129"/>
      <c r="AU97" s="129"/>
      <c r="AV97" s="129"/>
      <c r="AW97" s="129"/>
      <c r="AX97" s="129"/>
      <c r="AY97" s="129"/>
      <c r="AZ97" s="129"/>
      <c r="BA97" s="129"/>
      <c r="BB97" s="129"/>
      <c r="BC97" s="129"/>
      <c r="BD97" s="129"/>
      <c r="BE97" s="129"/>
      <c r="BF97" s="129"/>
      <c r="BG97" s="129"/>
      <c r="BH97" s="129"/>
      <c r="BI97" s="129"/>
      <c r="BJ97" s="129"/>
      <c r="BK97" s="129"/>
      <c r="BL97" s="129"/>
      <c r="BM97" s="129"/>
      <c r="BN97" s="129"/>
      <c r="BO97" s="129"/>
      <c r="BP97" s="129"/>
      <c r="BQ97" s="129"/>
      <c r="BR97" s="129"/>
      <c r="BS97" s="129"/>
      <c r="BT97" s="129"/>
      <c r="BU97" s="129"/>
      <c r="BV97" s="129"/>
      <c r="BW97" s="129"/>
      <c r="BX97" s="129"/>
      <c r="BY97" s="129"/>
      <c r="BZ97" s="129"/>
      <c r="CA97" s="129"/>
      <c r="CB97" s="129"/>
      <c r="CC97" s="129"/>
      <c r="CD97" s="129"/>
      <c r="CE97" s="129"/>
      <c r="CF97" s="129"/>
      <c r="CG97" s="129"/>
      <c r="CH97" s="129"/>
      <c r="CI97" s="129"/>
      <c r="CJ97" s="129"/>
      <c r="CK97" s="129"/>
      <c r="CL97" s="129"/>
      <c r="CM97" s="129"/>
      <c r="CN97" s="129"/>
      <c r="CO97" s="129"/>
      <c r="CP97" s="129"/>
      <c r="CQ97" s="129"/>
      <c r="CR97" s="129"/>
      <c r="CS97" s="129"/>
      <c r="CT97" s="129"/>
      <c r="CU97" s="129"/>
      <c r="CV97" s="129"/>
      <c r="CW97" s="129"/>
      <c r="CX97" s="129"/>
      <c r="CY97" s="129"/>
      <c r="CZ97" s="129"/>
      <c r="DA97" s="129"/>
      <c r="DB97" s="129"/>
      <c r="DC97" s="129"/>
      <c r="DD97" s="129"/>
      <c r="DE97" s="129"/>
      <c r="DF97" s="129"/>
      <c r="DG97" s="129"/>
      <c r="DH97" s="129"/>
      <c r="DI97" s="129"/>
      <c r="DJ97" s="129"/>
      <c r="DK97" s="129"/>
      <c r="DL97" s="129"/>
      <c r="DM97" s="129"/>
      <c r="DN97" s="129"/>
      <c r="DO97" s="129"/>
      <c r="DP97" s="129"/>
      <c r="DQ97" s="129"/>
      <c r="DR97" s="129"/>
      <c r="DS97" s="129"/>
      <c r="DT97" s="129"/>
      <c r="DU97" s="129"/>
      <c r="DV97" s="129"/>
      <c r="DW97" s="129"/>
      <c r="DX97" s="129"/>
      <c r="DY97" s="129"/>
      <c r="DZ97" s="129"/>
      <c r="EA97" s="129"/>
      <c r="EB97" s="129"/>
      <c r="EC97" s="129"/>
      <c r="ED97" s="129"/>
      <c r="EE97" s="129"/>
      <c r="EF97" s="129"/>
      <c r="EG97" s="129"/>
      <c r="EH97" s="129"/>
      <c r="EI97" s="129"/>
      <c r="EJ97" s="129"/>
      <c r="EK97" s="129"/>
      <c r="EL97" s="129"/>
      <c r="EM97" s="129"/>
      <c r="EN97" s="129"/>
      <c r="EO97" s="129"/>
      <c r="EP97" s="129"/>
      <c r="EQ97" s="129"/>
      <c r="ER97" s="129"/>
      <c r="ES97" s="129"/>
      <c r="ET97" s="129"/>
      <c r="EU97" s="129"/>
      <c r="EV97" s="129"/>
      <c r="EW97" s="129"/>
      <c r="EX97" s="129"/>
      <c r="EY97" s="129"/>
      <c r="EZ97" s="129"/>
      <c r="FA97" s="129"/>
      <c r="FB97" s="129"/>
      <c r="FC97" s="129"/>
      <c r="FD97" s="129"/>
      <c r="FE97" s="129"/>
      <c r="FF97" s="129"/>
      <c r="FG97" s="129"/>
      <c r="FH97" s="129"/>
      <c r="FI97" s="129"/>
      <c r="FJ97" s="129"/>
      <c r="FK97" s="129"/>
      <c r="FL97" s="129"/>
      <c r="FM97" s="129"/>
      <c r="FN97" s="129"/>
      <c r="FO97" s="129"/>
      <c r="FP97" s="129"/>
      <c r="FQ97" s="129"/>
      <c r="FR97" s="129"/>
      <c r="FS97" s="129"/>
      <c r="FT97" s="129"/>
      <c r="FU97" s="129"/>
      <c r="FV97" s="129"/>
      <c r="FW97" s="129"/>
      <c r="FX97" s="129"/>
      <c r="FY97" s="129"/>
      <c r="FZ97" s="129"/>
      <c r="GA97" s="129"/>
      <c r="GB97" s="129"/>
      <c r="GC97" s="129"/>
      <c r="GD97" s="129"/>
      <c r="GE97" s="129"/>
      <c r="GF97" s="129"/>
      <c r="GG97" s="129"/>
      <c r="GH97" s="129"/>
      <c r="GI97" s="129"/>
      <c r="GJ97" s="129"/>
      <c r="GK97" s="129"/>
      <c r="GL97" s="129"/>
      <c r="GM97" s="129"/>
      <c r="GN97" s="129"/>
      <c r="GO97" s="129"/>
      <c r="GP97" s="129"/>
      <c r="GQ97" s="129"/>
      <c r="GR97" s="129"/>
      <c r="GS97" s="129"/>
      <c r="GT97" s="129"/>
      <c r="GU97" s="129"/>
      <c r="GV97" s="129"/>
      <c r="GW97" s="129"/>
      <c r="GX97" s="129"/>
      <c r="GY97" s="129"/>
      <c r="GZ97" s="129"/>
      <c r="HA97" s="129"/>
      <c r="HB97" s="129"/>
      <c r="HC97" s="129"/>
      <c r="HD97" s="129"/>
      <c r="HE97" s="129"/>
      <c r="HF97" s="129"/>
      <c r="HG97" s="129"/>
      <c r="HH97" s="129"/>
      <c r="HI97" s="129"/>
      <c r="HJ97" s="129"/>
      <c r="HK97" s="129"/>
      <c r="HL97" s="129"/>
      <c r="HM97" s="129"/>
      <c r="HN97" s="129"/>
      <c r="HO97" s="129"/>
      <c r="HP97" s="129"/>
      <c r="HQ97" s="129"/>
      <c r="HR97" s="129"/>
      <c r="HS97" s="129"/>
      <c r="HT97" s="129"/>
      <c r="HU97" s="129"/>
      <c r="HV97" s="129"/>
      <c r="HW97" s="129"/>
      <c r="HX97" s="129"/>
      <c r="HY97" s="129"/>
      <c r="HZ97" s="129"/>
      <c r="IA97" s="129"/>
      <c r="IB97" s="129"/>
      <c r="IC97" s="129"/>
      <c r="ID97" s="129"/>
      <c r="IE97" s="129"/>
      <c r="IF97" s="129"/>
      <c r="IG97" s="129"/>
      <c r="IH97" s="129"/>
      <c r="II97" s="129"/>
      <c r="IJ97" s="129"/>
      <c r="IK97" s="129"/>
      <c r="IL97" s="129"/>
      <c r="IM97" s="129"/>
      <c r="IN97" s="129"/>
      <c r="IO97" s="129"/>
      <c r="IP97" s="129"/>
      <c r="IQ97" s="129"/>
      <c r="IR97" s="129"/>
      <c r="IS97" s="129"/>
      <c r="IT97" s="129"/>
      <c r="IU97" s="129"/>
      <c r="IV97" s="129"/>
    </row>
    <row r="98" s="12" customFormat="1" spans="1:256">
      <c r="A98" s="129"/>
      <c r="B98" s="130"/>
      <c r="C98" s="129"/>
      <c r="D98" s="129"/>
      <c r="E98" s="129"/>
      <c r="F98" s="129"/>
      <c r="G98" s="131"/>
      <c r="H98" s="131"/>
      <c r="I98" s="131"/>
      <c r="J98" s="129"/>
      <c r="K98" s="129"/>
      <c r="L98" s="129"/>
      <c r="M98" s="129"/>
      <c r="N98" s="129"/>
      <c r="O98" s="129"/>
      <c r="P98" s="129"/>
      <c r="Q98" s="129"/>
      <c r="R98" s="129"/>
      <c r="S98" s="129"/>
      <c r="T98" s="129"/>
      <c r="U98" s="129"/>
      <c r="V98" s="129"/>
      <c r="W98" s="129"/>
      <c r="X98" s="129"/>
      <c r="Y98" s="129"/>
      <c r="Z98" s="129"/>
      <c r="AA98" s="129"/>
      <c r="AB98" s="129"/>
      <c r="AC98" s="129"/>
      <c r="AD98" s="129"/>
      <c r="AE98" s="129"/>
      <c r="AF98" s="129"/>
      <c r="AG98" s="129"/>
      <c r="AH98" s="129"/>
      <c r="AI98" s="129"/>
      <c r="AJ98" s="129"/>
      <c r="AK98" s="129"/>
      <c r="AL98" s="129"/>
      <c r="AM98" s="129"/>
      <c r="AN98" s="129"/>
      <c r="AO98" s="129"/>
      <c r="AP98" s="129"/>
      <c r="AQ98" s="129"/>
      <c r="AR98" s="129"/>
      <c r="AS98" s="129"/>
      <c r="AT98" s="129"/>
      <c r="AU98" s="129"/>
      <c r="AV98" s="129"/>
      <c r="AW98" s="129"/>
      <c r="AX98" s="129"/>
      <c r="AY98" s="129"/>
      <c r="AZ98" s="129"/>
      <c r="BA98" s="129"/>
      <c r="BB98" s="129"/>
      <c r="BC98" s="129"/>
      <c r="BD98" s="129"/>
      <c r="BE98" s="129"/>
      <c r="BF98" s="129"/>
      <c r="BG98" s="129"/>
      <c r="BH98" s="129"/>
      <c r="BI98" s="129"/>
      <c r="BJ98" s="129"/>
      <c r="BK98" s="129"/>
      <c r="BL98" s="129"/>
      <c r="BM98" s="129"/>
      <c r="BN98" s="129"/>
      <c r="BO98" s="129"/>
      <c r="BP98" s="129"/>
      <c r="BQ98" s="129"/>
      <c r="BR98" s="129"/>
      <c r="BS98" s="129"/>
      <c r="BT98" s="129"/>
      <c r="BU98" s="129"/>
      <c r="BV98" s="129"/>
      <c r="BW98" s="129"/>
      <c r="BX98" s="129"/>
      <c r="BY98" s="129"/>
      <c r="BZ98" s="129"/>
      <c r="CA98" s="129"/>
      <c r="CB98" s="129"/>
      <c r="CC98" s="129"/>
      <c r="CD98" s="129"/>
      <c r="CE98" s="129"/>
      <c r="CF98" s="129"/>
      <c r="CG98" s="129"/>
      <c r="CH98" s="129"/>
      <c r="CI98" s="129"/>
      <c r="CJ98" s="129"/>
      <c r="CK98" s="129"/>
      <c r="CL98" s="129"/>
      <c r="CM98" s="129"/>
      <c r="CN98" s="129"/>
      <c r="CO98" s="129"/>
      <c r="CP98" s="129"/>
      <c r="CQ98" s="129"/>
      <c r="CR98" s="129"/>
      <c r="CS98" s="129"/>
      <c r="CT98" s="129"/>
      <c r="CU98" s="129"/>
      <c r="CV98" s="129"/>
      <c r="CW98" s="129"/>
      <c r="CX98" s="129"/>
      <c r="CY98" s="129"/>
      <c r="CZ98" s="129"/>
      <c r="DA98" s="129"/>
      <c r="DB98" s="129"/>
      <c r="DC98" s="129"/>
      <c r="DD98" s="129"/>
      <c r="DE98" s="129"/>
      <c r="DF98" s="129"/>
      <c r="DG98" s="129"/>
      <c r="DH98" s="129"/>
      <c r="DI98" s="129"/>
      <c r="DJ98" s="129"/>
      <c r="DK98" s="129"/>
      <c r="DL98" s="129"/>
      <c r="DM98" s="129"/>
      <c r="DN98" s="129"/>
      <c r="DO98" s="129"/>
      <c r="DP98" s="129"/>
      <c r="DQ98" s="129"/>
      <c r="DR98" s="129"/>
      <c r="DS98" s="129"/>
      <c r="DT98" s="129"/>
      <c r="DU98" s="129"/>
      <c r="DV98" s="129"/>
      <c r="DW98" s="129"/>
      <c r="DX98" s="129"/>
      <c r="DY98" s="129"/>
      <c r="DZ98" s="129"/>
      <c r="EA98" s="129"/>
      <c r="EB98" s="129"/>
      <c r="EC98" s="129"/>
      <c r="ED98" s="129"/>
      <c r="EE98" s="129"/>
      <c r="EF98" s="129"/>
      <c r="EG98" s="129"/>
      <c r="EH98" s="129"/>
      <c r="EI98" s="129"/>
      <c r="EJ98" s="129"/>
      <c r="EK98" s="129"/>
      <c r="EL98" s="129"/>
      <c r="EM98" s="129"/>
      <c r="EN98" s="129"/>
      <c r="EO98" s="129"/>
      <c r="EP98" s="129"/>
      <c r="EQ98" s="129"/>
      <c r="ER98" s="129"/>
      <c r="ES98" s="129"/>
      <c r="ET98" s="129"/>
      <c r="EU98" s="129"/>
      <c r="EV98" s="129"/>
      <c r="EW98" s="129"/>
      <c r="EX98" s="129"/>
      <c r="EY98" s="129"/>
      <c r="EZ98" s="129"/>
      <c r="FA98" s="129"/>
      <c r="FB98" s="129"/>
      <c r="FC98" s="129"/>
      <c r="FD98" s="129"/>
      <c r="FE98" s="129"/>
      <c r="FF98" s="129"/>
      <c r="FG98" s="129"/>
      <c r="FH98" s="129"/>
      <c r="FI98" s="129"/>
      <c r="FJ98" s="129"/>
      <c r="FK98" s="129"/>
      <c r="FL98" s="129"/>
      <c r="FM98" s="129"/>
      <c r="FN98" s="129"/>
      <c r="FO98" s="129"/>
      <c r="FP98" s="129"/>
      <c r="FQ98" s="129"/>
      <c r="FR98" s="129"/>
      <c r="FS98" s="129"/>
      <c r="FT98" s="129"/>
      <c r="FU98" s="129"/>
      <c r="FV98" s="129"/>
      <c r="FW98" s="129"/>
      <c r="FX98" s="129"/>
      <c r="FY98" s="129"/>
      <c r="FZ98" s="129"/>
      <c r="GA98" s="129"/>
      <c r="GB98" s="129"/>
      <c r="GC98" s="129"/>
      <c r="GD98" s="129"/>
      <c r="GE98" s="129"/>
      <c r="GF98" s="129"/>
      <c r="GG98" s="129"/>
      <c r="GH98" s="129"/>
      <c r="GI98" s="129"/>
      <c r="GJ98" s="129"/>
      <c r="GK98" s="129"/>
      <c r="GL98" s="129"/>
      <c r="GM98" s="129"/>
      <c r="GN98" s="129"/>
      <c r="GO98" s="129"/>
      <c r="GP98" s="129"/>
      <c r="GQ98" s="129"/>
      <c r="GR98" s="129"/>
      <c r="GS98" s="129"/>
      <c r="GT98" s="129"/>
      <c r="GU98" s="129"/>
      <c r="GV98" s="129"/>
      <c r="GW98" s="129"/>
      <c r="GX98" s="129"/>
      <c r="GY98" s="129"/>
      <c r="GZ98" s="129"/>
      <c r="HA98" s="129"/>
      <c r="HB98" s="129"/>
      <c r="HC98" s="129"/>
      <c r="HD98" s="129"/>
      <c r="HE98" s="129"/>
      <c r="HF98" s="129"/>
      <c r="HG98" s="129"/>
      <c r="HH98" s="129"/>
      <c r="HI98" s="129"/>
      <c r="HJ98" s="129"/>
      <c r="HK98" s="129"/>
      <c r="HL98" s="129"/>
      <c r="HM98" s="129"/>
      <c r="HN98" s="129"/>
      <c r="HO98" s="129"/>
      <c r="HP98" s="129"/>
      <c r="HQ98" s="129"/>
      <c r="HR98" s="129"/>
      <c r="HS98" s="129"/>
      <c r="HT98" s="129"/>
      <c r="HU98" s="129"/>
      <c r="HV98" s="129"/>
      <c r="HW98" s="129"/>
      <c r="HX98" s="129"/>
      <c r="HY98" s="129"/>
      <c r="HZ98" s="129"/>
      <c r="IA98" s="129"/>
      <c r="IB98" s="129"/>
      <c r="IC98" s="129"/>
      <c r="ID98" s="129"/>
      <c r="IE98" s="129"/>
      <c r="IF98" s="129"/>
      <c r="IG98" s="129"/>
      <c r="IH98" s="129"/>
      <c r="II98" s="129"/>
      <c r="IJ98" s="129"/>
      <c r="IK98" s="129"/>
      <c r="IL98" s="129"/>
      <c r="IM98" s="129"/>
      <c r="IN98" s="129"/>
      <c r="IO98" s="129"/>
      <c r="IP98" s="129"/>
      <c r="IQ98" s="129"/>
      <c r="IR98" s="129"/>
      <c r="IS98" s="129"/>
      <c r="IT98" s="129"/>
      <c r="IU98" s="129"/>
      <c r="IV98" s="129"/>
    </row>
    <row r="99" s="12" customFormat="1" spans="1:256">
      <c r="A99" s="129"/>
      <c r="B99" s="130"/>
      <c r="C99" s="129"/>
      <c r="D99" s="129"/>
      <c r="E99" s="129"/>
      <c r="F99" s="129"/>
      <c r="G99" s="131"/>
      <c r="H99" s="131"/>
      <c r="I99" s="131"/>
      <c r="J99" s="129"/>
      <c r="K99" s="129"/>
      <c r="L99" s="129"/>
      <c r="M99" s="129"/>
      <c r="N99" s="129"/>
      <c r="O99" s="129"/>
      <c r="P99" s="129"/>
      <c r="Q99" s="129"/>
      <c r="R99" s="129"/>
      <c r="S99" s="129"/>
      <c r="T99" s="129"/>
      <c r="U99" s="129"/>
      <c r="V99" s="129"/>
      <c r="W99" s="129"/>
      <c r="X99" s="129"/>
      <c r="Y99" s="129"/>
      <c r="Z99" s="129"/>
      <c r="AA99" s="129"/>
      <c r="AB99" s="129"/>
      <c r="AC99" s="129"/>
      <c r="AD99" s="129"/>
      <c r="AE99" s="129"/>
      <c r="AF99" s="129"/>
      <c r="AG99" s="129"/>
      <c r="AH99" s="129"/>
      <c r="AI99" s="129"/>
      <c r="AJ99" s="129"/>
      <c r="AK99" s="129"/>
      <c r="AL99" s="129"/>
      <c r="AM99" s="129"/>
      <c r="AN99" s="129"/>
      <c r="AO99" s="129"/>
      <c r="AP99" s="129"/>
      <c r="AQ99" s="129"/>
      <c r="AR99" s="129"/>
      <c r="AS99" s="129"/>
      <c r="AT99" s="129"/>
      <c r="AU99" s="129"/>
      <c r="AV99" s="129"/>
      <c r="AW99" s="129"/>
      <c r="AX99" s="129"/>
      <c r="AY99" s="129"/>
      <c r="AZ99" s="129"/>
      <c r="BA99" s="129"/>
      <c r="BB99" s="129"/>
      <c r="BC99" s="129"/>
      <c r="BD99" s="129"/>
      <c r="BE99" s="129"/>
      <c r="BF99" s="129"/>
      <c r="BG99" s="129"/>
      <c r="BH99" s="129"/>
      <c r="BI99" s="129"/>
      <c r="BJ99" s="129"/>
      <c r="BK99" s="129"/>
      <c r="BL99" s="129"/>
      <c r="BM99" s="129"/>
      <c r="BN99" s="129"/>
      <c r="BO99" s="129"/>
      <c r="BP99" s="129"/>
      <c r="BQ99" s="129"/>
      <c r="BR99" s="129"/>
      <c r="BS99" s="129"/>
      <c r="BT99" s="129"/>
      <c r="BU99" s="129"/>
      <c r="BV99" s="129"/>
      <c r="BW99" s="129"/>
      <c r="BX99" s="129"/>
      <c r="BY99" s="129"/>
      <c r="BZ99" s="129"/>
      <c r="CA99" s="129"/>
      <c r="CB99" s="129"/>
      <c r="CC99" s="129"/>
      <c r="CD99" s="129"/>
      <c r="CE99" s="129"/>
      <c r="CF99" s="129"/>
      <c r="CG99" s="129"/>
      <c r="CH99" s="129"/>
      <c r="CI99" s="129"/>
      <c r="CJ99" s="129"/>
      <c r="CK99" s="129"/>
      <c r="CL99" s="129"/>
      <c r="CM99" s="129"/>
      <c r="CN99" s="129"/>
      <c r="CO99" s="129"/>
      <c r="CP99" s="129"/>
      <c r="CQ99" s="129"/>
      <c r="CR99" s="129"/>
      <c r="CS99" s="129"/>
      <c r="CT99" s="129"/>
      <c r="CU99" s="129"/>
      <c r="CV99" s="129"/>
      <c r="CW99" s="129"/>
      <c r="CX99" s="129"/>
      <c r="CY99" s="129"/>
      <c r="CZ99" s="129"/>
      <c r="DA99" s="129"/>
      <c r="DB99" s="129"/>
      <c r="DC99" s="129"/>
      <c r="DD99" s="129"/>
      <c r="DE99" s="129"/>
      <c r="DF99" s="129"/>
      <c r="DG99" s="129"/>
      <c r="DH99" s="129"/>
      <c r="DI99" s="129"/>
      <c r="DJ99" s="129"/>
      <c r="DK99" s="129"/>
      <c r="DL99" s="129"/>
      <c r="DM99" s="129"/>
      <c r="DN99" s="129"/>
      <c r="DO99" s="129"/>
      <c r="DP99" s="129"/>
      <c r="DQ99" s="129"/>
      <c r="DR99" s="129"/>
      <c r="DS99" s="129"/>
      <c r="DT99" s="129"/>
      <c r="DU99" s="129"/>
      <c r="DV99" s="129"/>
      <c r="DW99" s="129"/>
      <c r="DX99" s="129"/>
      <c r="DY99" s="129"/>
      <c r="DZ99" s="129"/>
      <c r="EA99" s="129"/>
      <c r="EB99" s="129"/>
      <c r="EC99" s="129"/>
      <c r="ED99" s="129"/>
      <c r="EE99" s="129"/>
      <c r="EF99" s="129"/>
      <c r="EG99" s="129"/>
      <c r="EH99" s="129"/>
      <c r="EI99" s="129"/>
      <c r="EJ99" s="129"/>
      <c r="EK99" s="129"/>
      <c r="EL99" s="129"/>
      <c r="EM99" s="129"/>
      <c r="EN99" s="129"/>
      <c r="EO99" s="129"/>
      <c r="EP99" s="129"/>
      <c r="EQ99" s="129"/>
      <c r="ER99" s="129"/>
      <c r="ES99" s="129"/>
      <c r="ET99" s="129"/>
      <c r="EU99" s="129"/>
      <c r="EV99" s="129"/>
      <c r="EW99" s="129"/>
      <c r="EX99" s="129"/>
      <c r="EY99" s="129"/>
      <c r="EZ99" s="129"/>
      <c r="FA99" s="129"/>
      <c r="FB99" s="129"/>
      <c r="FC99" s="129"/>
      <c r="FD99" s="129"/>
      <c r="FE99" s="129"/>
      <c r="FF99" s="129"/>
      <c r="FG99" s="129"/>
      <c r="FH99" s="129"/>
      <c r="FI99" s="129"/>
      <c r="FJ99" s="129"/>
      <c r="FK99" s="129"/>
      <c r="FL99" s="129"/>
      <c r="FM99" s="129"/>
      <c r="FN99" s="129"/>
      <c r="FO99" s="129"/>
      <c r="FP99" s="129"/>
      <c r="FQ99" s="129"/>
      <c r="FR99" s="129"/>
      <c r="FS99" s="129"/>
      <c r="FT99" s="129"/>
      <c r="FU99" s="129"/>
      <c r="FV99" s="129"/>
      <c r="FW99" s="129"/>
      <c r="FX99" s="129"/>
      <c r="FY99" s="129"/>
      <c r="FZ99" s="129"/>
      <c r="GA99" s="129"/>
      <c r="GB99" s="129"/>
      <c r="GC99" s="129"/>
      <c r="GD99" s="129"/>
      <c r="GE99" s="129"/>
      <c r="GF99" s="129"/>
      <c r="GG99" s="129"/>
      <c r="GH99" s="129"/>
      <c r="GI99" s="129"/>
      <c r="GJ99" s="129"/>
      <c r="GK99" s="129"/>
      <c r="GL99" s="129"/>
      <c r="GM99" s="129"/>
      <c r="GN99" s="129"/>
      <c r="GO99" s="129"/>
      <c r="GP99" s="129"/>
      <c r="GQ99" s="129"/>
      <c r="GR99" s="129"/>
      <c r="GS99" s="129"/>
      <c r="GT99" s="129"/>
      <c r="GU99" s="129"/>
      <c r="GV99" s="129"/>
      <c r="GW99" s="129"/>
      <c r="GX99" s="129"/>
      <c r="GY99" s="129"/>
      <c r="GZ99" s="129"/>
      <c r="HA99" s="129"/>
      <c r="HB99" s="129"/>
      <c r="HC99" s="129"/>
      <c r="HD99" s="129"/>
      <c r="HE99" s="129"/>
      <c r="HF99" s="129"/>
      <c r="HG99" s="129"/>
      <c r="HH99" s="129"/>
      <c r="HI99" s="129"/>
      <c r="HJ99" s="129"/>
      <c r="HK99" s="129"/>
      <c r="HL99" s="129"/>
      <c r="HM99" s="129"/>
      <c r="HN99" s="129"/>
      <c r="HO99" s="129"/>
      <c r="HP99" s="129"/>
      <c r="HQ99" s="129"/>
      <c r="HR99" s="129"/>
      <c r="HS99" s="129"/>
      <c r="HT99" s="129"/>
      <c r="HU99" s="129"/>
      <c r="HV99" s="129"/>
      <c r="HW99" s="129"/>
      <c r="HX99" s="129"/>
      <c r="HY99" s="129"/>
      <c r="HZ99" s="129"/>
      <c r="IA99" s="129"/>
      <c r="IB99" s="129"/>
      <c r="IC99" s="129"/>
      <c r="ID99" s="129"/>
      <c r="IE99" s="129"/>
      <c r="IF99" s="129"/>
      <c r="IG99" s="129"/>
      <c r="IH99" s="129"/>
      <c r="II99" s="129"/>
      <c r="IJ99" s="129"/>
      <c r="IK99" s="129"/>
      <c r="IL99" s="129"/>
      <c r="IM99" s="129"/>
      <c r="IN99" s="129"/>
      <c r="IO99" s="129"/>
      <c r="IP99" s="129"/>
      <c r="IQ99" s="129"/>
      <c r="IR99" s="129"/>
      <c r="IS99" s="129"/>
      <c r="IT99" s="129"/>
      <c r="IU99" s="129"/>
      <c r="IV99" s="129"/>
    </row>
    <row r="100" s="12" customFormat="1" spans="1:256">
      <c r="A100" s="129"/>
      <c r="B100" s="130"/>
      <c r="C100" s="129"/>
      <c r="D100" s="129"/>
      <c r="E100" s="129"/>
      <c r="F100" s="129"/>
      <c r="G100" s="131"/>
      <c r="H100" s="131"/>
      <c r="I100" s="131"/>
      <c r="J100" s="129"/>
      <c r="K100" s="129"/>
      <c r="L100" s="129"/>
      <c r="M100" s="129"/>
      <c r="N100" s="129"/>
      <c r="O100" s="129"/>
      <c r="P100" s="129"/>
      <c r="Q100" s="129"/>
      <c r="R100" s="129"/>
      <c r="S100" s="129"/>
      <c r="T100" s="129"/>
      <c r="U100" s="129"/>
      <c r="V100" s="129"/>
      <c r="W100" s="129"/>
      <c r="X100" s="129"/>
      <c r="Y100" s="129"/>
      <c r="Z100" s="129"/>
      <c r="AA100" s="129"/>
      <c r="AB100" s="129"/>
      <c r="AC100" s="129"/>
      <c r="AD100" s="129"/>
      <c r="AE100" s="129"/>
      <c r="AF100" s="129"/>
      <c r="AG100" s="129"/>
      <c r="AH100" s="129"/>
      <c r="AI100" s="129"/>
      <c r="AJ100" s="129"/>
      <c r="AK100" s="129"/>
      <c r="AL100" s="129"/>
      <c r="AM100" s="129"/>
      <c r="AN100" s="129"/>
      <c r="AO100" s="129"/>
      <c r="AP100" s="129"/>
      <c r="AQ100" s="129"/>
      <c r="AR100" s="129"/>
      <c r="AS100" s="129"/>
      <c r="AT100" s="129"/>
      <c r="AU100" s="129"/>
      <c r="AV100" s="129"/>
      <c r="AW100" s="129"/>
      <c r="AX100" s="129"/>
      <c r="AY100" s="129"/>
      <c r="AZ100" s="129"/>
      <c r="BA100" s="129"/>
      <c r="BB100" s="129"/>
      <c r="BC100" s="129"/>
      <c r="BD100" s="129"/>
      <c r="BE100" s="129"/>
      <c r="BF100" s="129"/>
      <c r="BG100" s="129"/>
      <c r="BH100" s="129"/>
      <c r="BI100" s="129"/>
      <c r="BJ100" s="129"/>
      <c r="BK100" s="129"/>
      <c r="BL100" s="129"/>
      <c r="BM100" s="129"/>
      <c r="BN100" s="129"/>
      <c r="BO100" s="129"/>
      <c r="BP100" s="129"/>
      <c r="BQ100" s="129"/>
      <c r="BR100" s="129"/>
      <c r="BS100" s="129"/>
      <c r="BT100" s="129"/>
      <c r="BU100" s="129"/>
      <c r="BV100" s="129"/>
      <c r="BW100" s="129"/>
      <c r="BX100" s="129"/>
      <c r="BY100" s="129"/>
      <c r="BZ100" s="129"/>
      <c r="CA100" s="129"/>
      <c r="CB100" s="129"/>
      <c r="CC100" s="129"/>
      <c r="CD100" s="129"/>
      <c r="CE100" s="129"/>
      <c r="CF100" s="129"/>
      <c r="CG100" s="129"/>
      <c r="CH100" s="129"/>
      <c r="CI100" s="129"/>
      <c r="CJ100" s="129"/>
      <c r="CK100" s="129"/>
      <c r="CL100" s="129"/>
      <c r="CM100" s="129"/>
      <c r="CN100" s="129"/>
      <c r="CO100" s="129"/>
      <c r="CP100" s="129"/>
      <c r="CQ100" s="129"/>
      <c r="CR100" s="129"/>
      <c r="CS100" s="129"/>
      <c r="CT100" s="129"/>
      <c r="CU100" s="129"/>
      <c r="CV100" s="129"/>
      <c r="CW100" s="129"/>
      <c r="CX100" s="129"/>
      <c r="CY100" s="129"/>
      <c r="CZ100" s="129"/>
      <c r="DA100" s="129"/>
      <c r="DB100" s="129"/>
      <c r="DC100" s="129"/>
      <c r="DD100" s="129"/>
      <c r="DE100" s="129"/>
      <c r="DF100" s="129"/>
      <c r="DG100" s="129"/>
      <c r="DH100" s="129"/>
      <c r="DI100" s="129"/>
      <c r="DJ100" s="129"/>
      <c r="DK100" s="129"/>
      <c r="DL100" s="129"/>
      <c r="DM100" s="129"/>
      <c r="DN100" s="129"/>
      <c r="DO100" s="129"/>
      <c r="DP100" s="129"/>
      <c r="DQ100" s="129"/>
      <c r="DR100" s="129"/>
      <c r="DS100" s="129"/>
      <c r="DT100" s="129"/>
      <c r="DU100" s="129"/>
      <c r="DV100" s="129"/>
      <c r="DW100" s="129"/>
      <c r="DX100" s="129"/>
      <c r="DY100" s="129"/>
      <c r="DZ100" s="129"/>
      <c r="EA100" s="129"/>
      <c r="EB100" s="129"/>
      <c r="EC100" s="129"/>
      <c r="ED100" s="129"/>
      <c r="EE100" s="129"/>
      <c r="EF100" s="129"/>
      <c r="EG100" s="129"/>
      <c r="EH100" s="129"/>
      <c r="EI100" s="129"/>
      <c r="EJ100" s="129"/>
      <c r="EK100" s="129"/>
      <c r="EL100" s="129"/>
      <c r="EM100" s="129"/>
      <c r="EN100" s="129"/>
      <c r="EO100" s="129"/>
      <c r="EP100" s="129"/>
      <c r="EQ100" s="129"/>
      <c r="ER100" s="129"/>
      <c r="ES100" s="129"/>
      <c r="ET100" s="129"/>
      <c r="EU100" s="129"/>
      <c r="EV100" s="129"/>
      <c r="EW100" s="129"/>
      <c r="EX100" s="129"/>
      <c r="EY100" s="129"/>
      <c r="EZ100" s="129"/>
      <c r="FA100" s="129"/>
      <c r="FB100" s="129"/>
      <c r="FC100" s="129"/>
      <c r="FD100" s="129"/>
      <c r="FE100" s="129"/>
      <c r="FF100" s="129"/>
      <c r="FG100" s="129"/>
      <c r="FH100" s="129"/>
      <c r="FI100" s="129"/>
      <c r="FJ100" s="129"/>
      <c r="FK100" s="129"/>
      <c r="FL100" s="129"/>
      <c r="FM100" s="129"/>
      <c r="FN100" s="129"/>
      <c r="FO100" s="129"/>
      <c r="FP100" s="129"/>
      <c r="FQ100" s="129"/>
      <c r="FR100" s="129"/>
      <c r="FS100" s="129"/>
      <c r="FT100" s="129"/>
      <c r="FU100" s="129"/>
      <c r="FV100" s="129"/>
      <c r="FW100" s="129"/>
      <c r="FX100" s="129"/>
      <c r="FY100" s="129"/>
      <c r="FZ100" s="129"/>
      <c r="GA100" s="129"/>
      <c r="GB100" s="129"/>
      <c r="GC100" s="129"/>
      <c r="GD100" s="129"/>
      <c r="GE100" s="129"/>
      <c r="GF100" s="129"/>
      <c r="GG100" s="129"/>
      <c r="GH100" s="129"/>
      <c r="GI100" s="129"/>
      <c r="GJ100" s="129"/>
      <c r="GK100" s="129"/>
      <c r="GL100" s="129"/>
      <c r="GM100" s="129"/>
      <c r="GN100" s="129"/>
      <c r="GO100" s="129"/>
      <c r="GP100" s="129"/>
      <c r="GQ100" s="129"/>
      <c r="GR100" s="129"/>
      <c r="GS100" s="129"/>
      <c r="GT100" s="129"/>
      <c r="GU100" s="129"/>
      <c r="GV100" s="129"/>
      <c r="GW100" s="129"/>
      <c r="GX100" s="129"/>
      <c r="GY100" s="129"/>
      <c r="GZ100" s="129"/>
      <c r="HA100" s="129"/>
      <c r="HB100" s="129"/>
      <c r="HC100" s="129"/>
      <c r="HD100" s="129"/>
      <c r="HE100" s="129"/>
      <c r="HF100" s="129"/>
      <c r="HG100" s="129"/>
      <c r="HH100" s="129"/>
      <c r="HI100" s="129"/>
      <c r="HJ100" s="129"/>
      <c r="HK100" s="129"/>
      <c r="HL100" s="129"/>
      <c r="HM100" s="129"/>
      <c r="HN100" s="129"/>
      <c r="HO100" s="129"/>
      <c r="HP100" s="129"/>
      <c r="HQ100" s="129"/>
      <c r="HR100" s="129"/>
      <c r="HS100" s="129"/>
      <c r="HT100" s="129"/>
      <c r="HU100" s="129"/>
      <c r="HV100" s="129"/>
      <c r="HW100" s="129"/>
      <c r="HX100" s="129"/>
      <c r="HY100" s="129"/>
      <c r="HZ100" s="129"/>
      <c r="IA100" s="129"/>
      <c r="IB100" s="129"/>
      <c r="IC100" s="129"/>
      <c r="ID100" s="129"/>
      <c r="IE100" s="129"/>
      <c r="IF100" s="129"/>
      <c r="IG100" s="129"/>
      <c r="IH100" s="129"/>
      <c r="II100" s="129"/>
      <c r="IJ100" s="129"/>
      <c r="IK100" s="129"/>
      <c r="IL100" s="129"/>
      <c r="IM100" s="129"/>
      <c r="IN100" s="129"/>
      <c r="IO100" s="129"/>
      <c r="IP100" s="129"/>
      <c r="IQ100" s="129"/>
      <c r="IR100" s="129"/>
      <c r="IS100" s="129"/>
      <c r="IT100" s="129"/>
      <c r="IU100" s="129"/>
      <c r="IV100" s="129"/>
    </row>
    <row r="101" s="12" customFormat="1" spans="1:256">
      <c r="A101" s="129"/>
      <c r="B101" s="130"/>
      <c r="C101" s="129"/>
      <c r="D101" s="129"/>
      <c r="E101" s="129"/>
      <c r="F101" s="129"/>
      <c r="G101" s="131"/>
      <c r="H101" s="131"/>
      <c r="I101" s="131"/>
      <c r="J101" s="129"/>
      <c r="K101" s="129"/>
      <c r="L101" s="129"/>
      <c r="M101" s="129"/>
      <c r="N101" s="129"/>
      <c r="O101" s="129"/>
      <c r="P101" s="129"/>
      <c r="Q101" s="129"/>
      <c r="R101" s="129"/>
      <c r="S101" s="129"/>
      <c r="T101" s="129"/>
      <c r="U101" s="129"/>
      <c r="V101" s="129"/>
      <c r="W101" s="129"/>
      <c r="X101" s="129"/>
      <c r="Y101" s="129"/>
      <c r="Z101" s="129"/>
      <c r="AA101" s="129"/>
      <c r="AB101" s="129"/>
      <c r="AC101" s="129"/>
      <c r="AD101" s="129"/>
      <c r="AE101" s="129"/>
      <c r="AF101" s="129"/>
      <c r="AG101" s="129"/>
      <c r="AH101" s="129"/>
      <c r="AI101" s="129"/>
      <c r="AJ101" s="129"/>
      <c r="AK101" s="129"/>
      <c r="AL101" s="129"/>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29"/>
      <c r="BQ101" s="129"/>
      <c r="BR101" s="129"/>
      <c r="BS101" s="129"/>
      <c r="BT101" s="129"/>
      <c r="BU101" s="129"/>
      <c r="BV101" s="129"/>
      <c r="BW101" s="129"/>
      <c r="BX101" s="129"/>
      <c r="BY101" s="129"/>
      <c r="BZ101" s="129"/>
      <c r="CA101" s="129"/>
      <c r="CB101" s="129"/>
      <c r="CC101" s="129"/>
      <c r="CD101" s="129"/>
      <c r="CE101" s="129"/>
      <c r="CF101" s="129"/>
      <c r="CG101" s="129"/>
      <c r="CH101" s="129"/>
      <c r="CI101" s="129"/>
      <c r="CJ101" s="129"/>
      <c r="CK101" s="129"/>
      <c r="CL101" s="129"/>
      <c r="CM101" s="129"/>
      <c r="CN101" s="129"/>
      <c r="CO101" s="129"/>
      <c r="CP101" s="129"/>
      <c r="CQ101" s="129"/>
      <c r="CR101" s="129"/>
      <c r="CS101" s="129"/>
      <c r="CT101" s="129"/>
      <c r="CU101" s="129"/>
      <c r="CV101" s="129"/>
      <c r="CW101" s="129"/>
      <c r="CX101" s="129"/>
      <c r="CY101" s="129"/>
      <c r="CZ101" s="129"/>
      <c r="DA101" s="129"/>
      <c r="DB101" s="129"/>
      <c r="DC101" s="129"/>
      <c r="DD101" s="129"/>
      <c r="DE101" s="129"/>
      <c r="DF101" s="129"/>
      <c r="DG101" s="129"/>
      <c r="DH101" s="129"/>
      <c r="DI101" s="129"/>
      <c r="DJ101" s="129"/>
      <c r="DK101" s="129"/>
      <c r="DL101" s="129"/>
      <c r="DM101" s="129"/>
      <c r="DN101" s="129"/>
      <c r="DO101" s="129"/>
      <c r="DP101" s="129"/>
      <c r="DQ101" s="129"/>
      <c r="DR101" s="129"/>
      <c r="DS101" s="129"/>
      <c r="DT101" s="129"/>
      <c r="DU101" s="129"/>
      <c r="DV101" s="129"/>
      <c r="DW101" s="129"/>
      <c r="DX101" s="129"/>
      <c r="DY101" s="129"/>
      <c r="DZ101" s="129"/>
      <c r="EA101" s="129"/>
      <c r="EB101" s="129"/>
      <c r="EC101" s="129"/>
      <c r="ED101" s="129"/>
      <c r="EE101" s="129"/>
      <c r="EF101" s="129"/>
      <c r="EG101" s="129"/>
      <c r="EH101" s="129"/>
      <c r="EI101" s="129"/>
      <c r="EJ101" s="129"/>
      <c r="EK101" s="129"/>
      <c r="EL101" s="129"/>
      <c r="EM101" s="129"/>
      <c r="EN101" s="129"/>
      <c r="EO101" s="129"/>
      <c r="EP101" s="129"/>
      <c r="EQ101" s="129"/>
      <c r="ER101" s="129"/>
      <c r="ES101" s="129"/>
      <c r="ET101" s="129"/>
      <c r="EU101" s="129"/>
      <c r="EV101" s="129"/>
      <c r="EW101" s="129"/>
      <c r="EX101" s="129"/>
      <c r="EY101" s="129"/>
      <c r="EZ101" s="129"/>
      <c r="FA101" s="129"/>
      <c r="FB101" s="129"/>
      <c r="FC101" s="129"/>
      <c r="FD101" s="129"/>
      <c r="FE101" s="129"/>
      <c r="FF101" s="129"/>
      <c r="FG101" s="129"/>
      <c r="FH101" s="129"/>
      <c r="FI101" s="129"/>
      <c r="FJ101" s="129"/>
      <c r="FK101" s="129"/>
      <c r="FL101" s="129"/>
      <c r="FM101" s="129"/>
      <c r="FN101" s="129"/>
      <c r="FO101" s="129"/>
      <c r="FP101" s="129"/>
      <c r="FQ101" s="129"/>
      <c r="FR101" s="129"/>
      <c r="FS101" s="129"/>
      <c r="FT101" s="129"/>
      <c r="FU101" s="129"/>
      <c r="FV101" s="129"/>
      <c r="FW101" s="129"/>
      <c r="FX101" s="129"/>
      <c r="FY101" s="129"/>
      <c r="FZ101" s="129"/>
      <c r="GA101" s="129"/>
      <c r="GB101" s="129"/>
      <c r="GC101" s="129"/>
      <c r="GD101" s="129"/>
      <c r="GE101" s="129"/>
      <c r="GF101" s="129"/>
      <c r="GG101" s="129"/>
      <c r="GH101" s="129"/>
      <c r="GI101" s="129"/>
      <c r="GJ101" s="129"/>
      <c r="GK101" s="129"/>
      <c r="GL101" s="129"/>
      <c r="GM101" s="129"/>
      <c r="GN101" s="129"/>
      <c r="GO101" s="129"/>
      <c r="GP101" s="129"/>
      <c r="GQ101" s="129"/>
      <c r="GR101" s="129"/>
      <c r="GS101" s="129"/>
      <c r="GT101" s="129"/>
      <c r="GU101" s="129"/>
      <c r="GV101" s="129"/>
      <c r="GW101" s="129"/>
      <c r="GX101" s="129"/>
      <c r="GY101" s="129"/>
      <c r="GZ101" s="129"/>
      <c r="HA101" s="129"/>
      <c r="HB101" s="129"/>
      <c r="HC101" s="129"/>
      <c r="HD101" s="129"/>
      <c r="HE101" s="129"/>
      <c r="HF101" s="129"/>
      <c r="HG101" s="129"/>
      <c r="HH101" s="129"/>
      <c r="HI101" s="129"/>
      <c r="HJ101" s="129"/>
      <c r="HK101" s="129"/>
      <c r="HL101" s="129"/>
      <c r="HM101" s="129"/>
      <c r="HN101" s="129"/>
      <c r="HO101" s="129"/>
      <c r="HP101" s="129"/>
      <c r="HQ101" s="129"/>
      <c r="HR101" s="129"/>
      <c r="HS101" s="129"/>
      <c r="HT101" s="129"/>
      <c r="HU101" s="129"/>
      <c r="HV101" s="129"/>
      <c r="HW101" s="129"/>
      <c r="HX101" s="129"/>
      <c r="HY101" s="129"/>
      <c r="HZ101" s="129"/>
      <c r="IA101" s="129"/>
      <c r="IB101" s="129"/>
      <c r="IC101" s="129"/>
      <c r="ID101" s="129"/>
      <c r="IE101" s="129"/>
      <c r="IF101" s="129"/>
      <c r="IG101" s="129"/>
      <c r="IH101" s="129"/>
      <c r="II101" s="129"/>
      <c r="IJ101" s="129"/>
      <c r="IK101" s="129"/>
      <c r="IL101" s="129"/>
      <c r="IM101" s="129"/>
      <c r="IN101" s="129"/>
      <c r="IO101" s="129"/>
      <c r="IP101" s="129"/>
      <c r="IQ101" s="129"/>
      <c r="IR101" s="129"/>
      <c r="IS101" s="129"/>
      <c r="IT101" s="129"/>
      <c r="IU101" s="129"/>
      <c r="IV101" s="129"/>
    </row>
    <row r="102" s="12" customFormat="1" spans="1:256">
      <c r="A102" s="129"/>
      <c r="B102" s="130"/>
      <c r="C102" s="129"/>
      <c r="D102" s="129"/>
      <c r="E102" s="129"/>
      <c r="F102" s="129"/>
      <c r="G102" s="131"/>
      <c r="H102" s="131"/>
      <c r="I102" s="131"/>
      <c r="J102" s="129"/>
      <c r="K102" s="129"/>
      <c r="L102" s="129"/>
      <c r="M102" s="129"/>
      <c r="N102" s="129"/>
      <c r="O102" s="129"/>
      <c r="P102" s="129"/>
      <c r="Q102" s="129"/>
      <c r="R102" s="129"/>
      <c r="S102" s="129"/>
      <c r="T102" s="129"/>
      <c r="U102" s="129"/>
      <c r="V102" s="129"/>
      <c r="W102" s="129"/>
      <c r="X102" s="129"/>
      <c r="Y102" s="129"/>
      <c r="Z102" s="129"/>
      <c r="AA102" s="129"/>
      <c r="AB102" s="129"/>
      <c r="AC102" s="129"/>
      <c r="AD102" s="129"/>
      <c r="AE102" s="129"/>
      <c r="AF102" s="129"/>
      <c r="AG102" s="129"/>
      <c r="AH102" s="129"/>
      <c r="AI102" s="129"/>
      <c r="AJ102" s="129"/>
      <c r="AK102" s="129"/>
      <c r="AL102" s="129"/>
      <c r="AM102" s="129"/>
      <c r="AN102" s="129"/>
      <c r="AO102" s="129"/>
      <c r="AP102" s="129"/>
      <c r="AQ102" s="129"/>
      <c r="AR102" s="129"/>
      <c r="AS102" s="129"/>
      <c r="AT102" s="129"/>
      <c r="AU102" s="129"/>
      <c r="AV102" s="129"/>
      <c r="AW102" s="129"/>
      <c r="AX102" s="129"/>
      <c r="AY102" s="129"/>
      <c r="AZ102" s="129"/>
      <c r="BA102" s="129"/>
      <c r="BB102" s="129"/>
      <c r="BC102" s="129"/>
      <c r="BD102" s="129"/>
      <c r="BE102" s="129"/>
      <c r="BF102" s="129"/>
      <c r="BG102" s="129"/>
      <c r="BH102" s="129"/>
      <c r="BI102" s="129"/>
      <c r="BJ102" s="129"/>
      <c r="BK102" s="129"/>
      <c r="BL102" s="129"/>
      <c r="BM102" s="129"/>
      <c r="BN102" s="129"/>
      <c r="BO102" s="129"/>
      <c r="BP102" s="129"/>
      <c r="BQ102" s="129"/>
      <c r="BR102" s="129"/>
      <c r="BS102" s="129"/>
      <c r="BT102" s="129"/>
      <c r="BU102" s="129"/>
      <c r="BV102" s="129"/>
      <c r="BW102" s="129"/>
      <c r="BX102" s="129"/>
      <c r="BY102" s="129"/>
      <c r="BZ102" s="129"/>
      <c r="CA102" s="129"/>
      <c r="CB102" s="129"/>
      <c r="CC102" s="129"/>
      <c r="CD102" s="129"/>
      <c r="CE102" s="129"/>
      <c r="CF102" s="129"/>
      <c r="CG102" s="129"/>
      <c r="CH102" s="129"/>
      <c r="CI102" s="129"/>
      <c r="CJ102" s="129"/>
      <c r="CK102" s="129"/>
      <c r="CL102" s="129"/>
      <c r="CM102" s="129"/>
      <c r="CN102" s="129"/>
      <c r="CO102" s="129"/>
      <c r="CP102" s="129"/>
      <c r="CQ102" s="129"/>
      <c r="CR102" s="129"/>
      <c r="CS102" s="129"/>
      <c r="CT102" s="129"/>
      <c r="CU102" s="129"/>
      <c r="CV102" s="129"/>
      <c r="CW102" s="129"/>
      <c r="CX102" s="129"/>
      <c r="CY102" s="129"/>
      <c r="CZ102" s="129"/>
      <c r="DA102" s="129"/>
      <c r="DB102" s="129"/>
      <c r="DC102" s="129"/>
      <c r="DD102" s="129"/>
      <c r="DE102" s="129"/>
      <c r="DF102" s="129"/>
      <c r="DG102" s="129"/>
      <c r="DH102" s="129"/>
      <c r="DI102" s="129"/>
      <c r="DJ102" s="129"/>
      <c r="DK102" s="129"/>
      <c r="DL102" s="129"/>
      <c r="DM102" s="129"/>
      <c r="DN102" s="129"/>
      <c r="DO102" s="129"/>
      <c r="DP102" s="129"/>
      <c r="DQ102" s="129"/>
      <c r="DR102" s="129"/>
      <c r="DS102" s="129"/>
      <c r="DT102" s="129"/>
      <c r="DU102" s="129"/>
      <c r="DV102" s="129"/>
      <c r="DW102" s="129"/>
      <c r="DX102" s="129"/>
      <c r="DY102" s="129"/>
      <c r="DZ102" s="129"/>
      <c r="EA102" s="129"/>
      <c r="EB102" s="129"/>
      <c r="EC102" s="129"/>
      <c r="ED102" s="129"/>
      <c r="EE102" s="129"/>
      <c r="EF102" s="129"/>
      <c r="EG102" s="129"/>
      <c r="EH102" s="129"/>
      <c r="EI102" s="129"/>
      <c r="EJ102" s="129"/>
      <c r="EK102" s="129"/>
      <c r="EL102" s="129"/>
      <c r="EM102" s="129"/>
      <c r="EN102" s="129"/>
      <c r="EO102" s="129"/>
      <c r="EP102" s="129"/>
      <c r="EQ102" s="129"/>
      <c r="ER102" s="129"/>
      <c r="ES102" s="129"/>
      <c r="ET102" s="129"/>
      <c r="EU102" s="129"/>
      <c r="EV102" s="129"/>
      <c r="EW102" s="129"/>
      <c r="EX102" s="129"/>
      <c r="EY102" s="129"/>
      <c r="EZ102" s="129"/>
      <c r="FA102" s="129"/>
      <c r="FB102" s="129"/>
      <c r="FC102" s="129"/>
      <c r="FD102" s="129"/>
      <c r="FE102" s="129"/>
      <c r="FF102" s="129"/>
      <c r="FG102" s="129"/>
      <c r="FH102" s="129"/>
      <c r="FI102" s="129"/>
      <c r="FJ102" s="129"/>
      <c r="FK102" s="129"/>
      <c r="FL102" s="129"/>
      <c r="FM102" s="129"/>
      <c r="FN102" s="129"/>
      <c r="FO102" s="129"/>
      <c r="FP102" s="129"/>
      <c r="FQ102" s="129"/>
      <c r="FR102" s="129"/>
      <c r="FS102" s="129"/>
      <c r="FT102" s="129"/>
      <c r="FU102" s="129"/>
      <c r="FV102" s="129"/>
      <c r="FW102" s="129"/>
      <c r="FX102" s="129"/>
      <c r="FY102" s="129"/>
      <c r="FZ102" s="129"/>
      <c r="GA102" s="129"/>
      <c r="GB102" s="129"/>
      <c r="GC102" s="129"/>
      <c r="GD102" s="129"/>
      <c r="GE102" s="129"/>
      <c r="GF102" s="129"/>
      <c r="GG102" s="129"/>
      <c r="GH102" s="129"/>
      <c r="GI102" s="129"/>
      <c r="GJ102" s="129"/>
      <c r="GK102" s="129"/>
      <c r="GL102" s="129"/>
      <c r="GM102" s="129"/>
      <c r="GN102" s="129"/>
      <c r="GO102" s="129"/>
      <c r="GP102" s="129"/>
      <c r="GQ102" s="129"/>
      <c r="GR102" s="129"/>
      <c r="GS102" s="129"/>
      <c r="GT102" s="129"/>
      <c r="GU102" s="129"/>
      <c r="GV102" s="129"/>
      <c r="GW102" s="129"/>
      <c r="GX102" s="129"/>
      <c r="GY102" s="129"/>
      <c r="GZ102" s="129"/>
      <c r="HA102" s="129"/>
      <c r="HB102" s="129"/>
      <c r="HC102" s="129"/>
      <c r="HD102" s="129"/>
      <c r="HE102" s="129"/>
      <c r="HF102" s="129"/>
      <c r="HG102" s="129"/>
      <c r="HH102" s="129"/>
      <c r="HI102" s="129"/>
      <c r="HJ102" s="129"/>
      <c r="HK102" s="129"/>
      <c r="HL102" s="129"/>
      <c r="HM102" s="129"/>
      <c r="HN102" s="129"/>
      <c r="HO102" s="129"/>
      <c r="HP102" s="129"/>
      <c r="HQ102" s="129"/>
      <c r="HR102" s="129"/>
      <c r="HS102" s="129"/>
      <c r="HT102" s="129"/>
      <c r="HU102" s="129"/>
      <c r="HV102" s="129"/>
      <c r="HW102" s="129"/>
      <c r="HX102" s="129"/>
      <c r="HY102" s="129"/>
      <c r="HZ102" s="129"/>
      <c r="IA102" s="129"/>
      <c r="IB102" s="129"/>
      <c r="IC102" s="129"/>
      <c r="ID102" s="129"/>
      <c r="IE102" s="129"/>
      <c r="IF102" s="129"/>
      <c r="IG102" s="129"/>
      <c r="IH102" s="129"/>
      <c r="II102" s="129"/>
      <c r="IJ102" s="129"/>
      <c r="IK102" s="129"/>
      <c r="IL102" s="129"/>
      <c r="IM102" s="129"/>
      <c r="IN102" s="129"/>
      <c r="IO102" s="129"/>
      <c r="IP102" s="129"/>
      <c r="IQ102" s="129"/>
      <c r="IR102" s="129"/>
      <c r="IS102" s="129"/>
      <c r="IT102" s="129"/>
      <c r="IU102" s="129"/>
      <c r="IV102" s="129"/>
    </row>
    <row r="103" s="12" customFormat="1" spans="1:256">
      <c r="A103" s="129"/>
      <c r="B103" s="130"/>
      <c r="C103" s="129"/>
      <c r="D103" s="129"/>
      <c r="E103" s="129"/>
      <c r="F103" s="129"/>
      <c r="G103" s="131"/>
      <c r="H103" s="131"/>
      <c r="I103" s="131"/>
      <c r="J103" s="129"/>
      <c r="K103" s="129"/>
      <c r="L103" s="129"/>
      <c r="M103" s="129"/>
      <c r="N103" s="129"/>
      <c r="O103" s="129"/>
      <c r="P103" s="129"/>
      <c r="Q103" s="129"/>
      <c r="R103" s="129"/>
      <c r="S103" s="129"/>
      <c r="T103" s="129"/>
      <c r="U103" s="129"/>
      <c r="V103" s="129"/>
      <c r="W103" s="129"/>
      <c r="X103" s="129"/>
      <c r="Y103" s="129"/>
      <c r="Z103" s="129"/>
      <c r="AA103" s="129"/>
      <c r="AB103" s="129"/>
      <c r="AC103" s="129"/>
      <c r="AD103" s="129"/>
      <c r="AE103" s="129"/>
      <c r="AF103" s="129"/>
      <c r="AG103" s="129"/>
      <c r="AH103" s="129"/>
      <c r="AI103" s="129"/>
      <c r="AJ103" s="129"/>
      <c r="AK103" s="129"/>
      <c r="AL103" s="129"/>
      <c r="AM103" s="129"/>
      <c r="AN103" s="129"/>
      <c r="AO103" s="129"/>
      <c r="AP103" s="129"/>
      <c r="AQ103" s="129"/>
      <c r="AR103" s="129"/>
      <c r="AS103" s="129"/>
      <c r="AT103" s="129"/>
      <c r="AU103" s="129"/>
      <c r="AV103" s="129"/>
      <c r="AW103" s="129"/>
      <c r="AX103" s="129"/>
      <c r="AY103" s="129"/>
      <c r="AZ103" s="129"/>
      <c r="BA103" s="129"/>
      <c r="BB103" s="129"/>
      <c r="BC103" s="129"/>
      <c r="BD103" s="129"/>
      <c r="BE103" s="129"/>
      <c r="BF103" s="129"/>
      <c r="BG103" s="129"/>
      <c r="BH103" s="129"/>
      <c r="BI103" s="129"/>
      <c r="BJ103" s="129"/>
      <c r="BK103" s="129"/>
      <c r="BL103" s="129"/>
      <c r="BM103" s="129"/>
      <c r="BN103" s="129"/>
      <c r="BO103" s="129"/>
      <c r="BP103" s="129"/>
      <c r="BQ103" s="129"/>
      <c r="BR103" s="129"/>
      <c r="BS103" s="129"/>
      <c r="BT103" s="129"/>
      <c r="BU103" s="129"/>
      <c r="BV103" s="129"/>
      <c r="BW103" s="129"/>
      <c r="BX103" s="129"/>
      <c r="BY103" s="129"/>
      <c r="BZ103" s="129"/>
      <c r="CA103" s="129"/>
      <c r="CB103" s="129"/>
      <c r="CC103" s="129"/>
      <c r="CD103" s="129"/>
      <c r="CE103" s="129"/>
      <c r="CF103" s="129"/>
      <c r="CG103" s="129"/>
      <c r="CH103" s="129"/>
      <c r="CI103" s="129"/>
      <c r="CJ103" s="129"/>
      <c r="CK103" s="129"/>
      <c r="CL103" s="129"/>
      <c r="CM103" s="129"/>
      <c r="CN103" s="129"/>
      <c r="CO103" s="129"/>
      <c r="CP103" s="129"/>
      <c r="CQ103" s="129"/>
      <c r="CR103" s="129"/>
      <c r="CS103" s="129"/>
      <c r="CT103" s="129"/>
      <c r="CU103" s="129"/>
      <c r="CV103" s="129"/>
      <c r="CW103" s="129"/>
      <c r="CX103" s="129"/>
      <c r="CY103" s="129"/>
      <c r="CZ103" s="129"/>
      <c r="DA103" s="129"/>
      <c r="DB103" s="129"/>
      <c r="DC103" s="129"/>
      <c r="DD103" s="129"/>
      <c r="DE103" s="129"/>
      <c r="DF103" s="129"/>
      <c r="DG103" s="129"/>
      <c r="DH103" s="129"/>
      <c r="DI103" s="129"/>
      <c r="DJ103" s="129"/>
      <c r="DK103" s="129"/>
      <c r="DL103" s="129"/>
      <c r="DM103" s="129"/>
      <c r="DN103" s="129"/>
      <c r="DO103" s="129"/>
      <c r="DP103" s="129"/>
      <c r="DQ103" s="129"/>
      <c r="DR103" s="129"/>
      <c r="DS103" s="129"/>
      <c r="DT103" s="129"/>
      <c r="DU103" s="129"/>
      <c r="DV103" s="129"/>
      <c r="DW103" s="129"/>
      <c r="DX103" s="129"/>
      <c r="DY103" s="129"/>
      <c r="DZ103" s="129"/>
      <c r="EA103" s="129"/>
      <c r="EB103" s="129"/>
      <c r="EC103" s="129"/>
      <c r="ED103" s="129"/>
      <c r="EE103" s="129"/>
      <c r="EF103" s="129"/>
      <c r="EG103" s="129"/>
      <c r="EH103" s="129"/>
      <c r="EI103" s="129"/>
      <c r="EJ103" s="129"/>
      <c r="EK103" s="129"/>
      <c r="EL103" s="129"/>
      <c r="EM103" s="129"/>
      <c r="EN103" s="129"/>
      <c r="EO103" s="129"/>
      <c r="EP103" s="129"/>
      <c r="EQ103" s="129"/>
      <c r="ER103" s="129"/>
      <c r="ES103" s="129"/>
      <c r="ET103" s="129"/>
      <c r="EU103" s="129"/>
      <c r="EV103" s="129"/>
      <c r="EW103" s="129"/>
      <c r="EX103" s="129"/>
      <c r="EY103" s="129"/>
      <c r="EZ103" s="129"/>
      <c r="FA103" s="129"/>
      <c r="FB103" s="129"/>
      <c r="FC103" s="129"/>
      <c r="FD103" s="129"/>
      <c r="FE103" s="129"/>
      <c r="FF103" s="129"/>
      <c r="FG103" s="129"/>
      <c r="FH103" s="129"/>
      <c r="FI103" s="129"/>
      <c r="FJ103" s="129"/>
      <c r="FK103" s="129"/>
      <c r="FL103" s="129"/>
      <c r="FM103" s="129"/>
      <c r="FN103" s="129"/>
      <c r="FO103" s="129"/>
      <c r="FP103" s="129"/>
      <c r="FQ103" s="129"/>
      <c r="FR103" s="129"/>
      <c r="FS103" s="129"/>
      <c r="FT103" s="129"/>
      <c r="FU103" s="129"/>
      <c r="FV103" s="129"/>
      <c r="FW103" s="129"/>
      <c r="FX103" s="129"/>
      <c r="FY103" s="129"/>
      <c r="FZ103" s="129"/>
      <c r="GA103" s="129"/>
      <c r="GB103" s="129"/>
      <c r="GC103" s="129"/>
      <c r="GD103" s="129"/>
      <c r="GE103" s="129"/>
      <c r="GF103" s="129"/>
      <c r="GG103" s="129"/>
      <c r="GH103" s="129"/>
      <c r="GI103" s="129"/>
      <c r="GJ103" s="129"/>
      <c r="GK103" s="129"/>
      <c r="GL103" s="129"/>
      <c r="GM103" s="129"/>
      <c r="GN103" s="129"/>
      <c r="GO103" s="129"/>
      <c r="GP103" s="129"/>
      <c r="GQ103" s="129"/>
      <c r="GR103" s="129"/>
      <c r="GS103" s="129"/>
      <c r="GT103" s="129"/>
      <c r="GU103" s="129"/>
      <c r="GV103" s="129"/>
      <c r="GW103" s="129"/>
      <c r="GX103" s="129"/>
      <c r="GY103" s="129"/>
      <c r="GZ103" s="129"/>
      <c r="HA103" s="129"/>
      <c r="HB103" s="129"/>
      <c r="HC103" s="129"/>
      <c r="HD103" s="129"/>
      <c r="HE103" s="129"/>
      <c r="HF103" s="129"/>
      <c r="HG103" s="129"/>
      <c r="HH103" s="129"/>
      <c r="HI103" s="129"/>
      <c r="HJ103" s="129"/>
      <c r="HK103" s="129"/>
      <c r="HL103" s="129"/>
      <c r="HM103" s="129"/>
      <c r="HN103" s="129"/>
      <c r="HO103" s="129"/>
      <c r="HP103" s="129"/>
      <c r="HQ103" s="129"/>
      <c r="HR103" s="129"/>
      <c r="HS103" s="129"/>
      <c r="HT103" s="129"/>
      <c r="HU103" s="129"/>
      <c r="HV103" s="129"/>
      <c r="HW103" s="129"/>
      <c r="HX103" s="129"/>
      <c r="HY103" s="129"/>
      <c r="HZ103" s="129"/>
      <c r="IA103" s="129"/>
      <c r="IB103" s="129"/>
      <c r="IC103" s="129"/>
      <c r="ID103" s="129"/>
      <c r="IE103" s="129"/>
      <c r="IF103" s="129"/>
      <c r="IG103" s="129"/>
      <c r="IH103" s="129"/>
      <c r="II103" s="129"/>
      <c r="IJ103" s="129"/>
      <c r="IK103" s="129"/>
      <c r="IL103" s="129"/>
      <c r="IM103" s="129"/>
      <c r="IN103" s="129"/>
      <c r="IO103" s="129"/>
      <c r="IP103" s="129"/>
      <c r="IQ103" s="129"/>
      <c r="IR103" s="129"/>
      <c r="IS103" s="129"/>
      <c r="IT103" s="129"/>
      <c r="IU103" s="129"/>
      <c r="IV103" s="129"/>
    </row>
    <row r="104" s="12" customFormat="1" spans="1:256">
      <c r="A104" s="129"/>
      <c r="B104" s="130"/>
      <c r="C104" s="129"/>
      <c r="D104" s="129"/>
      <c r="E104" s="129"/>
      <c r="F104" s="129"/>
      <c r="G104" s="131"/>
      <c r="H104" s="131"/>
      <c r="I104" s="131"/>
      <c r="J104" s="129"/>
      <c r="K104" s="129"/>
      <c r="L104" s="129"/>
      <c r="M104" s="129"/>
      <c r="N104" s="129"/>
      <c r="O104" s="129"/>
      <c r="P104" s="129"/>
      <c r="Q104" s="129"/>
      <c r="R104" s="129"/>
      <c r="S104" s="129"/>
      <c r="T104" s="129"/>
      <c r="U104" s="129"/>
      <c r="V104" s="129"/>
      <c r="W104" s="129"/>
      <c r="X104" s="129"/>
      <c r="Y104" s="129"/>
      <c r="Z104" s="129"/>
      <c r="AA104" s="129"/>
      <c r="AB104" s="129"/>
      <c r="AC104" s="129"/>
      <c r="AD104" s="129"/>
      <c r="AE104" s="129"/>
      <c r="AF104" s="129"/>
      <c r="AG104" s="129"/>
      <c r="AH104" s="129"/>
      <c r="AI104" s="129"/>
      <c r="AJ104" s="129"/>
      <c r="AK104" s="129"/>
      <c r="AL104" s="129"/>
      <c r="AM104" s="129"/>
      <c r="AN104" s="129"/>
      <c r="AO104" s="129"/>
      <c r="AP104" s="129"/>
      <c r="AQ104" s="129"/>
      <c r="AR104" s="129"/>
      <c r="AS104" s="129"/>
      <c r="AT104" s="129"/>
      <c r="AU104" s="129"/>
      <c r="AV104" s="129"/>
      <c r="AW104" s="129"/>
      <c r="AX104" s="129"/>
      <c r="AY104" s="129"/>
      <c r="AZ104" s="129"/>
      <c r="BA104" s="129"/>
      <c r="BB104" s="129"/>
      <c r="BC104" s="129"/>
      <c r="BD104" s="129"/>
      <c r="BE104" s="129"/>
      <c r="BF104" s="129"/>
      <c r="BG104" s="129"/>
      <c r="BH104" s="129"/>
      <c r="BI104" s="129"/>
      <c r="BJ104" s="129"/>
      <c r="BK104" s="129"/>
      <c r="BL104" s="129"/>
      <c r="BM104" s="129"/>
      <c r="BN104" s="129"/>
      <c r="BO104" s="129"/>
      <c r="BP104" s="129"/>
      <c r="BQ104" s="129"/>
      <c r="BR104" s="129"/>
      <c r="BS104" s="129"/>
      <c r="BT104" s="129"/>
      <c r="BU104" s="129"/>
      <c r="BV104" s="129"/>
      <c r="BW104" s="129"/>
      <c r="BX104" s="129"/>
      <c r="BY104" s="129"/>
      <c r="BZ104" s="129"/>
      <c r="CA104" s="129"/>
      <c r="CB104" s="129"/>
      <c r="CC104" s="129"/>
      <c r="CD104" s="129"/>
      <c r="CE104" s="129"/>
      <c r="CF104" s="129"/>
      <c r="CG104" s="129"/>
      <c r="CH104" s="129"/>
      <c r="CI104" s="129"/>
      <c r="CJ104" s="129"/>
      <c r="CK104" s="129"/>
      <c r="CL104" s="129"/>
      <c r="CM104" s="129"/>
      <c r="CN104" s="129"/>
      <c r="CO104" s="129"/>
      <c r="CP104" s="129"/>
      <c r="CQ104" s="129"/>
      <c r="CR104" s="129"/>
      <c r="CS104" s="129"/>
      <c r="CT104" s="129"/>
      <c r="CU104" s="129"/>
      <c r="CV104" s="129"/>
      <c r="CW104" s="129"/>
      <c r="CX104" s="129"/>
      <c r="CY104" s="129"/>
      <c r="CZ104" s="129"/>
      <c r="DA104" s="129"/>
      <c r="DB104" s="129"/>
      <c r="DC104" s="129"/>
      <c r="DD104" s="129"/>
      <c r="DE104" s="129"/>
      <c r="DF104" s="129"/>
      <c r="DG104" s="129"/>
      <c r="DH104" s="129"/>
      <c r="DI104" s="129"/>
      <c r="DJ104" s="129"/>
      <c r="DK104" s="129"/>
      <c r="DL104" s="129"/>
      <c r="DM104" s="129"/>
      <c r="DN104" s="129"/>
      <c r="DO104" s="129"/>
      <c r="DP104" s="129"/>
      <c r="DQ104" s="129"/>
      <c r="DR104" s="129"/>
      <c r="DS104" s="129"/>
      <c r="DT104" s="129"/>
      <c r="DU104" s="129"/>
      <c r="DV104" s="129"/>
      <c r="DW104" s="129"/>
      <c r="DX104" s="129"/>
      <c r="DY104" s="129"/>
      <c r="DZ104" s="129"/>
      <c r="EA104" s="129"/>
      <c r="EB104" s="129"/>
      <c r="EC104" s="129"/>
      <c r="ED104" s="129"/>
      <c r="EE104" s="129"/>
      <c r="EF104" s="129"/>
      <c r="EG104" s="129"/>
      <c r="EH104" s="129"/>
      <c r="EI104" s="129"/>
      <c r="EJ104" s="129"/>
      <c r="EK104" s="129"/>
      <c r="EL104" s="129"/>
      <c r="EM104" s="129"/>
      <c r="EN104" s="129"/>
      <c r="EO104" s="129"/>
      <c r="EP104" s="129"/>
      <c r="EQ104" s="129"/>
      <c r="ER104" s="129"/>
      <c r="ES104" s="129"/>
      <c r="ET104" s="129"/>
      <c r="EU104" s="129"/>
      <c r="EV104" s="129"/>
      <c r="EW104" s="129"/>
      <c r="EX104" s="129"/>
      <c r="EY104" s="129"/>
      <c r="EZ104" s="129"/>
      <c r="FA104" s="129"/>
      <c r="FB104" s="129"/>
      <c r="FC104" s="129"/>
      <c r="FD104" s="129"/>
      <c r="FE104" s="129"/>
      <c r="FF104" s="129"/>
      <c r="FG104" s="129"/>
      <c r="FH104" s="129"/>
      <c r="FI104" s="129"/>
      <c r="FJ104" s="129"/>
      <c r="FK104" s="129"/>
      <c r="FL104" s="129"/>
      <c r="FM104" s="129"/>
      <c r="FN104" s="129"/>
      <c r="FO104" s="129"/>
      <c r="FP104" s="129"/>
      <c r="FQ104" s="129"/>
      <c r="FR104" s="129"/>
      <c r="FS104" s="129"/>
      <c r="FT104" s="129"/>
      <c r="FU104" s="129"/>
      <c r="FV104" s="129"/>
      <c r="FW104" s="129"/>
      <c r="FX104" s="129"/>
      <c r="FY104" s="129"/>
      <c r="FZ104" s="129"/>
      <c r="GA104" s="129"/>
      <c r="GB104" s="129"/>
      <c r="GC104" s="129"/>
      <c r="GD104" s="129"/>
      <c r="GE104" s="129"/>
      <c r="GF104" s="129"/>
      <c r="GG104" s="129"/>
      <c r="GH104" s="129"/>
      <c r="GI104" s="129"/>
      <c r="GJ104" s="129"/>
      <c r="GK104" s="129"/>
      <c r="GL104" s="129"/>
      <c r="GM104" s="129"/>
      <c r="GN104" s="129"/>
      <c r="GO104" s="129"/>
      <c r="GP104" s="129"/>
      <c r="GQ104" s="129"/>
      <c r="GR104" s="129"/>
      <c r="GS104" s="129"/>
      <c r="GT104" s="129"/>
      <c r="GU104" s="129"/>
      <c r="GV104" s="129"/>
      <c r="GW104" s="129"/>
      <c r="GX104" s="129"/>
      <c r="GY104" s="129"/>
      <c r="GZ104" s="129"/>
      <c r="HA104" s="129"/>
      <c r="HB104" s="129"/>
      <c r="HC104" s="129"/>
      <c r="HD104" s="129"/>
      <c r="HE104" s="129"/>
      <c r="HF104" s="129"/>
      <c r="HG104" s="129"/>
      <c r="HH104" s="129"/>
      <c r="HI104" s="129"/>
      <c r="HJ104" s="129"/>
      <c r="HK104" s="129"/>
      <c r="HL104" s="129"/>
      <c r="HM104" s="129"/>
      <c r="HN104" s="129"/>
      <c r="HO104" s="129"/>
      <c r="HP104" s="129"/>
      <c r="HQ104" s="129"/>
      <c r="HR104" s="129"/>
      <c r="HS104" s="129"/>
      <c r="HT104" s="129"/>
      <c r="HU104" s="129"/>
      <c r="HV104" s="129"/>
      <c r="HW104" s="129"/>
      <c r="HX104" s="129"/>
      <c r="HY104" s="129"/>
      <c r="HZ104" s="129"/>
      <c r="IA104" s="129"/>
      <c r="IB104" s="129"/>
      <c r="IC104" s="129"/>
      <c r="ID104" s="129"/>
      <c r="IE104" s="129"/>
      <c r="IF104" s="129"/>
      <c r="IG104" s="129"/>
      <c r="IH104" s="129"/>
      <c r="II104" s="129"/>
      <c r="IJ104" s="129"/>
      <c r="IK104" s="129"/>
      <c r="IL104" s="129"/>
      <c r="IM104" s="129"/>
      <c r="IN104" s="129"/>
      <c r="IO104" s="129"/>
      <c r="IP104" s="129"/>
      <c r="IQ104" s="129"/>
      <c r="IR104" s="129"/>
      <c r="IS104" s="129"/>
      <c r="IT104" s="129"/>
      <c r="IU104" s="129"/>
      <c r="IV104" s="129"/>
    </row>
    <row r="105" s="12" customFormat="1" spans="1:256">
      <c r="A105" s="129"/>
      <c r="B105" s="130"/>
      <c r="C105" s="129"/>
      <c r="D105" s="129"/>
      <c r="E105" s="129"/>
      <c r="F105" s="129"/>
      <c r="G105" s="131"/>
      <c r="H105" s="131"/>
      <c r="I105" s="131"/>
      <c r="J105" s="129"/>
      <c r="K105" s="129"/>
      <c r="L105" s="129"/>
      <c r="M105" s="129"/>
      <c r="N105" s="129"/>
      <c r="O105" s="129"/>
      <c r="P105" s="129"/>
      <c r="Q105" s="129"/>
      <c r="R105" s="129"/>
      <c r="S105" s="129"/>
      <c r="T105" s="129"/>
      <c r="U105" s="129"/>
      <c r="V105" s="129"/>
      <c r="W105" s="129"/>
      <c r="X105" s="129"/>
      <c r="Y105" s="129"/>
      <c r="Z105" s="129"/>
      <c r="AA105" s="129"/>
      <c r="AB105" s="129"/>
      <c r="AC105" s="129"/>
      <c r="AD105" s="129"/>
      <c r="AE105" s="129"/>
      <c r="AF105" s="129"/>
      <c r="AG105" s="129"/>
      <c r="AH105" s="129"/>
      <c r="AI105" s="129"/>
      <c r="AJ105" s="129"/>
      <c r="AK105" s="129"/>
      <c r="AL105" s="129"/>
      <c r="AM105" s="129"/>
      <c r="AN105" s="129"/>
      <c r="AO105" s="129"/>
      <c r="AP105" s="129"/>
      <c r="AQ105" s="129"/>
      <c r="AR105" s="129"/>
      <c r="AS105" s="129"/>
      <c r="AT105" s="129"/>
      <c r="AU105" s="129"/>
      <c r="AV105" s="129"/>
      <c r="AW105" s="129"/>
      <c r="AX105" s="129"/>
      <c r="AY105" s="129"/>
      <c r="AZ105" s="129"/>
      <c r="BA105" s="129"/>
      <c r="BB105" s="129"/>
      <c r="BC105" s="129"/>
      <c r="BD105" s="129"/>
      <c r="BE105" s="129"/>
      <c r="BF105" s="129"/>
      <c r="BG105" s="129"/>
      <c r="BH105" s="129"/>
      <c r="BI105" s="129"/>
      <c r="BJ105" s="129"/>
      <c r="BK105" s="129"/>
      <c r="BL105" s="129"/>
      <c r="BM105" s="129"/>
      <c r="BN105" s="129"/>
      <c r="BO105" s="129"/>
      <c r="BP105" s="129"/>
      <c r="BQ105" s="129"/>
      <c r="BR105" s="129"/>
      <c r="BS105" s="129"/>
      <c r="BT105" s="129"/>
      <c r="BU105" s="129"/>
      <c r="BV105" s="129"/>
      <c r="BW105" s="129"/>
      <c r="BX105" s="129"/>
      <c r="BY105" s="129"/>
      <c r="BZ105" s="129"/>
      <c r="CA105" s="129"/>
      <c r="CB105" s="129"/>
      <c r="CC105" s="129"/>
      <c r="CD105" s="129"/>
      <c r="CE105" s="129"/>
      <c r="CF105" s="129"/>
      <c r="CG105" s="129"/>
      <c r="CH105" s="129"/>
      <c r="CI105" s="129"/>
      <c r="CJ105" s="129"/>
      <c r="CK105" s="129"/>
      <c r="CL105" s="129"/>
      <c r="CM105" s="129"/>
      <c r="CN105" s="129"/>
      <c r="CO105" s="129"/>
      <c r="CP105" s="129"/>
      <c r="CQ105" s="129"/>
      <c r="CR105" s="129"/>
      <c r="CS105" s="129"/>
      <c r="CT105" s="129"/>
      <c r="CU105" s="129"/>
      <c r="CV105" s="129"/>
      <c r="CW105" s="129"/>
      <c r="CX105" s="129"/>
      <c r="CY105" s="129"/>
      <c r="CZ105" s="129"/>
      <c r="DA105" s="129"/>
      <c r="DB105" s="129"/>
      <c r="DC105" s="129"/>
      <c r="DD105" s="129"/>
      <c r="DE105" s="129"/>
      <c r="DF105" s="129"/>
      <c r="DG105" s="129"/>
      <c r="DH105" s="129"/>
      <c r="DI105" s="129"/>
      <c r="DJ105" s="129"/>
      <c r="DK105" s="129"/>
      <c r="DL105" s="129"/>
      <c r="DM105" s="129"/>
      <c r="DN105" s="129"/>
      <c r="DO105" s="129"/>
      <c r="DP105" s="129"/>
      <c r="DQ105" s="129"/>
      <c r="DR105" s="129"/>
      <c r="DS105" s="129"/>
      <c r="DT105" s="129"/>
      <c r="DU105" s="129"/>
      <c r="DV105" s="129"/>
      <c r="DW105" s="129"/>
      <c r="DX105" s="129"/>
      <c r="DY105" s="129"/>
      <c r="DZ105" s="129"/>
      <c r="EA105" s="129"/>
      <c r="EB105" s="129"/>
      <c r="EC105" s="129"/>
      <c r="ED105" s="129"/>
      <c r="EE105" s="129"/>
      <c r="EF105" s="129"/>
      <c r="EG105" s="129"/>
      <c r="EH105" s="129"/>
      <c r="EI105" s="129"/>
      <c r="EJ105" s="129"/>
      <c r="EK105" s="129"/>
      <c r="EL105" s="129"/>
      <c r="EM105" s="129"/>
      <c r="EN105" s="129"/>
      <c r="EO105" s="129"/>
      <c r="EP105" s="129"/>
      <c r="EQ105" s="129"/>
      <c r="ER105" s="129"/>
      <c r="ES105" s="129"/>
      <c r="ET105" s="129"/>
      <c r="EU105" s="129"/>
      <c r="EV105" s="129"/>
      <c r="EW105" s="129"/>
      <c r="EX105" s="129"/>
      <c r="EY105" s="129"/>
      <c r="EZ105" s="129"/>
      <c r="FA105" s="129"/>
      <c r="FB105" s="129"/>
      <c r="FC105" s="129"/>
      <c r="FD105" s="129"/>
      <c r="FE105" s="129"/>
      <c r="FF105" s="129"/>
      <c r="FG105" s="129"/>
      <c r="FH105" s="129"/>
      <c r="FI105" s="129"/>
      <c r="FJ105" s="129"/>
      <c r="FK105" s="129"/>
      <c r="FL105" s="129"/>
      <c r="FM105" s="129"/>
      <c r="FN105" s="129"/>
      <c r="FO105" s="129"/>
      <c r="FP105" s="129"/>
      <c r="FQ105" s="129"/>
      <c r="FR105" s="129"/>
      <c r="FS105" s="129"/>
      <c r="FT105" s="129"/>
      <c r="FU105" s="129"/>
      <c r="FV105" s="129"/>
      <c r="FW105" s="129"/>
      <c r="FX105" s="129"/>
      <c r="FY105" s="129"/>
      <c r="FZ105" s="129"/>
      <c r="GA105" s="129"/>
      <c r="GB105" s="129"/>
      <c r="GC105" s="129"/>
      <c r="GD105" s="129"/>
      <c r="GE105" s="129"/>
      <c r="GF105" s="129"/>
      <c r="GG105" s="129"/>
      <c r="GH105" s="129"/>
      <c r="GI105" s="129"/>
      <c r="GJ105" s="129"/>
      <c r="GK105" s="129"/>
      <c r="GL105" s="129"/>
      <c r="GM105" s="129"/>
      <c r="GN105" s="129"/>
      <c r="GO105" s="129"/>
      <c r="GP105" s="129"/>
      <c r="GQ105" s="129"/>
      <c r="GR105" s="129"/>
      <c r="GS105" s="129"/>
      <c r="GT105" s="129"/>
      <c r="GU105" s="129"/>
      <c r="GV105" s="129"/>
      <c r="GW105" s="129"/>
      <c r="GX105" s="129"/>
      <c r="GY105" s="129"/>
      <c r="GZ105" s="129"/>
      <c r="HA105" s="129"/>
      <c r="HB105" s="129"/>
      <c r="HC105" s="129"/>
      <c r="HD105" s="129"/>
      <c r="HE105" s="129"/>
      <c r="HF105" s="129"/>
      <c r="HG105" s="129"/>
      <c r="HH105" s="129"/>
      <c r="HI105" s="129"/>
      <c r="HJ105" s="129"/>
      <c r="HK105" s="129"/>
      <c r="HL105" s="129"/>
      <c r="HM105" s="129"/>
      <c r="HN105" s="129"/>
      <c r="HO105" s="129"/>
      <c r="HP105" s="129"/>
      <c r="HQ105" s="129"/>
      <c r="HR105" s="129"/>
      <c r="HS105" s="129"/>
      <c r="HT105" s="129"/>
      <c r="HU105" s="129"/>
      <c r="HV105" s="129"/>
      <c r="HW105" s="129"/>
      <c r="HX105" s="129"/>
      <c r="HY105" s="129"/>
      <c r="HZ105" s="129"/>
      <c r="IA105" s="129"/>
      <c r="IB105" s="129"/>
      <c r="IC105" s="129"/>
      <c r="ID105" s="129"/>
      <c r="IE105" s="129"/>
      <c r="IF105" s="129"/>
      <c r="IG105" s="129"/>
      <c r="IH105" s="129"/>
      <c r="II105" s="129"/>
      <c r="IJ105" s="129"/>
      <c r="IK105" s="129"/>
      <c r="IL105" s="129"/>
      <c r="IM105" s="129"/>
      <c r="IN105" s="129"/>
      <c r="IO105" s="129"/>
      <c r="IP105" s="129"/>
      <c r="IQ105" s="129"/>
      <c r="IR105" s="129"/>
      <c r="IS105" s="129"/>
      <c r="IT105" s="129"/>
      <c r="IU105" s="129"/>
      <c r="IV105" s="129"/>
    </row>
    <row r="106" s="12" customFormat="1" spans="1:256">
      <c r="A106" s="129"/>
      <c r="B106" s="130"/>
      <c r="C106" s="129"/>
      <c r="D106" s="129"/>
      <c r="E106" s="129"/>
      <c r="F106" s="129"/>
      <c r="G106" s="131"/>
      <c r="H106" s="131"/>
      <c r="I106" s="131"/>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29"/>
      <c r="AH106" s="129"/>
      <c r="AI106" s="129"/>
      <c r="AJ106" s="129"/>
      <c r="AK106" s="129"/>
      <c r="AL106" s="129"/>
      <c r="AM106" s="129"/>
      <c r="AN106" s="129"/>
      <c r="AO106" s="129"/>
      <c r="AP106" s="129"/>
      <c r="AQ106" s="129"/>
      <c r="AR106" s="129"/>
      <c r="AS106" s="129"/>
      <c r="AT106" s="129"/>
      <c r="AU106" s="129"/>
      <c r="AV106" s="129"/>
      <c r="AW106" s="129"/>
      <c r="AX106" s="129"/>
      <c r="AY106" s="129"/>
      <c r="AZ106" s="129"/>
      <c r="BA106" s="129"/>
      <c r="BB106" s="129"/>
      <c r="BC106" s="129"/>
      <c r="BD106" s="129"/>
      <c r="BE106" s="129"/>
      <c r="BF106" s="129"/>
      <c r="BG106" s="129"/>
      <c r="BH106" s="129"/>
      <c r="BI106" s="129"/>
      <c r="BJ106" s="129"/>
      <c r="BK106" s="129"/>
      <c r="BL106" s="129"/>
      <c r="BM106" s="129"/>
      <c r="BN106" s="129"/>
      <c r="BO106" s="129"/>
      <c r="BP106" s="129"/>
      <c r="BQ106" s="129"/>
      <c r="BR106" s="129"/>
      <c r="BS106" s="129"/>
      <c r="BT106" s="129"/>
      <c r="BU106" s="129"/>
      <c r="BV106" s="129"/>
      <c r="BW106" s="129"/>
      <c r="BX106" s="129"/>
      <c r="BY106" s="129"/>
      <c r="BZ106" s="129"/>
      <c r="CA106" s="129"/>
      <c r="CB106" s="129"/>
      <c r="CC106" s="129"/>
      <c r="CD106" s="129"/>
      <c r="CE106" s="129"/>
      <c r="CF106" s="129"/>
      <c r="CG106" s="129"/>
      <c r="CH106" s="129"/>
      <c r="CI106" s="129"/>
      <c r="CJ106" s="129"/>
      <c r="CK106" s="129"/>
      <c r="CL106" s="129"/>
      <c r="CM106" s="129"/>
      <c r="CN106" s="129"/>
      <c r="CO106" s="129"/>
      <c r="CP106" s="129"/>
      <c r="CQ106" s="129"/>
      <c r="CR106" s="129"/>
      <c r="CS106" s="129"/>
      <c r="CT106" s="129"/>
      <c r="CU106" s="129"/>
      <c r="CV106" s="129"/>
      <c r="CW106" s="129"/>
      <c r="CX106" s="129"/>
      <c r="CY106" s="129"/>
      <c r="CZ106" s="129"/>
      <c r="DA106" s="129"/>
      <c r="DB106" s="129"/>
      <c r="DC106" s="129"/>
      <c r="DD106" s="129"/>
      <c r="DE106" s="129"/>
      <c r="DF106" s="129"/>
      <c r="DG106" s="129"/>
      <c r="DH106" s="129"/>
      <c r="DI106" s="129"/>
      <c r="DJ106" s="129"/>
      <c r="DK106" s="129"/>
      <c r="DL106" s="129"/>
      <c r="DM106" s="129"/>
      <c r="DN106" s="129"/>
      <c r="DO106" s="129"/>
      <c r="DP106" s="129"/>
      <c r="DQ106" s="129"/>
      <c r="DR106" s="129"/>
      <c r="DS106" s="129"/>
      <c r="DT106" s="129"/>
      <c r="DU106" s="129"/>
      <c r="DV106" s="129"/>
      <c r="DW106" s="129"/>
      <c r="DX106" s="129"/>
      <c r="DY106" s="129"/>
      <c r="DZ106" s="129"/>
      <c r="EA106" s="129"/>
      <c r="EB106" s="129"/>
      <c r="EC106" s="129"/>
      <c r="ED106" s="129"/>
      <c r="EE106" s="129"/>
      <c r="EF106" s="129"/>
      <c r="EG106" s="129"/>
      <c r="EH106" s="129"/>
      <c r="EI106" s="129"/>
      <c r="EJ106" s="129"/>
      <c r="EK106" s="129"/>
      <c r="EL106" s="129"/>
      <c r="EM106" s="129"/>
      <c r="EN106" s="129"/>
      <c r="EO106" s="129"/>
      <c r="EP106" s="129"/>
      <c r="EQ106" s="129"/>
      <c r="ER106" s="129"/>
      <c r="ES106" s="129"/>
      <c r="ET106" s="129"/>
      <c r="EU106" s="129"/>
      <c r="EV106" s="129"/>
      <c r="EW106" s="129"/>
      <c r="EX106" s="129"/>
      <c r="EY106" s="129"/>
      <c r="EZ106" s="129"/>
      <c r="FA106" s="129"/>
      <c r="FB106" s="129"/>
      <c r="FC106" s="129"/>
      <c r="FD106" s="129"/>
      <c r="FE106" s="129"/>
      <c r="FF106" s="129"/>
      <c r="FG106" s="129"/>
      <c r="FH106" s="129"/>
      <c r="FI106" s="129"/>
      <c r="FJ106" s="129"/>
      <c r="FK106" s="129"/>
      <c r="FL106" s="129"/>
      <c r="FM106" s="129"/>
      <c r="FN106" s="129"/>
      <c r="FO106" s="129"/>
      <c r="FP106" s="129"/>
      <c r="FQ106" s="129"/>
      <c r="FR106" s="129"/>
      <c r="FS106" s="129"/>
      <c r="FT106" s="129"/>
      <c r="FU106" s="129"/>
      <c r="FV106" s="129"/>
      <c r="FW106" s="129"/>
      <c r="FX106" s="129"/>
      <c r="FY106" s="129"/>
      <c r="FZ106" s="129"/>
      <c r="GA106" s="129"/>
      <c r="GB106" s="129"/>
      <c r="GC106" s="129"/>
      <c r="GD106" s="129"/>
      <c r="GE106" s="129"/>
      <c r="GF106" s="129"/>
      <c r="GG106" s="129"/>
      <c r="GH106" s="129"/>
      <c r="GI106" s="129"/>
      <c r="GJ106" s="129"/>
      <c r="GK106" s="129"/>
      <c r="GL106" s="129"/>
      <c r="GM106" s="129"/>
      <c r="GN106" s="129"/>
      <c r="GO106" s="129"/>
      <c r="GP106" s="129"/>
      <c r="GQ106" s="129"/>
      <c r="GR106" s="129"/>
      <c r="GS106" s="129"/>
      <c r="GT106" s="129"/>
      <c r="GU106" s="129"/>
      <c r="GV106" s="129"/>
      <c r="GW106" s="129"/>
      <c r="GX106" s="129"/>
      <c r="GY106" s="129"/>
      <c r="GZ106" s="129"/>
      <c r="HA106" s="129"/>
      <c r="HB106" s="129"/>
      <c r="HC106" s="129"/>
      <c r="HD106" s="129"/>
      <c r="HE106" s="129"/>
      <c r="HF106" s="129"/>
      <c r="HG106" s="129"/>
      <c r="HH106" s="129"/>
      <c r="HI106" s="129"/>
      <c r="HJ106" s="129"/>
      <c r="HK106" s="129"/>
      <c r="HL106" s="129"/>
      <c r="HM106" s="129"/>
      <c r="HN106" s="129"/>
      <c r="HO106" s="129"/>
      <c r="HP106" s="129"/>
      <c r="HQ106" s="129"/>
      <c r="HR106" s="129"/>
      <c r="HS106" s="129"/>
      <c r="HT106" s="129"/>
      <c r="HU106" s="129"/>
      <c r="HV106" s="129"/>
      <c r="HW106" s="129"/>
      <c r="HX106" s="129"/>
      <c r="HY106" s="129"/>
      <c r="HZ106" s="129"/>
      <c r="IA106" s="129"/>
      <c r="IB106" s="129"/>
      <c r="IC106" s="129"/>
      <c r="ID106" s="129"/>
      <c r="IE106" s="129"/>
      <c r="IF106" s="129"/>
      <c r="IG106" s="129"/>
      <c r="IH106" s="129"/>
      <c r="II106" s="129"/>
      <c r="IJ106" s="129"/>
      <c r="IK106" s="129"/>
      <c r="IL106" s="129"/>
      <c r="IM106" s="129"/>
      <c r="IN106" s="129"/>
      <c r="IO106" s="129"/>
      <c r="IP106" s="129"/>
      <c r="IQ106" s="129"/>
      <c r="IR106" s="129"/>
      <c r="IS106" s="129"/>
      <c r="IT106" s="129"/>
      <c r="IU106" s="129"/>
      <c r="IV106" s="129"/>
    </row>
    <row r="107" s="12" customFormat="1" spans="1:256">
      <c r="A107" s="129"/>
      <c r="B107" s="130"/>
      <c r="C107" s="129"/>
      <c r="D107" s="129"/>
      <c r="E107" s="129"/>
      <c r="F107" s="129"/>
      <c r="G107" s="131"/>
      <c r="H107" s="131"/>
      <c r="I107" s="131"/>
      <c r="J107" s="129"/>
      <c r="K107" s="129"/>
      <c r="L107" s="129"/>
      <c r="M107" s="129"/>
      <c r="N107" s="129"/>
      <c r="O107" s="129"/>
      <c r="P107" s="129"/>
      <c r="Q107" s="129"/>
      <c r="R107" s="129"/>
      <c r="S107" s="129"/>
      <c r="T107" s="129"/>
      <c r="U107" s="129"/>
      <c r="V107" s="129"/>
      <c r="W107" s="129"/>
      <c r="X107" s="129"/>
      <c r="Y107" s="129"/>
      <c r="Z107" s="129"/>
      <c r="AA107" s="129"/>
      <c r="AB107" s="129"/>
      <c r="AC107" s="129"/>
      <c r="AD107" s="129"/>
      <c r="AE107" s="129"/>
      <c r="AF107" s="129"/>
      <c r="AG107" s="129"/>
      <c r="AH107" s="129"/>
      <c r="AI107" s="129"/>
      <c r="AJ107" s="129"/>
      <c r="AK107" s="129"/>
      <c r="AL107" s="129"/>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29"/>
      <c r="BQ107" s="129"/>
      <c r="BR107" s="129"/>
      <c r="BS107" s="129"/>
      <c r="BT107" s="129"/>
      <c r="BU107" s="129"/>
      <c r="BV107" s="129"/>
      <c r="BW107" s="129"/>
      <c r="BX107" s="129"/>
      <c r="BY107" s="129"/>
      <c r="BZ107" s="129"/>
      <c r="CA107" s="129"/>
      <c r="CB107" s="129"/>
      <c r="CC107" s="129"/>
      <c r="CD107" s="129"/>
      <c r="CE107" s="129"/>
      <c r="CF107" s="129"/>
      <c r="CG107" s="129"/>
      <c r="CH107" s="129"/>
      <c r="CI107" s="129"/>
      <c r="CJ107" s="129"/>
      <c r="CK107" s="129"/>
      <c r="CL107" s="129"/>
      <c r="CM107" s="129"/>
      <c r="CN107" s="129"/>
      <c r="CO107" s="129"/>
      <c r="CP107" s="129"/>
      <c r="CQ107" s="129"/>
      <c r="CR107" s="129"/>
      <c r="CS107" s="129"/>
      <c r="CT107" s="129"/>
      <c r="CU107" s="129"/>
      <c r="CV107" s="129"/>
      <c r="CW107" s="129"/>
      <c r="CX107" s="129"/>
      <c r="CY107" s="129"/>
      <c r="CZ107" s="129"/>
      <c r="DA107" s="129"/>
      <c r="DB107" s="129"/>
      <c r="DC107" s="129"/>
      <c r="DD107" s="129"/>
      <c r="DE107" s="129"/>
      <c r="DF107" s="129"/>
      <c r="DG107" s="129"/>
      <c r="DH107" s="129"/>
      <c r="DI107" s="129"/>
      <c r="DJ107" s="129"/>
      <c r="DK107" s="129"/>
      <c r="DL107" s="129"/>
      <c r="DM107" s="129"/>
      <c r="DN107" s="129"/>
      <c r="DO107" s="129"/>
      <c r="DP107" s="129"/>
      <c r="DQ107" s="129"/>
      <c r="DR107" s="129"/>
      <c r="DS107" s="129"/>
      <c r="DT107" s="129"/>
      <c r="DU107" s="129"/>
      <c r="DV107" s="129"/>
      <c r="DW107" s="129"/>
      <c r="DX107" s="129"/>
      <c r="DY107" s="129"/>
      <c r="DZ107" s="129"/>
      <c r="EA107" s="129"/>
      <c r="EB107" s="129"/>
      <c r="EC107" s="129"/>
      <c r="ED107" s="129"/>
      <c r="EE107" s="129"/>
      <c r="EF107" s="129"/>
      <c r="EG107" s="129"/>
      <c r="EH107" s="129"/>
      <c r="EI107" s="129"/>
      <c r="EJ107" s="129"/>
      <c r="EK107" s="129"/>
      <c r="EL107" s="129"/>
      <c r="EM107" s="129"/>
      <c r="EN107" s="129"/>
      <c r="EO107" s="129"/>
      <c r="EP107" s="129"/>
      <c r="EQ107" s="129"/>
      <c r="ER107" s="129"/>
      <c r="ES107" s="129"/>
      <c r="ET107" s="129"/>
      <c r="EU107" s="129"/>
      <c r="EV107" s="129"/>
      <c r="EW107" s="129"/>
      <c r="EX107" s="129"/>
      <c r="EY107" s="129"/>
      <c r="EZ107" s="129"/>
      <c r="FA107" s="129"/>
      <c r="FB107" s="129"/>
      <c r="FC107" s="129"/>
      <c r="FD107" s="129"/>
      <c r="FE107" s="129"/>
      <c r="FF107" s="129"/>
      <c r="FG107" s="129"/>
      <c r="FH107" s="129"/>
      <c r="FI107" s="129"/>
      <c r="FJ107" s="129"/>
      <c r="FK107" s="129"/>
      <c r="FL107" s="129"/>
      <c r="FM107" s="129"/>
      <c r="FN107" s="129"/>
      <c r="FO107" s="129"/>
      <c r="FP107" s="129"/>
      <c r="FQ107" s="129"/>
      <c r="FR107" s="129"/>
      <c r="FS107" s="129"/>
      <c r="FT107" s="129"/>
      <c r="FU107" s="129"/>
      <c r="FV107" s="129"/>
      <c r="FW107" s="129"/>
      <c r="FX107" s="129"/>
      <c r="FY107" s="129"/>
      <c r="FZ107" s="129"/>
      <c r="GA107" s="129"/>
      <c r="GB107" s="129"/>
      <c r="GC107" s="129"/>
      <c r="GD107" s="129"/>
      <c r="GE107" s="129"/>
      <c r="GF107" s="129"/>
      <c r="GG107" s="129"/>
      <c r="GH107" s="129"/>
      <c r="GI107" s="129"/>
      <c r="GJ107" s="129"/>
      <c r="GK107" s="129"/>
      <c r="GL107" s="129"/>
      <c r="GM107" s="129"/>
      <c r="GN107" s="129"/>
      <c r="GO107" s="129"/>
      <c r="GP107" s="129"/>
      <c r="GQ107" s="129"/>
      <c r="GR107" s="129"/>
      <c r="GS107" s="129"/>
      <c r="GT107" s="129"/>
      <c r="GU107" s="129"/>
      <c r="GV107" s="129"/>
      <c r="GW107" s="129"/>
      <c r="GX107" s="129"/>
      <c r="GY107" s="129"/>
      <c r="GZ107" s="129"/>
      <c r="HA107" s="129"/>
      <c r="HB107" s="129"/>
      <c r="HC107" s="129"/>
      <c r="HD107" s="129"/>
      <c r="HE107" s="129"/>
      <c r="HF107" s="129"/>
      <c r="HG107" s="129"/>
      <c r="HH107" s="129"/>
      <c r="HI107" s="129"/>
      <c r="HJ107" s="129"/>
      <c r="HK107" s="129"/>
      <c r="HL107" s="129"/>
      <c r="HM107" s="129"/>
      <c r="HN107" s="129"/>
      <c r="HO107" s="129"/>
      <c r="HP107" s="129"/>
      <c r="HQ107" s="129"/>
      <c r="HR107" s="129"/>
      <c r="HS107" s="129"/>
      <c r="HT107" s="129"/>
      <c r="HU107" s="129"/>
      <c r="HV107" s="129"/>
      <c r="HW107" s="129"/>
      <c r="HX107" s="129"/>
      <c r="HY107" s="129"/>
      <c r="HZ107" s="129"/>
      <c r="IA107" s="129"/>
      <c r="IB107" s="129"/>
      <c r="IC107" s="129"/>
      <c r="ID107" s="129"/>
      <c r="IE107" s="129"/>
      <c r="IF107" s="129"/>
      <c r="IG107" s="129"/>
      <c r="IH107" s="129"/>
      <c r="II107" s="129"/>
      <c r="IJ107" s="129"/>
      <c r="IK107" s="129"/>
      <c r="IL107" s="129"/>
      <c r="IM107" s="129"/>
      <c r="IN107" s="129"/>
      <c r="IO107" s="129"/>
      <c r="IP107" s="129"/>
      <c r="IQ107" s="129"/>
      <c r="IR107" s="129"/>
      <c r="IS107" s="129"/>
      <c r="IT107" s="129"/>
      <c r="IU107" s="129"/>
      <c r="IV107" s="129"/>
    </row>
    <row r="108" s="12" customFormat="1" spans="1:256">
      <c r="A108" s="129"/>
      <c r="B108" s="130"/>
      <c r="C108" s="129"/>
      <c r="D108" s="129"/>
      <c r="E108" s="129"/>
      <c r="F108" s="129"/>
      <c r="G108" s="131"/>
      <c r="H108" s="131"/>
      <c r="I108" s="131"/>
      <c r="J108" s="129"/>
      <c r="K108" s="129"/>
      <c r="L108" s="129"/>
      <c r="M108" s="129"/>
      <c r="N108" s="129"/>
      <c r="O108" s="129"/>
      <c r="P108" s="129"/>
      <c r="Q108" s="129"/>
      <c r="R108" s="129"/>
      <c r="S108" s="129"/>
      <c r="T108" s="129"/>
      <c r="U108" s="129"/>
      <c r="V108" s="129"/>
      <c r="W108" s="129"/>
      <c r="X108" s="129"/>
      <c r="Y108" s="129"/>
      <c r="Z108" s="129"/>
      <c r="AA108" s="129"/>
      <c r="AB108" s="129"/>
      <c r="AC108" s="129"/>
      <c r="AD108" s="129"/>
      <c r="AE108" s="129"/>
      <c r="AF108" s="129"/>
      <c r="AG108" s="129"/>
      <c r="AH108" s="129"/>
      <c r="AI108" s="129"/>
      <c r="AJ108" s="129"/>
      <c r="AK108" s="129"/>
      <c r="AL108" s="129"/>
      <c r="AM108" s="129"/>
      <c r="AN108" s="129"/>
      <c r="AO108" s="129"/>
      <c r="AP108" s="129"/>
      <c r="AQ108" s="129"/>
      <c r="AR108" s="129"/>
      <c r="AS108" s="129"/>
      <c r="AT108" s="129"/>
      <c r="AU108" s="129"/>
      <c r="AV108" s="129"/>
      <c r="AW108" s="129"/>
      <c r="AX108" s="129"/>
      <c r="AY108" s="129"/>
      <c r="AZ108" s="129"/>
      <c r="BA108" s="129"/>
      <c r="BB108" s="129"/>
      <c r="BC108" s="129"/>
      <c r="BD108" s="129"/>
      <c r="BE108" s="129"/>
      <c r="BF108" s="129"/>
      <c r="BG108" s="129"/>
      <c r="BH108" s="129"/>
      <c r="BI108" s="129"/>
      <c r="BJ108" s="129"/>
      <c r="BK108" s="129"/>
      <c r="BL108" s="129"/>
      <c r="BM108" s="129"/>
      <c r="BN108" s="129"/>
      <c r="BO108" s="129"/>
      <c r="BP108" s="129"/>
      <c r="BQ108" s="129"/>
      <c r="BR108" s="129"/>
      <c r="BS108" s="129"/>
      <c r="BT108" s="129"/>
      <c r="BU108" s="129"/>
      <c r="BV108" s="129"/>
      <c r="BW108" s="129"/>
      <c r="BX108" s="129"/>
      <c r="BY108" s="129"/>
      <c r="BZ108" s="129"/>
      <c r="CA108" s="129"/>
      <c r="CB108" s="129"/>
      <c r="CC108" s="129"/>
      <c r="CD108" s="129"/>
      <c r="CE108" s="129"/>
      <c r="CF108" s="129"/>
      <c r="CG108" s="129"/>
      <c r="CH108" s="129"/>
      <c r="CI108" s="129"/>
      <c r="CJ108" s="129"/>
      <c r="CK108" s="129"/>
      <c r="CL108" s="129"/>
      <c r="CM108" s="129"/>
      <c r="CN108" s="129"/>
      <c r="CO108" s="129"/>
      <c r="CP108" s="129"/>
      <c r="CQ108" s="129"/>
      <c r="CR108" s="129"/>
      <c r="CS108" s="129"/>
      <c r="CT108" s="129"/>
      <c r="CU108" s="129"/>
      <c r="CV108" s="129"/>
      <c r="CW108" s="129"/>
      <c r="CX108" s="129"/>
      <c r="CY108" s="129"/>
      <c r="CZ108" s="129"/>
      <c r="DA108" s="129"/>
      <c r="DB108" s="129"/>
      <c r="DC108" s="129"/>
      <c r="DD108" s="129"/>
      <c r="DE108" s="129"/>
      <c r="DF108" s="129"/>
      <c r="DG108" s="129"/>
      <c r="DH108" s="129"/>
      <c r="DI108" s="129"/>
      <c r="DJ108" s="129"/>
      <c r="DK108" s="129"/>
      <c r="DL108" s="129"/>
      <c r="DM108" s="129"/>
      <c r="DN108" s="129"/>
      <c r="DO108" s="129"/>
      <c r="DP108" s="129"/>
      <c r="DQ108" s="129"/>
      <c r="DR108" s="129"/>
      <c r="DS108" s="129"/>
      <c r="DT108" s="129"/>
      <c r="DU108" s="129"/>
      <c r="DV108" s="129"/>
      <c r="DW108" s="129"/>
      <c r="DX108" s="129"/>
      <c r="DY108" s="129"/>
      <c r="DZ108" s="129"/>
      <c r="EA108" s="129"/>
      <c r="EB108" s="129"/>
      <c r="EC108" s="129"/>
      <c r="ED108" s="129"/>
      <c r="EE108" s="129"/>
      <c r="EF108" s="129"/>
      <c r="EG108" s="129"/>
      <c r="EH108" s="129"/>
      <c r="EI108" s="129"/>
      <c r="EJ108" s="129"/>
      <c r="EK108" s="129"/>
      <c r="EL108" s="129"/>
      <c r="EM108" s="129"/>
      <c r="EN108" s="129"/>
      <c r="EO108" s="129"/>
      <c r="EP108" s="129"/>
      <c r="EQ108" s="129"/>
      <c r="ER108" s="129"/>
      <c r="ES108" s="129"/>
      <c r="ET108" s="129"/>
      <c r="EU108" s="129"/>
      <c r="EV108" s="129"/>
      <c r="EW108" s="129"/>
      <c r="EX108" s="129"/>
      <c r="EY108" s="129"/>
      <c r="EZ108" s="129"/>
      <c r="FA108" s="129"/>
      <c r="FB108" s="129"/>
      <c r="FC108" s="129"/>
      <c r="FD108" s="129"/>
      <c r="FE108" s="129"/>
      <c r="FF108" s="129"/>
      <c r="FG108" s="129"/>
      <c r="FH108" s="129"/>
      <c r="FI108" s="129"/>
      <c r="FJ108" s="129"/>
      <c r="FK108" s="129"/>
      <c r="FL108" s="129"/>
      <c r="FM108" s="129"/>
      <c r="FN108" s="129"/>
      <c r="FO108" s="129"/>
      <c r="FP108" s="129"/>
      <c r="FQ108" s="129"/>
      <c r="FR108" s="129"/>
      <c r="FS108" s="129"/>
      <c r="FT108" s="129"/>
      <c r="FU108" s="129"/>
      <c r="FV108" s="129"/>
      <c r="FW108" s="129"/>
      <c r="FX108" s="129"/>
      <c r="FY108" s="129"/>
      <c r="FZ108" s="129"/>
      <c r="GA108" s="129"/>
      <c r="GB108" s="129"/>
      <c r="GC108" s="129"/>
      <c r="GD108" s="129"/>
      <c r="GE108" s="129"/>
      <c r="GF108" s="129"/>
      <c r="GG108" s="129"/>
      <c r="GH108" s="129"/>
      <c r="GI108" s="129"/>
      <c r="GJ108" s="129"/>
      <c r="GK108" s="129"/>
      <c r="GL108" s="129"/>
      <c r="GM108" s="129"/>
      <c r="GN108" s="129"/>
      <c r="GO108" s="129"/>
      <c r="GP108" s="129"/>
      <c r="GQ108" s="129"/>
      <c r="GR108" s="129"/>
      <c r="GS108" s="129"/>
      <c r="GT108" s="129"/>
      <c r="GU108" s="129"/>
      <c r="GV108" s="129"/>
      <c r="GW108" s="129"/>
      <c r="GX108" s="129"/>
      <c r="GY108" s="129"/>
      <c r="GZ108" s="129"/>
      <c r="HA108" s="129"/>
      <c r="HB108" s="129"/>
      <c r="HC108" s="129"/>
      <c r="HD108" s="129"/>
      <c r="HE108" s="129"/>
      <c r="HF108" s="129"/>
      <c r="HG108" s="129"/>
      <c r="HH108" s="129"/>
      <c r="HI108" s="129"/>
      <c r="HJ108" s="129"/>
      <c r="HK108" s="129"/>
      <c r="HL108" s="129"/>
      <c r="HM108" s="129"/>
      <c r="HN108" s="129"/>
      <c r="HO108" s="129"/>
      <c r="HP108" s="129"/>
      <c r="HQ108" s="129"/>
      <c r="HR108" s="129"/>
      <c r="HS108" s="129"/>
      <c r="HT108" s="129"/>
      <c r="HU108" s="129"/>
      <c r="HV108" s="129"/>
      <c r="HW108" s="129"/>
      <c r="HX108" s="129"/>
      <c r="HY108" s="129"/>
      <c r="HZ108" s="129"/>
      <c r="IA108" s="129"/>
      <c r="IB108" s="129"/>
      <c r="IC108" s="129"/>
      <c r="ID108" s="129"/>
      <c r="IE108" s="129"/>
      <c r="IF108" s="129"/>
      <c r="IG108" s="129"/>
      <c r="IH108" s="129"/>
      <c r="II108" s="129"/>
      <c r="IJ108" s="129"/>
      <c r="IK108" s="129"/>
      <c r="IL108" s="129"/>
      <c r="IM108" s="129"/>
      <c r="IN108" s="129"/>
      <c r="IO108" s="129"/>
      <c r="IP108" s="129"/>
      <c r="IQ108" s="129"/>
      <c r="IR108" s="129"/>
      <c r="IS108" s="129"/>
      <c r="IT108" s="129"/>
      <c r="IU108" s="129"/>
      <c r="IV108" s="129"/>
    </row>
  </sheetData>
  <sheetProtection sort="0" autoFilter="0" pivotTables="0"/>
  <mergeCells count="12">
    <mergeCell ref="A1:K1"/>
    <mergeCell ref="A2:B2"/>
    <mergeCell ref="D4:F4"/>
    <mergeCell ref="G4:J4"/>
    <mergeCell ref="B7:C7"/>
    <mergeCell ref="B25:C25"/>
    <mergeCell ref="B43:C43"/>
    <mergeCell ref="B61:C61"/>
    <mergeCell ref="A3:A5"/>
    <mergeCell ref="B4:B5"/>
    <mergeCell ref="C4:C5"/>
    <mergeCell ref="K4:K5"/>
  </mergeCells>
  <conditionalFormatting sqref="C78:V82 K62:K77 B8:I23 K8:K23 K26:K41 K44:K59 B26:I41 B44:I59 B62:I77">
    <cfRule type="cellIs" dxfId="0" priority="1" stopIfTrue="1" operator="lessThan">
      <formula>0</formula>
    </cfRule>
  </conditionalFormatting>
  <pageMargins left="0.75" right="0.75" top="1" bottom="1" header="0.509027777777778" footer="0.509027777777778"/>
  <pageSetup paperSize="9" scale="74" fitToHeight="0" orientation="portrait"/>
  <headerFooter alignWithMargins="0" scaleWithDoc="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pageSetUpPr fitToPage="1"/>
  </sheetPr>
  <dimension ref="A1:IV153"/>
  <sheetViews>
    <sheetView workbookViewId="0">
      <selection activeCell="A153" sqref="A153:B153"/>
    </sheetView>
  </sheetViews>
  <sheetFormatPr defaultColWidth="9" defaultRowHeight="13.5"/>
  <cols>
    <col min="1" max="1" width="7" style="8" customWidth="1"/>
    <col min="2" max="2" width="12" style="9" customWidth="1"/>
    <col min="3" max="3" width="8.66666666666667" style="9" customWidth="1"/>
    <col min="4" max="4" width="9.66666666666667" style="9" customWidth="1"/>
    <col min="5" max="5" width="8.16666666666667" style="9" customWidth="1"/>
    <col min="6" max="6" width="9.66666666666667" style="105" customWidth="1"/>
    <col min="7" max="8" width="8.66666666666667" style="105" customWidth="1"/>
    <col min="9" max="9" width="8.66666666666667" style="9" customWidth="1"/>
    <col min="10" max="10" width="8" style="9" customWidth="1"/>
    <col min="11" max="11" width="8.16666666666667" style="9" customWidth="1"/>
    <col min="12" max="12" width="12" style="9" customWidth="1"/>
    <col min="13" max="245" width="9" style="9"/>
    <col min="246" max="16384" width="9" style="12"/>
  </cols>
  <sheetData>
    <row r="1" s="1" customFormat="1" ht="24" customHeight="1" spans="1:12">
      <c r="A1" s="13" t="s">
        <v>401</v>
      </c>
      <c r="B1" s="14"/>
      <c r="C1" s="14"/>
      <c r="D1" s="14"/>
      <c r="E1" s="14"/>
      <c r="F1" s="111"/>
      <c r="G1" s="111"/>
      <c r="H1" s="111"/>
      <c r="I1" s="14"/>
      <c r="J1" s="14"/>
      <c r="K1" s="14"/>
      <c r="L1" s="14"/>
    </row>
    <row r="2" s="2" customFormat="1" ht="20.25" customHeight="1" spans="1:245">
      <c r="A2" s="16" t="s">
        <v>1</v>
      </c>
      <c r="B2" s="17"/>
      <c r="C2" s="17"/>
      <c r="D2" s="17"/>
      <c r="E2" s="17"/>
      <c r="F2" s="112"/>
      <c r="G2" s="112"/>
      <c r="H2" s="113" t="s">
        <v>279</v>
      </c>
      <c r="I2" s="17"/>
      <c r="J2" s="17"/>
      <c r="K2" s="17"/>
      <c r="L2" s="120" t="s">
        <v>402</v>
      </c>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row>
    <row r="3" s="3" customFormat="1" ht="20.25" customHeight="1" spans="1:256">
      <c r="A3" s="20" t="s">
        <v>4</v>
      </c>
      <c r="B3" s="20" t="s">
        <v>403</v>
      </c>
      <c r="C3" s="20" t="s">
        <v>6</v>
      </c>
      <c r="D3" s="20" t="s">
        <v>7</v>
      </c>
      <c r="E3" s="20" t="s">
        <v>8</v>
      </c>
      <c r="F3" s="114" t="s">
        <v>9</v>
      </c>
      <c r="G3" s="114" t="s">
        <v>10</v>
      </c>
      <c r="H3" s="114" t="s">
        <v>11</v>
      </c>
      <c r="I3" s="20" t="s">
        <v>12</v>
      </c>
      <c r="J3" s="20" t="s">
        <v>13</v>
      </c>
      <c r="K3" s="20" t="s">
        <v>96</v>
      </c>
      <c r="L3" s="20" t="s">
        <v>97</v>
      </c>
      <c r="IL3" s="124"/>
      <c r="IM3" s="124"/>
      <c r="IN3" s="124"/>
      <c r="IO3" s="124"/>
      <c r="IP3" s="124"/>
      <c r="IQ3" s="124"/>
      <c r="IR3" s="124"/>
      <c r="IS3" s="124"/>
      <c r="IT3" s="124"/>
      <c r="IU3" s="124"/>
      <c r="IV3" s="124"/>
    </row>
    <row r="4" s="3" customFormat="1" ht="20.25" customHeight="1" spans="1:12">
      <c r="A4" s="106"/>
      <c r="B4" s="20"/>
      <c r="C4" s="20" t="s">
        <v>356</v>
      </c>
      <c r="D4" s="20"/>
      <c r="E4" s="20"/>
      <c r="F4" s="114" t="s">
        <v>391</v>
      </c>
      <c r="G4" s="114"/>
      <c r="H4" s="114"/>
      <c r="I4" s="20"/>
      <c r="J4" s="20" t="s">
        <v>359</v>
      </c>
      <c r="K4" s="20"/>
      <c r="L4" s="20"/>
    </row>
    <row r="5" s="4" customFormat="1" ht="36" spans="1:12">
      <c r="A5" s="106"/>
      <c r="B5" s="20"/>
      <c r="C5" s="20" t="s">
        <v>392</v>
      </c>
      <c r="D5" s="20" t="s">
        <v>362</v>
      </c>
      <c r="E5" s="20" t="s">
        <v>393</v>
      </c>
      <c r="F5" s="114" t="s">
        <v>374</v>
      </c>
      <c r="G5" s="114" t="s">
        <v>375</v>
      </c>
      <c r="H5" s="114" t="s">
        <v>376</v>
      </c>
      <c r="I5" s="121" t="s">
        <v>358</v>
      </c>
      <c r="J5" s="20" t="s">
        <v>376</v>
      </c>
      <c r="K5" s="20" t="s">
        <v>404</v>
      </c>
      <c r="L5" s="20" t="s">
        <v>405</v>
      </c>
    </row>
    <row r="6" s="4" customFormat="1" ht="12.75" spans="1:12">
      <c r="A6" s="107" t="s">
        <v>286</v>
      </c>
      <c r="B6" s="108"/>
      <c r="C6" s="108"/>
      <c r="D6" s="108"/>
      <c r="E6" s="108"/>
      <c r="F6" s="115"/>
      <c r="G6" s="115"/>
      <c r="H6" s="115"/>
      <c r="I6" s="122"/>
      <c r="J6" s="108"/>
      <c r="K6" s="108"/>
      <c r="L6" s="108"/>
    </row>
    <row r="7" s="5" customFormat="1" ht="15" customHeight="1" spans="1:12">
      <c r="A7" s="25">
        <v>1</v>
      </c>
      <c r="B7" s="26" t="s">
        <v>111</v>
      </c>
      <c r="C7" s="62"/>
      <c r="D7" s="62"/>
      <c r="E7" s="62"/>
      <c r="F7" s="116">
        <f>SUM(F8:F41)</f>
        <v>0</v>
      </c>
      <c r="G7" s="116">
        <f>SUM(G8:G41)</f>
        <v>0</v>
      </c>
      <c r="H7" s="116">
        <f>SUM(H8:H41)</f>
        <v>0</v>
      </c>
      <c r="I7" s="61" t="e">
        <f>G7/F7</f>
        <v>#DIV/0!</v>
      </c>
      <c r="J7" s="62"/>
      <c r="K7" s="62"/>
      <c r="L7" s="62"/>
    </row>
    <row r="8" spans="1:12">
      <c r="A8" s="29">
        <v>2</v>
      </c>
      <c r="B8" s="109" t="s">
        <v>180</v>
      </c>
      <c r="C8" s="63"/>
      <c r="D8" s="63"/>
      <c r="E8" s="63"/>
      <c r="F8" s="117"/>
      <c r="G8" s="117"/>
      <c r="H8" s="117"/>
      <c r="I8" s="61" t="e">
        <f t="shared" ref="I8:I19" si="0">G8/F8</f>
        <v>#DIV/0!</v>
      </c>
      <c r="J8" s="63"/>
      <c r="K8" s="63"/>
      <c r="L8" s="63"/>
    </row>
    <row r="9" spans="1:12">
      <c r="A9" s="25">
        <v>3</v>
      </c>
      <c r="B9" s="109" t="s">
        <v>181</v>
      </c>
      <c r="C9" s="63"/>
      <c r="D9" s="63"/>
      <c r="E9" s="63"/>
      <c r="F9" s="117"/>
      <c r="G9" s="117"/>
      <c r="H9" s="117"/>
      <c r="I9" s="61" t="e">
        <f t="shared" si="0"/>
        <v>#DIV/0!</v>
      </c>
      <c r="J9" s="63"/>
      <c r="K9" s="63"/>
      <c r="L9" s="63"/>
    </row>
    <row r="10" spans="1:12">
      <c r="A10" s="29">
        <v>4</v>
      </c>
      <c r="B10" s="109" t="s">
        <v>182</v>
      </c>
      <c r="C10" s="63"/>
      <c r="D10" s="63"/>
      <c r="E10" s="63"/>
      <c r="F10" s="117"/>
      <c r="G10" s="117"/>
      <c r="H10" s="117"/>
      <c r="I10" s="61" t="e">
        <f t="shared" si="0"/>
        <v>#DIV/0!</v>
      </c>
      <c r="J10" s="63"/>
      <c r="K10" s="63"/>
      <c r="L10" s="63"/>
    </row>
    <row r="11" spans="1:12">
      <c r="A11" s="25">
        <v>5</v>
      </c>
      <c r="B11" s="109" t="s">
        <v>183</v>
      </c>
      <c r="C11" s="63"/>
      <c r="D11" s="63"/>
      <c r="E11" s="63"/>
      <c r="F11" s="117"/>
      <c r="G11" s="117"/>
      <c r="H11" s="117"/>
      <c r="I11" s="61" t="e">
        <f t="shared" si="0"/>
        <v>#DIV/0!</v>
      </c>
      <c r="J11" s="63"/>
      <c r="K11" s="63"/>
      <c r="L11" s="63"/>
    </row>
    <row r="12" spans="1:12">
      <c r="A12" s="29">
        <v>6</v>
      </c>
      <c r="B12" s="109" t="s">
        <v>184</v>
      </c>
      <c r="C12" s="63"/>
      <c r="D12" s="63"/>
      <c r="E12" s="63"/>
      <c r="F12" s="117"/>
      <c r="G12" s="117"/>
      <c r="H12" s="117"/>
      <c r="I12" s="61" t="e">
        <f t="shared" si="0"/>
        <v>#DIV/0!</v>
      </c>
      <c r="J12" s="63"/>
      <c r="K12" s="63"/>
      <c r="L12" s="63"/>
    </row>
    <row r="13" spans="1:12">
      <c r="A13" s="25">
        <v>7</v>
      </c>
      <c r="B13" s="109" t="s">
        <v>185</v>
      </c>
      <c r="C13" s="63"/>
      <c r="D13" s="63"/>
      <c r="E13" s="63"/>
      <c r="F13" s="117"/>
      <c r="G13" s="117"/>
      <c r="H13" s="117"/>
      <c r="I13" s="61" t="e">
        <f t="shared" si="0"/>
        <v>#DIV/0!</v>
      </c>
      <c r="J13" s="63"/>
      <c r="K13" s="63"/>
      <c r="L13" s="63"/>
    </row>
    <row r="14" spans="1:12">
      <c r="A14" s="29">
        <v>8</v>
      </c>
      <c r="B14" s="109" t="s">
        <v>186</v>
      </c>
      <c r="C14" s="63"/>
      <c r="D14" s="63"/>
      <c r="E14" s="63"/>
      <c r="F14" s="117"/>
      <c r="G14" s="117"/>
      <c r="H14" s="117"/>
      <c r="I14" s="61" t="e">
        <f t="shared" si="0"/>
        <v>#DIV/0!</v>
      </c>
      <c r="J14" s="63"/>
      <c r="K14" s="63"/>
      <c r="L14" s="63"/>
    </row>
    <row r="15" spans="1:12">
      <c r="A15" s="25">
        <v>9</v>
      </c>
      <c r="B15" s="109" t="s">
        <v>187</v>
      </c>
      <c r="C15" s="63"/>
      <c r="D15" s="63"/>
      <c r="E15" s="63"/>
      <c r="F15" s="117"/>
      <c r="G15" s="117"/>
      <c r="H15" s="117"/>
      <c r="I15" s="61" t="e">
        <f t="shared" si="0"/>
        <v>#DIV/0!</v>
      </c>
      <c r="J15" s="63"/>
      <c r="K15" s="63"/>
      <c r="L15" s="63"/>
    </row>
    <row r="16" spans="1:12">
      <c r="A16" s="29">
        <v>10</v>
      </c>
      <c r="B16" s="109" t="s">
        <v>188</v>
      </c>
      <c r="C16" s="63"/>
      <c r="D16" s="63"/>
      <c r="E16" s="63"/>
      <c r="F16" s="117"/>
      <c r="G16" s="117"/>
      <c r="H16" s="117"/>
      <c r="I16" s="61" t="e">
        <f t="shared" si="0"/>
        <v>#DIV/0!</v>
      </c>
      <c r="J16" s="63"/>
      <c r="K16" s="63"/>
      <c r="L16" s="63"/>
    </row>
    <row r="17" spans="1:12">
      <c r="A17" s="25">
        <v>11</v>
      </c>
      <c r="B17" s="109" t="s">
        <v>189</v>
      </c>
      <c r="C17" s="63"/>
      <c r="D17" s="63"/>
      <c r="E17" s="63"/>
      <c r="F17" s="117"/>
      <c r="G17" s="117"/>
      <c r="H17" s="117"/>
      <c r="I17" s="61" t="e">
        <f t="shared" si="0"/>
        <v>#DIV/0!</v>
      </c>
      <c r="J17" s="63"/>
      <c r="K17" s="63"/>
      <c r="L17" s="63"/>
    </row>
    <row r="18" spans="1:12">
      <c r="A18" s="29">
        <v>12</v>
      </c>
      <c r="B18" s="109" t="s">
        <v>190</v>
      </c>
      <c r="C18" s="63"/>
      <c r="D18" s="63"/>
      <c r="E18" s="63"/>
      <c r="F18" s="117"/>
      <c r="G18" s="117"/>
      <c r="H18" s="117"/>
      <c r="I18" s="61" t="e">
        <f t="shared" si="0"/>
        <v>#DIV/0!</v>
      </c>
      <c r="J18" s="63"/>
      <c r="K18" s="63"/>
      <c r="L18" s="63"/>
    </row>
    <row r="19" spans="1:12">
      <c r="A19" s="25">
        <v>13</v>
      </c>
      <c r="B19" s="109" t="s">
        <v>191</v>
      </c>
      <c r="C19" s="63"/>
      <c r="D19" s="63"/>
      <c r="E19" s="63"/>
      <c r="F19" s="117"/>
      <c r="G19" s="117"/>
      <c r="H19" s="117"/>
      <c r="I19" s="61" t="e">
        <f t="shared" si="0"/>
        <v>#DIV/0!</v>
      </c>
      <c r="J19" s="63"/>
      <c r="K19" s="63"/>
      <c r="L19" s="63"/>
    </row>
    <row r="20" spans="1:12">
      <c r="A20" s="29">
        <v>14</v>
      </c>
      <c r="B20" s="109" t="s">
        <v>192</v>
      </c>
      <c r="C20" s="63"/>
      <c r="D20" s="63"/>
      <c r="E20" s="63"/>
      <c r="F20" s="117"/>
      <c r="G20" s="117"/>
      <c r="H20" s="117"/>
      <c r="I20" s="61" t="e">
        <f t="shared" ref="I20:I41" si="1">G20/F20</f>
        <v>#DIV/0!</v>
      </c>
      <c r="J20" s="63"/>
      <c r="K20" s="63"/>
      <c r="L20" s="63"/>
    </row>
    <row r="21" spans="1:12">
      <c r="A21" s="25">
        <v>15</v>
      </c>
      <c r="B21" s="109" t="s">
        <v>193</v>
      </c>
      <c r="C21" s="63"/>
      <c r="D21" s="63"/>
      <c r="E21" s="63"/>
      <c r="F21" s="117"/>
      <c r="G21" s="117"/>
      <c r="H21" s="117"/>
      <c r="I21" s="61" t="e">
        <f t="shared" si="1"/>
        <v>#DIV/0!</v>
      </c>
      <c r="J21" s="63"/>
      <c r="K21" s="63"/>
      <c r="L21" s="63"/>
    </row>
    <row r="22" spans="1:12">
      <c r="A22" s="29">
        <v>16</v>
      </c>
      <c r="B22" s="109" t="s">
        <v>194</v>
      </c>
      <c r="C22" s="63"/>
      <c r="D22" s="63"/>
      <c r="E22" s="63"/>
      <c r="F22" s="117"/>
      <c r="G22" s="117"/>
      <c r="H22" s="117"/>
      <c r="I22" s="61" t="e">
        <f t="shared" si="1"/>
        <v>#DIV/0!</v>
      </c>
      <c r="J22" s="63"/>
      <c r="K22" s="63"/>
      <c r="L22" s="63"/>
    </row>
    <row r="23" spans="1:12">
      <c r="A23" s="29">
        <v>17</v>
      </c>
      <c r="B23" s="109" t="s">
        <v>195</v>
      </c>
      <c r="C23" s="63"/>
      <c r="D23" s="63"/>
      <c r="E23" s="63"/>
      <c r="F23" s="117"/>
      <c r="G23" s="117"/>
      <c r="H23" s="117"/>
      <c r="I23" s="61" t="e">
        <f t="shared" si="1"/>
        <v>#DIV/0!</v>
      </c>
      <c r="J23" s="63"/>
      <c r="K23" s="63"/>
      <c r="L23" s="63"/>
    </row>
    <row r="24" spans="1:12">
      <c r="A24" s="25">
        <v>18</v>
      </c>
      <c r="B24" s="109" t="s">
        <v>196</v>
      </c>
      <c r="C24" s="63"/>
      <c r="D24" s="63"/>
      <c r="E24" s="63"/>
      <c r="F24" s="117"/>
      <c r="G24" s="117"/>
      <c r="H24" s="117"/>
      <c r="I24" s="61" t="e">
        <f t="shared" si="1"/>
        <v>#DIV/0!</v>
      </c>
      <c r="J24" s="63"/>
      <c r="K24" s="63"/>
      <c r="L24" s="63"/>
    </row>
    <row r="25" spans="1:12">
      <c r="A25" s="29">
        <v>19</v>
      </c>
      <c r="B25" s="109" t="s">
        <v>197</v>
      </c>
      <c r="C25" s="63"/>
      <c r="D25" s="63"/>
      <c r="E25" s="63"/>
      <c r="F25" s="117"/>
      <c r="G25" s="117"/>
      <c r="H25" s="117"/>
      <c r="I25" s="61" t="e">
        <f t="shared" si="1"/>
        <v>#DIV/0!</v>
      </c>
      <c r="J25" s="63"/>
      <c r="K25" s="63"/>
      <c r="L25" s="63"/>
    </row>
    <row r="26" spans="1:12">
      <c r="A26" s="29">
        <v>20</v>
      </c>
      <c r="B26" s="109" t="s">
        <v>198</v>
      </c>
      <c r="C26" s="63"/>
      <c r="D26" s="63"/>
      <c r="E26" s="63"/>
      <c r="F26" s="117"/>
      <c r="G26" s="117"/>
      <c r="H26" s="117"/>
      <c r="I26" s="61" t="e">
        <f t="shared" si="1"/>
        <v>#DIV/0!</v>
      </c>
      <c r="J26" s="63"/>
      <c r="K26" s="63"/>
      <c r="L26" s="63"/>
    </row>
    <row r="27" spans="1:12">
      <c r="A27" s="25">
        <v>21</v>
      </c>
      <c r="B27" s="109" t="s">
        <v>199</v>
      </c>
      <c r="C27" s="63"/>
      <c r="D27" s="63"/>
      <c r="E27" s="63"/>
      <c r="F27" s="117"/>
      <c r="G27" s="117"/>
      <c r="H27" s="117"/>
      <c r="I27" s="61" t="e">
        <f t="shared" si="1"/>
        <v>#DIV/0!</v>
      </c>
      <c r="J27" s="63"/>
      <c r="K27" s="63"/>
      <c r="L27" s="63"/>
    </row>
    <row r="28" spans="1:12">
      <c r="A28" s="29">
        <v>22</v>
      </c>
      <c r="B28" s="109" t="s">
        <v>200</v>
      </c>
      <c r="C28" s="63"/>
      <c r="D28" s="63"/>
      <c r="E28" s="63"/>
      <c r="F28" s="117"/>
      <c r="G28" s="117"/>
      <c r="H28" s="117"/>
      <c r="I28" s="61" t="e">
        <f t="shared" si="1"/>
        <v>#DIV/0!</v>
      </c>
      <c r="J28" s="63"/>
      <c r="K28" s="63"/>
      <c r="L28" s="63"/>
    </row>
    <row r="29" spans="1:12">
      <c r="A29" s="29">
        <v>23</v>
      </c>
      <c r="B29" s="109" t="s">
        <v>201</v>
      </c>
      <c r="C29" s="63"/>
      <c r="D29" s="63"/>
      <c r="E29" s="63"/>
      <c r="F29" s="117"/>
      <c r="G29" s="117"/>
      <c r="H29" s="117"/>
      <c r="I29" s="61" t="e">
        <f t="shared" si="1"/>
        <v>#DIV/0!</v>
      </c>
      <c r="J29" s="63"/>
      <c r="K29" s="63"/>
      <c r="L29" s="63"/>
    </row>
    <row r="30" spans="1:12">
      <c r="A30" s="29">
        <v>24</v>
      </c>
      <c r="B30" s="109" t="s">
        <v>202</v>
      </c>
      <c r="C30" s="63"/>
      <c r="D30" s="63"/>
      <c r="E30" s="63"/>
      <c r="F30" s="117"/>
      <c r="G30" s="117"/>
      <c r="H30" s="117"/>
      <c r="I30" s="61" t="e">
        <f t="shared" si="1"/>
        <v>#DIV/0!</v>
      </c>
      <c r="J30" s="63"/>
      <c r="K30" s="63"/>
      <c r="L30" s="63"/>
    </row>
    <row r="31" spans="1:12">
      <c r="A31" s="29">
        <v>25</v>
      </c>
      <c r="B31" s="109" t="s">
        <v>203</v>
      </c>
      <c r="C31" s="63"/>
      <c r="D31" s="63"/>
      <c r="E31" s="63"/>
      <c r="F31" s="117"/>
      <c r="G31" s="117"/>
      <c r="H31" s="117"/>
      <c r="I31" s="61" t="e">
        <f t="shared" si="1"/>
        <v>#DIV/0!</v>
      </c>
      <c r="J31" s="63"/>
      <c r="K31" s="63"/>
      <c r="L31" s="63"/>
    </row>
    <row r="32" spans="1:12">
      <c r="A32" s="29">
        <v>26</v>
      </c>
      <c r="B32" s="109" t="s">
        <v>204</v>
      </c>
      <c r="C32" s="63"/>
      <c r="D32" s="63"/>
      <c r="E32" s="63"/>
      <c r="F32" s="117"/>
      <c r="G32" s="117"/>
      <c r="H32" s="117"/>
      <c r="I32" s="61" t="e">
        <f t="shared" si="1"/>
        <v>#DIV/0!</v>
      </c>
      <c r="J32" s="63"/>
      <c r="K32" s="63"/>
      <c r="L32" s="63"/>
    </row>
    <row r="33" spans="1:12">
      <c r="A33" s="29">
        <v>27</v>
      </c>
      <c r="B33" s="109" t="s">
        <v>205</v>
      </c>
      <c r="C33" s="63"/>
      <c r="D33" s="63"/>
      <c r="E33" s="63"/>
      <c r="F33" s="117"/>
      <c r="G33" s="117"/>
      <c r="H33" s="117"/>
      <c r="I33" s="61" t="e">
        <f t="shared" si="1"/>
        <v>#DIV/0!</v>
      </c>
      <c r="J33" s="63"/>
      <c r="K33" s="63"/>
      <c r="L33" s="63"/>
    </row>
    <row r="34" spans="1:12">
      <c r="A34" s="29">
        <v>28</v>
      </c>
      <c r="B34" s="109" t="s">
        <v>206</v>
      </c>
      <c r="C34" s="63"/>
      <c r="D34" s="63"/>
      <c r="E34" s="63"/>
      <c r="F34" s="117"/>
      <c r="G34" s="117"/>
      <c r="H34" s="117"/>
      <c r="I34" s="61" t="e">
        <f t="shared" si="1"/>
        <v>#DIV/0!</v>
      </c>
      <c r="J34" s="63"/>
      <c r="K34" s="63"/>
      <c r="L34" s="63"/>
    </row>
    <row r="35" spans="1:12">
      <c r="A35" s="29">
        <v>29</v>
      </c>
      <c r="B35" s="109" t="s">
        <v>207</v>
      </c>
      <c r="C35" s="63"/>
      <c r="D35" s="63"/>
      <c r="E35" s="63"/>
      <c r="F35" s="117"/>
      <c r="G35" s="117"/>
      <c r="H35" s="117"/>
      <c r="I35" s="61" t="e">
        <f t="shared" si="1"/>
        <v>#DIV/0!</v>
      </c>
      <c r="J35" s="63"/>
      <c r="K35" s="63"/>
      <c r="L35" s="63"/>
    </row>
    <row r="36" spans="1:12">
      <c r="A36" s="29">
        <v>30</v>
      </c>
      <c r="B36" s="109" t="s">
        <v>208</v>
      </c>
      <c r="C36" s="63"/>
      <c r="D36" s="63"/>
      <c r="E36" s="63"/>
      <c r="F36" s="117"/>
      <c r="G36" s="117"/>
      <c r="H36" s="117"/>
      <c r="I36" s="61" t="e">
        <f t="shared" si="1"/>
        <v>#DIV/0!</v>
      </c>
      <c r="J36" s="63"/>
      <c r="K36" s="63"/>
      <c r="L36" s="63"/>
    </row>
    <row r="37" spans="1:12">
      <c r="A37" s="29">
        <v>31</v>
      </c>
      <c r="B37" s="109" t="s">
        <v>209</v>
      </c>
      <c r="C37" s="63"/>
      <c r="D37" s="63"/>
      <c r="E37" s="63"/>
      <c r="F37" s="117"/>
      <c r="G37" s="117"/>
      <c r="H37" s="117"/>
      <c r="I37" s="61" t="e">
        <f t="shared" si="1"/>
        <v>#DIV/0!</v>
      </c>
      <c r="J37" s="63"/>
      <c r="K37" s="63"/>
      <c r="L37" s="63"/>
    </row>
    <row r="38" spans="1:12">
      <c r="A38" s="29">
        <v>32</v>
      </c>
      <c r="B38" s="109" t="s">
        <v>210</v>
      </c>
      <c r="C38" s="63"/>
      <c r="D38" s="63"/>
      <c r="E38" s="63"/>
      <c r="F38" s="117"/>
      <c r="G38" s="117"/>
      <c r="H38" s="117"/>
      <c r="I38" s="61" t="e">
        <f t="shared" si="1"/>
        <v>#DIV/0!</v>
      </c>
      <c r="J38" s="63"/>
      <c r="K38" s="63"/>
      <c r="L38" s="63"/>
    </row>
    <row r="39" spans="1:12">
      <c r="A39" s="29">
        <v>33</v>
      </c>
      <c r="B39" s="109" t="s">
        <v>211</v>
      </c>
      <c r="C39" s="63"/>
      <c r="D39" s="63"/>
      <c r="E39" s="63"/>
      <c r="F39" s="117"/>
      <c r="G39" s="117"/>
      <c r="H39" s="117"/>
      <c r="I39" s="61" t="e">
        <f t="shared" si="1"/>
        <v>#DIV/0!</v>
      </c>
      <c r="J39" s="63"/>
      <c r="K39" s="63"/>
      <c r="L39" s="63"/>
    </row>
    <row r="40" spans="1:12">
      <c r="A40" s="29">
        <v>34</v>
      </c>
      <c r="B40" s="109" t="s">
        <v>212</v>
      </c>
      <c r="C40" s="63"/>
      <c r="D40" s="63"/>
      <c r="E40" s="63"/>
      <c r="F40" s="117"/>
      <c r="G40" s="117"/>
      <c r="H40" s="117"/>
      <c r="I40" s="61" t="e">
        <f t="shared" si="1"/>
        <v>#DIV/0!</v>
      </c>
      <c r="J40" s="63"/>
      <c r="K40" s="63"/>
      <c r="L40" s="63"/>
    </row>
    <row r="41" spans="1:12">
      <c r="A41" s="29">
        <v>35</v>
      </c>
      <c r="B41" s="109" t="s">
        <v>213</v>
      </c>
      <c r="C41" s="63"/>
      <c r="D41" s="63"/>
      <c r="E41" s="63"/>
      <c r="F41" s="117"/>
      <c r="G41" s="117"/>
      <c r="H41" s="117"/>
      <c r="I41" s="61" t="e">
        <f t="shared" si="1"/>
        <v>#DIV/0!</v>
      </c>
      <c r="J41" s="63"/>
      <c r="K41" s="63"/>
      <c r="L41" s="63"/>
    </row>
    <row r="42" s="103" customFormat="1" ht="16" customHeight="1" spans="1:36">
      <c r="A42" s="107" t="s">
        <v>287</v>
      </c>
      <c r="B42" s="27"/>
      <c r="C42" s="110"/>
      <c r="D42" s="110"/>
      <c r="E42" s="118"/>
      <c r="F42" s="119"/>
      <c r="G42" s="119"/>
      <c r="H42" s="119"/>
      <c r="I42" s="118"/>
      <c r="J42" s="118"/>
      <c r="K42" s="118"/>
      <c r="L42" s="110"/>
      <c r="M42" s="9"/>
      <c r="N42" s="9"/>
      <c r="O42" s="9"/>
      <c r="P42" s="9"/>
      <c r="Q42" s="123"/>
      <c r="R42" s="34"/>
      <c r="S42" s="34"/>
      <c r="T42" s="34"/>
      <c r="U42" s="34"/>
      <c r="V42" s="34"/>
      <c r="W42" s="123"/>
      <c r="X42" s="123"/>
      <c r="Y42" s="123"/>
      <c r="Z42" s="123"/>
      <c r="AA42" s="123"/>
      <c r="AB42" s="123"/>
      <c r="AC42" s="123"/>
      <c r="AD42" s="123"/>
      <c r="AE42" s="123"/>
      <c r="AF42" s="123"/>
      <c r="AG42" s="123"/>
      <c r="AH42" s="123"/>
      <c r="AI42" s="123"/>
      <c r="AJ42" s="123"/>
    </row>
    <row r="43" s="5" customFormat="1" ht="15" customHeight="1" spans="1:12">
      <c r="A43" s="25">
        <v>36</v>
      </c>
      <c r="B43" s="26" t="s">
        <v>111</v>
      </c>
      <c r="C43" s="62"/>
      <c r="D43" s="62"/>
      <c r="E43" s="62"/>
      <c r="F43" s="116">
        <f>SUM(F44:F77)</f>
        <v>0</v>
      </c>
      <c r="G43" s="116">
        <f>SUM(G44:G77)</f>
        <v>0</v>
      </c>
      <c r="H43" s="116">
        <f>SUM(H44:H77)</f>
        <v>0</v>
      </c>
      <c r="I43" s="61" t="e">
        <f t="shared" ref="I43:I77" si="2">G43/F43</f>
        <v>#DIV/0!</v>
      </c>
      <c r="J43" s="62"/>
      <c r="K43" s="62"/>
      <c r="L43" s="62"/>
    </row>
    <row r="44" spans="1:12">
      <c r="A44" s="29">
        <v>37</v>
      </c>
      <c r="B44" s="109" t="s">
        <v>180</v>
      </c>
      <c r="C44" s="63"/>
      <c r="D44" s="63"/>
      <c r="E44" s="63"/>
      <c r="F44" s="117"/>
      <c r="G44" s="117"/>
      <c r="H44" s="117"/>
      <c r="I44" s="61" t="e">
        <f t="shared" si="2"/>
        <v>#DIV/0!</v>
      </c>
      <c r="J44" s="63"/>
      <c r="K44" s="63"/>
      <c r="L44" s="63"/>
    </row>
    <row r="45" spans="1:12">
      <c r="A45" s="25">
        <v>38</v>
      </c>
      <c r="B45" s="109" t="s">
        <v>181</v>
      </c>
      <c r="C45" s="63"/>
      <c r="D45" s="63"/>
      <c r="E45" s="63"/>
      <c r="F45" s="117"/>
      <c r="G45" s="117"/>
      <c r="H45" s="117"/>
      <c r="I45" s="61" t="e">
        <f t="shared" si="2"/>
        <v>#DIV/0!</v>
      </c>
      <c r="J45" s="63"/>
      <c r="K45" s="63"/>
      <c r="L45" s="63"/>
    </row>
    <row r="46" spans="1:12">
      <c r="A46" s="29">
        <v>39</v>
      </c>
      <c r="B46" s="109" t="s">
        <v>182</v>
      </c>
      <c r="C46" s="63"/>
      <c r="D46" s="63"/>
      <c r="E46" s="63"/>
      <c r="F46" s="117"/>
      <c r="G46" s="117"/>
      <c r="H46" s="117"/>
      <c r="I46" s="61" t="e">
        <f t="shared" si="2"/>
        <v>#DIV/0!</v>
      </c>
      <c r="J46" s="63"/>
      <c r="K46" s="63"/>
      <c r="L46" s="63"/>
    </row>
    <row r="47" spans="1:12">
      <c r="A47" s="25">
        <v>40</v>
      </c>
      <c r="B47" s="109" t="s">
        <v>183</v>
      </c>
      <c r="C47" s="63"/>
      <c r="D47" s="63"/>
      <c r="E47" s="63"/>
      <c r="F47" s="117"/>
      <c r="G47" s="117"/>
      <c r="H47" s="117"/>
      <c r="I47" s="61" t="e">
        <f t="shared" si="2"/>
        <v>#DIV/0!</v>
      </c>
      <c r="J47" s="63"/>
      <c r="K47" s="63"/>
      <c r="L47" s="63"/>
    </row>
    <row r="48" spans="1:12">
      <c r="A48" s="29">
        <v>41</v>
      </c>
      <c r="B48" s="109" t="s">
        <v>184</v>
      </c>
      <c r="C48" s="63"/>
      <c r="D48" s="63"/>
      <c r="E48" s="63"/>
      <c r="F48" s="117"/>
      <c r="G48" s="117"/>
      <c r="H48" s="117"/>
      <c r="I48" s="61" t="e">
        <f t="shared" si="2"/>
        <v>#DIV/0!</v>
      </c>
      <c r="J48" s="63"/>
      <c r="K48" s="63"/>
      <c r="L48" s="63"/>
    </row>
    <row r="49" spans="1:12">
      <c r="A49" s="25">
        <v>42</v>
      </c>
      <c r="B49" s="109" t="s">
        <v>185</v>
      </c>
      <c r="C49" s="63"/>
      <c r="D49" s="63"/>
      <c r="E49" s="63"/>
      <c r="F49" s="117"/>
      <c r="G49" s="117"/>
      <c r="H49" s="117"/>
      <c r="I49" s="61" t="e">
        <f t="shared" si="2"/>
        <v>#DIV/0!</v>
      </c>
      <c r="J49" s="63"/>
      <c r="K49" s="63"/>
      <c r="L49" s="63"/>
    </row>
    <row r="50" spans="1:12">
      <c r="A50" s="29">
        <v>43</v>
      </c>
      <c r="B50" s="109" t="s">
        <v>186</v>
      </c>
      <c r="C50" s="63"/>
      <c r="D50" s="63"/>
      <c r="E50" s="63"/>
      <c r="F50" s="117"/>
      <c r="G50" s="117"/>
      <c r="H50" s="117"/>
      <c r="I50" s="61" t="e">
        <f t="shared" si="2"/>
        <v>#DIV/0!</v>
      </c>
      <c r="J50" s="63"/>
      <c r="K50" s="63"/>
      <c r="L50" s="63"/>
    </row>
    <row r="51" spans="1:12">
      <c r="A51" s="25">
        <v>44</v>
      </c>
      <c r="B51" s="109" t="s">
        <v>187</v>
      </c>
      <c r="C51" s="63"/>
      <c r="D51" s="63"/>
      <c r="E51" s="63"/>
      <c r="F51" s="117"/>
      <c r="G51" s="117"/>
      <c r="H51" s="117"/>
      <c r="I51" s="61" t="e">
        <f t="shared" si="2"/>
        <v>#DIV/0!</v>
      </c>
      <c r="J51" s="63"/>
      <c r="K51" s="63"/>
      <c r="L51" s="63"/>
    </row>
    <row r="52" spans="1:12">
      <c r="A52" s="29">
        <v>45</v>
      </c>
      <c r="B52" s="109" t="s">
        <v>188</v>
      </c>
      <c r="C52" s="63"/>
      <c r="D52" s="63"/>
      <c r="E52" s="63"/>
      <c r="F52" s="117"/>
      <c r="G52" s="117"/>
      <c r="H52" s="117"/>
      <c r="I52" s="61" t="e">
        <f t="shared" si="2"/>
        <v>#DIV/0!</v>
      </c>
      <c r="J52" s="63"/>
      <c r="K52" s="63"/>
      <c r="L52" s="63"/>
    </row>
    <row r="53" spans="1:12">
      <c r="A53" s="25">
        <v>46</v>
      </c>
      <c r="B53" s="109" t="s">
        <v>189</v>
      </c>
      <c r="C53" s="63"/>
      <c r="D53" s="63"/>
      <c r="E53" s="63"/>
      <c r="F53" s="117"/>
      <c r="G53" s="117"/>
      <c r="H53" s="117"/>
      <c r="I53" s="61" t="e">
        <f t="shared" si="2"/>
        <v>#DIV/0!</v>
      </c>
      <c r="J53" s="63"/>
      <c r="K53" s="63"/>
      <c r="L53" s="63"/>
    </row>
    <row r="54" spans="1:12">
      <c r="A54" s="29">
        <v>47</v>
      </c>
      <c r="B54" s="109" t="s">
        <v>190</v>
      </c>
      <c r="C54" s="63"/>
      <c r="D54" s="63"/>
      <c r="E54" s="63"/>
      <c r="F54" s="117"/>
      <c r="G54" s="117"/>
      <c r="H54" s="117"/>
      <c r="I54" s="61" t="e">
        <f t="shared" si="2"/>
        <v>#DIV/0!</v>
      </c>
      <c r="J54" s="63"/>
      <c r="K54" s="63"/>
      <c r="L54" s="63"/>
    </row>
    <row r="55" spans="1:12">
      <c r="A55" s="25">
        <v>48</v>
      </c>
      <c r="B55" s="109" t="s">
        <v>191</v>
      </c>
      <c r="C55" s="63"/>
      <c r="D55" s="63"/>
      <c r="E55" s="63"/>
      <c r="F55" s="117"/>
      <c r="G55" s="117"/>
      <c r="H55" s="117"/>
      <c r="I55" s="61" t="e">
        <f t="shared" si="2"/>
        <v>#DIV/0!</v>
      </c>
      <c r="J55" s="63"/>
      <c r="K55" s="63"/>
      <c r="L55" s="63"/>
    </row>
    <row r="56" spans="1:12">
      <c r="A56" s="29">
        <v>49</v>
      </c>
      <c r="B56" s="109" t="s">
        <v>192</v>
      </c>
      <c r="C56" s="63"/>
      <c r="D56" s="63"/>
      <c r="E56" s="63"/>
      <c r="F56" s="117"/>
      <c r="G56" s="117"/>
      <c r="H56" s="117"/>
      <c r="I56" s="61" t="e">
        <f t="shared" si="2"/>
        <v>#DIV/0!</v>
      </c>
      <c r="J56" s="63"/>
      <c r="K56" s="63"/>
      <c r="L56" s="63"/>
    </row>
    <row r="57" spans="1:12">
      <c r="A57" s="25">
        <v>50</v>
      </c>
      <c r="B57" s="109" t="s">
        <v>193</v>
      </c>
      <c r="C57" s="63"/>
      <c r="D57" s="63"/>
      <c r="E57" s="63"/>
      <c r="F57" s="117"/>
      <c r="G57" s="117"/>
      <c r="H57" s="117"/>
      <c r="I57" s="61" t="e">
        <f t="shared" si="2"/>
        <v>#DIV/0!</v>
      </c>
      <c r="J57" s="63"/>
      <c r="K57" s="63"/>
      <c r="L57" s="63"/>
    </row>
    <row r="58" spans="1:12">
      <c r="A58" s="29">
        <v>51</v>
      </c>
      <c r="B58" s="109" t="s">
        <v>194</v>
      </c>
      <c r="C58" s="63"/>
      <c r="D58" s="63"/>
      <c r="E58" s="63"/>
      <c r="F58" s="117"/>
      <c r="G58" s="117"/>
      <c r="H58" s="117"/>
      <c r="I58" s="61" t="e">
        <f t="shared" si="2"/>
        <v>#DIV/0!</v>
      </c>
      <c r="J58" s="63"/>
      <c r="K58" s="63"/>
      <c r="L58" s="63"/>
    </row>
    <row r="59" spans="1:12">
      <c r="A59" s="25">
        <v>52</v>
      </c>
      <c r="B59" s="109" t="s">
        <v>195</v>
      </c>
      <c r="C59" s="63"/>
      <c r="D59" s="63"/>
      <c r="E59" s="63"/>
      <c r="F59" s="117"/>
      <c r="G59" s="117"/>
      <c r="H59" s="117"/>
      <c r="I59" s="61" t="e">
        <f t="shared" si="2"/>
        <v>#DIV/0!</v>
      </c>
      <c r="J59" s="63"/>
      <c r="K59" s="63"/>
      <c r="L59" s="63"/>
    </row>
    <row r="60" spans="1:12">
      <c r="A60" s="29">
        <v>53</v>
      </c>
      <c r="B60" s="109" t="s">
        <v>196</v>
      </c>
      <c r="C60" s="63"/>
      <c r="D60" s="63"/>
      <c r="E60" s="63"/>
      <c r="F60" s="117"/>
      <c r="G60" s="117"/>
      <c r="H60" s="117"/>
      <c r="I60" s="61" t="e">
        <f t="shared" si="2"/>
        <v>#DIV/0!</v>
      </c>
      <c r="J60" s="63"/>
      <c r="K60" s="63"/>
      <c r="L60" s="63"/>
    </row>
    <row r="61" spans="1:12">
      <c r="A61" s="25">
        <v>54</v>
      </c>
      <c r="B61" s="109" t="s">
        <v>197</v>
      </c>
      <c r="C61" s="63"/>
      <c r="D61" s="63"/>
      <c r="E61" s="63"/>
      <c r="F61" s="117"/>
      <c r="G61" s="117"/>
      <c r="H61" s="117"/>
      <c r="I61" s="61" t="e">
        <f t="shared" si="2"/>
        <v>#DIV/0!</v>
      </c>
      <c r="J61" s="63"/>
      <c r="K61" s="63"/>
      <c r="L61" s="63"/>
    </row>
    <row r="62" spans="1:12">
      <c r="A62" s="29">
        <v>55</v>
      </c>
      <c r="B62" s="109" t="s">
        <v>198</v>
      </c>
      <c r="C62" s="63"/>
      <c r="D62" s="63"/>
      <c r="E62" s="63"/>
      <c r="F62" s="117"/>
      <c r="G62" s="117"/>
      <c r="H62" s="117"/>
      <c r="I62" s="61" t="e">
        <f t="shared" si="2"/>
        <v>#DIV/0!</v>
      </c>
      <c r="J62" s="63"/>
      <c r="K62" s="63"/>
      <c r="L62" s="63"/>
    </row>
    <row r="63" spans="1:12">
      <c r="A63" s="25">
        <v>56</v>
      </c>
      <c r="B63" s="109" t="s">
        <v>199</v>
      </c>
      <c r="C63" s="63"/>
      <c r="D63" s="63"/>
      <c r="E63" s="63"/>
      <c r="F63" s="117"/>
      <c r="G63" s="117"/>
      <c r="H63" s="117"/>
      <c r="I63" s="61" t="e">
        <f t="shared" si="2"/>
        <v>#DIV/0!</v>
      </c>
      <c r="J63" s="63"/>
      <c r="K63" s="63"/>
      <c r="L63" s="63"/>
    </row>
    <row r="64" spans="1:12">
      <c r="A64" s="29">
        <v>57</v>
      </c>
      <c r="B64" s="109" t="s">
        <v>200</v>
      </c>
      <c r="C64" s="63"/>
      <c r="D64" s="63"/>
      <c r="E64" s="63"/>
      <c r="F64" s="117"/>
      <c r="G64" s="117"/>
      <c r="H64" s="117"/>
      <c r="I64" s="61" t="e">
        <f t="shared" si="2"/>
        <v>#DIV/0!</v>
      </c>
      <c r="J64" s="63"/>
      <c r="K64" s="63"/>
      <c r="L64" s="63"/>
    </row>
    <row r="65" spans="1:12">
      <c r="A65" s="25">
        <v>58</v>
      </c>
      <c r="B65" s="109" t="s">
        <v>201</v>
      </c>
      <c r="C65" s="63"/>
      <c r="D65" s="63"/>
      <c r="E65" s="63"/>
      <c r="F65" s="117"/>
      <c r="G65" s="117"/>
      <c r="H65" s="117"/>
      <c r="I65" s="61" t="e">
        <f t="shared" si="2"/>
        <v>#DIV/0!</v>
      </c>
      <c r="J65" s="63"/>
      <c r="K65" s="63"/>
      <c r="L65" s="63"/>
    </row>
    <row r="66" spans="1:12">
      <c r="A66" s="29">
        <v>59</v>
      </c>
      <c r="B66" s="109" t="s">
        <v>202</v>
      </c>
      <c r="C66" s="63"/>
      <c r="D66" s="63"/>
      <c r="E66" s="63"/>
      <c r="F66" s="117"/>
      <c r="G66" s="117"/>
      <c r="H66" s="117"/>
      <c r="I66" s="61" t="e">
        <f t="shared" si="2"/>
        <v>#DIV/0!</v>
      </c>
      <c r="J66" s="63"/>
      <c r="K66" s="63"/>
      <c r="L66" s="63"/>
    </row>
    <row r="67" spans="1:12">
      <c r="A67" s="25">
        <v>60</v>
      </c>
      <c r="B67" s="109" t="s">
        <v>203</v>
      </c>
      <c r="C67" s="63"/>
      <c r="D67" s="63"/>
      <c r="E67" s="63"/>
      <c r="F67" s="117"/>
      <c r="G67" s="117"/>
      <c r="H67" s="117"/>
      <c r="I67" s="61" t="e">
        <f t="shared" si="2"/>
        <v>#DIV/0!</v>
      </c>
      <c r="J67" s="63"/>
      <c r="K67" s="63"/>
      <c r="L67" s="63"/>
    </row>
    <row r="68" spans="1:12">
      <c r="A68" s="29">
        <v>61</v>
      </c>
      <c r="B68" s="109" t="s">
        <v>204</v>
      </c>
      <c r="C68" s="63"/>
      <c r="D68" s="63"/>
      <c r="E68" s="63"/>
      <c r="F68" s="117"/>
      <c r="G68" s="117"/>
      <c r="H68" s="117"/>
      <c r="I68" s="61" t="e">
        <f t="shared" si="2"/>
        <v>#DIV/0!</v>
      </c>
      <c r="J68" s="63"/>
      <c r="K68" s="63"/>
      <c r="L68" s="63"/>
    </row>
    <row r="69" spans="1:12">
      <c r="A69" s="25">
        <v>62</v>
      </c>
      <c r="B69" s="109" t="s">
        <v>205</v>
      </c>
      <c r="C69" s="63"/>
      <c r="D69" s="63"/>
      <c r="E69" s="63"/>
      <c r="F69" s="117"/>
      <c r="G69" s="117"/>
      <c r="H69" s="117"/>
      <c r="I69" s="61" t="e">
        <f t="shared" si="2"/>
        <v>#DIV/0!</v>
      </c>
      <c r="J69" s="63"/>
      <c r="K69" s="63"/>
      <c r="L69" s="63"/>
    </row>
    <row r="70" spans="1:12">
      <c r="A70" s="29">
        <v>63</v>
      </c>
      <c r="B70" s="109" t="s">
        <v>206</v>
      </c>
      <c r="C70" s="63"/>
      <c r="D70" s="63"/>
      <c r="E70" s="63"/>
      <c r="F70" s="117"/>
      <c r="G70" s="117"/>
      <c r="H70" s="117"/>
      <c r="I70" s="61" t="e">
        <f t="shared" si="2"/>
        <v>#DIV/0!</v>
      </c>
      <c r="J70" s="63"/>
      <c r="K70" s="63"/>
      <c r="L70" s="63"/>
    </row>
    <row r="71" spans="1:12">
      <c r="A71" s="25">
        <v>64</v>
      </c>
      <c r="B71" s="109" t="s">
        <v>207</v>
      </c>
      <c r="C71" s="63"/>
      <c r="D71" s="63"/>
      <c r="E71" s="63"/>
      <c r="F71" s="117"/>
      <c r="G71" s="117"/>
      <c r="H71" s="117"/>
      <c r="I71" s="61" t="e">
        <f t="shared" si="2"/>
        <v>#DIV/0!</v>
      </c>
      <c r="J71" s="63"/>
      <c r="K71" s="63"/>
      <c r="L71" s="63"/>
    </row>
    <row r="72" spans="1:12">
      <c r="A72" s="29">
        <v>65</v>
      </c>
      <c r="B72" s="109" t="s">
        <v>208</v>
      </c>
      <c r="C72" s="63"/>
      <c r="D72" s="63"/>
      <c r="E72" s="63"/>
      <c r="F72" s="117"/>
      <c r="G72" s="117"/>
      <c r="H72" s="117"/>
      <c r="I72" s="61" t="e">
        <f t="shared" si="2"/>
        <v>#DIV/0!</v>
      </c>
      <c r="J72" s="63"/>
      <c r="K72" s="63"/>
      <c r="L72" s="63"/>
    </row>
    <row r="73" spans="1:12">
      <c r="A73" s="25">
        <v>66</v>
      </c>
      <c r="B73" s="109" t="s">
        <v>209</v>
      </c>
      <c r="C73" s="63"/>
      <c r="D73" s="63"/>
      <c r="E73" s="63"/>
      <c r="F73" s="117"/>
      <c r="G73" s="117"/>
      <c r="H73" s="117"/>
      <c r="I73" s="61" t="e">
        <f t="shared" si="2"/>
        <v>#DIV/0!</v>
      </c>
      <c r="J73" s="63"/>
      <c r="K73" s="63"/>
      <c r="L73" s="63"/>
    </row>
    <row r="74" spans="1:12">
      <c r="A74" s="29">
        <v>67</v>
      </c>
      <c r="B74" s="109" t="s">
        <v>210</v>
      </c>
      <c r="C74" s="63"/>
      <c r="D74" s="63"/>
      <c r="E74" s="63"/>
      <c r="F74" s="117"/>
      <c r="G74" s="117"/>
      <c r="H74" s="117"/>
      <c r="I74" s="61" t="e">
        <f t="shared" si="2"/>
        <v>#DIV/0!</v>
      </c>
      <c r="J74" s="63"/>
      <c r="K74" s="63"/>
      <c r="L74" s="63"/>
    </row>
    <row r="75" spans="1:12">
      <c r="A75" s="25">
        <v>68</v>
      </c>
      <c r="B75" s="109" t="s">
        <v>211</v>
      </c>
      <c r="C75" s="63"/>
      <c r="D75" s="63"/>
      <c r="E75" s="63"/>
      <c r="F75" s="117"/>
      <c r="G75" s="117"/>
      <c r="H75" s="117"/>
      <c r="I75" s="61" t="e">
        <f t="shared" si="2"/>
        <v>#DIV/0!</v>
      </c>
      <c r="J75" s="63"/>
      <c r="K75" s="63"/>
      <c r="L75" s="63"/>
    </row>
    <row r="76" spans="1:12">
      <c r="A76" s="29">
        <v>69</v>
      </c>
      <c r="B76" s="109" t="s">
        <v>212</v>
      </c>
      <c r="C76" s="63"/>
      <c r="D76" s="63"/>
      <c r="E76" s="63"/>
      <c r="F76" s="117"/>
      <c r="G76" s="117"/>
      <c r="H76" s="117"/>
      <c r="I76" s="61" t="e">
        <f t="shared" si="2"/>
        <v>#DIV/0!</v>
      </c>
      <c r="J76" s="63"/>
      <c r="K76" s="63"/>
      <c r="L76" s="63"/>
    </row>
    <row r="77" spans="1:12">
      <c r="A77" s="25">
        <v>70</v>
      </c>
      <c r="B77" s="109" t="s">
        <v>213</v>
      </c>
      <c r="C77" s="63"/>
      <c r="D77" s="63"/>
      <c r="E77" s="63"/>
      <c r="F77" s="117"/>
      <c r="G77" s="117"/>
      <c r="H77" s="117"/>
      <c r="I77" s="61" t="e">
        <f t="shared" si="2"/>
        <v>#DIV/0!</v>
      </c>
      <c r="J77" s="63"/>
      <c r="K77" s="63"/>
      <c r="L77" s="63"/>
    </row>
    <row r="78" s="103" customFormat="1" ht="16" customHeight="1" spans="1:36">
      <c r="A78" s="107" t="s">
        <v>288</v>
      </c>
      <c r="B78" s="27"/>
      <c r="C78" s="110"/>
      <c r="D78" s="110"/>
      <c r="E78" s="118"/>
      <c r="F78" s="119"/>
      <c r="G78" s="119"/>
      <c r="H78" s="119"/>
      <c r="I78" s="118"/>
      <c r="J78" s="118"/>
      <c r="K78" s="118"/>
      <c r="L78" s="110"/>
      <c r="M78" s="9"/>
      <c r="N78" s="9"/>
      <c r="O78" s="9"/>
      <c r="P78" s="9"/>
      <c r="Q78" s="123"/>
      <c r="R78" s="34"/>
      <c r="S78" s="34"/>
      <c r="T78" s="34"/>
      <c r="U78" s="34"/>
      <c r="V78" s="34"/>
      <c r="W78" s="123"/>
      <c r="X78" s="123"/>
      <c r="Y78" s="123"/>
      <c r="Z78" s="123"/>
      <c r="AA78" s="123"/>
      <c r="AB78" s="123"/>
      <c r="AC78" s="123"/>
      <c r="AD78" s="123"/>
      <c r="AE78" s="123"/>
      <c r="AF78" s="123"/>
      <c r="AG78" s="123"/>
      <c r="AH78" s="123"/>
      <c r="AI78" s="123"/>
      <c r="AJ78" s="123"/>
    </row>
    <row r="79" s="5" customFormat="1" ht="15" customHeight="1" spans="1:12">
      <c r="A79" s="25">
        <v>71</v>
      </c>
      <c r="B79" s="26" t="s">
        <v>111</v>
      </c>
      <c r="C79" s="62"/>
      <c r="D79" s="62"/>
      <c r="E79" s="62"/>
      <c r="F79" s="116">
        <f>SUM(F80:F113)</f>
        <v>0</v>
      </c>
      <c r="G79" s="116">
        <f>SUM(G80:G113)</f>
        <v>0</v>
      </c>
      <c r="H79" s="116">
        <f>SUM(H80:H113)</f>
        <v>0</v>
      </c>
      <c r="I79" s="61" t="e">
        <f t="shared" ref="I79:I113" si="3">G79/F79</f>
        <v>#DIV/0!</v>
      </c>
      <c r="J79" s="62"/>
      <c r="K79" s="62"/>
      <c r="L79" s="62"/>
    </row>
    <row r="80" spans="1:12">
      <c r="A80" s="29">
        <v>72</v>
      </c>
      <c r="B80" s="109" t="s">
        <v>180</v>
      </c>
      <c r="C80" s="63"/>
      <c r="D80" s="63"/>
      <c r="E80" s="63"/>
      <c r="F80" s="117"/>
      <c r="G80" s="117"/>
      <c r="H80" s="117"/>
      <c r="I80" s="61" t="e">
        <f t="shared" si="3"/>
        <v>#DIV/0!</v>
      </c>
      <c r="J80" s="63"/>
      <c r="K80" s="63"/>
      <c r="L80" s="63"/>
    </row>
    <row r="81" spans="1:12">
      <c r="A81" s="25">
        <v>73</v>
      </c>
      <c r="B81" s="109" t="s">
        <v>181</v>
      </c>
      <c r="C81" s="63"/>
      <c r="D81" s="63"/>
      <c r="E81" s="63"/>
      <c r="F81" s="117"/>
      <c r="G81" s="117"/>
      <c r="H81" s="117"/>
      <c r="I81" s="61" t="e">
        <f t="shared" si="3"/>
        <v>#DIV/0!</v>
      </c>
      <c r="J81" s="63"/>
      <c r="K81" s="63"/>
      <c r="L81" s="63"/>
    </row>
    <row r="82" spans="1:12">
      <c r="A82" s="29">
        <v>74</v>
      </c>
      <c r="B82" s="109" t="s">
        <v>182</v>
      </c>
      <c r="C82" s="63"/>
      <c r="D82" s="63"/>
      <c r="E82" s="63"/>
      <c r="F82" s="117"/>
      <c r="G82" s="117"/>
      <c r="H82" s="117"/>
      <c r="I82" s="61" t="e">
        <f t="shared" si="3"/>
        <v>#DIV/0!</v>
      </c>
      <c r="J82" s="63"/>
      <c r="K82" s="63"/>
      <c r="L82" s="63"/>
    </row>
    <row r="83" spans="1:12">
      <c r="A83" s="25">
        <v>75</v>
      </c>
      <c r="B83" s="109" t="s">
        <v>183</v>
      </c>
      <c r="C83" s="63"/>
      <c r="D83" s="63"/>
      <c r="E83" s="63"/>
      <c r="F83" s="117"/>
      <c r="G83" s="117"/>
      <c r="H83" s="117"/>
      <c r="I83" s="61" t="e">
        <f t="shared" si="3"/>
        <v>#DIV/0!</v>
      </c>
      <c r="J83" s="63"/>
      <c r="K83" s="63"/>
      <c r="L83" s="63"/>
    </row>
    <row r="84" spans="1:12">
      <c r="A84" s="29">
        <v>76</v>
      </c>
      <c r="B84" s="109" t="s">
        <v>184</v>
      </c>
      <c r="C84" s="63"/>
      <c r="D84" s="63"/>
      <c r="E84" s="63"/>
      <c r="F84" s="117"/>
      <c r="G84" s="117"/>
      <c r="H84" s="117"/>
      <c r="I84" s="61" t="e">
        <f t="shared" si="3"/>
        <v>#DIV/0!</v>
      </c>
      <c r="J84" s="63"/>
      <c r="K84" s="63"/>
      <c r="L84" s="63"/>
    </row>
    <row r="85" spans="1:12">
      <c r="A85" s="25">
        <v>77</v>
      </c>
      <c r="B85" s="109" t="s">
        <v>185</v>
      </c>
      <c r="C85" s="63"/>
      <c r="D85" s="63"/>
      <c r="E85" s="63"/>
      <c r="F85" s="117"/>
      <c r="G85" s="117"/>
      <c r="H85" s="117"/>
      <c r="I85" s="61" t="e">
        <f t="shared" si="3"/>
        <v>#DIV/0!</v>
      </c>
      <c r="J85" s="63"/>
      <c r="K85" s="63"/>
      <c r="L85" s="63"/>
    </row>
    <row r="86" spans="1:12">
      <c r="A86" s="29">
        <v>78</v>
      </c>
      <c r="B86" s="109" t="s">
        <v>186</v>
      </c>
      <c r="C86" s="63"/>
      <c r="D86" s="63"/>
      <c r="E86" s="63"/>
      <c r="F86" s="117"/>
      <c r="G86" s="117"/>
      <c r="H86" s="117"/>
      <c r="I86" s="61" t="e">
        <f t="shared" si="3"/>
        <v>#DIV/0!</v>
      </c>
      <c r="J86" s="63"/>
      <c r="K86" s="63"/>
      <c r="L86" s="63"/>
    </row>
    <row r="87" spans="1:12">
      <c r="A87" s="25">
        <v>79</v>
      </c>
      <c r="B87" s="109" t="s">
        <v>187</v>
      </c>
      <c r="C87" s="63"/>
      <c r="D87" s="63"/>
      <c r="E87" s="63"/>
      <c r="F87" s="117"/>
      <c r="G87" s="117"/>
      <c r="H87" s="117"/>
      <c r="I87" s="61" t="e">
        <f t="shared" si="3"/>
        <v>#DIV/0!</v>
      </c>
      <c r="J87" s="63"/>
      <c r="K87" s="63"/>
      <c r="L87" s="63"/>
    </row>
    <row r="88" spans="1:12">
      <c r="A88" s="29">
        <v>80</v>
      </c>
      <c r="B88" s="109" t="s">
        <v>188</v>
      </c>
      <c r="C88" s="63"/>
      <c r="D88" s="63"/>
      <c r="E88" s="63"/>
      <c r="F88" s="117"/>
      <c r="G88" s="117"/>
      <c r="H88" s="117"/>
      <c r="I88" s="61" t="e">
        <f t="shared" si="3"/>
        <v>#DIV/0!</v>
      </c>
      <c r="J88" s="63"/>
      <c r="K88" s="63"/>
      <c r="L88" s="63"/>
    </row>
    <row r="89" spans="1:12">
      <c r="A89" s="25">
        <v>81</v>
      </c>
      <c r="B89" s="109" t="s">
        <v>189</v>
      </c>
      <c r="C89" s="63"/>
      <c r="D89" s="63"/>
      <c r="E89" s="63"/>
      <c r="F89" s="117"/>
      <c r="G89" s="117"/>
      <c r="H89" s="117"/>
      <c r="I89" s="61" t="e">
        <f t="shared" si="3"/>
        <v>#DIV/0!</v>
      </c>
      <c r="J89" s="63"/>
      <c r="K89" s="63"/>
      <c r="L89" s="63"/>
    </row>
    <row r="90" spans="1:12">
      <c r="A90" s="29">
        <v>82</v>
      </c>
      <c r="B90" s="109" t="s">
        <v>190</v>
      </c>
      <c r="C90" s="63"/>
      <c r="D90" s="63"/>
      <c r="E90" s="63"/>
      <c r="F90" s="117"/>
      <c r="G90" s="117"/>
      <c r="H90" s="117"/>
      <c r="I90" s="61" t="e">
        <f t="shared" si="3"/>
        <v>#DIV/0!</v>
      </c>
      <c r="J90" s="63"/>
      <c r="K90" s="63"/>
      <c r="L90" s="63"/>
    </row>
    <row r="91" spans="1:12">
      <c r="A91" s="25">
        <v>83</v>
      </c>
      <c r="B91" s="109" t="s">
        <v>191</v>
      </c>
      <c r="C91" s="63"/>
      <c r="D91" s="63"/>
      <c r="E91" s="63"/>
      <c r="F91" s="117"/>
      <c r="G91" s="117"/>
      <c r="H91" s="117"/>
      <c r="I91" s="61" t="e">
        <f t="shared" si="3"/>
        <v>#DIV/0!</v>
      </c>
      <c r="J91" s="63"/>
      <c r="K91" s="63"/>
      <c r="L91" s="63"/>
    </row>
    <row r="92" spans="1:12">
      <c r="A92" s="29">
        <v>84</v>
      </c>
      <c r="B92" s="109" t="s">
        <v>192</v>
      </c>
      <c r="C92" s="63"/>
      <c r="D92" s="63"/>
      <c r="E92" s="63"/>
      <c r="F92" s="117"/>
      <c r="G92" s="117"/>
      <c r="H92" s="117"/>
      <c r="I92" s="61" t="e">
        <f t="shared" si="3"/>
        <v>#DIV/0!</v>
      </c>
      <c r="J92" s="63"/>
      <c r="K92" s="63"/>
      <c r="L92" s="63"/>
    </row>
    <row r="93" spans="1:12">
      <c r="A93" s="25">
        <v>85</v>
      </c>
      <c r="B93" s="109" t="s">
        <v>193</v>
      </c>
      <c r="C93" s="63"/>
      <c r="D93" s="63"/>
      <c r="E93" s="63"/>
      <c r="F93" s="117"/>
      <c r="G93" s="117"/>
      <c r="H93" s="117"/>
      <c r="I93" s="61" t="e">
        <f t="shared" si="3"/>
        <v>#DIV/0!</v>
      </c>
      <c r="J93" s="63"/>
      <c r="K93" s="63"/>
      <c r="L93" s="63"/>
    </row>
    <row r="94" spans="1:12">
      <c r="A94" s="29">
        <v>86</v>
      </c>
      <c r="B94" s="109" t="s">
        <v>194</v>
      </c>
      <c r="C94" s="63"/>
      <c r="D94" s="63"/>
      <c r="E94" s="63"/>
      <c r="F94" s="117"/>
      <c r="G94" s="117"/>
      <c r="H94" s="117"/>
      <c r="I94" s="61" t="e">
        <f t="shared" si="3"/>
        <v>#DIV/0!</v>
      </c>
      <c r="J94" s="63"/>
      <c r="K94" s="63"/>
      <c r="L94" s="63"/>
    </row>
    <row r="95" spans="1:12">
      <c r="A95" s="25">
        <v>87</v>
      </c>
      <c r="B95" s="109" t="s">
        <v>195</v>
      </c>
      <c r="C95" s="63"/>
      <c r="D95" s="63"/>
      <c r="E95" s="63"/>
      <c r="F95" s="117"/>
      <c r="G95" s="117"/>
      <c r="H95" s="117"/>
      <c r="I95" s="61" t="e">
        <f t="shared" si="3"/>
        <v>#DIV/0!</v>
      </c>
      <c r="J95" s="63"/>
      <c r="K95" s="63"/>
      <c r="L95" s="63"/>
    </row>
    <row r="96" spans="1:12">
      <c r="A96" s="29">
        <v>88</v>
      </c>
      <c r="B96" s="109" t="s">
        <v>196</v>
      </c>
      <c r="C96" s="63"/>
      <c r="D96" s="63"/>
      <c r="E96" s="63"/>
      <c r="F96" s="117"/>
      <c r="G96" s="117"/>
      <c r="H96" s="117"/>
      <c r="I96" s="61" t="e">
        <f t="shared" si="3"/>
        <v>#DIV/0!</v>
      </c>
      <c r="J96" s="63"/>
      <c r="K96" s="63"/>
      <c r="L96" s="63"/>
    </row>
    <row r="97" spans="1:12">
      <c r="A97" s="25">
        <v>89</v>
      </c>
      <c r="B97" s="109" t="s">
        <v>197</v>
      </c>
      <c r="C97" s="63"/>
      <c r="D97" s="63"/>
      <c r="E97" s="63"/>
      <c r="F97" s="117"/>
      <c r="G97" s="117"/>
      <c r="H97" s="117"/>
      <c r="I97" s="61" t="e">
        <f t="shared" si="3"/>
        <v>#DIV/0!</v>
      </c>
      <c r="J97" s="63"/>
      <c r="K97" s="63"/>
      <c r="L97" s="63"/>
    </row>
    <row r="98" spans="1:12">
      <c r="A98" s="29">
        <v>90</v>
      </c>
      <c r="B98" s="109" t="s">
        <v>198</v>
      </c>
      <c r="C98" s="63"/>
      <c r="D98" s="63"/>
      <c r="E98" s="63"/>
      <c r="F98" s="117"/>
      <c r="G98" s="117"/>
      <c r="H98" s="117"/>
      <c r="I98" s="61" t="e">
        <f t="shared" si="3"/>
        <v>#DIV/0!</v>
      </c>
      <c r="J98" s="63"/>
      <c r="K98" s="63"/>
      <c r="L98" s="63"/>
    </row>
    <row r="99" spans="1:12">
      <c r="A99" s="25">
        <v>91</v>
      </c>
      <c r="B99" s="109" t="s">
        <v>199</v>
      </c>
      <c r="C99" s="63"/>
      <c r="D99" s="63"/>
      <c r="E99" s="63"/>
      <c r="F99" s="117"/>
      <c r="G99" s="117"/>
      <c r="H99" s="117"/>
      <c r="I99" s="61" t="e">
        <f t="shared" si="3"/>
        <v>#DIV/0!</v>
      </c>
      <c r="J99" s="63"/>
      <c r="K99" s="63"/>
      <c r="L99" s="63"/>
    </row>
    <row r="100" spans="1:12">
      <c r="A100" s="29">
        <v>92</v>
      </c>
      <c r="B100" s="109" t="s">
        <v>200</v>
      </c>
      <c r="C100" s="63"/>
      <c r="D100" s="63"/>
      <c r="E100" s="63"/>
      <c r="F100" s="117"/>
      <c r="G100" s="117"/>
      <c r="H100" s="117"/>
      <c r="I100" s="61" t="e">
        <f t="shared" si="3"/>
        <v>#DIV/0!</v>
      </c>
      <c r="J100" s="63"/>
      <c r="K100" s="63"/>
      <c r="L100" s="63"/>
    </row>
    <row r="101" spans="1:12">
      <c r="A101" s="25">
        <v>93</v>
      </c>
      <c r="B101" s="109" t="s">
        <v>201</v>
      </c>
      <c r="C101" s="63"/>
      <c r="D101" s="63"/>
      <c r="E101" s="63"/>
      <c r="F101" s="117"/>
      <c r="G101" s="117"/>
      <c r="H101" s="117"/>
      <c r="I101" s="61" t="e">
        <f t="shared" si="3"/>
        <v>#DIV/0!</v>
      </c>
      <c r="J101" s="63"/>
      <c r="K101" s="63"/>
      <c r="L101" s="63"/>
    </row>
    <row r="102" spans="1:12">
      <c r="A102" s="29">
        <v>94</v>
      </c>
      <c r="B102" s="109" t="s">
        <v>202</v>
      </c>
      <c r="C102" s="63"/>
      <c r="D102" s="63"/>
      <c r="E102" s="63"/>
      <c r="F102" s="117"/>
      <c r="G102" s="117"/>
      <c r="H102" s="117"/>
      <c r="I102" s="61" t="e">
        <f t="shared" si="3"/>
        <v>#DIV/0!</v>
      </c>
      <c r="J102" s="63"/>
      <c r="K102" s="63"/>
      <c r="L102" s="63"/>
    </row>
    <row r="103" spans="1:12">
      <c r="A103" s="25">
        <v>95</v>
      </c>
      <c r="B103" s="109" t="s">
        <v>203</v>
      </c>
      <c r="C103" s="63"/>
      <c r="D103" s="63"/>
      <c r="E103" s="63"/>
      <c r="F103" s="117"/>
      <c r="G103" s="117"/>
      <c r="H103" s="117"/>
      <c r="I103" s="61" t="e">
        <f t="shared" si="3"/>
        <v>#DIV/0!</v>
      </c>
      <c r="J103" s="63"/>
      <c r="K103" s="63"/>
      <c r="L103" s="63"/>
    </row>
    <row r="104" spans="1:12">
      <c r="A104" s="29">
        <v>96</v>
      </c>
      <c r="B104" s="109" t="s">
        <v>204</v>
      </c>
      <c r="C104" s="63"/>
      <c r="D104" s="63"/>
      <c r="E104" s="63"/>
      <c r="F104" s="117"/>
      <c r="G104" s="117"/>
      <c r="H104" s="117"/>
      <c r="I104" s="61" t="e">
        <f t="shared" si="3"/>
        <v>#DIV/0!</v>
      </c>
      <c r="J104" s="63"/>
      <c r="K104" s="63"/>
      <c r="L104" s="63"/>
    </row>
    <row r="105" spans="1:12">
      <c r="A105" s="25">
        <v>97</v>
      </c>
      <c r="B105" s="109" t="s">
        <v>205</v>
      </c>
      <c r="C105" s="63"/>
      <c r="D105" s="63"/>
      <c r="E105" s="63"/>
      <c r="F105" s="117"/>
      <c r="G105" s="117"/>
      <c r="H105" s="117"/>
      <c r="I105" s="61" t="e">
        <f t="shared" si="3"/>
        <v>#DIV/0!</v>
      </c>
      <c r="J105" s="63"/>
      <c r="K105" s="63"/>
      <c r="L105" s="63"/>
    </row>
    <row r="106" spans="1:12">
      <c r="A106" s="29">
        <v>98</v>
      </c>
      <c r="B106" s="109" t="s">
        <v>206</v>
      </c>
      <c r="C106" s="63"/>
      <c r="D106" s="63"/>
      <c r="E106" s="63"/>
      <c r="F106" s="117"/>
      <c r="G106" s="117"/>
      <c r="H106" s="117"/>
      <c r="I106" s="61" t="e">
        <f t="shared" si="3"/>
        <v>#DIV/0!</v>
      </c>
      <c r="J106" s="63"/>
      <c r="K106" s="63"/>
      <c r="L106" s="63"/>
    </row>
    <row r="107" spans="1:12">
      <c r="A107" s="25">
        <v>99</v>
      </c>
      <c r="B107" s="109" t="s">
        <v>207</v>
      </c>
      <c r="C107" s="63"/>
      <c r="D107" s="63"/>
      <c r="E107" s="63"/>
      <c r="F107" s="117"/>
      <c r="G107" s="117"/>
      <c r="H107" s="117"/>
      <c r="I107" s="61" t="e">
        <f t="shared" si="3"/>
        <v>#DIV/0!</v>
      </c>
      <c r="J107" s="63"/>
      <c r="K107" s="63"/>
      <c r="L107" s="63"/>
    </row>
    <row r="108" spans="1:12">
      <c r="A108" s="29">
        <v>100</v>
      </c>
      <c r="B108" s="109" t="s">
        <v>208</v>
      </c>
      <c r="C108" s="63"/>
      <c r="D108" s="63"/>
      <c r="E108" s="63"/>
      <c r="F108" s="117"/>
      <c r="G108" s="117"/>
      <c r="H108" s="117"/>
      <c r="I108" s="61" t="e">
        <f t="shared" si="3"/>
        <v>#DIV/0!</v>
      </c>
      <c r="J108" s="63"/>
      <c r="K108" s="63"/>
      <c r="L108" s="63"/>
    </row>
    <row r="109" spans="1:12">
      <c r="A109" s="25">
        <v>101</v>
      </c>
      <c r="B109" s="109" t="s">
        <v>209</v>
      </c>
      <c r="C109" s="63"/>
      <c r="D109" s="63"/>
      <c r="E109" s="63"/>
      <c r="F109" s="117"/>
      <c r="G109" s="117"/>
      <c r="H109" s="117"/>
      <c r="I109" s="61" t="e">
        <f t="shared" si="3"/>
        <v>#DIV/0!</v>
      </c>
      <c r="J109" s="63"/>
      <c r="K109" s="63"/>
      <c r="L109" s="63"/>
    </row>
    <row r="110" spans="1:12">
      <c r="A110" s="29">
        <v>102</v>
      </c>
      <c r="B110" s="109" t="s">
        <v>210</v>
      </c>
      <c r="C110" s="63"/>
      <c r="D110" s="63"/>
      <c r="E110" s="63"/>
      <c r="F110" s="117"/>
      <c r="G110" s="117"/>
      <c r="H110" s="117"/>
      <c r="I110" s="61" t="e">
        <f t="shared" si="3"/>
        <v>#DIV/0!</v>
      </c>
      <c r="J110" s="63"/>
      <c r="K110" s="63"/>
      <c r="L110" s="63"/>
    </row>
    <row r="111" spans="1:12">
      <c r="A111" s="25">
        <v>103</v>
      </c>
      <c r="B111" s="109" t="s">
        <v>211</v>
      </c>
      <c r="C111" s="63"/>
      <c r="D111" s="63"/>
      <c r="E111" s="63"/>
      <c r="F111" s="117"/>
      <c r="G111" s="117"/>
      <c r="H111" s="117"/>
      <c r="I111" s="61" t="e">
        <f t="shared" si="3"/>
        <v>#DIV/0!</v>
      </c>
      <c r="J111" s="63"/>
      <c r="K111" s="63"/>
      <c r="L111" s="63"/>
    </row>
    <row r="112" spans="1:12">
      <c r="A112" s="29">
        <v>104</v>
      </c>
      <c r="B112" s="109" t="s">
        <v>212</v>
      </c>
      <c r="C112" s="63"/>
      <c r="D112" s="63"/>
      <c r="E112" s="63"/>
      <c r="F112" s="117"/>
      <c r="G112" s="117"/>
      <c r="H112" s="117"/>
      <c r="I112" s="61" t="e">
        <f t="shared" si="3"/>
        <v>#DIV/0!</v>
      </c>
      <c r="J112" s="63"/>
      <c r="K112" s="63"/>
      <c r="L112" s="63"/>
    </row>
    <row r="113" spans="1:12">
      <c r="A113" s="25">
        <v>105</v>
      </c>
      <c r="B113" s="109" t="s">
        <v>213</v>
      </c>
      <c r="C113" s="63"/>
      <c r="D113" s="63"/>
      <c r="E113" s="63"/>
      <c r="F113" s="117"/>
      <c r="G113" s="117"/>
      <c r="H113" s="117"/>
      <c r="I113" s="61" t="e">
        <f t="shared" si="3"/>
        <v>#DIV/0!</v>
      </c>
      <c r="J113" s="63"/>
      <c r="K113" s="63"/>
      <c r="L113" s="63"/>
    </row>
    <row r="114" s="103" customFormat="1" ht="16" customHeight="1" spans="1:17">
      <c r="A114" s="107" t="s">
        <v>289</v>
      </c>
      <c r="B114" s="27"/>
      <c r="C114" s="27"/>
      <c r="D114" s="27"/>
      <c r="E114" s="27"/>
      <c r="F114" s="125"/>
      <c r="G114" s="125"/>
      <c r="H114" s="125"/>
      <c r="I114" s="27"/>
      <c r="J114" s="27"/>
      <c r="K114" s="27"/>
      <c r="L114" s="27"/>
      <c r="M114" s="123"/>
      <c r="N114" s="123"/>
      <c r="O114" s="123"/>
      <c r="P114" s="34"/>
      <c r="Q114" s="34"/>
    </row>
    <row r="115" s="5" customFormat="1" ht="15" customHeight="1" spans="1:12">
      <c r="A115" s="25">
        <v>106</v>
      </c>
      <c r="B115" s="26" t="s">
        <v>111</v>
      </c>
      <c r="C115" s="62"/>
      <c r="D115" s="62"/>
      <c r="E115" s="62"/>
      <c r="F115" s="116">
        <f>SUM(F116:F149)</f>
        <v>0</v>
      </c>
      <c r="G115" s="116">
        <f>SUM(G116:G149)</f>
        <v>0</v>
      </c>
      <c r="H115" s="116">
        <f>SUM(H116:H149)</f>
        <v>0</v>
      </c>
      <c r="I115" s="61" t="e">
        <f t="shared" ref="I115:I149" si="4">G115/F115</f>
        <v>#DIV/0!</v>
      </c>
      <c r="J115" s="62"/>
      <c r="K115" s="62"/>
      <c r="L115" s="62"/>
    </row>
    <row r="116" spans="1:12">
      <c r="A116" s="29">
        <v>107</v>
      </c>
      <c r="B116" s="109" t="s">
        <v>180</v>
      </c>
      <c r="C116" s="63"/>
      <c r="D116" s="63"/>
      <c r="E116" s="63"/>
      <c r="F116" s="117"/>
      <c r="G116" s="117"/>
      <c r="H116" s="117"/>
      <c r="I116" s="61" t="e">
        <f t="shared" si="4"/>
        <v>#DIV/0!</v>
      </c>
      <c r="J116" s="63"/>
      <c r="K116" s="63"/>
      <c r="L116" s="63"/>
    </row>
    <row r="117" spans="1:12">
      <c r="A117" s="25">
        <v>108</v>
      </c>
      <c r="B117" s="109" t="s">
        <v>181</v>
      </c>
      <c r="C117" s="63"/>
      <c r="D117" s="63"/>
      <c r="E117" s="63"/>
      <c r="F117" s="117"/>
      <c r="G117" s="117"/>
      <c r="H117" s="117"/>
      <c r="I117" s="61" t="e">
        <f t="shared" si="4"/>
        <v>#DIV/0!</v>
      </c>
      <c r="J117" s="63"/>
      <c r="K117" s="63"/>
      <c r="L117" s="63"/>
    </row>
    <row r="118" spans="1:12">
      <c r="A118" s="29">
        <v>109</v>
      </c>
      <c r="B118" s="109" t="s">
        <v>182</v>
      </c>
      <c r="C118" s="63"/>
      <c r="D118" s="63"/>
      <c r="E118" s="63"/>
      <c r="F118" s="117"/>
      <c r="G118" s="117"/>
      <c r="H118" s="117"/>
      <c r="I118" s="61" t="e">
        <f t="shared" si="4"/>
        <v>#DIV/0!</v>
      </c>
      <c r="J118" s="63"/>
      <c r="K118" s="63"/>
      <c r="L118" s="63"/>
    </row>
    <row r="119" spans="1:12">
      <c r="A119" s="25">
        <v>110</v>
      </c>
      <c r="B119" s="109" t="s">
        <v>183</v>
      </c>
      <c r="C119" s="63"/>
      <c r="D119" s="63"/>
      <c r="E119" s="63"/>
      <c r="F119" s="117"/>
      <c r="G119" s="117"/>
      <c r="H119" s="117"/>
      <c r="I119" s="61" t="e">
        <f t="shared" si="4"/>
        <v>#DIV/0!</v>
      </c>
      <c r="J119" s="63"/>
      <c r="K119" s="63"/>
      <c r="L119" s="63"/>
    </row>
    <row r="120" spans="1:12">
      <c r="A120" s="29">
        <v>111</v>
      </c>
      <c r="B120" s="109" t="s">
        <v>184</v>
      </c>
      <c r="C120" s="63"/>
      <c r="D120" s="63"/>
      <c r="E120" s="63"/>
      <c r="F120" s="117"/>
      <c r="G120" s="117"/>
      <c r="H120" s="117"/>
      <c r="I120" s="61" t="e">
        <f t="shared" si="4"/>
        <v>#DIV/0!</v>
      </c>
      <c r="J120" s="63"/>
      <c r="K120" s="63"/>
      <c r="L120" s="63"/>
    </row>
    <row r="121" spans="1:12">
      <c r="A121" s="25">
        <v>112</v>
      </c>
      <c r="B121" s="109" t="s">
        <v>185</v>
      </c>
      <c r="C121" s="63"/>
      <c r="D121" s="63"/>
      <c r="E121" s="63"/>
      <c r="F121" s="117"/>
      <c r="G121" s="117"/>
      <c r="H121" s="117"/>
      <c r="I121" s="61" t="e">
        <f t="shared" si="4"/>
        <v>#DIV/0!</v>
      </c>
      <c r="J121" s="63"/>
      <c r="K121" s="63"/>
      <c r="L121" s="63"/>
    </row>
    <row r="122" spans="1:12">
      <c r="A122" s="29">
        <v>113</v>
      </c>
      <c r="B122" s="109" t="s">
        <v>186</v>
      </c>
      <c r="C122" s="63"/>
      <c r="D122" s="63"/>
      <c r="E122" s="63"/>
      <c r="F122" s="117"/>
      <c r="G122" s="117"/>
      <c r="H122" s="117"/>
      <c r="I122" s="61" t="e">
        <f t="shared" si="4"/>
        <v>#DIV/0!</v>
      </c>
      <c r="J122" s="63"/>
      <c r="K122" s="63"/>
      <c r="L122" s="63"/>
    </row>
    <row r="123" spans="1:12">
      <c r="A123" s="25">
        <v>114</v>
      </c>
      <c r="B123" s="109" t="s">
        <v>187</v>
      </c>
      <c r="C123" s="63"/>
      <c r="D123" s="63"/>
      <c r="E123" s="63"/>
      <c r="F123" s="117"/>
      <c r="G123" s="117"/>
      <c r="H123" s="117"/>
      <c r="I123" s="61" t="e">
        <f t="shared" si="4"/>
        <v>#DIV/0!</v>
      </c>
      <c r="J123" s="63"/>
      <c r="K123" s="63"/>
      <c r="L123" s="63"/>
    </row>
    <row r="124" spans="1:12">
      <c r="A124" s="29">
        <v>115</v>
      </c>
      <c r="B124" s="109" t="s">
        <v>188</v>
      </c>
      <c r="C124" s="63"/>
      <c r="D124" s="63"/>
      <c r="E124" s="63"/>
      <c r="F124" s="117"/>
      <c r="G124" s="117"/>
      <c r="H124" s="117"/>
      <c r="I124" s="61" t="e">
        <f t="shared" si="4"/>
        <v>#DIV/0!</v>
      </c>
      <c r="J124" s="63"/>
      <c r="K124" s="63"/>
      <c r="L124" s="63"/>
    </row>
    <row r="125" spans="1:12">
      <c r="A125" s="25">
        <v>116</v>
      </c>
      <c r="B125" s="109" t="s">
        <v>189</v>
      </c>
      <c r="C125" s="63"/>
      <c r="D125" s="63"/>
      <c r="E125" s="63"/>
      <c r="F125" s="117"/>
      <c r="G125" s="117"/>
      <c r="H125" s="117"/>
      <c r="I125" s="61" t="e">
        <f t="shared" si="4"/>
        <v>#DIV/0!</v>
      </c>
      <c r="J125" s="63"/>
      <c r="K125" s="63"/>
      <c r="L125" s="63"/>
    </row>
    <row r="126" spans="1:12">
      <c r="A126" s="29">
        <v>117</v>
      </c>
      <c r="B126" s="109" t="s">
        <v>190</v>
      </c>
      <c r="C126" s="63"/>
      <c r="D126" s="63"/>
      <c r="E126" s="63"/>
      <c r="F126" s="117"/>
      <c r="G126" s="117"/>
      <c r="H126" s="117"/>
      <c r="I126" s="61" t="e">
        <f t="shared" si="4"/>
        <v>#DIV/0!</v>
      </c>
      <c r="J126" s="63"/>
      <c r="K126" s="63"/>
      <c r="L126" s="63"/>
    </row>
    <row r="127" spans="1:12">
      <c r="A127" s="25">
        <v>118</v>
      </c>
      <c r="B127" s="109" t="s">
        <v>191</v>
      </c>
      <c r="C127" s="63"/>
      <c r="D127" s="63"/>
      <c r="E127" s="63"/>
      <c r="F127" s="117"/>
      <c r="G127" s="117"/>
      <c r="H127" s="117"/>
      <c r="I127" s="61" t="e">
        <f t="shared" si="4"/>
        <v>#DIV/0!</v>
      </c>
      <c r="J127" s="63"/>
      <c r="K127" s="63"/>
      <c r="L127" s="63"/>
    </row>
    <row r="128" spans="1:12">
      <c r="A128" s="29">
        <v>119</v>
      </c>
      <c r="B128" s="109" t="s">
        <v>192</v>
      </c>
      <c r="C128" s="63"/>
      <c r="D128" s="63"/>
      <c r="E128" s="63"/>
      <c r="F128" s="117"/>
      <c r="G128" s="117"/>
      <c r="H128" s="117"/>
      <c r="I128" s="61" t="e">
        <f t="shared" si="4"/>
        <v>#DIV/0!</v>
      </c>
      <c r="J128" s="63"/>
      <c r="K128" s="63"/>
      <c r="L128" s="63"/>
    </row>
    <row r="129" spans="1:12">
      <c r="A129" s="25">
        <v>120</v>
      </c>
      <c r="B129" s="109" t="s">
        <v>193</v>
      </c>
      <c r="C129" s="63"/>
      <c r="D129" s="63"/>
      <c r="E129" s="63"/>
      <c r="F129" s="117"/>
      <c r="G129" s="117"/>
      <c r="H129" s="117"/>
      <c r="I129" s="61" t="e">
        <f t="shared" si="4"/>
        <v>#DIV/0!</v>
      </c>
      <c r="J129" s="63"/>
      <c r="K129" s="63"/>
      <c r="L129" s="63"/>
    </row>
    <row r="130" spans="1:12">
      <c r="A130" s="29">
        <v>121</v>
      </c>
      <c r="B130" s="109" t="s">
        <v>194</v>
      </c>
      <c r="C130" s="63"/>
      <c r="D130" s="63"/>
      <c r="E130" s="63"/>
      <c r="F130" s="117"/>
      <c r="G130" s="117"/>
      <c r="H130" s="117"/>
      <c r="I130" s="61" t="e">
        <f t="shared" si="4"/>
        <v>#DIV/0!</v>
      </c>
      <c r="J130" s="63"/>
      <c r="K130" s="63"/>
      <c r="L130" s="63"/>
    </row>
    <row r="131" spans="1:12">
      <c r="A131" s="25">
        <v>122</v>
      </c>
      <c r="B131" s="109" t="s">
        <v>195</v>
      </c>
      <c r="C131" s="63"/>
      <c r="D131" s="63"/>
      <c r="E131" s="63"/>
      <c r="F131" s="117"/>
      <c r="G131" s="117"/>
      <c r="H131" s="117"/>
      <c r="I131" s="61" t="e">
        <f t="shared" si="4"/>
        <v>#DIV/0!</v>
      </c>
      <c r="J131" s="63"/>
      <c r="K131" s="63"/>
      <c r="L131" s="63"/>
    </row>
    <row r="132" spans="1:12">
      <c r="A132" s="29">
        <v>123</v>
      </c>
      <c r="B132" s="109" t="s">
        <v>196</v>
      </c>
      <c r="C132" s="63"/>
      <c r="D132" s="63"/>
      <c r="E132" s="63"/>
      <c r="F132" s="117"/>
      <c r="G132" s="117"/>
      <c r="H132" s="117"/>
      <c r="I132" s="61" t="e">
        <f t="shared" si="4"/>
        <v>#DIV/0!</v>
      </c>
      <c r="J132" s="63"/>
      <c r="K132" s="63"/>
      <c r="L132" s="63"/>
    </row>
    <row r="133" spans="1:12">
      <c r="A133" s="25">
        <v>124</v>
      </c>
      <c r="B133" s="109" t="s">
        <v>197</v>
      </c>
      <c r="C133" s="63"/>
      <c r="D133" s="63"/>
      <c r="E133" s="63"/>
      <c r="F133" s="117"/>
      <c r="G133" s="117"/>
      <c r="H133" s="117"/>
      <c r="I133" s="61" t="e">
        <f t="shared" si="4"/>
        <v>#DIV/0!</v>
      </c>
      <c r="J133" s="63"/>
      <c r="K133" s="63"/>
      <c r="L133" s="63"/>
    </row>
    <row r="134" spans="1:12">
      <c r="A134" s="29">
        <v>125</v>
      </c>
      <c r="B134" s="109" t="s">
        <v>198</v>
      </c>
      <c r="C134" s="63"/>
      <c r="D134" s="63"/>
      <c r="E134" s="63"/>
      <c r="F134" s="117"/>
      <c r="G134" s="117"/>
      <c r="H134" s="117"/>
      <c r="I134" s="61" t="e">
        <f t="shared" si="4"/>
        <v>#DIV/0!</v>
      </c>
      <c r="J134" s="63"/>
      <c r="K134" s="63"/>
      <c r="L134" s="63"/>
    </row>
    <row r="135" spans="1:12">
      <c r="A135" s="25">
        <v>126</v>
      </c>
      <c r="B135" s="109" t="s">
        <v>199</v>
      </c>
      <c r="C135" s="63"/>
      <c r="D135" s="63"/>
      <c r="E135" s="63"/>
      <c r="F135" s="117"/>
      <c r="G135" s="117"/>
      <c r="H135" s="117"/>
      <c r="I135" s="61" t="e">
        <f t="shared" si="4"/>
        <v>#DIV/0!</v>
      </c>
      <c r="J135" s="63"/>
      <c r="K135" s="63"/>
      <c r="L135" s="63"/>
    </row>
    <row r="136" spans="1:12">
      <c r="A136" s="29">
        <v>127</v>
      </c>
      <c r="B136" s="109" t="s">
        <v>200</v>
      </c>
      <c r="C136" s="63"/>
      <c r="D136" s="63"/>
      <c r="E136" s="63"/>
      <c r="F136" s="117"/>
      <c r="G136" s="117"/>
      <c r="H136" s="117"/>
      <c r="I136" s="61" t="e">
        <f t="shared" si="4"/>
        <v>#DIV/0!</v>
      </c>
      <c r="J136" s="63"/>
      <c r="K136" s="63"/>
      <c r="L136" s="63"/>
    </row>
    <row r="137" spans="1:12">
      <c r="A137" s="25">
        <v>128</v>
      </c>
      <c r="B137" s="109" t="s">
        <v>201</v>
      </c>
      <c r="C137" s="63"/>
      <c r="D137" s="63"/>
      <c r="E137" s="63"/>
      <c r="F137" s="117"/>
      <c r="G137" s="117"/>
      <c r="H137" s="117"/>
      <c r="I137" s="61" t="e">
        <f t="shared" si="4"/>
        <v>#DIV/0!</v>
      </c>
      <c r="J137" s="63"/>
      <c r="K137" s="63"/>
      <c r="L137" s="63"/>
    </row>
    <row r="138" spans="1:12">
      <c r="A138" s="29">
        <v>129</v>
      </c>
      <c r="B138" s="109" t="s">
        <v>202</v>
      </c>
      <c r="C138" s="63"/>
      <c r="D138" s="63"/>
      <c r="E138" s="63"/>
      <c r="F138" s="117"/>
      <c r="G138" s="117"/>
      <c r="H138" s="117"/>
      <c r="I138" s="61" t="e">
        <f t="shared" si="4"/>
        <v>#DIV/0!</v>
      </c>
      <c r="J138" s="63"/>
      <c r="K138" s="63"/>
      <c r="L138" s="63"/>
    </row>
    <row r="139" spans="1:12">
      <c r="A139" s="25">
        <v>130</v>
      </c>
      <c r="B139" s="109" t="s">
        <v>203</v>
      </c>
      <c r="C139" s="63"/>
      <c r="D139" s="63"/>
      <c r="E139" s="63"/>
      <c r="F139" s="117"/>
      <c r="G139" s="117"/>
      <c r="H139" s="117"/>
      <c r="I139" s="61" t="e">
        <f t="shared" si="4"/>
        <v>#DIV/0!</v>
      </c>
      <c r="J139" s="63"/>
      <c r="K139" s="63"/>
      <c r="L139" s="63"/>
    </row>
    <row r="140" spans="1:12">
      <c r="A140" s="29">
        <v>131</v>
      </c>
      <c r="B140" s="109" t="s">
        <v>204</v>
      </c>
      <c r="C140" s="63"/>
      <c r="D140" s="63"/>
      <c r="E140" s="63"/>
      <c r="F140" s="117"/>
      <c r="G140" s="117"/>
      <c r="H140" s="117"/>
      <c r="I140" s="61" t="e">
        <f t="shared" si="4"/>
        <v>#DIV/0!</v>
      </c>
      <c r="J140" s="63"/>
      <c r="K140" s="63"/>
      <c r="L140" s="63"/>
    </row>
    <row r="141" spans="1:12">
      <c r="A141" s="25">
        <v>132</v>
      </c>
      <c r="B141" s="109" t="s">
        <v>205</v>
      </c>
      <c r="C141" s="63"/>
      <c r="D141" s="63"/>
      <c r="E141" s="63"/>
      <c r="F141" s="117"/>
      <c r="G141" s="117"/>
      <c r="H141" s="117"/>
      <c r="I141" s="61" t="e">
        <f t="shared" si="4"/>
        <v>#DIV/0!</v>
      </c>
      <c r="J141" s="63"/>
      <c r="K141" s="63"/>
      <c r="L141" s="63"/>
    </row>
    <row r="142" spans="1:12">
      <c r="A142" s="29">
        <v>133</v>
      </c>
      <c r="B142" s="109" t="s">
        <v>206</v>
      </c>
      <c r="C142" s="63"/>
      <c r="D142" s="63"/>
      <c r="E142" s="63"/>
      <c r="F142" s="117"/>
      <c r="G142" s="117"/>
      <c r="H142" s="117"/>
      <c r="I142" s="61" t="e">
        <f t="shared" si="4"/>
        <v>#DIV/0!</v>
      </c>
      <c r="J142" s="63"/>
      <c r="K142" s="63"/>
      <c r="L142" s="63"/>
    </row>
    <row r="143" spans="1:12">
      <c r="A143" s="25">
        <v>134</v>
      </c>
      <c r="B143" s="109" t="s">
        <v>207</v>
      </c>
      <c r="C143" s="63"/>
      <c r="D143" s="63"/>
      <c r="E143" s="63"/>
      <c r="F143" s="117"/>
      <c r="G143" s="117"/>
      <c r="H143" s="117"/>
      <c r="I143" s="61" t="e">
        <f t="shared" si="4"/>
        <v>#DIV/0!</v>
      </c>
      <c r="J143" s="63"/>
      <c r="K143" s="63"/>
      <c r="L143" s="63"/>
    </row>
    <row r="144" spans="1:12">
      <c r="A144" s="29">
        <v>135</v>
      </c>
      <c r="B144" s="109" t="s">
        <v>208</v>
      </c>
      <c r="C144" s="63"/>
      <c r="D144" s="63"/>
      <c r="E144" s="63"/>
      <c r="F144" s="117"/>
      <c r="G144" s="117"/>
      <c r="H144" s="117"/>
      <c r="I144" s="61" t="e">
        <f t="shared" si="4"/>
        <v>#DIV/0!</v>
      </c>
      <c r="J144" s="63"/>
      <c r="K144" s="63"/>
      <c r="L144" s="63"/>
    </row>
    <row r="145" spans="1:12">
      <c r="A145" s="25">
        <v>136</v>
      </c>
      <c r="B145" s="109" t="s">
        <v>209</v>
      </c>
      <c r="C145" s="63"/>
      <c r="D145" s="63"/>
      <c r="E145" s="63"/>
      <c r="F145" s="117"/>
      <c r="G145" s="117"/>
      <c r="H145" s="117"/>
      <c r="I145" s="61" t="e">
        <f t="shared" si="4"/>
        <v>#DIV/0!</v>
      </c>
      <c r="J145" s="63"/>
      <c r="K145" s="63"/>
      <c r="L145" s="63"/>
    </row>
    <row r="146" spans="1:12">
      <c r="A146" s="29">
        <v>137</v>
      </c>
      <c r="B146" s="109" t="s">
        <v>210</v>
      </c>
      <c r="C146" s="63"/>
      <c r="D146" s="63"/>
      <c r="E146" s="63"/>
      <c r="F146" s="117"/>
      <c r="G146" s="117"/>
      <c r="H146" s="117"/>
      <c r="I146" s="61" t="e">
        <f t="shared" si="4"/>
        <v>#DIV/0!</v>
      </c>
      <c r="J146" s="63"/>
      <c r="K146" s="63"/>
      <c r="L146" s="63"/>
    </row>
    <row r="147" spans="1:12">
      <c r="A147" s="25">
        <v>138</v>
      </c>
      <c r="B147" s="109" t="s">
        <v>211</v>
      </c>
      <c r="C147" s="63"/>
      <c r="D147" s="63"/>
      <c r="E147" s="63"/>
      <c r="F147" s="117"/>
      <c r="G147" s="117"/>
      <c r="H147" s="117"/>
      <c r="I147" s="61" t="e">
        <f t="shared" si="4"/>
        <v>#DIV/0!</v>
      </c>
      <c r="J147" s="63"/>
      <c r="K147" s="63"/>
      <c r="L147" s="63"/>
    </row>
    <row r="148" spans="1:12">
      <c r="A148" s="29">
        <v>139</v>
      </c>
      <c r="B148" s="109" t="s">
        <v>212</v>
      </c>
      <c r="C148" s="63"/>
      <c r="D148" s="63"/>
      <c r="E148" s="63"/>
      <c r="F148" s="117"/>
      <c r="G148" s="117"/>
      <c r="H148" s="117"/>
      <c r="I148" s="61" t="e">
        <f t="shared" si="4"/>
        <v>#DIV/0!</v>
      </c>
      <c r="J148" s="63"/>
      <c r="K148" s="63"/>
      <c r="L148" s="63"/>
    </row>
    <row r="149" spans="1:12">
      <c r="A149" s="25">
        <v>140</v>
      </c>
      <c r="B149" s="109" t="s">
        <v>213</v>
      </c>
      <c r="C149" s="63"/>
      <c r="D149" s="63"/>
      <c r="E149" s="63"/>
      <c r="F149" s="117"/>
      <c r="G149" s="117"/>
      <c r="H149" s="117"/>
      <c r="I149" s="61" t="e">
        <f t="shared" si="4"/>
        <v>#DIV/0!</v>
      </c>
      <c r="J149" s="63"/>
      <c r="K149" s="63"/>
      <c r="L149" s="63"/>
    </row>
    <row r="150" s="104" customFormat="1" ht="17.25" customHeight="1" spans="1:11">
      <c r="A150" s="104" t="s">
        <v>155</v>
      </c>
      <c r="F150" s="126" t="s">
        <v>87</v>
      </c>
      <c r="G150" s="127"/>
      <c r="H150" s="127"/>
      <c r="K150" s="103" t="s">
        <v>88</v>
      </c>
    </row>
    <row r="151" s="104" customFormat="1" ht="12.75" spans="1:8">
      <c r="A151" s="33"/>
      <c r="B151" s="34" t="s">
        <v>89</v>
      </c>
      <c r="F151" s="127"/>
      <c r="G151" s="127"/>
      <c r="H151" s="127"/>
    </row>
    <row r="152" spans="1:2">
      <c r="A152" s="35"/>
      <c r="B152" s="36" t="s">
        <v>90</v>
      </c>
    </row>
    <row r="153" spans="1:2">
      <c r="A153" s="40" t="s">
        <v>91</v>
      </c>
      <c r="B153" s="41">
        <v>241</v>
      </c>
    </row>
  </sheetData>
  <sheetProtection sort="0" autoFilter="0" pivotTables="0"/>
  <mergeCells count="6">
    <mergeCell ref="A1:L1"/>
    <mergeCell ref="C4:E4"/>
    <mergeCell ref="F4:I4"/>
    <mergeCell ref="J4:L4"/>
    <mergeCell ref="A3:A5"/>
    <mergeCell ref="B3:B5"/>
  </mergeCells>
  <conditionalFormatting sqref="J44:L77 C80:H113 C44:H77 J8:L41 C116:H149 J116:L149 C8:H41 J80:L113">
    <cfRule type="cellIs" dxfId="0" priority="1" stopIfTrue="1" operator="lessThan">
      <formula>0</formula>
    </cfRule>
  </conditionalFormatting>
  <pageMargins left="0.75" right="0.75" top="1" bottom="1" header="0.509027777777778" footer="0.509027777777778"/>
  <pageSetup paperSize="9" scale="59" fitToHeight="0" orientation="portrait"/>
  <headerFooter alignWithMargins="0" scaleWithDoc="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C17"/>
  <sheetViews>
    <sheetView zoomScale="120" zoomScaleNormal="120" workbookViewId="0">
      <selection activeCell="B21" sqref="B21"/>
    </sheetView>
  </sheetViews>
  <sheetFormatPr defaultColWidth="9" defaultRowHeight="13.5" outlineLevelCol="2"/>
  <cols>
    <col min="1" max="1" width="6.66666666666667" customWidth="1"/>
    <col min="2" max="2" width="44.6666666666667" customWidth="1"/>
    <col min="3" max="3" width="17" customWidth="1"/>
  </cols>
  <sheetData>
    <row r="1" ht="20.25" spans="1:3">
      <c r="A1" s="82" t="s">
        <v>406</v>
      </c>
      <c r="B1" s="82"/>
      <c r="C1" s="82"/>
    </row>
    <row r="2" spans="1:3">
      <c r="A2" s="83" t="s">
        <v>1</v>
      </c>
      <c r="B2" s="84" t="s">
        <v>407</v>
      </c>
      <c r="C2" s="85" t="s">
        <v>408</v>
      </c>
    </row>
    <row r="3" spans="1:3">
      <c r="A3" s="86" t="s">
        <v>4</v>
      </c>
      <c r="B3" s="87" t="s">
        <v>5</v>
      </c>
      <c r="C3" s="88" t="s">
        <v>6</v>
      </c>
    </row>
    <row r="4" spans="1:3">
      <c r="A4" s="86"/>
      <c r="B4" s="87"/>
      <c r="C4" s="89" t="s">
        <v>409</v>
      </c>
    </row>
    <row r="5" spans="1:3">
      <c r="A5" s="86">
        <v>1</v>
      </c>
      <c r="B5" s="90" t="s">
        <v>410</v>
      </c>
      <c r="C5" s="91">
        <f>C10*C6</f>
        <v>0</v>
      </c>
    </row>
    <row r="6" spans="1:3">
      <c r="A6" s="86">
        <v>2</v>
      </c>
      <c r="B6" s="92" t="s">
        <v>411</v>
      </c>
      <c r="C6" s="93">
        <f>SUM(C7:C9)</f>
        <v>0</v>
      </c>
    </row>
    <row r="7" spans="1:3">
      <c r="A7" s="86">
        <v>3</v>
      </c>
      <c r="B7" s="94" t="s">
        <v>412</v>
      </c>
      <c r="C7" s="95"/>
    </row>
    <row r="8" spans="1:3">
      <c r="A8" s="86">
        <v>4</v>
      </c>
      <c r="B8" s="94" t="s">
        <v>413</v>
      </c>
      <c r="C8" s="95"/>
    </row>
    <row r="9" spans="1:3">
      <c r="A9" s="86">
        <v>5</v>
      </c>
      <c r="B9" s="94" t="s">
        <v>414</v>
      </c>
      <c r="C9" s="95"/>
    </row>
    <row r="10" spans="1:3">
      <c r="A10" s="86">
        <v>6</v>
      </c>
      <c r="B10" s="92" t="s">
        <v>415</v>
      </c>
      <c r="C10" s="96">
        <v>0.725</v>
      </c>
    </row>
    <row r="11" spans="1:3">
      <c r="A11" s="86">
        <v>7</v>
      </c>
      <c r="B11" s="97" t="s">
        <v>416</v>
      </c>
      <c r="C11" s="95"/>
    </row>
    <row r="12" spans="1:3">
      <c r="A12" s="86">
        <v>8</v>
      </c>
      <c r="B12" s="98" t="s">
        <v>417</v>
      </c>
      <c r="C12" s="93">
        <f>MAX(C5-C11,0)</f>
        <v>0</v>
      </c>
    </row>
    <row r="13" ht="14.25" spans="1:3">
      <c r="A13" s="99" t="s">
        <v>75</v>
      </c>
      <c r="B13" s="100"/>
      <c r="C13" s="100"/>
    </row>
    <row r="14" spans="1:3">
      <c r="A14" s="101">
        <v>9</v>
      </c>
      <c r="B14" s="94" t="s">
        <v>418</v>
      </c>
      <c r="C14" s="95"/>
    </row>
    <row r="15" spans="1:3">
      <c r="A15" s="99" t="s">
        <v>155</v>
      </c>
      <c r="B15" s="102" t="s">
        <v>87</v>
      </c>
      <c r="C15" s="99" t="s">
        <v>88</v>
      </c>
    </row>
    <row r="16" spans="1:2">
      <c r="A16" s="35"/>
      <c r="B16" s="36" t="s">
        <v>90</v>
      </c>
    </row>
    <row r="17" spans="1:2">
      <c r="A17" s="40" t="s">
        <v>91</v>
      </c>
      <c r="B17" s="41">
        <v>241</v>
      </c>
    </row>
  </sheetData>
  <mergeCells count="3">
    <mergeCell ref="A1:C1"/>
    <mergeCell ref="A3:A4"/>
    <mergeCell ref="B3:B4"/>
  </mergeCells>
  <dataValidations count="1">
    <dataValidation type="custom" allowBlank="1" showInputMessage="1" showErrorMessage="1" sqref="H9:H10">
      <formula1>"是，否"</formula1>
    </dataValidation>
  </dataValidation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IV30"/>
  <sheetViews>
    <sheetView zoomScale="110" zoomScaleNormal="110" workbookViewId="0">
      <selection activeCell="A30" sqref="A30:B30"/>
    </sheetView>
  </sheetViews>
  <sheetFormatPr defaultColWidth="8.83333333333333" defaultRowHeight="14.25"/>
  <cols>
    <col min="1" max="1" width="8.29166666666667" style="65" customWidth="1"/>
    <col min="2" max="2" width="57.1666666666667" style="65" customWidth="1"/>
    <col min="3" max="3" width="28.1666666666667" style="65" customWidth="1"/>
    <col min="4" max="256" width="8.83333333333333" style="65"/>
    <col min="257" max="257" width="4.66666666666667" style="65" customWidth="1"/>
    <col min="258" max="258" width="57.1666666666667" style="65" customWidth="1"/>
    <col min="259" max="259" width="28.1666666666667" style="65" customWidth="1"/>
    <col min="260" max="512" width="8.83333333333333" style="65"/>
    <col min="513" max="513" width="4.66666666666667" style="65" customWidth="1"/>
    <col min="514" max="514" width="57.1666666666667" style="65" customWidth="1"/>
    <col min="515" max="515" width="28.1666666666667" style="65" customWidth="1"/>
    <col min="516" max="768" width="8.83333333333333" style="65"/>
    <col min="769" max="769" width="4.66666666666667" style="65" customWidth="1"/>
    <col min="770" max="770" width="57.1666666666667" style="65" customWidth="1"/>
    <col min="771" max="771" width="28.1666666666667" style="65" customWidth="1"/>
    <col min="772" max="1024" width="8.83333333333333" style="65"/>
    <col min="1025" max="1025" width="4.66666666666667" style="65" customWidth="1"/>
    <col min="1026" max="1026" width="57.1666666666667" style="65" customWidth="1"/>
    <col min="1027" max="1027" width="28.1666666666667" style="65" customWidth="1"/>
    <col min="1028" max="1280" width="8.83333333333333" style="65"/>
    <col min="1281" max="1281" width="4.66666666666667" style="65" customWidth="1"/>
    <col min="1282" max="1282" width="57.1666666666667" style="65" customWidth="1"/>
    <col min="1283" max="1283" width="28.1666666666667" style="65" customWidth="1"/>
    <col min="1284" max="1536" width="8.83333333333333" style="65"/>
    <col min="1537" max="1537" width="4.66666666666667" style="65" customWidth="1"/>
    <col min="1538" max="1538" width="57.1666666666667" style="65" customWidth="1"/>
    <col min="1539" max="1539" width="28.1666666666667" style="65" customWidth="1"/>
    <col min="1540" max="1792" width="8.83333333333333" style="65"/>
    <col min="1793" max="1793" width="4.66666666666667" style="65" customWidth="1"/>
    <col min="1794" max="1794" width="57.1666666666667" style="65" customWidth="1"/>
    <col min="1795" max="1795" width="28.1666666666667" style="65" customWidth="1"/>
    <col min="1796" max="2048" width="8.83333333333333" style="65"/>
    <col min="2049" max="2049" width="4.66666666666667" style="65" customWidth="1"/>
    <col min="2050" max="2050" width="57.1666666666667" style="65" customWidth="1"/>
    <col min="2051" max="2051" width="28.1666666666667" style="65" customWidth="1"/>
    <col min="2052" max="2304" width="8.83333333333333" style="65"/>
    <col min="2305" max="2305" width="4.66666666666667" style="65" customWidth="1"/>
    <col min="2306" max="2306" width="57.1666666666667" style="65" customWidth="1"/>
    <col min="2307" max="2307" width="28.1666666666667" style="65" customWidth="1"/>
    <col min="2308" max="2560" width="8.83333333333333" style="65"/>
    <col min="2561" max="2561" width="4.66666666666667" style="65" customWidth="1"/>
    <col min="2562" max="2562" width="57.1666666666667" style="65" customWidth="1"/>
    <col min="2563" max="2563" width="28.1666666666667" style="65" customWidth="1"/>
    <col min="2564" max="2816" width="8.83333333333333" style="65"/>
    <col min="2817" max="2817" width="4.66666666666667" style="65" customWidth="1"/>
    <col min="2818" max="2818" width="57.1666666666667" style="65" customWidth="1"/>
    <col min="2819" max="2819" width="28.1666666666667" style="65" customWidth="1"/>
    <col min="2820" max="3072" width="8.83333333333333" style="65"/>
    <col min="3073" max="3073" width="4.66666666666667" style="65" customWidth="1"/>
    <col min="3074" max="3074" width="57.1666666666667" style="65" customWidth="1"/>
    <col min="3075" max="3075" width="28.1666666666667" style="65" customWidth="1"/>
    <col min="3076" max="3328" width="8.83333333333333" style="65"/>
    <col min="3329" max="3329" width="4.66666666666667" style="65" customWidth="1"/>
    <col min="3330" max="3330" width="57.1666666666667" style="65" customWidth="1"/>
    <col min="3331" max="3331" width="28.1666666666667" style="65" customWidth="1"/>
    <col min="3332" max="3584" width="8.83333333333333" style="65"/>
    <col min="3585" max="3585" width="4.66666666666667" style="65" customWidth="1"/>
    <col min="3586" max="3586" width="57.1666666666667" style="65" customWidth="1"/>
    <col min="3587" max="3587" width="28.1666666666667" style="65" customWidth="1"/>
    <col min="3588" max="3840" width="8.83333333333333" style="65"/>
    <col min="3841" max="3841" width="4.66666666666667" style="65" customWidth="1"/>
    <col min="3842" max="3842" width="57.1666666666667" style="65" customWidth="1"/>
    <col min="3843" max="3843" width="28.1666666666667" style="65" customWidth="1"/>
    <col min="3844" max="4096" width="8.83333333333333" style="65"/>
    <col min="4097" max="4097" width="4.66666666666667" style="65" customWidth="1"/>
    <col min="4098" max="4098" width="57.1666666666667" style="65" customWidth="1"/>
    <col min="4099" max="4099" width="28.1666666666667" style="65" customWidth="1"/>
    <col min="4100" max="4352" width="8.83333333333333" style="65"/>
    <col min="4353" max="4353" width="4.66666666666667" style="65" customWidth="1"/>
    <col min="4354" max="4354" width="57.1666666666667" style="65" customWidth="1"/>
    <col min="4355" max="4355" width="28.1666666666667" style="65" customWidth="1"/>
    <col min="4356" max="4608" width="8.83333333333333" style="65"/>
    <col min="4609" max="4609" width="4.66666666666667" style="65" customWidth="1"/>
    <col min="4610" max="4610" width="57.1666666666667" style="65" customWidth="1"/>
    <col min="4611" max="4611" width="28.1666666666667" style="65" customWidth="1"/>
    <col min="4612" max="4864" width="8.83333333333333" style="65"/>
    <col min="4865" max="4865" width="4.66666666666667" style="65" customWidth="1"/>
    <col min="4866" max="4866" width="57.1666666666667" style="65" customWidth="1"/>
    <col min="4867" max="4867" width="28.1666666666667" style="65" customWidth="1"/>
    <col min="4868" max="5120" width="8.83333333333333" style="65"/>
    <col min="5121" max="5121" width="4.66666666666667" style="65" customWidth="1"/>
    <col min="5122" max="5122" width="57.1666666666667" style="65" customWidth="1"/>
    <col min="5123" max="5123" width="28.1666666666667" style="65" customWidth="1"/>
    <col min="5124" max="5376" width="8.83333333333333" style="65"/>
    <col min="5377" max="5377" width="4.66666666666667" style="65" customWidth="1"/>
    <col min="5378" max="5378" width="57.1666666666667" style="65" customWidth="1"/>
    <col min="5379" max="5379" width="28.1666666666667" style="65" customWidth="1"/>
    <col min="5380" max="5632" width="8.83333333333333" style="65"/>
    <col min="5633" max="5633" width="4.66666666666667" style="65" customWidth="1"/>
    <col min="5634" max="5634" width="57.1666666666667" style="65" customWidth="1"/>
    <col min="5635" max="5635" width="28.1666666666667" style="65" customWidth="1"/>
    <col min="5636" max="5888" width="8.83333333333333" style="65"/>
    <col min="5889" max="5889" width="4.66666666666667" style="65" customWidth="1"/>
    <col min="5890" max="5890" width="57.1666666666667" style="65" customWidth="1"/>
    <col min="5891" max="5891" width="28.1666666666667" style="65" customWidth="1"/>
    <col min="5892" max="6144" width="8.83333333333333" style="65"/>
    <col min="6145" max="6145" width="4.66666666666667" style="65" customWidth="1"/>
    <col min="6146" max="6146" width="57.1666666666667" style="65" customWidth="1"/>
    <col min="6147" max="6147" width="28.1666666666667" style="65" customWidth="1"/>
    <col min="6148" max="6400" width="8.83333333333333" style="65"/>
    <col min="6401" max="6401" width="4.66666666666667" style="65" customWidth="1"/>
    <col min="6402" max="6402" width="57.1666666666667" style="65" customWidth="1"/>
    <col min="6403" max="6403" width="28.1666666666667" style="65" customWidth="1"/>
    <col min="6404" max="6656" width="8.83333333333333" style="65"/>
    <col min="6657" max="6657" width="4.66666666666667" style="65" customWidth="1"/>
    <col min="6658" max="6658" width="57.1666666666667" style="65" customWidth="1"/>
    <col min="6659" max="6659" width="28.1666666666667" style="65" customWidth="1"/>
    <col min="6660" max="6912" width="8.83333333333333" style="65"/>
    <col min="6913" max="6913" width="4.66666666666667" style="65" customWidth="1"/>
    <col min="6914" max="6914" width="57.1666666666667" style="65" customWidth="1"/>
    <col min="6915" max="6915" width="28.1666666666667" style="65" customWidth="1"/>
    <col min="6916" max="7168" width="8.83333333333333" style="65"/>
    <col min="7169" max="7169" width="4.66666666666667" style="65" customWidth="1"/>
    <col min="7170" max="7170" width="57.1666666666667" style="65" customWidth="1"/>
    <col min="7171" max="7171" width="28.1666666666667" style="65" customWidth="1"/>
    <col min="7172" max="7424" width="8.83333333333333" style="65"/>
    <col min="7425" max="7425" width="4.66666666666667" style="65" customWidth="1"/>
    <col min="7426" max="7426" width="57.1666666666667" style="65" customWidth="1"/>
    <col min="7427" max="7427" width="28.1666666666667" style="65" customWidth="1"/>
    <col min="7428" max="7680" width="8.83333333333333" style="65"/>
    <col min="7681" max="7681" width="4.66666666666667" style="65" customWidth="1"/>
    <col min="7682" max="7682" width="57.1666666666667" style="65" customWidth="1"/>
    <col min="7683" max="7683" width="28.1666666666667" style="65" customWidth="1"/>
    <col min="7684" max="7936" width="8.83333333333333" style="65"/>
    <col min="7937" max="7937" width="4.66666666666667" style="65" customWidth="1"/>
    <col min="7938" max="7938" width="57.1666666666667" style="65" customWidth="1"/>
    <col min="7939" max="7939" width="28.1666666666667" style="65" customWidth="1"/>
    <col min="7940" max="8192" width="8.83333333333333" style="65"/>
    <col min="8193" max="8193" width="4.66666666666667" style="65" customWidth="1"/>
    <col min="8194" max="8194" width="57.1666666666667" style="65" customWidth="1"/>
    <col min="8195" max="8195" width="28.1666666666667" style="65" customWidth="1"/>
    <col min="8196" max="8448" width="8.83333333333333" style="65"/>
    <col min="8449" max="8449" width="4.66666666666667" style="65" customWidth="1"/>
    <col min="8450" max="8450" width="57.1666666666667" style="65" customWidth="1"/>
    <col min="8451" max="8451" width="28.1666666666667" style="65" customWidth="1"/>
    <col min="8452" max="8704" width="8.83333333333333" style="65"/>
    <col min="8705" max="8705" width="4.66666666666667" style="65" customWidth="1"/>
    <col min="8706" max="8706" width="57.1666666666667" style="65" customWidth="1"/>
    <col min="8707" max="8707" width="28.1666666666667" style="65" customWidth="1"/>
    <col min="8708" max="8960" width="8.83333333333333" style="65"/>
    <col min="8961" max="8961" width="4.66666666666667" style="65" customWidth="1"/>
    <col min="8962" max="8962" width="57.1666666666667" style="65" customWidth="1"/>
    <col min="8963" max="8963" width="28.1666666666667" style="65" customWidth="1"/>
    <col min="8964" max="9216" width="8.83333333333333" style="65"/>
    <col min="9217" max="9217" width="4.66666666666667" style="65" customWidth="1"/>
    <col min="9218" max="9218" width="57.1666666666667" style="65" customWidth="1"/>
    <col min="9219" max="9219" width="28.1666666666667" style="65" customWidth="1"/>
    <col min="9220" max="9472" width="8.83333333333333" style="65"/>
    <col min="9473" max="9473" width="4.66666666666667" style="65" customWidth="1"/>
    <col min="9474" max="9474" width="57.1666666666667" style="65" customWidth="1"/>
    <col min="9475" max="9475" width="28.1666666666667" style="65" customWidth="1"/>
    <col min="9476" max="9728" width="8.83333333333333" style="65"/>
    <col min="9729" max="9729" width="4.66666666666667" style="65" customWidth="1"/>
    <col min="9730" max="9730" width="57.1666666666667" style="65" customWidth="1"/>
    <col min="9731" max="9731" width="28.1666666666667" style="65" customWidth="1"/>
    <col min="9732" max="9984" width="8.83333333333333" style="65"/>
    <col min="9985" max="9985" width="4.66666666666667" style="65" customWidth="1"/>
    <col min="9986" max="9986" width="57.1666666666667" style="65" customWidth="1"/>
    <col min="9987" max="9987" width="28.1666666666667" style="65" customWidth="1"/>
    <col min="9988" max="10240" width="8.83333333333333" style="65"/>
    <col min="10241" max="10241" width="4.66666666666667" style="65" customWidth="1"/>
    <col min="10242" max="10242" width="57.1666666666667" style="65" customWidth="1"/>
    <col min="10243" max="10243" width="28.1666666666667" style="65" customWidth="1"/>
    <col min="10244" max="10496" width="8.83333333333333" style="65"/>
    <col min="10497" max="10497" width="4.66666666666667" style="65" customWidth="1"/>
    <col min="10498" max="10498" width="57.1666666666667" style="65" customWidth="1"/>
    <col min="10499" max="10499" width="28.1666666666667" style="65" customWidth="1"/>
    <col min="10500" max="10752" width="8.83333333333333" style="65"/>
    <col min="10753" max="10753" width="4.66666666666667" style="65" customWidth="1"/>
    <col min="10754" max="10754" width="57.1666666666667" style="65" customWidth="1"/>
    <col min="10755" max="10755" width="28.1666666666667" style="65" customWidth="1"/>
    <col min="10756" max="11008" width="8.83333333333333" style="65"/>
    <col min="11009" max="11009" width="4.66666666666667" style="65" customWidth="1"/>
    <col min="11010" max="11010" width="57.1666666666667" style="65" customWidth="1"/>
    <col min="11011" max="11011" width="28.1666666666667" style="65" customWidth="1"/>
    <col min="11012" max="11264" width="8.83333333333333" style="65"/>
    <col min="11265" max="11265" width="4.66666666666667" style="65" customWidth="1"/>
    <col min="11266" max="11266" width="57.1666666666667" style="65" customWidth="1"/>
    <col min="11267" max="11267" width="28.1666666666667" style="65" customWidth="1"/>
    <col min="11268" max="11520" width="8.83333333333333" style="65"/>
    <col min="11521" max="11521" width="4.66666666666667" style="65" customWidth="1"/>
    <col min="11522" max="11522" width="57.1666666666667" style="65" customWidth="1"/>
    <col min="11523" max="11523" width="28.1666666666667" style="65" customWidth="1"/>
    <col min="11524" max="11776" width="8.83333333333333" style="65"/>
    <col min="11777" max="11777" width="4.66666666666667" style="65" customWidth="1"/>
    <col min="11778" max="11778" width="57.1666666666667" style="65" customWidth="1"/>
    <col min="11779" max="11779" width="28.1666666666667" style="65" customWidth="1"/>
    <col min="11780" max="12032" width="8.83333333333333" style="65"/>
    <col min="12033" max="12033" width="4.66666666666667" style="65" customWidth="1"/>
    <col min="12034" max="12034" width="57.1666666666667" style="65" customWidth="1"/>
    <col min="12035" max="12035" width="28.1666666666667" style="65" customWidth="1"/>
    <col min="12036" max="12288" width="8.83333333333333" style="65"/>
    <col min="12289" max="12289" width="4.66666666666667" style="65" customWidth="1"/>
    <col min="12290" max="12290" width="57.1666666666667" style="65" customWidth="1"/>
    <col min="12291" max="12291" width="28.1666666666667" style="65" customWidth="1"/>
    <col min="12292" max="12544" width="8.83333333333333" style="65"/>
    <col min="12545" max="12545" width="4.66666666666667" style="65" customWidth="1"/>
    <col min="12546" max="12546" width="57.1666666666667" style="65" customWidth="1"/>
    <col min="12547" max="12547" width="28.1666666666667" style="65" customWidth="1"/>
    <col min="12548" max="12800" width="8.83333333333333" style="65"/>
    <col min="12801" max="12801" width="4.66666666666667" style="65" customWidth="1"/>
    <col min="12802" max="12802" width="57.1666666666667" style="65" customWidth="1"/>
    <col min="12803" max="12803" width="28.1666666666667" style="65" customWidth="1"/>
    <col min="12804" max="13056" width="8.83333333333333" style="65"/>
    <col min="13057" max="13057" width="4.66666666666667" style="65" customWidth="1"/>
    <col min="13058" max="13058" width="57.1666666666667" style="65" customWidth="1"/>
    <col min="13059" max="13059" width="28.1666666666667" style="65" customWidth="1"/>
    <col min="13060" max="13312" width="8.83333333333333" style="65"/>
    <col min="13313" max="13313" width="4.66666666666667" style="65" customWidth="1"/>
    <col min="13314" max="13314" width="57.1666666666667" style="65" customWidth="1"/>
    <col min="13315" max="13315" width="28.1666666666667" style="65" customWidth="1"/>
    <col min="13316" max="13568" width="8.83333333333333" style="65"/>
    <col min="13569" max="13569" width="4.66666666666667" style="65" customWidth="1"/>
    <col min="13570" max="13570" width="57.1666666666667" style="65" customWidth="1"/>
    <col min="13571" max="13571" width="28.1666666666667" style="65" customWidth="1"/>
    <col min="13572" max="13824" width="8.83333333333333" style="65"/>
    <col min="13825" max="13825" width="4.66666666666667" style="65" customWidth="1"/>
    <col min="13826" max="13826" width="57.1666666666667" style="65" customWidth="1"/>
    <col min="13827" max="13827" width="28.1666666666667" style="65" customWidth="1"/>
    <col min="13828" max="14080" width="8.83333333333333" style="65"/>
    <col min="14081" max="14081" width="4.66666666666667" style="65" customWidth="1"/>
    <col min="14082" max="14082" width="57.1666666666667" style="65" customWidth="1"/>
    <col min="14083" max="14083" width="28.1666666666667" style="65" customWidth="1"/>
    <col min="14084" max="14336" width="8.83333333333333" style="65"/>
    <col min="14337" max="14337" width="4.66666666666667" style="65" customWidth="1"/>
    <col min="14338" max="14338" width="57.1666666666667" style="65" customWidth="1"/>
    <col min="14339" max="14339" width="28.1666666666667" style="65" customWidth="1"/>
    <col min="14340" max="14592" width="8.83333333333333" style="65"/>
    <col min="14593" max="14593" width="4.66666666666667" style="65" customWidth="1"/>
    <col min="14594" max="14594" width="57.1666666666667" style="65" customWidth="1"/>
    <col min="14595" max="14595" width="28.1666666666667" style="65" customWidth="1"/>
    <col min="14596" max="14848" width="8.83333333333333" style="65"/>
    <col min="14849" max="14849" width="4.66666666666667" style="65" customWidth="1"/>
    <col min="14850" max="14850" width="57.1666666666667" style="65" customWidth="1"/>
    <col min="14851" max="14851" width="28.1666666666667" style="65" customWidth="1"/>
    <col min="14852" max="15104" width="8.83333333333333" style="65"/>
    <col min="15105" max="15105" width="4.66666666666667" style="65" customWidth="1"/>
    <col min="15106" max="15106" width="57.1666666666667" style="65" customWidth="1"/>
    <col min="15107" max="15107" width="28.1666666666667" style="65" customWidth="1"/>
    <col min="15108" max="15360" width="8.83333333333333" style="65"/>
    <col min="15361" max="15361" width="4.66666666666667" style="65" customWidth="1"/>
    <col min="15362" max="15362" width="57.1666666666667" style="65" customWidth="1"/>
    <col min="15363" max="15363" width="28.1666666666667" style="65" customWidth="1"/>
    <col min="15364" max="15616" width="8.83333333333333" style="65"/>
    <col min="15617" max="15617" width="4.66666666666667" style="65" customWidth="1"/>
    <col min="15618" max="15618" width="57.1666666666667" style="65" customWidth="1"/>
    <col min="15619" max="15619" width="28.1666666666667" style="65" customWidth="1"/>
    <col min="15620" max="15872" width="8.83333333333333" style="65"/>
    <col min="15873" max="15873" width="4.66666666666667" style="65" customWidth="1"/>
    <col min="15874" max="15874" width="57.1666666666667" style="65" customWidth="1"/>
    <col min="15875" max="15875" width="28.1666666666667" style="65" customWidth="1"/>
    <col min="15876" max="16128" width="8.83333333333333" style="65"/>
    <col min="16129" max="16129" width="4.66666666666667" style="65" customWidth="1"/>
    <col min="16130" max="16130" width="57.1666666666667" style="65" customWidth="1"/>
    <col min="16131" max="16131" width="28.1666666666667" style="65" customWidth="1"/>
    <col min="16132" max="16384" width="8.83333333333333" style="65"/>
  </cols>
  <sheetData>
    <row r="1" customFormat="1" ht="20.25" spans="1:256">
      <c r="A1" s="66" t="s">
        <v>419</v>
      </c>
      <c r="B1" s="67"/>
      <c r="C1" s="68"/>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c r="CM1" s="65"/>
      <c r="CN1" s="65"/>
      <c r="CO1" s="65"/>
      <c r="CP1" s="65"/>
      <c r="CQ1" s="65"/>
      <c r="CR1" s="65"/>
      <c r="CS1" s="65"/>
      <c r="CT1" s="65"/>
      <c r="CU1" s="65"/>
      <c r="CV1" s="65"/>
      <c r="CW1" s="65"/>
      <c r="CX1" s="65"/>
      <c r="CY1" s="65"/>
      <c r="CZ1" s="65"/>
      <c r="DA1" s="65"/>
      <c r="DB1" s="65"/>
      <c r="DC1" s="65"/>
      <c r="DD1" s="65"/>
      <c r="DE1" s="65"/>
      <c r="DF1" s="65"/>
      <c r="DG1" s="65"/>
      <c r="DH1" s="65"/>
      <c r="DI1" s="65"/>
      <c r="DJ1" s="65"/>
      <c r="DK1" s="65"/>
      <c r="DL1" s="65"/>
      <c r="DM1" s="65"/>
      <c r="DN1" s="65"/>
      <c r="DO1" s="65"/>
      <c r="DP1" s="65"/>
      <c r="DQ1" s="65"/>
      <c r="DR1" s="65"/>
      <c r="DS1" s="65"/>
      <c r="DT1" s="65"/>
      <c r="DU1" s="65"/>
      <c r="DV1" s="65"/>
      <c r="DW1" s="65"/>
      <c r="DX1" s="65"/>
      <c r="DY1" s="65"/>
      <c r="DZ1" s="65"/>
      <c r="EA1" s="65"/>
      <c r="EB1" s="65"/>
      <c r="EC1" s="65"/>
      <c r="ED1" s="65"/>
      <c r="EE1" s="65"/>
      <c r="EF1" s="65"/>
      <c r="EG1" s="65"/>
      <c r="EH1" s="65"/>
      <c r="EI1" s="65"/>
      <c r="EJ1" s="65"/>
      <c r="EK1" s="65"/>
      <c r="EL1" s="65"/>
      <c r="EM1" s="65"/>
      <c r="EN1" s="65"/>
      <c r="EO1" s="65"/>
      <c r="EP1" s="65"/>
      <c r="EQ1" s="65"/>
      <c r="ER1" s="65"/>
      <c r="ES1" s="65"/>
      <c r="ET1" s="65"/>
      <c r="EU1" s="65"/>
      <c r="EV1" s="65"/>
      <c r="EW1" s="65"/>
      <c r="EX1" s="65"/>
      <c r="EY1" s="65"/>
      <c r="EZ1" s="65"/>
      <c r="FA1" s="65"/>
      <c r="FB1" s="65"/>
      <c r="FC1" s="65"/>
      <c r="FD1" s="65"/>
      <c r="FE1" s="65"/>
      <c r="FF1" s="65"/>
      <c r="FG1" s="65"/>
      <c r="FH1" s="65"/>
      <c r="FI1" s="65"/>
      <c r="FJ1" s="65"/>
      <c r="FK1" s="65"/>
      <c r="FL1" s="65"/>
      <c r="FM1" s="65"/>
      <c r="FN1" s="65"/>
      <c r="FO1" s="65"/>
      <c r="FP1" s="65"/>
      <c r="FQ1" s="65"/>
      <c r="FR1" s="65"/>
      <c r="FS1" s="65"/>
      <c r="FT1" s="65"/>
      <c r="FU1" s="65"/>
      <c r="FV1" s="65"/>
      <c r="FW1" s="65"/>
      <c r="FX1" s="65"/>
      <c r="FY1" s="65"/>
      <c r="FZ1" s="65"/>
      <c r="GA1" s="65"/>
      <c r="GB1" s="65"/>
      <c r="GC1" s="65"/>
      <c r="GD1" s="65"/>
      <c r="GE1" s="65"/>
      <c r="GF1" s="65"/>
      <c r="GG1" s="65"/>
      <c r="GH1" s="65"/>
      <c r="GI1" s="65"/>
      <c r="GJ1" s="65"/>
      <c r="GK1" s="65"/>
      <c r="GL1" s="65"/>
      <c r="GM1" s="65"/>
      <c r="GN1" s="65"/>
      <c r="GO1" s="65"/>
      <c r="GP1" s="65"/>
      <c r="GQ1" s="65"/>
      <c r="GR1" s="65"/>
      <c r="GS1" s="65"/>
      <c r="GT1" s="65"/>
      <c r="GU1" s="65"/>
      <c r="GV1" s="65"/>
      <c r="GW1" s="65"/>
      <c r="GX1" s="65"/>
      <c r="GY1" s="65"/>
      <c r="GZ1" s="65"/>
      <c r="HA1" s="65"/>
      <c r="HB1" s="65"/>
      <c r="HC1" s="65"/>
      <c r="HD1" s="65"/>
      <c r="HE1" s="65"/>
      <c r="HF1" s="65"/>
      <c r="HG1" s="65"/>
      <c r="HH1" s="65"/>
      <c r="HI1" s="65"/>
      <c r="HJ1" s="65"/>
      <c r="HK1" s="65"/>
      <c r="HL1" s="65"/>
      <c r="HM1" s="65"/>
      <c r="HN1" s="65"/>
      <c r="HO1" s="65"/>
      <c r="HP1" s="65"/>
      <c r="HQ1" s="65"/>
      <c r="HR1" s="65"/>
      <c r="HS1" s="65"/>
      <c r="HT1" s="65"/>
      <c r="HU1" s="65"/>
      <c r="HV1" s="65"/>
      <c r="HW1" s="65"/>
      <c r="HX1" s="65"/>
      <c r="HY1" s="65"/>
      <c r="HZ1" s="65"/>
      <c r="IA1" s="65"/>
      <c r="IB1" s="65"/>
      <c r="IC1" s="65"/>
      <c r="ID1" s="65"/>
      <c r="IE1" s="65"/>
      <c r="IF1" s="65"/>
      <c r="IG1" s="65"/>
      <c r="IH1" s="65"/>
      <c r="II1" s="65"/>
      <c r="IJ1" s="65"/>
      <c r="IK1" s="65"/>
      <c r="IL1" s="65"/>
      <c r="IM1" s="65"/>
      <c r="IN1" s="65"/>
      <c r="IO1" s="65"/>
      <c r="IP1" s="65"/>
      <c r="IQ1" s="65"/>
      <c r="IR1" s="65"/>
      <c r="IS1" s="65"/>
      <c r="IT1" s="65"/>
      <c r="IU1" s="65"/>
      <c r="IV1" s="65"/>
    </row>
    <row r="2" s="64" customFormat="1" ht="17" customHeight="1" spans="1:256">
      <c r="A2" s="69" t="s">
        <v>420</v>
      </c>
      <c r="B2" s="69"/>
      <c r="C2" s="69"/>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c r="CD2" s="70"/>
      <c r="CE2" s="70"/>
      <c r="CF2" s="70"/>
      <c r="CG2" s="70"/>
      <c r="CH2" s="70"/>
      <c r="CI2" s="70"/>
      <c r="CJ2" s="70"/>
      <c r="CK2" s="70"/>
      <c r="CL2" s="70"/>
      <c r="CM2" s="70"/>
      <c r="CN2" s="70"/>
      <c r="CO2" s="70"/>
      <c r="CP2" s="70"/>
      <c r="CQ2" s="70"/>
      <c r="CR2" s="70"/>
      <c r="CS2" s="70"/>
      <c r="CT2" s="70"/>
      <c r="CU2" s="70"/>
      <c r="CV2" s="70"/>
      <c r="CW2" s="70"/>
      <c r="CX2" s="70"/>
      <c r="CY2" s="70"/>
      <c r="CZ2" s="70"/>
      <c r="DA2" s="70"/>
      <c r="DB2" s="70"/>
      <c r="DC2" s="70"/>
      <c r="DD2" s="70"/>
      <c r="DE2" s="70"/>
      <c r="DF2" s="70"/>
      <c r="DG2" s="70"/>
      <c r="DH2" s="70"/>
      <c r="DI2" s="70"/>
      <c r="DJ2" s="70"/>
      <c r="DK2" s="70"/>
      <c r="DL2" s="70"/>
      <c r="DM2" s="70"/>
      <c r="DN2" s="70"/>
      <c r="DO2" s="70"/>
      <c r="DP2" s="70"/>
      <c r="DQ2" s="70"/>
      <c r="DR2" s="70"/>
      <c r="DS2" s="70"/>
      <c r="DT2" s="70"/>
      <c r="DU2" s="70"/>
      <c r="DV2" s="70"/>
      <c r="DW2" s="70"/>
      <c r="DX2" s="70"/>
      <c r="DY2" s="70"/>
      <c r="DZ2" s="70"/>
      <c r="EA2" s="70"/>
      <c r="EB2" s="70"/>
      <c r="EC2" s="70"/>
      <c r="ED2" s="70"/>
      <c r="EE2" s="70"/>
      <c r="EF2" s="70"/>
      <c r="EG2" s="70"/>
      <c r="EH2" s="70"/>
      <c r="EI2" s="70"/>
      <c r="EJ2" s="70"/>
      <c r="EK2" s="70"/>
      <c r="EL2" s="70"/>
      <c r="EM2" s="70"/>
      <c r="EN2" s="70"/>
      <c r="EO2" s="70"/>
      <c r="EP2" s="70"/>
      <c r="EQ2" s="70"/>
      <c r="ER2" s="70"/>
      <c r="ES2" s="70"/>
      <c r="ET2" s="70"/>
      <c r="EU2" s="70"/>
      <c r="EV2" s="70"/>
      <c r="EW2" s="70"/>
      <c r="EX2" s="70"/>
      <c r="EY2" s="70"/>
      <c r="EZ2" s="70"/>
      <c r="FA2" s="70"/>
      <c r="FB2" s="70"/>
      <c r="FC2" s="70"/>
      <c r="FD2" s="70"/>
      <c r="FE2" s="70"/>
      <c r="FF2" s="70"/>
      <c r="FG2" s="70"/>
      <c r="FH2" s="70"/>
      <c r="FI2" s="70"/>
      <c r="FJ2" s="70"/>
      <c r="FK2" s="70"/>
      <c r="FL2" s="70"/>
      <c r="FM2" s="70"/>
      <c r="FN2" s="70"/>
      <c r="FO2" s="70"/>
      <c r="FP2" s="70"/>
      <c r="FQ2" s="70"/>
      <c r="FR2" s="70"/>
      <c r="FS2" s="70"/>
      <c r="FT2" s="70"/>
      <c r="FU2" s="70"/>
      <c r="FV2" s="70"/>
      <c r="FW2" s="70"/>
      <c r="FX2" s="70"/>
      <c r="FY2" s="70"/>
      <c r="FZ2" s="70"/>
      <c r="GA2" s="70"/>
      <c r="GB2" s="70"/>
      <c r="GC2" s="70"/>
      <c r="GD2" s="70"/>
      <c r="GE2" s="70"/>
      <c r="GF2" s="70"/>
      <c r="GG2" s="70"/>
      <c r="GH2" s="70"/>
      <c r="GI2" s="70"/>
      <c r="GJ2" s="70"/>
      <c r="GK2" s="70"/>
      <c r="GL2" s="70"/>
      <c r="GM2" s="70"/>
      <c r="GN2" s="70"/>
      <c r="GO2" s="70"/>
      <c r="GP2" s="70"/>
      <c r="GQ2" s="70"/>
      <c r="GR2" s="70"/>
      <c r="GS2" s="70"/>
      <c r="GT2" s="70"/>
      <c r="GU2" s="70"/>
      <c r="GV2" s="70"/>
      <c r="GW2" s="70"/>
      <c r="GX2" s="70"/>
      <c r="GY2" s="70"/>
      <c r="GZ2" s="70"/>
      <c r="HA2" s="70"/>
      <c r="HB2" s="70"/>
      <c r="HC2" s="70"/>
      <c r="HD2" s="70"/>
      <c r="HE2" s="70"/>
      <c r="HF2" s="70"/>
      <c r="HG2" s="70"/>
      <c r="HH2" s="70"/>
      <c r="HI2" s="70"/>
      <c r="HJ2" s="70"/>
      <c r="HK2" s="70"/>
      <c r="HL2" s="70"/>
      <c r="HM2" s="70"/>
      <c r="HN2" s="70"/>
      <c r="HO2" s="70"/>
      <c r="HP2" s="70"/>
      <c r="HQ2" s="70"/>
      <c r="HR2" s="70"/>
      <c r="HS2" s="70"/>
      <c r="HT2" s="70"/>
      <c r="HU2" s="70"/>
      <c r="HV2" s="70"/>
      <c r="HW2" s="70"/>
      <c r="HX2" s="70"/>
      <c r="HY2" s="70"/>
      <c r="HZ2" s="70"/>
      <c r="IA2" s="70"/>
      <c r="IB2" s="70"/>
      <c r="IC2" s="70"/>
      <c r="ID2" s="70"/>
      <c r="IE2" s="70"/>
      <c r="IF2" s="70"/>
      <c r="IG2" s="70"/>
      <c r="IH2" s="70"/>
      <c r="II2" s="70"/>
      <c r="IJ2" s="70"/>
      <c r="IK2" s="70"/>
      <c r="IL2" s="70"/>
      <c r="IM2" s="70"/>
      <c r="IN2" s="70"/>
      <c r="IO2" s="70"/>
      <c r="IP2" s="70"/>
      <c r="IQ2" s="70"/>
      <c r="IR2" s="70"/>
      <c r="IS2" s="70"/>
      <c r="IT2" s="70"/>
      <c r="IU2" s="70"/>
      <c r="IV2" s="70"/>
    </row>
    <row r="3" customFormat="1" ht="15" customHeight="1" spans="1:256">
      <c r="A3" s="71" t="s">
        <v>5</v>
      </c>
      <c r="B3" s="71"/>
      <c r="C3" s="72" t="s">
        <v>6</v>
      </c>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5"/>
      <c r="CR3" s="65"/>
      <c r="CS3" s="65"/>
      <c r="CT3" s="65"/>
      <c r="CU3" s="65"/>
      <c r="CV3" s="65"/>
      <c r="CW3" s="65"/>
      <c r="CX3" s="65"/>
      <c r="CY3" s="65"/>
      <c r="CZ3" s="65"/>
      <c r="DA3" s="65"/>
      <c r="DB3" s="65"/>
      <c r="DC3" s="65"/>
      <c r="DD3" s="65"/>
      <c r="DE3" s="65"/>
      <c r="DF3" s="65"/>
      <c r="DG3" s="65"/>
      <c r="DH3" s="65"/>
      <c r="DI3" s="65"/>
      <c r="DJ3" s="65"/>
      <c r="DK3" s="65"/>
      <c r="DL3" s="65"/>
      <c r="DM3" s="65"/>
      <c r="DN3" s="65"/>
      <c r="DO3" s="65"/>
      <c r="DP3" s="65"/>
      <c r="DQ3" s="65"/>
      <c r="DR3" s="65"/>
      <c r="DS3" s="65"/>
      <c r="DT3" s="65"/>
      <c r="DU3" s="65"/>
      <c r="DV3" s="65"/>
      <c r="DW3" s="65"/>
      <c r="DX3" s="65"/>
      <c r="DY3" s="65"/>
      <c r="DZ3" s="65"/>
      <c r="EA3" s="65"/>
      <c r="EB3" s="65"/>
      <c r="EC3" s="65"/>
      <c r="ED3" s="65"/>
      <c r="EE3" s="65"/>
      <c r="EF3" s="65"/>
      <c r="EG3" s="65"/>
      <c r="EH3" s="65"/>
      <c r="EI3" s="65"/>
      <c r="EJ3" s="65"/>
      <c r="EK3" s="65"/>
      <c r="EL3" s="65"/>
      <c r="EM3" s="65"/>
      <c r="EN3" s="65"/>
      <c r="EO3" s="65"/>
      <c r="EP3" s="65"/>
      <c r="EQ3" s="65"/>
      <c r="ER3" s="65"/>
      <c r="ES3" s="65"/>
      <c r="ET3" s="65"/>
      <c r="EU3" s="65"/>
      <c r="EV3" s="65"/>
      <c r="EW3" s="65"/>
      <c r="EX3" s="65"/>
      <c r="EY3" s="65"/>
      <c r="EZ3" s="65"/>
      <c r="FA3" s="65"/>
      <c r="FB3" s="65"/>
      <c r="FC3" s="65"/>
      <c r="FD3" s="65"/>
      <c r="FE3" s="65"/>
      <c r="FF3" s="65"/>
      <c r="FG3" s="65"/>
      <c r="FH3" s="65"/>
      <c r="FI3" s="65"/>
      <c r="FJ3" s="65"/>
      <c r="FK3" s="65"/>
      <c r="FL3" s="65"/>
      <c r="FM3" s="65"/>
      <c r="FN3" s="65"/>
      <c r="FO3" s="65"/>
      <c r="FP3" s="65"/>
      <c r="FQ3" s="65"/>
      <c r="FR3" s="65"/>
      <c r="FS3" s="65"/>
      <c r="FT3" s="65"/>
      <c r="FU3" s="65"/>
      <c r="FV3" s="65"/>
      <c r="FW3" s="65"/>
      <c r="FX3" s="65"/>
      <c r="FY3" s="65"/>
      <c r="FZ3" s="65"/>
      <c r="GA3" s="65"/>
      <c r="GB3" s="65"/>
      <c r="GC3" s="65"/>
      <c r="GD3" s="65"/>
      <c r="GE3" s="65"/>
      <c r="GF3" s="65"/>
      <c r="GG3" s="65"/>
      <c r="GH3" s="65"/>
      <c r="GI3" s="65"/>
      <c r="GJ3" s="65"/>
      <c r="GK3" s="65"/>
      <c r="GL3" s="65"/>
      <c r="GM3" s="65"/>
      <c r="GN3" s="65"/>
      <c r="GO3" s="65"/>
      <c r="GP3" s="65"/>
      <c r="GQ3" s="65"/>
      <c r="GR3" s="65"/>
      <c r="GS3" s="65"/>
      <c r="GT3" s="65"/>
      <c r="GU3" s="65"/>
      <c r="GV3" s="65"/>
      <c r="GW3" s="65"/>
      <c r="GX3" s="65"/>
      <c r="GY3" s="65"/>
      <c r="GZ3" s="65"/>
      <c r="HA3" s="65"/>
      <c r="HB3" s="65"/>
      <c r="HC3" s="65"/>
      <c r="HD3" s="65"/>
      <c r="HE3" s="65"/>
      <c r="HF3" s="65"/>
      <c r="HG3" s="65"/>
      <c r="HH3" s="65"/>
      <c r="HI3" s="65"/>
      <c r="HJ3" s="65"/>
      <c r="HK3" s="65"/>
      <c r="HL3" s="65"/>
      <c r="HM3" s="65"/>
      <c r="HN3" s="65"/>
      <c r="HO3" s="65"/>
      <c r="HP3" s="65"/>
      <c r="HQ3" s="65"/>
      <c r="HR3" s="65"/>
      <c r="HS3" s="65"/>
      <c r="HT3" s="65"/>
      <c r="HU3" s="65"/>
      <c r="HV3" s="65"/>
      <c r="HW3" s="65"/>
      <c r="HX3" s="65"/>
      <c r="HY3" s="65"/>
      <c r="HZ3" s="65"/>
      <c r="IA3" s="65"/>
      <c r="IB3" s="65"/>
      <c r="IC3" s="65"/>
      <c r="ID3" s="65"/>
      <c r="IE3" s="65"/>
      <c r="IF3" s="65"/>
      <c r="IG3" s="65"/>
      <c r="IH3" s="65"/>
      <c r="II3" s="65"/>
      <c r="IJ3" s="65"/>
      <c r="IK3" s="65"/>
      <c r="IL3" s="65"/>
      <c r="IM3" s="65"/>
      <c r="IN3" s="65"/>
      <c r="IO3" s="65"/>
      <c r="IP3" s="65"/>
      <c r="IQ3" s="65"/>
      <c r="IR3" s="65"/>
      <c r="IS3" s="65"/>
      <c r="IT3" s="65"/>
      <c r="IU3" s="65"/>
      <c r="IV3" s="65"/>
    </row>
    <row r="4" customFormat="1" ht="15" customHeight="1" spans="1:256">
      <c r="A4" s="71"/>
      <c r="B4" s="71"/>
      <c r="C4" s="72" t="s">
        <v>421</v>
      </c>
      <c r="D4" s="65"/>
      <c r="E4" s="65"/>
      <c r="F4" s="65"/>
      <c r="G4" s="65"/>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row>
    <row r="5" customFormat="1" ht="15" customHeight="1" spans="1:256">
      <c r="A5" s="71">
        <v>1</v>
      </c>
      <c r="B5" s="73" t="s">
        <v>422</v>
      </c>
      <c r="C5" s="74"/>
      <c r="D5" s="65"/>
      <c r="E5" s="65"/>
      <c r="F5" s="65"/>
      <c r="G5" s="65"/>
      <c r="H5" s="65"/>
      <c r="I5" s="65"/>
      <c r="J5" s="65"/>
      <c r="K5" s="65"/>
      <c r="L5" s="65"/>
      <c r="M5" s="65"/>
      <c r="N5" s="65"/>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c r="AQ5" s="65"/>
      <c r="AR5" s="65"/>
      <c r="AS5" s="65"/>
      <c r="AT5" s="65"/>
      <c r="AU5" s="65"/>
      <c r="AV5" s="65"/>
      <c r="AW5" s="65"/>
      <c r="AX5" s="65"/>
      <c r="AY5" s="65"/>
      <c r="AZ5" s="65"/>
      <c r="BA5" s="65"/>
      <c r="BB5" s="65"/>
      <c r="BC5" s="65"/>
      <c r="BD5" s="65"/>
      <c r="BE5" s="65"/>
      <c r="BF5" s="65"/>
      <c r="BG5" s="65"/>
      <c r="BH5" s="65"/>
      <c r="BI5" s="65"/>
      <c r="BJ5" s="65"/>
      <c r="BK5" s="65"/>
      <c r="BL5" s="65"/>
      <c r="BM5" s="65"/>
      <c r="BN5" s="65"/>
      <c r="BO5" s="65"/>
      <c r="BP5" s="65"/>
      <c r="BQ5" s="65"/>
      <c r="BR5" s="65"/>
      <c r="BS5" s="65"/>
      <c r="BT5" s="65"/>
      <c r="BU5" s="65"/>
      <c r="BV5" s="65"/>
      <c r="BW5" s="65"/>
      <c r="BX5" s="65"/>
      <c r="BY5" s="65"/>
      <c r="BZ5" s="65"/>
      <c r="CA5" s="65"/>
      <c r="CB5" s="65"/>
      <c r="CC5" s="65"/>
      <c r="CD5" s="65"/>
      <c r="CE5" s="65"/>
      <c r="CF5" s="65"/>
      <c r="CG5" s="65"/>
      <c r="CH5" s="65"/>
      <c r="CI5" s="65"/>
      <c r="CJ5" s="65"/>
      <c r="CK5" s="65"/>
      <c r="CL5" s="65"/>
      <c r="CM5" s="65"/>
      <c r="CN5" s="65"/>
      <c r="CO5" s="65"/>
      <c r="CP5" s="65"/>
      <c r="CQ5" s="65"/>
      <c r="CR5" s="65"/>
      <c r="CS5" s="65"/>
      <c r="CT5" s="65"/>
      <c r="CU5" s="65"/>
      <c r="CV5" s="65"/>
      <c r="CW5" s="65"/>
      <c r="CX5" s="65"/>
      <c r="CY5" s="65"/>
      <c r="CZ5" s="65"/>
      <c r="DA5" s="65"/>
      <c r="DB5" s="65"/>
      <c r="DC5" s="65"/>
      <c r="DD5" s="65"/>
      <c r="DE5" s="65"/>
      <c r="DF5" s="65"/>
      <c r="DG5" s="65"/>
      <c r="DH5" s="65"/>
      <c r="DI5" s="65"/>
      <c r="DJ5" s="65"/>
      <c r="DK5" s="65"/>
      <c r="DL5" s="65"/>
      <c r="DM5" s="65"/>
      <c r="DN5" s="65"/>
      <c r="DO5" s="65"/>
      <c r="DP5" s="65"/>
      <c r="DQ5" s="65"/>
      <c r="DR5" s="65"/>
      <c r="DS5" s="65"/>
      <c r="DT5" s="65"/>
      <c r="DU5" s="65"/>
      <c r="DV5" s="65"/>
      <c r="DW5" s="65"/>
      <c r="DX5" s="65"/>
      <c r="DY5" s="65"/>
      <c r="DZ5" s="65"/>
      <c r="EA5" s="65"/>
      <c r="EB5" s="65"/>
      <c r="EC5" s="65"/>
      <c r="ED5" s="65"/>
      <c r="EE5" s="65"/>
      <c r="EF5" s="65"/>
      <c r="EG5" s="65"/>
      <c r="EH5" s="65"/>
      <c r="EI5" s="65"/>
      <c r="EJ5" s="65"/>
      <c r="EK5" s="65"/>
      <c r="EL5" s="65"/>
      <c r="EM5" s="65"/>
      <c r="EN5" s="65"/>
      <c r="EO5" s="65"/>
      <c r="EP5" s="65"/>
      <c r="EQ5" s="65"/>
      <c r="ER5" s="65"/>
      <c r="ES5" s="65"/>
      <c r="ET5" s="65"/>
      <c r="EU5" s="65"/>
      <c r="EV5" s="65"/>
      <c r="EW5" s="65"/>
      <c r="EX5" s="65"/>
      <c r="EY5" s="65"/>
      <c r="EZ5" s="65"/>
      <c r="FA5" s="65"/>
      <c r="FB5" s="65"/>
      <c r="FC5" s="65"/>
      <c r="FD5" s="65"/>
      <c r="FE5" s="65"/>
      <c r="FF5" s="65"/>
      <c r="FG5" s="65"/>
      <c r="FH5" s="65"/>
      <c r="FI5" s="65"/>
      <c r="FJ5" s="65"/>
      <c r="FK5" s="65"/>
      <c r="FL5" s="65"/>
      <c r="FM5" s="65"/>
      <c r="FN5" s="65"/>
      <c r="FO5" s="65"/>
      <c r="FP5" s="65"/>
      <c r="FQ5" s="65"/>
      <c r="FR5" s="65"/>
      <c r="FS5" s="65"/>
      <c r="FT5" s="65"/>
      <c r="FU5" s="65"/>
      <c r="FV5" s="65"/>
      <c r="FW5" s="65"/>
      <c r="FX5" s="65"/>
      <c r="FY5" s="65"/>
      <c r="FZ5" s="65"/>
      <c r="GA5" s="65"/>
      <c r="GB5" s="65"/>
      <c r="GC5" s="65"/>
      <c r="GD5" s="65"/>
      <c r="GE5" s="65"/>
      <c r="GF5" s="65"/>
      <c r="GG5" s="65"/>
      <c r="GH5" s="65"/>
      <c r="GI5" s="65"/>
      <c r="GJ5" s="65"/>
      <c r="GK5" s="65"/>
      <c r="GL5" s="65"/>
      <c r="GM5" s="65"/>
      <c r="GN5" s="65"/>
      <c r="GO5" s="65"/>
      <c r="GP5" s="65"/>
      <c r="GQ5" s="65"/>
      <c r="GR5" s="65"/>
      <c r="GS5" s="65"/>
      <c r="GT5" s="65"/>
      <c r="GU5" s="65"/>
      <c r="GV5" s="65"/>
      <c r="GW5" s="65"/>
      <c r="GX5" s="65"/>
      <c r="GY5" s="65"/>
      <c r="GZ5" s="65"/>
      <c r="HA5" s="65"/>
      <c r="HB5" s="65"/>
      <c r="HC5" s="65"/>
      <c r="HD5" s="65"/>
      <c r="HE5" s="65"/>
      <c r="HF5" s="65"/>
      <c r="HG5" s="65"/>
      <c r="HH5" s="65"/>
      <c r="HI5" s="65"/>
      <c r="HJ5" s="65"/>
      <c r="HK5" s="65"/>
      <c r="HL5" s="65"/>
      <c r="HM5" s="65"/>
      <c r="HN5" s="65"/>
      <c r="HO5" s="65"/>
      <c r="HP5" s="65"/>
      <c r="HQ5" s="65"/>
      <c r="HR5" s="65"/>
      <c r="HS5" s="65"/>
      <c r="HT5" s="65"/>
      <c r="HU5" s="65"/>
      <c r="HV5" s="65"/>
      <c r="HW5" s="65"/>
      <c r="HX5" s="65"/>
      <c r="HY5" s="65"/>
      <c r="HZ5" s="65"/>
      <c r="IA5" s="65"/>
      <c r="IB5" s="65"/>
      <c r="IC5" s="65"/>
      <c r="ID5" s="65"/>
      <c r="IE5" s="65"/>
      <c r="IF5" s="65"/>
      <c r="IG5" s="65"/>
      <c r="IH5" s="65"/>
      <c r="II5" s="65"/>
      <c r="IJ5" s="65"/>
      <c r="IK5" s="65"/>
      <c r="IL5" s="65"/>
      <c r="IM5" s="65"/>
      <c r="IN5" s="65"/>
      <c r="IO5" s="65"/>
      <c r="IP5" s="65"/>
      <c r="IQ5" s="65"/>
      <c r="IR5" s="65"/>
      <c r="IS5" s="65"/>
      <c r="IT5" s="65"/>
      <c r="IU5" s="65"/>
      <c r="IV5" s="65"/>
    </row>
    <row r="6" customFormat="1" ht="15" customHeight="1" spans="1:256">
      <c r="A6" s="71">
        <v>2</v>
      </c>
      <c r="B6" s="75" t="s">
        <v>423</v>
      </c>
      <c r="C6" s="62"/>
      <c r="D6" s="65"/>
      <c r="E6" s="65"/>
      <c r="F6" s="65"/>
      <c r="G6" s="65"/>
      <c r="H6" s="65"/>
      <c r="I6" s="65"/>
      <c r="J6" s="65"/>
      <c r="K6" s="65"/>
      <c r="L6" s="65"/>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c r="BP6" s="65"/>
      <c r="BQ6" s="65"/>
      <c r="BR6" s="65"/>
      <c r="BS6" s="65"/>
      <c r="BT6" s="65"/>
      <c r="BU6" s="65"/>
      <c r="BV6" s="65"/>
      <c r="BW6" s="65"/>
      <c r="BX6" s="65"/>
      <c r="BY6" s="65"/>
      <c r="BZ6" s="65"/>
      <c r="CA6" s="65"/>
      <c r="CB6" s="65"/>
      <c r="CC6" s="65"/>
      <c r="CD6" s="65"/>
      <c r="CE6" s="65"/>
      <c r="CF6" s="65"/>
      <c r="CG6" s="65"/>
      <c r="CH6" s="65"/>
      <c r="CI6" s="65"/>
      <c r="CJ6" s="65"/>
      <c r="CK6" s="65"/>
      <c r="CL6" s="65"/>
      <c r="CM6" s="65"/>
      <c r="CN6" s="65"/>
      <c r="CO6" s="65"/>
      <c r="CP6" s="65"/>
      <c r="CQ6" s="65"/>
      <c r="CR6" s="65"/>
      <c r="CS6" s="65"/>
      <c r="CT6" s="65"/>
      <c r="CU6" s="65"/>
      <c r="CV6" s="65"/>
      <c r="CW6" s="65"/>
      <c r="CX6" s="65"/>
      <c r="CY6" s="65"/>
      <c r="CZ6" s="65"/>
      <c r="DA6" s="65"/>
      <c r="DB6" s="65"/>
      <c r="DC6" s="65"/>
      <c r="DD6" s="65"/>
      <c r="DE6" s="65"/>
      <c r="DF6" s="65"/>
      <c r="DG6" s="65"/>
      <c r="DH6" s="65"/>
      <c r="DI6" s="65"/>
      <c r="DJ6" s="65"/>
      <c r="DK6" s="65"/>
      <c r="DL6" s="65"/>
      <c r="DM6" s="65"/>
      <c r="DN6" s="65"/>
      <c r="DO6" s="65"/>
      <c r="DP6" s="65"/>
      <c r="DQ6" s="65"/>
      <c r="DR6" s="65"/>
      <c r="DS6" s="65"/>
      <c r="DT6" s="65"/>
      <c r="DU6" s="65"/>
      <c r="DV6" s="65"/>
      <c r="DW6" s="65"/>
      <c r="DX6" s="65"/>
      <c r="DY6" s="65"/>
      <c r="DZ6" s="65"/>
      <c r="EA6" s="65"/>
      <c r="EB6" s="65"/>
      <c r="EC6" s="65"/>
      <c r="ED6" s="65"/>
      <c r="EE6" s="65"/>
      <c r="EF6" s="65"/>
      <c r="EG6" s="65"/>
      <c r="EH6" s="65"/>
      <c r="EI6" s="65"/>
      <c r="EJ6" s="65"/>
      <c r="EK6" s="65"/>
      <c r="EL6" s="65"/>
      <c r="EM6" s="65"/>
      <c r="EN6" s="65"/>
      <c r="EO6" s="65"/>
      <c r="EP6" s="65"/>
      <c r="EQ6" s="65"/>
      <c r="ER6" s="65"/>
      <c r="ES6" s="65"/>
      <c r="ET6" s="65"/>
      <c r="EU6" s="65"/>
      <c r="EV6" s="65"/>
      <c r="EW6" s="65"/>
      <c r="EX6" s="65"/>
      <c r="EY6" s="65"/>
      <c r="EZ6" s="65"/>
      <c r="FA6" s="65"/>
      <c r="FB6" s="65"/>
      <c r="FC6" s="65"/>
      <c r="FD6" s="65"/>
      <c r="FE6" s="65"/>
      <c r="FF6" s="65"/>
      <c r="FG6" s="65"/>
      <c r="FH6" s="65"/>
      <c r="FI6" s="65"/>
      <c r="FJ6" s="65"/>
      <c r="FK6" s="65"/>
      <c r="FL6" s="65"/>
      <c r="FM6" s="65"/>
      <c r="FN6" s="65"/>
      <c r="FO6" s="65"/>
      <c r="FP6" s="65"/>
      <c r="FQ6" s="65"/>
      <c r="FR6" s="65"/>
      <c r="FS6" s="65"/>
      <c r="FT6" s="65"/>
      <c r="FU6" s="65"/>
      <c r="FV6" s="65"/>
      <c r="FW6" s="65"/>
      <c r="FX6" s="65"/>
      <c r="FY6" s="65"/>
      <c r="FZ6" s="65"/>
      <c r="GA6" s="65"/>
      <c r="GB6" s="65"/>
      <c r="GC6" s="65"/>
      <c r="GD6" s="65"/>
      <c r="GE6" s="65"/>
      <c r="GF6" s="65"/>
      <c r="GG6" s="65"/>
      <c r="GH6" s="65"/>
      <c r="GI6" s="65"/>
      <c r="GJ6" s="65"/>
      <c r="GK6" s="65"/>
      <c r="GL6" s="65"/>
      <c r="GM6" s="65"/>
      <c r="GN6" s="65"/>
      <c r="GO6" s="65"/>
      <c r="GP6" s="65"/>
      <c r="GQ6" s="65"/>
      <c r="GR6" s="65"/>
      <c r="GS6" s="65"/>
      <c r="GT6" s="65"/>
      <c r="GU6" s="65"/>
      <c r="GV6" s="65"/>
      <c r="GW6" s="65"/>
      <c r="GX6" s="65"/>
      <c r="GY6" s="65"/>
      <c r="GZ6" s="65"/>
      <c r="HA6" s="65"/>
      <c r="HB6" s="65"/>
      <c r="HC6" s="65"/>
      <c r="HD6" s="65"/>
      <c r="HE6" s="65"/>
      <c r="HF6" s="65"/>
      <c r="HG6" s="65"/>
      <c r="HH6" s="65"/>
      <c r="HI6" s="65"/>
      <c r="HJ6" s="65"/>
      <c r="HK6" s="65"/>
      <c r="HL6" s="65"/>
      <c r="HM6" s="65"/>
      <c r="HN6" s="65"/>
      <c r="HO6" s="65"/>
      <c r="HP6" s="65"/>
      <c r="HQ6" s="65"/>
      <c r="HR6" s="65"/>
      <c r="HS6" s="65"/>
      <c r="HT6" s="65"/>
      <c r="HU6" s="65"/>
      <c r="HV6" s="65"/>
      <c r="HW6" s="65"/>
      <c r="HX6" s="65"/>
      <c r="HY6" s="65"/>
      <c r="HZ6" s="65"/>
      <c r="IA6" s="65"/>
      <c r="IB6" s="65"/>
      <c r="IC6" s="65"/>
      <c r="ID6" s="65"/>
      <c r="IE6" s="65"/>
      <c r="IF6" s="65"/>
      <c r="IG6" s="65"/>
      <c r="IH6" s="65"/>
      <c r="II6" s="65"/>
      <c r="IJ6" s="65"/>
      <c r="IK6" s="65"/>
      <c r="IL6" s="65"/>
      <c r="IM6" s="65"/>
      <c r="IN6" s="65"/>
      <c r="IO6" s="65"/>
      <c r="IP6" s="65"/>
      <c r="IQ6" s="65"/>
      <c r="IR6" s="65"/>
      <c r="IS6" s="65"/>
      <c r="IT6" s="65"/>
      <c r="IU6" s="65"/>
      <c r="IV6" s="65"/>
    </row>
    <row r="7" customFormat="1" ht="15" customHeight="1" spans="1:256">
      <c r="A7" s="71">
        <v>3</v>
      </c>
      <c r="B7" s="75" t="s">
        <v>424</v>
      </c>
      <c r="C7" s="62"/>
      <c r="D7" s="65"/>
      <c r="E7" s="65"/>
      <c r="F7" s="65"/>
      <c r="G7" s="65"/>
      <c r="H7" s="65"/>
      <c r="I7" s="65"/>
      <c r="J7" s="65"/>
      <c r="K7" s="65"/>
      <c r="L7" s="65"/>
      <c r="M7" s="65"/>
      <c r="N7" s="65"/>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5"/>
      <c r="BK7" s="65"/>
      <c r="BL7" s="65"/>
      <c r="BM7" s="65"/>
      <c r="BN7" s="65"/>
      <c r="BO7" s="65"/>
      <c r="BP7" s="65"/>
      <c r="BQ7" s="65"/>
      <c r="BR7" s="65"/>
      <c r="BS7" s="65"/>
      <c r="BT7" s="65"/>
      <c r="BU7" s="65"/>
      <c r="BV7" s="65"/>
      <c r="BW7" s="65"/>
      <c r="BX7" s="65"/>
      <c r="BY7" s="65"/>
      <c r="BZ7" s="65"/>
      <c r="CA7" s="65"/>
      <c r="CB7" s="65"/>
      <c r="CC7" s="65"/>
      <c r="CD7" s="65"/>
      <c r="CE7" s="65"/>
      <c r="CF7" s="65"/>
      <c r="CG7" s="65"/>
      <c r="CH7" s="65"/>
      <c r="CI7" s="65"/>
      <c r="CJ7" s="65"/>
      <c r="CK7" s="65"/>
      <c r="CL7" s="65"/>
      <c r="CM7" s="65"/>
      <c r="CN7" s="65"/>
      <c r="CO7" s="65"/>
      <c r="CP7" s="65"/>
      <c r="CQ7" s="65"/>
      <c r="CR7" s="65"/>
      <c r="CS7" s="65"/>
      <c r="CT7" s="65"/>
      <c r="CU7" s="65"/>
      <c r="CV7" s="65"/>
      <c r="CW7" s="65"/>
      <c r="CX7" s="65"/>
      <c r="CY7" s="65"/>
      <c r="CZ7" s="65"/>
      <c r="DA7" s="65"/>
      <c r="DB7" s="65"/>
      <c r="DC7" s="65"/>
      <c r="DD7" s="65"/>
      <c r="DE7" s="65"/>
      <c r="DF7" s="65"/>
      <c r="DG7" s="65"/>
      <c r="DH7" s="65"/>
      <c r="DI7" s="65"/>
      <c r="DJ7" s="65"/>
      <c r="DK7" s="65"/>
      <c r="DL7" s="65"/>
      <c r="DM7" s="65"/>
      <c r="DN7" s="65"/>
      <c r="DO7" s="65"/>
      <c r="DP7" s="65"/>
      <c r="DQ7" s="65"/>
      <c r="DR7" s="65"/>
      <c r="DS7" s="65"/>
      <c r="DT7" s="65"/>
      <c r="DU7" s="65"/>
      <c r="DV7" s="65"/>
      <c r="DW7" s="65"/>
      <c r="DX7" s="65"/>
      <c r="DY7" s="65"/>
      <c r="DZ7" s="65"/>
      <c r="EA7" s="65"/>
      <c r="EB7" s="65"/>
      <c r="EC7" s="65"/>
      <c r="ED7" s="65"/>
      <c r="EE7" s="65"/>
      <c r="EF7" s="65"/>
      <c r="EG7" s="65"/>
      <c r="EH7" s="65"/>
      <c r="EI7" s="65"/>
      <c r="EJ7" s="65"/>
      <c r="EK7" s="65"/>
      <c r="EL7" s="65"/>
      <c r="EM7" s="65"/>
      <c r="EN7" s="65"/>
      <c r="EO7" s="65"/>
      <c r="EP7" s="65"/>
      <c r="EQ7" s="65"/>
      <c r="ER7" s="65"/>
      <c r="ES7" s="65"/>
      <c r="ET7" s="65"/>
      <c r="EU7" s="65"/>
      <c r="EV7" s="65"/>
      <c r="EW7" s="65"/>
      <c r="EX7" s="65"/>
      <c r="EY7" s="65"/>
      <c r="EZ7" s="65"/>
      <c r="FA7" s="65"/>
      <c r="FB7" s="65"/>
      <c r="FC7" s="65"/>
      <c r="FD7" s="65"/>
      <c r="FE7" s="65"/>
      <c r="FF7" s="65"/>
      <c r="FG7" s="65"/>
      <c r="FH7" s="65"/>
      <c r="FI7" s="65"/>
      <c r="FJ7" s="65"/>
      <c r="FK7" s="65"/>
      <c r="FL7" s="65"/>
      <c r="FM7" s="65"/>
      <c r="FN7" s="65"/>
      <c r="FO7" s="65"/>
      <c r="FP7" s="65"/>
      <c r="FQ7" s="65"/>
      <c r="FR7" s="65"/>
      <c r="FS7" s="65"/>
      <c r="FT7" s="65"/>
      <c r="FU7" s="65"/>
      <c r="FV7" s="65"/>
      <c r="FW7" s="65"/>
      <c r="FX7" s="65"/>
      <c r="FY7" s="65"/>
      <c r="FZ7" s="65"/>
      <c r="GA7" s="65"/>
      <c r="GB7" s="65"/>
      <c r="GC7" s="65"/>
      <c r="GD7" s="65"/>
      <c r="GE7" s="65"/>
      <c r="GF7" s="65"/>
      <c r="GG7" s="65"/>
      <c r="GH7" s="65"/>
      <c r="GI7" s="65"/>
      <c r="GJ7" s="65"/>
      <c r="GK7" s="65"/>
      <c r="GL7" s="65"/>
      <c r="GM7" s="65"/>
      <c r="GN7" s="65"/>
      <c r="GO7" s="65"/>
      <c r="GP7" s="65"/>
      <c r="GQ7" s="65"/>
      <c r="GR7" s="65"/>
      <c r="GS7" s="65"/>
      <c r="GT7" s="65"/>
      <c r="GU7" s="65"/>
      <c r="GV7" s="65"/>
      <c r="GW7" s="65"/>
      <c r="GX7" s="65"/>
      <c r="GY7" s="65"/>
      <c r="GZ7" s="65"/>
      <c r="HA7" s="65"/>
      <c r="HB7" s="65"/>
      <c r="HC7" s="65"/>
      <c r="HD7" s="65"/>
      <c r="HE7" s="65"/>
      <c r="HF7" s="65"/>
      <c r="HG7" s="65"/>
      <c r="HH7" s="65"/>
      <c r="HI7" s="65"/>
      <c r="HJ7" s="65"/>
      <c r="HK7" s="65"/>
      <c r="HL7" s="65"/>
      <c r="HM7" s="65"/>
      <c r="HN7" s="65"/>
      <c r="HO7" s="65"/>
      <c r="HP7" s="65"/>
      <c r="HQ7" s="65"/>
      <c r="HR7" s="65"/>
      <c r="HS7" s="65"/>
      <c r="HT7" s="65"/>
      <c r="HU7" s="65"/>
      <c r="HV7" s="65"/>
      <c r="HW7" s="65"/>
      <c r="HX7" s="65"/>
      <c r="HY7" s="65"/>
      <c r="HZ7" s="65"/>
      <c r="IA7" s="65"/>
      <c r="IB7" s="65"/>
      <c r="IC7" s="65"/>
      <c r="ID7" s="65"/>
      <c r="IE7" s="65"/>
      <c r="IF7" s="65"/>
      <c r="IG7" s="65"/>
      <c r="IH7" s="65"/>
      <c r="II7" s="65"/>
      <c r="IJ7" s="65"/>
      <c r="IK7" s="65"/>
      <c r="IL7" s="65"/>
      <c r="IM7" s="65"/>
      <c r="IN7" s="65"/>
      <c r="IO7" s="65"/>
      <c r="IP7" s="65"/>
      <c r="IQ7" s="65"/>
      <c r="IR7" s="65"/>
      <c r="IS7" s="65"/>
      <c r="IT7" s="65"/>
      <c r="IU7" s="65"/>
      <c r="IV7" s="65"/>
    </row>
    <row r="8" customFormat="1" ht="15" customHeight="1" spans="1:256">
      <c r="A8" s="71">
        <v>4</v>
      </c>
      <c r="B8" s="75" t="s">
        <v>425</v>
      </c>
      <c r="C8" s="62"/>
      <c r="D8" s="65"/>
      <c r="E8" s="65"/>
      <c r="F8" s="65"/>
      <c r="G8" s="65"/>
      <c r="H8" s="65"/>
      <c r="I8" s="65"/>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c r="DU8" s="65"/>
      <c r="DV8" s="65"/>
      <c r="DW8" s="65"/>
      <c r="DX8" s="65"/>
      <c r="DY8" s="65"/>
      <c r="DZ8" s="65"/>
      <c r="EA8" s="65"/>
      <c r="EB8" s="65"/>
      <c r="EC8" s="65"/>
      <c r="ED8" s="65"/>
      <c r="EE8" s="65"/>
      <c r="EF8" s="65"/>
      <c r="EG8" s="65"/>
      <c r="EH8" s="65"/>
      <c r="EI8" s="65"/>
      <c r="EJ8" s="65"/>
      <c r="EK8" s="65"/>
      <c r="EL8" s="65"/>
      <c r="EM8" s="65"/>
      <c r="EN8" s="65"/>
      <c r="EO8" s="65"/>
      <c r="EP8" s="65"/>
      <c r="EQ8" s="65"/>
      <c r="ER8" s="65"/>
      <c r="ES8" s="65"/>
      <c r="ET8" s="65"/>
      <c r="EU8" s="65"/>
      <c r="EV8" s="65"/>
      <c r="EW8" s="65"/>
      <c r="EX8" s="65"/>
      <c r="EY8" s="65"/>
      <c r="EZ8" s="65"/>
      <c r="FA8" s="65"/>
      <c r="FB8" s="65"/>
      <c r="FC8" s="65"/>
      <c r="FD8" s="65"/>
      <c r="FE8" s="65"/>
      <c r="FF8" s="65"/>
      <c r="FG8" s="65"/>
      <c r="FH8" s="65"/>
      <c r="FI8" s="65"/>
      <c r="FJ8" s="65"/>
      <c r="FK8" s="65"/>
      <c r="FL8" s="65"/>
      <c r="FM8" s="65"/>
      <c r="FN8" s="65"/>
      <c r="FO8" s="65"/>
      <c r="FP8" s="65"/>
      <c r="FQ8" s="65"/>
      <c r="FR8" s="65"/>
      <c r="FS8" s="65"/>
      <c r="FT8" s="65"/>
      <c r="FU8" s="65"/>
      <c r="FV8" s="65"/>
      <c r="FW8" s="65"/>
      <c r="FX8" s="65"/>
      <c r="FY8" s="65"/>
      <c r="FZ8" s="65"/>
      <c r="GA8" s="65"/>
      <c r="GB8" s="65"/>
      <c r="GC8" s="65"/>
      <c r="GD8" s="65"/>
      <c r="GE8" s="65"/>
      <c r="GF8" s="65"/>
      <c r="GG8" s="65"/>
      <c r="GH8" s="65"/>
      <c r="GI8" s="65"/>
      <c r="GJ8" s="65"/>
      <c r="GK8" s="65"/>
      <c r="GL8" s="65"/>
      <c r="GM8" s="65"/>
      <c r="GN8" s="65"/>
      <c r="GO8" s="65"/>
      <c r="GP8" s="65"/>
      <c r="GQ8" s="65"/>
      <c r="GR8" s="65"/>
      <c r="GS8" s="65"/>
      <c r="GT8" s="65"/>
      <c r="GU8" s="65"/>
      <c r="GV8" s="65"/>
      <c r="GW8" s="65"/>
      <c r="GX8" s="65"/>
      <c r="GY8" s="65"/>
      <c r="GZ8" s="65"/>
      <c r="HA8" s="65"/>
      <c r="HB8" s="65"/>
      <c r="HC8" s="65"/>
      <c r="HD8" s="65"/>
      <c r="HE8" s="65"/>
      <c r="HF8" s="65"/>
      <c r="HG8" s="65"/>
      <c r="HH8" s="65"/>
      <c r="HI8" s="65"/>
      <c r="HJ8" s="65"/>
      <c r="HK8" s="65"/>
      <c r="HL8" s="65"/>
      <c r="HM8" s="65"/>
      <c r="HN8" s="65"/>
      <c r="HO8" s="65"/>
      <c r="HP8" s="65"/>
      <c r="HQ8" s="65"/>
      <c r="HR8" s="65"/>
      <c r="HS8" s="65"/>
      <c r="HT8" s="65"/>
      <c r="HU8" s="65"/>
      <c r="HV8" s="65"/>
      <c r="HW8" s="65"/>
      <c r="HX8" s="65"/>
      <c r="HY8" s="65"/>
      <c r="HZ8" s="65"/>
      <c r="IA8" s="65"/>
      <c r="IB8" s="65"/>
      <c r="IC8" s="65"/>
      <c r="ID8" s="65"/>
      <c r="IE8" s="65"/>
      <c r="IF8" s="65"/>
      <c r="IG8" s="65"/>
      <c r="IH8" s="65"/>
      <c r="II8" s="65"/>
      <c r="IJ8" s="65"/>
      <c r="IK8" s="65"/>
      <c r="IL8" s="65"/>
      <c r="IM8" s="65"/>
      <c r="IN8" s="65"/>
      <c r="IO8" s="65"/>
      <c r="IP8" s="65"/>
      <c r="IQ8" s="65"/>
      <c r="IR8" s="65"/>
      <c r="IS8" s="65"/>
      <c r="IT8" s="65"/>
      <c r="IU8" s="65"/>
      <c r="IV8" s="65"/>
    </row>
    <row r="9" customFormat="1" ht="15" customHeight="1" spans="1:256">
      <c r="A9" s="71">
        <v>5</v>
      </c>
      <c r="B9" s="73" t="s">
        <v>426</v>
      </c>
      <c r="C9" s="74"/>
      <c r="D9" s="65"/>
      <c r="E9" s="65"/>
      <c r="F9" s="65"/>
      <c r="G9" s="65"/>
      <c r="H9" s="65"/>
      <c r="I9" s="65"/>
      <c r="J9" s="65"/>
      <c r="K9" s="65"/>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L9" s="65"/>
      <c r="BM9" s="65"/>
      <c r="BN9" s="65"/>
      <c r="BO9" s="65"/>
      <c r="BP9" s="65"/>
      <c r="BQ9" s="65"/>
      <c r="BR9" s="65"/>
      <c r="BS9" s="65"/>
      <c r="BT9" s="65"/>
      <c r="BU9" s="65"/>
      <c r="BV9" s="65"/>
      <c r="BW9" s="65"/>
      <c r="BX9" s="65"/>
      <c r="BY9" s="65"/>
      <c r="BZ9" s="65"/>
      <c r="CA9" s="65"/>
      <c r="CB9" s="65"/>
      <c r="CC9" s="65"/>
      <c r="CD9" s="65"/>
      <c r="CE9" s="65"/>
      <c r="CF9" s="65"/>
      <c r="CG9" s="65"/>
      <c r="CH9" s="65"/>
      <c r="CI9" s="65"/>
      <c r="CJ9" s="65"/>
      <c r="CK9" s="65"/>
      <c r="CL9" s="65"/>
      <c r="CM9" s="65"/>
      <c r="CN9" s="65"/>
      <c r="CO9" s="65"/>
      <c r="CP9" s="65"/>
      <c r="CQ9" s="65"/>
      <c r="CR9" s="65"/>
      <c r="CS9" s="65"/>
      <c r="CT9" s="65"/>
      <c r="CU9" s="65"/>
      <c r="CV9" s="65"/>
      <c r="CW9" s="65"/>
      <c r="CX9" s="65"/>
      <c r="CY9" s="65"/>
      <c r="CZ9" s="65"/>
      <c r="DA9" s="65"/>
      <c r="DB9" s="65"/>
      <c r="DC9" s="65"/>
      <c r="DD9" s="65"/>
      <c r="DE9" s="65"/>
      <c r="DF9" s="65"/>
      <c r="DG9" s="65"/>
      <c r="DH9" s="65"/>
      <c r="DI9" s="65"/>
      <c r="DJ9" s="65"/>
      <c r="DK9" s="65"/>
      <c r="DL9" s="65"/>
      <c r="DM9" s="65"/>
      <c r="DN9" s="65"/>
      <c r="DO9" s="65"/>
      <c r="DP9" s="65"/>
      <c r="DQ9" s="65"/>
      <c r="DR9" s="65"/>
      <c r="DS9" s="65"/>
      <c r="DT9" s="65"/>
      <c r="DU9" s="65"/>
      <c r="DV9" s="65"/>
      <c r="DW9" s="65"/>
      <c r="DX9" s="65"/>
      <c r="DY9" s="65"/>
      <c r="DZ9" s="65"/>
      <c r="EA9" s="65"/>
      <c r="EB9" s="65"/>
      <c r="EC9" s="65"/>
      <c r="ED9" s="65"/>
      <c r="EE9" s="65"/>
      <c r="EF9" s="65"/>
      <c r="EG9" s="65"/>
      <c r="EH9" s="65"/>
      <c r="EI9" s="65"/>
      <c r="EJ9" s="65"/>
      <c r="EK9" s="65"/>
      <c r="EL9" s="65"/>
      <c r="EM9" s="65"/>
      <c r="EN9" s="65"/>
      <c r="EO9" s="65"/>
      <c r="EP9" s="65"/>
      <c r="EQ9" s="65"/>
      <c r="ER9" s="65"/>
      <c r="ES9" s="65"/>
      <c r="ET9" s="65"/>
      <c r="EU9" s="65"/>
      <c r="EV9" s="65"/>
      <c r="EW9" s="65"/>
      <c r="EX9" s="65"/>
      <c r="EY9" s="65"/>
      <c r="EZ9" s="65"/>
      <c r="FA9" s="65"/>
      <c r="FB9" s="65"/>
      <c r="FC9" s="65"/>
      <c r="FD9" s="65"/>
      <c r="FE9" s="65"/>
      <c r="FF9" s="65"/>
      <c r="FG9" s="65"/>
      <c r="FH9" s="65"/>
      <c r="FI9" s="65"/>
      <c r="FJ9" s="65"/>
      <c r="FK9" s="65"/>
      <c r="FL9" s="65"/>
      <c r="FM9" s="65"/>
      <c r="FN9" s="65"/>
      <c r="FO9" s="65"/>
      <c r="FP9" s="65"/>
      <c r="FQ9" s="65"/>
      <c r="FR9" s="65"/>
      <c r="FS9" s="65"/>
      <c r="FT9" s="65"/>
      <c r="FU9" s="65"/>
      <c r="FV9" s="65"/>
      <c r="FW9" s="65"/>
      <c r="FX9" s="65"/>
      <c r="FY9" s="65"/>
      <c r="FZ9" s="65"/>
      <c r="GA9" s="65"/>
      <c r="GB9" s="65"/>
      <c r="GC9" s="65"/>
      <c r="GD9" s="65"/>
      <c r="GE9" s="65"/>
      <c r="GF9" s="65"/>
      <c r="GG9" s="65"/>
      <c r="GH9" s="65"/>
      <c r="GI9" s="65"/>
      <c r="GJ9" s="65"/>
      <c r="GK9" s="65"/>
      <c r="GL9" s="65"/>
      <c r="GM9" s="65"/>
      <c r="GN9" s="65"/>
      <c r="GO9" s="65"/>
      <c r="GP9" s="65"/>
      <c r="GQ9" s="65"/>
      <c r="GR9" s="65"/>
      <c r="GS9" s="65"/>
      <c r="GT9" s="65"/>
      <c r="GU9" s="65"/>
      <c r="GV9" s="65"/>
      <c r="GW9" s="65"/>
      <c r="GX9" s="65"/>
      <c r="GY9" s="65"/>
      <c r="GZ9" s="65"/>
      <c r="HA9" s="65"/>
      <c r="HB9" s="65"/>
      <c r="HC9" s="65"/>
      <c r="HD9" s="65"/>
      <c r="HE9" s="65"/>
      <c r="HF9" s="65"/>
      <c r="HG9" s="65"/>
      <c r="HH9" s="65"/>
      <c r="HI9" s="65"/>
      <c r="HJ9" s="65"/>
      <c r="HK9" s="65"/>
      <c r="HL9" s="65"/>
      <c r="HM9" s="65"/>
      <c r="HN9" s="65"/>
      <c r="HO9" s="65"/>
      <c r="HP9" s="65"/>
      <c r="HQ9" s="65"/>
      <c r="HR9" s="65"/>
      <c r="HS9" s="65"/>
      <c r="HT9" s="65"/>
      <c r="HU9" s="65"/>
      <c r="HV9" s="65"/>
      <c r="HW9" s="65"/>
      <c r="HX9" s="65"/>
      <c r="HY9" s="65"/>
      <c r="HZ9" s="65"/>
      <c r="IA9" s="65"/>
      <c r="IB9" s="65"/>
      <c r="IC9" s="65"/>
      <c r="ID9" s="65"/>
      <c r="IE9" s="65"/>
      <c r="IF9" s="65"/>
      <c r="IG9" s="65"/>
      <c r="IH9" s="65"/>
      <c r="II9" s="65"/>
      <c r="IJ9" s="65"/>
      <c r="IK9" s="65"/>
      <c r="IL9" s="65"/>
      <c r="IM9" s="65"/>
      <c r="IN9" s="65"/>
      <c r="IO9" s="65"/>
      <c r="IP9" s="65"/>
      <c r="IQ9" s="65"/>
      <c r="IR9" s="65"/>
      <c r="IS9" s="65"/>
      <c r="IT9" s="65"/>
      <c r="IU9" s="65"/>
      <c r="IV9" s="65"/>
    </row>
    <row r="10" customFormat="1" ht="15" customHeight="1" spans="1:256">
      <c r="A10" s="71">
        <v>6</v>
      </c>
      <c r="B10" s="75" t="s">
        <v>427</v>
      </c>
      <c r="C10" s="62"/>
      <c r="D10" s="65"/>
      <c r="E10" s="65"/>
      <c r="F10" s="65"/>
      <c r="G10" s="65"/>
      <c r="H10" s="65"/>
      <c r="I10" s="65"/>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5"/>
      <c r="BK10" s="65"/>
      <c r="BL10" s="65"/>
      <c r="BM10" s="65"/>
      <c r="BN10" s="65"/>
      <c r="BO10" s="65"/>
      <c r="BP10" s="65"/>
      <c r="BQ10" s="65"/>
      <c r="BR10" s="65"/>
      <c r="BS10" s="65"/>
      <c r="BT10" s="65"/>
      <c r="BU10" s="65"/>
      <c r="BV10" s="65"/>
      <c r="BW10" s="65"/>
      <c r="BX10" s="65"/>
      <c r="BY10" s="65"/>
      <c r="BZ10" s="65"/>
      <c r="CA10" s="65"/>
      <c r="CB10" s="65"/>
      <c r="CC10" s="65"/>
      <c r="CD10" s="65"/>
      <c r="CE10" s="65"/>
      <c r="CF10" s="65"/>
      <c r="CG10" s="65"/>
      <c r="CH10" s="65"/>
      <c r="CI10" s="65"/>
      <c r="CJ10" s="65"/>
      <c r="CK10" s="65"/>
      <c r="CL10" s="65"/>
      <c r="CM10" s="65"/>
      <c r="CN10" s="65"/>
      <c r="CO10" s="65"/>
      <c r="CP10" s="65"/>
      <c r="CQ10" s="65"/>
      <c r="CR10" s="65"/>
      <c r="CS10" s="65"/>
      <c r="CT10" s="65"/>
      <c r="CU10" s="65"/>
      <c r="CV10" s="65"/>
      <c r="CW10" s="65"/>
      <c r="CX10" s="65"/>
      <c r="CY10" s="65"/>
      <c r="CZ10" s="65"/>
      <c r="DA10" s="65"/>
      <c r="DB10" s="65"/>
      <c r="DC10" s="65"/>
      <c r="DD10" s="65"/>
      <c r="DE10" s="65"/>
      <c r="DF10" s="65"/>
      <c r="DG10" s="65"/>
      <c r="DH10" s="65"/>
      <c r="DI10" s="65"/>
      <c r="DJ10" s="65"/>
      <c r="DK10" s="65"/>
      <c r="DL10" s="65"/>
      <c r="DM10" s="65"/>
      <c r="DN10" s="65"/>
      <c r="DO10" s="65"/>
      <c r="DP10" s="65"/>
      <c r="DQ10" s="65"/>
      <c r="DR10" s="65"/>
      <c r="DS10" s="65"/>
      <c r="DT10" s="65"/>
      <c r="DU10" s="65"/>
      <c r="DV10" s="65"/>
      <c r="DW10" s="65"/>
      <c r="DX10" s="65"/>
      <c r="DY10" s="65"/>
      <c r="DZ10" s="65"/>
      <c r="EA10" s="65"/>
      <c r="EB10" s="65"/>
      <c r="EC10" s="65"/>
      <c r="ED10" s="65"/>
      <c r="EE10" s="65"/>
      <c r="EF10" s="65"/>
      <c r="EG10" s="65"/>
      <c r="EH10" s="65"/>
      <c r="EI10" s="65"/>
      <c r="EJ10" s="65"/>
      <c r="EK10" s="65"/>
      <c r="EL10" s="65"/>
      <c r="EM10" s="65"/>
      <c r="EN10" s="65"/>
      <c r="EO10" s="65"/>
      <c r="EP10" s="65"/>
      <c r="EQ10" s="65"/>
      <c r="ER10" s="65"/>
      <c r="ES10" s="65"/>
      <c r="ET10" s="65"/>
      <c r="EU10" s="65"/>
      <c r="EV10" s="65"/>
      <c r="EW10" s="65"/>
      <c r="EX10" s="65"/>
      <c r="EY10" s="65"/>
      <c r="EZ10" s="65"/>
      <c r="FA10" s="65"/>
      <c r="FB10" s="65"/>
      <c r="FC10" s="65"/>
      <c r="FD10" s="65"/>
      <c r="FE10" s="65"/>
      <c r="FF10" s="65"/>
      <c r="FG10" s="65"/>
      <c r="FH10" s="65"/>
      <c r="FI10" s="65"/>
      <c r="FJ10" s="65"/>
      <c r="FK10" s="65"/>
      <c r="FL10" s="65"/>
      <c r="FM10" s="65"/>
      <c r="FN10" s="65"/>
      <c r="FO10" s="65"/>
      <c r="FP10" s="65"/>
      <c r="FQ10" s="65"/>
      <c r="FR10" s="65"/>
      <c r="FS10" s="65"/>
      <c r="FT10" s="65"/>
      <c r="FU10" s="65"/>
      <c r="FV10" s="65"/>
      <c r="FW10" s="65"/>
      <c r="FX10" s="65"/>
      <c r="FY10" s="65"/>
      <c r="FZ10" s="65"/>
      <c r="GA10" s="65"/>
      <c r="GB10" s="65"/>
      <c r="GC10" s="65"/>
      <c r="GD10" s="65"/>
      <c r="GE10" s="65"/>
      <c r="GF10" s="65"/>
      <c r="GG10" s="65"/>
      <c r="GH10" s="65"/>
      <c r="GI10" s="65"/>
      <c r="GJ10" s="65"/>
      <c r="GK10" s="65"/>
      <c r="GL10" s="65"/>
      <c r="GM10" s="65"/>
      <c r="GN10" s="65"/>
      <c r="GO10" s="65"/>
      <c r="GP10" s="65"/>
      <c r="GQ10" s="65"/>
      <c r="GR10" s="65"/>
      <c r="GS10" s="65"/>
      <c r="GT10" s="65"/>
      <c r="GU10" s="65"/>
      <c r="GV10" s="65"/>
      <c r="GW10" s="65"/>
      <c r="GX10" s="65"/>
      <c r="GY10" s="65"/>
      <c r="GZ10" s="65"/>
      <c r="HA10" s="65"/>
      <c r="HB10" s="65"/>
      <c r="HC10" s="65"/>
      <c r="HD10" s="65"/>
      <c r="HE10" s="65"/>
      <c r="HF10" s="65"/>
      <c r="HG10" s="65"/>
      <c r="HH10" s="65"/>
      <c r="HI10" s="65"/>
      <c r="HJ10" s="65"/>
      <c r="HK10" s="65"/>
      <c r="HL10" s="65"/>
      <c r="HM10" s="65"/>
      <c r="HN10" s="65"/>
      <c r="HO10" s="65"/>
      <c r="HP10" s="65"/>
      <c r="HQ10" s="65"/>
      <c r="HR10" s="65"/>
      <c r="HS10" s="65"/>
      <c r="HT10" s="65"/>
      <c r="HU10" s="65"/>
      <c r="HV10" s="65"/>
      <c r="HW10" s="65"/>
      <c r="HX10" s="65"/>
      <c r="HY10" s="65"/>
      <c r="HZ10" s="65"/>
      <c r="IA10" s="65"/>
      <c r="IB10" s="65"/>
      <c r="IC10" s="65"/>
      <c r="ID10" s="65"/>
      <c r="IE10" s="65"/>
      <c r="IF10" s="65"/>
      <c r="IG10" s="65"/>
      <c r="IH10" s="65"/>
      <c r="II10" s="65"/>
      <c r="IJ10" s="65"/>
      <c r="IK10" s="65"/>
      <c r="IL10" s="65"/>
      <c r="IM10" s="65"/>
      <c r="IN10" s="65"/>
      <c r="IO10" s="65"/>
      <c r="IP10" s="65"/>
      <c r="IQ10" s="65"/>
      <c r="IR10" s="65"/>
      <c r="IS10" s="65"/>
      <c r="IT10" s="65"/>
      <c r="IU10" s="65"/>
      <c r="IV10" s="65"/>
    </row>
    <row r="11" customFormat="1" ht="15" customHeight="1" spans="1:256">
      <c r="A11" s="71">
        <v>7</v>
      </c>
      <c r="B11" s="75" t="s">
        <v>428</v>
      </c>
      <c r="C11" s="62"/>
      <c r="D11" s="65"/>
      <c r="E11" s="81"/>
      <c r="F11" s="65"/>
      <c r="G11" s="65"/>
      <c r="H11" s="65"/>
      <c r="I11" s="65"/>
      <c r="J11" s="65"/>
      <c r="K11" s="65"/>
      <c r="L11" s="65"/>
      <c r="M11" s="65"/>
      <c r="N11" s="65"/>
      <c r="O11" s="65"/>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c r="AY11" s="65"/>
      <c r="AZ11" s="65"/>
      <c r="BA11" s="65"/>
      <c r="BB11" s="65"/>
      <c r="BC11" s="65"/>
      <c r="BD11" s="65"/>
      <c r="BE11" s="65"/>
      <c r="BF11" s="65"/>
      <c r="BG11" s="65"/>
      <c r="BH11" s="65"/>
      <c r="BI11" s="65"/>
      <c r="BJ11" s="65"/>
      <c r="BK11" s="65"/>
      <c r="BL11" s="65"/>
      <c r="BM11" s="65"/>
      <c r="BN11" s="65"/>
      <c r="BO11" s="65"/>
      <c r="BP11" s="65"/>
      <c r="BQ11" s="65"/>
      <c r="BR11" s="65"/>
      <c r="BS11" s="65"/>
      <c r="BT11" s="65"/>
      <c r="BU11" s="65"/>
      <c r="BV11" s="65"/>
      <c r="BW11" s="65"/>
      <c r="BX11" s="65"/>
      <c r="BY11" s="65"/>
      <c r="BZ11" s="65"/>
      <c r="CA11" s="65"/>
      <c r="CB11" s="65"/>
      <c r="CC11" s="65"/>
      <c r="CD11" s="65"/>
      <c r="CE11" s="65"/>
      <c r="CF11" s="65"/>
      <c r="CG11" s="65"/>
      <c r="CH11" s="65"/>
      <c r="CI11" s="65"/>
      <c r="CJ11" s="65"/>
      <c r="CK11" s="65"/>
      <c r="CL11" s="65"/>
      <c r="CM11" s="65"/>
      <c r="CN11" s="65"/>
      <c r="CO11" s="65"/>
      <c r="CP11" s="65"/>
      <c r="CQ11" s="65"/>
      <c r="CR11" s="65"/>
      <c r="CS11" s="65"/>
      <c r="CT11" s="65"/>
      <c r="CU11" s="65"/>
      <c r="CV11" s="65"/>
      <c r="CW11" s="65"/>
      <c r="CX11" s="65"/>
      <c r="CY11" s="65"/>
      <c r="CZ11" s="65"/>
      <c r="DA11" s="65"/>
      <c r="DB11" s="65"/>
      <c r="DC11" s="65"/>
      <c r="DD11" s="65"/>
      <c r="DE11" s="65"/>
      <c r="DF11" s="65"/>
      <c r="DG11" s="65"/>
      <c r="DH11" s="65"/>
      <c r="DI11" s="65"/>
      <c r="DJ11" s="65"/>
      <c r="DK11" s="65"/>
      <c r="DL11" s="65"/>
      <c r="DM11" s="65"/>
      <c r="DN11" s="65"/>
      <c r="DO11" s="65"/>
      <c r="DP11" s="65"/>
      <c r="DQ11" s="65"/>
      <c r="DR11" s="65"/>
      <c r="DS11" s="65"/>
      <c r="DT11" s="65"/>
      <c r="DU11" s="65"/>
      <c r="DV11" s="65"/>
      <c r="DW11" s="65"/>
      <c r="DX11" s="65"/>
      <c r="DY11" s="65"/>
      <c r="DZ11" s="65"/>
      <c r="EA11" s="65"/>
      <c r="EB11" s="65"/>
      <c r="EC11" s="65"/>
      <c r="ED11" s="65"/>
      <c r="EE11" s="65"/>
      <c r="EF11" s="65"/>
      <c r="EG11" s="65"/>
      <c r="EH11" s="65"/>
      <c r="EI11" s="65"/>
      <c r="EJ11" s="65"/>
      <c r="EK11" s="65"/>
      <c r="EL11" s="65"/>
      <c r="EM11" s="65"/>
      <c r="EN11" s="65"/>
      <c r="EO11" s="65"/>
      <c r="EP11" s="65"/>
      <c r="EQ11" s="65"/>
      <c r="ER11" s="65"/>
      <c r="ES11" s="65"/>
      <c r="ET11" s="65"/>
      <c r="EU11" s="65"/>
      <c r="EV11" s="65"/>
      <c r="EW11" s="65"/>
      <c r="EX11" s="65"/>
      <c r="EY11" s="65"/>
      <c r="EZ11" s="65"/>
      <c r="FA11" s="65"/>
      <c r="FB11" s="65"/>
      <c r="FC11" s="65"/>
      <c r="FD11" s="65"/>
      <c r="FE11" s="65"/>
      <c r="FF11" s="65"/>
      <c r="FG11" s="65"/>
      <c r="FH11" s="65"/>
      <c r="FI11" s="65"/>
      <c r="FJ11" s="65"/>
      <c r="FK11" s="65"/>
      <c r="FL11" s="65"/>
      <c r="FM11" s="65"/>
      <c r="FN11" s="65"/>
      <c r="FO11" s="65"/>
      <c r="FP11" s="65"/>
      <c r="FQ11" s="65"/>
      <c r="FR11" s="65"/>
      <c r="FS11" s="65"/>
      <c r="FT11" s="65"/>
      <c r="FU11" s="65"/>
      <c r="FV11" s="65"/>
      <c r="FW11" s="65"/>
      <c r="FX11" s="65"/>
      <c r="FY11" s="65"/>
      <c r="FZ11" s="65"/>
      <c r="GA11" s="65"/>
      <c r="GB11" s="65"/>
      <c r="GC11" s="65"/>
      <c r="GD11" s="65"/>
      <c r="GE11" s="65"/>
      <c r="GF11" s="65"/>
      <c r="GG11" s="65"/>
      <c r="GH11" s="65"/>
      <c r="GI11" s="65"/>
      <c r="GJ11" s="65"/>
      <c r="GK11" s="65"/>
      <c r="GL11" s="65"/>
      <c r="GM11" s="65"/>
      <c r="GN11" s="65"/>
      <c r="GO11" s="65"/>
      <c r="GP11" s="65"/>
      <c r="GQ11" s="65"/>
      <c r="GR11" s="65"/>
      <c r="GS11" s="65"/>
      <c r="GT11" s="65"/>
      <c r="GU11" s="65"/>
      <c r="GV11" s="65"/>
      <c r="GW11" s="65"/>
      <c r="GX11" s="65"/>
      <c r="GY11" s="65"/>
      <c r="GZ11" s="65"/>
      <c r="HA11" s="65"/>
      <c r="HB11" s="65"/>
      <c r="HC11" s="65"/>
      <c r="HD11" s="65"/>
      <c r="HE11" s="65"/>
      <c r="HF11" s="65"/>
      <c r="HG11" s="65"/>
      <c r="HH11" s="65"/>
      <c r="HI11" s="65"/>
      <c r="HJ11" s="65"/>
      <c r="HK11" s="65"/>
      <c r="HL11" s="65"/>
      <c r="HM11" s="65"/>
      <c r="HN11" s="65"/>
      <c r="HO11" s="65"/>
      <c r="HP11" s="65"/>
      <c r="HQ11" s="65"/>
      <c r="HR11" s="65"/>
      <c r="HS11" s="65"/>
      <c r="HT11" s="65"/>
      <c r="HU11" s="65"/>
      <c r="HV11" s="65"/>
      <c r="HW11" s="65"/>
      <c r="HX11" s="65"/>
      <c r="HY11" s="65"/>
      <c r="HZ11" s="65"/>
      <c r="IA11" s="65"/>
      <c r="IB11" s="65"/>
      <c r="IC11" s="65"/>
      <c r="ID11" s="65"/>
      <c r="IE11" s="65"/>
      <c r="IF11" s="65"/>
      <c r="IG11" s="65"/>
      <c r="IH11" s="65"/>
      <c r="II11" s="65"/>
      <c r="IJ11" s="65"/>
      <c r="IK11" s="65"/>
      <c r="IL11" s="65"/>
      <c r="IM11" s="65"/>
      <c r="IN11" s="65"/>
      <c r="IO11" s="65"/>
      <c r="IP11" s="65"/>
      <c r="IQ11" s="65"/>
      <c r="IR11" s="65"/>
      <c r="IS11" s="65"/>
      <c r="IT11" s="65"/>
      <c r="IU11" s="65"/>
      <c r="IV11" s="65"/>
    </row>
    <row r="12" customFormat="1" ht="15" customHeight="1" spans="1:256">
      <c r="A12" s="71">
        <v>8</v>
      </c>
      <c r="B12" s="75" t="s">
        <v>429</v>
      </c>
      <c r="C12" s="62"/>
      <c r="D12" s="65"/>
      <c r="E12" s="65"/>
      <c r="F12" s="65"/>
      <c r="G12" s="65"/>
      <c r="H12" s="65"/>
      <c r="I12" s="65"/>
      <c r="J12" s="65"/>
      <c r="K12" s="65"/>
      <c r="L12" s="65"/>
      <c r="M12" s="65"/>
      <c r="N12" s="65"/>
      <c r="O12" s="65"/>
      <c r="P12" s="65"/>
      <c r="Q12" s="65"/>
      <c r="R12" s="65"/>
      <c r="S12" s="65"/>
      <c r="T12" s="65"/>
      <c r="U12" s="65"/>
      <c r="V12" s="65"/>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5"/>
      <c r="BD12" s="65"/>
      <c r="BE12" s="65"/>
      <c r="BF12" s="65"/>
      <c r="BG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c r="CT12" s="65"/>
      <c r="CU12" s="65"/>
      <c r="CV12" s="65"/>
      <c r="CW12" s="65"/>
      <c r="CX12" s="65"/>
      <c r="CY12" s="65"/>
      <c r="CZ12" s="65"/>
      <c r="DA12" s="65"/>
      <c r="DB12" s="65"/>
      <c r="DC12" s="65"/>
      <c r="DD12" s="65"/>
      <c r="DE12" s="65"/>
      <c r="DF12" s="65"/>
      <c r="DG12" s="65"/>
      <c r="DH12" s="65"/>
      <c r="DI12" s="65"/>
      <c r="DJ12" s="65"/>
      <c r="DK12" s="65"/>
      <c r="DL12" s="65"/>
      <c r="DM12" s="65"/>
      <c r="DN12" s="65"/>
      <c r="DO12" s="65"/>
      <c r="DP12" s="65"/>
      <c r="DQ12" s="65"/>
      <c r="DR12" s="65"/>
      <c r="DS12" s="65"/>
      <c r="DT12" s="65"/>
      <c r="DU12" s="65"/>
      <c r="DV12" s="65"/>
      <c r="DW12" s="65"/>
      <c r="DX12" s="65"/>
      <c r="DY12" s="65"/>
      <c r="DZ12" s="65"/>
      <c r="EA12" s="65"/>
      <c r="EB12" s="65"/>
      <c r="EC12" s="65"/>
      <c r="ED12" s="65"/>
      <c r="EE12" s="65"/>
      <c r="EF12" s="65"/>
      <c r="EG12" s="65"/>
      <c r="EH12" s="65"/>
      <c r="EI12" s="65"/>
      <c r="EJ12" s="65"/>
      <c r="EK12" s="65"/>
      <c r="EL12" s="65"/>
      <c r="EM12" s="65"/>
      <c r="EN12" s="65"/>
      <c r="EO12" s="65"/>
      <c r="EP12" s="65"/>
      <c r="EQ12" s="65"/>
      <c r="ER12" s="65"/>
      <c r="ES12" s="65"/>
      <c r="ET12" s="65"/>
      <c r="EU12" s="65"/>
      <c r="EV12" s="65"/>
      <c r="EW12" s="65"/>
      <c r="EX12" s="65"/>
      <c r="EY12" s="65"/>
      <c r="EZ12" s="65"/>
      <c r="FA12" s="65"/>
      <c r="FB12" s="65"/>
      <c r="FC12" s="65"/>
      <c r="FD12" s="65"/>
      <c r="FE12" s="65"/>
      <c r="FF12" s="65"/>
      <c r="FG12" s="65"/>
      <c r="FH12" s="65"/>
      <c r="FI12" s="65"/>
      <c r="FJ12" s="65"/>
      <c r="FK12" s="65"/>
      <c r="FL12" s="65"/>
      <c r="FM12" s="65"/>
      <c r="FN12" s="65"/>
      <c r="FO12" s="65"/>
      <c r="FP12" s="65"/>
      <c r="FQ12" s="65"/>
      <c r="FR12" s="65"/>
      <c r="FS12" s="65"/>
      <c r="FT12" s="65"/>
      <c r="FU12" s="65"/>
      <c r="FV12" s="65"/>
      <c r="FW12" s="65"/>
      <c r="FX12" s="65"/>
      <c r="FY12" s="65"/>
      <c r="FZ12" s="65"/>
      <c r="GA12" s="65"/>
      <c r="GB12" s="65"/>
      <c r="GC12" s="65"/>
      <c r="GD12" s="65"/>
      <c r="GE12" s="65"/>
      <c r="GF12" s="65"/>
      <c r="GG12" s="65"/>
      <c r="GH12" s="65"/>
      <c r="GI12" s="65"/>
      <c r="GJ12" s="65"/>
      <c r="GK12" s="65"/>
      <c r="GL12" s="65"/>
      <c r="GM12" s="65"/>
      <c r="GN12" s="65"/>
      <c r="GO12" s="65"/>
      <c r="GP12" s="65"/>
      <c r="GQ12" s="65"/>
      <c r="GR12" s="65"/>
      <c r="GS12" s="65"/>
      <c r="GT12" s="65"/>
      <c r="GU12" s="65"/>
      <c r="GV12" s="65"/>
      <c r="GW12" s="65"/>
      <c r="GX12" s="65"/>
      <c r="GY12" s="65"/>
      <c r="GZ12" s="65"/>
      <c r="HA12" s="65"/>
      <c r="HB12" s="65"/>
      <c r="HC12" s="65"/>
      <c r="HD12" s="65"/>
      <c r="HE12" s="65"/>
      <c r="HF12" s="65"/>
      <c r="HG12" s="65"/>
      <c r="HH12" s="65"/>
      <c r="HI12" s="65"/>
      <c r="HJ12" s="65"/>
      <c r="HK12" s="65"/>
      <c r="HL12" s="65"/>
      <c r="HM12" s="65"/>
      <c r="HN12" s="65"/>
      <c r="HO12" s="65"/>
      <c r="HP12" s="65"/>
      <c r="HQ12" s="65"/>
      <c r="HR12" s="65"/>
      <c r="HS12" s="65"/>
      <c r="HT12" s="65"/>
      <c r="HU12" s="65"/>
      <c r="HV12" s="65"/>
      <c r="HW12" s="65"/>
      <c r="HX12" s="65"/>
      <c r="HY12" s="65"/>
      <c r="HZ12" s="65"/>
      <c r="IA12" s="65"/>
      <c r="IB12" s="65"/>
      <c r="IC12" s="65"/>
      <c r="ID12" s="65"/>
      <c r="IE12" s="65"/>
      <c r="IF12" s="65"/>
      <c r="IG12" s="65"/>
      <c r="IH12" s="65"/>
      <c r="II12" s="65"/>
      <c r="IJ12" s="65"/>
      <c r="IK12" s="65"/>
      <c r="IL12" s="65"/>
      <c r="IM12" s="65"/>
      <c r="IN12" s="65"/>
      <c r="IO12" s="65"/>
      <c r="IP12" s="65"/>
      <c r="IQ12" s="65"/>
      <c r="IR12" s="65"/>
      <c r="IS12" s="65"/>
      <c r="IT12" s="65"/>
      <c r="IU12" s="65"/>
      <c r="IV12" s="65"/>
    </row>
    <row r="13" customFormat="1" ht="15" customHeight="1" spans="1:256">
      <c r="A13" s="71">
        <v>9</v>
      </c>
      <c r="B13" s="75" t="s">
        <v>430</v>
      </c>
      <c r="C13" s="62"/>
      <c r="D13" s="65"/>
      <c r="E13" s="65"/>
      <c r="F13" s="65"/>
      <c r="G13" s="65"/>
      <c r="H13" s="65"/>
      <c r="I13" s="65"/>
      <c r="J13" s="65"/>
      <c r="K13" s="65"/>
      <c r="L13" s="65"/>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c r="CT13" s="65"/>
      <c r="CU13" s="65"/>
      <c r="CV13" s="65"/>
      <c r="CW13" s="65"/>
      <c r="CX13" s="65"/>
      <c r="CY13" s="65"/>
      <c r="CZ13" s="65"/>
      <c r="DA13" s="65"/>
      <c r="DB13" s="65"/>
      <c r="DC13" s="65"/>
      <c r="DD13" s="65"/>
      <c r="DE13" s="65"/>
      <c r="DF13" s="65"/>
      <c r="DG13" s="65"/>
      <c r="DH13" s="65"/>
      <c r="DI13" s="65"/>
      <c r="DJ13" s="65"/>
      <c r="DK13" s="65"/>
      <c r="DL13" s="65"/>
      <c r="DM13" s="65"/>
      <c r="DN13" s="65"/>
      <c r="DO13" s="65"/>
      <c r="DP13" s="65"/>
      <c r="DQ13" s="65"/>
      <c r="DR13" s="65"/>
      <c r="DS13" s="65"/>
      <c r="DT13" s="65"/>
      <c r="DU13" s="65"/>
      <c r="DV13" s="65"/>
      <c r="DW13" s="65"/>
      <c r="DX13" s="65"/>
      <c r="DY13" s="65"/>
      <c r="DZ13" s="65"/>
      <c r="EA13" s="65"/>
      <c r="EB13" s="65"/>
      <c r="EC13" s="65"/>
      <c r="ED13" s="65"/>
      <c r="EE13" s="65"/>
      <c r="EF13" s="65"/>
      <c r="EG13" s="65"/>
      <c r="EH13" s="65"/>
      <c r="EI13" s="65"/>
      <c r="EJ13" s="65"/>
      <c r="EK13" s="65"/>
      <c r="EL13" s="65"/>
      <c r="EM13" s="65"/>
      <c r="EN13" s="65"/>
      <c r="EO13" s="65"/>
      <c r="EP13" s="65"/>
      <c r="EQ13" s="65"/>
      <c r="ER13" s="65"/>
      <c r="ES13" s="65"/>
      <c r="ET13" s="65"/>
      <c r="EU13" s="65"/>
      <c r="EV13" s="65"/>
      <c r="EW13" s="65"/>
      <c r="EX13" s="65"/>
      <c r="EY13" s="65"/>
      <c r="EZ13" s="65"/>
      <c r="FA13" s="65"/>
      <c r="FB13" s="65"/>
      <c r="FC13" s="65"/>
      <c r="FD13" s="65"/>
      <c r="FE13" s="65"/>
      <c r="FF13" s="65"/>
      <c r="FG13" s="65"/>
      <c r="FH13" s="65"/>
      <c r="FI13" s="65"/>
      <c r="FJ13" s="65"/>
      <c r="FK13" s="65"/>
      <c r="FL13" s="65"/>
      <c r="FM13" s="65"/>
      <c r="FN13" s="65"/>
      <c r="FO13" s="65"/>
      <c r="FP13" s="65"/>
      <c r="FQ13" s="65"/>
      <c r="FR13" s="65"/>
      <c r="FS13" s="65"/>
      <c r="FT13" s="65"/>
      <c r="FU13" s="65"/>
      <c r="FV13" s="65"/>
      <c r="FW13" s="65"/>
      <c r="FX13" s="65"/>
      <c r="FY13" s="65"/>
      <c r="FZ13" s="65"/>
      <c r="GA13" s="65"/>
      <c r="GB13" s="65"/>
      <c r="GC13" s="65"/>
      <c r="GD13" s="65"/>
      <c r="GE13" s="65"/>
      <c r="GF13" s="65"/>
      <c r="GG13" s="65"/>
      <c r="GH13" s="65"/>
      <c r="GI13" s="65"/>
      <c r="GJ13" s="65"/>
      <c r="GK13" s="65"/>
      <c r="GL13" s="65"/>
      <c r="GM13" s="65"/>
      <c r="GN13" s="65"/>
      <c r="GO13" s="65"/>
      <c r="GP13" s="65"/>
      <c r="GQ13" s="65"/>
      <c r="GR13" s="65"/>
      <c r="GS13" s="65"/>
      <c r="GT13" s="65"/>
      <c r="GU13" s="65"/>
      <c r="GV13" s="65"/>
      <c r="GW13" s="65"/>
      <c r="GX13" s="65"/>
      <c r="GY13" s="65"/>
      <c r="GZ13" s="65"/>
      <c r="HA13" s="65"/>
      <c r="HB13" s="65"/>
      <c r="HC13" s="65"/>
      <c r="HD13" s="65"/>
      <c r="HE13" s="65"/>
      <c r="HF13" s="65"/>
      <c r="HG13" s="65"/>
      <c r="HH13" s="65"/>
      <c r="HI13" s="65"/>
      <c r="HJ13" s="65"/>
      <c r="HK13" s="65"/>
      <c r="HL13" s="65"/>
      <c r="HM13" s="65"/>
      <c r="HN13" s="65"/>
      <c r="HO13" s="65"/>
      <c r="HP13" s="65"/>
      <c r="HQ13" s="65"/>
      <c r="HR13" s="65"/>
      <c r="HS13" s="65"/>
      <c r="HT13" s="65"/>
      <c r="HU13" s="65"/>
      <c r="HV13" s="65"/>
      <c r="HW13" s="65"/>
      <c r="HX13" s="65"/>
      <c r="HY13" s="65"/>
      <c r="HZ13" s="65"/>
      <c r="IA13" s="65"/>
      <c r="IB13" s="65"/>
      <c r="IC13" s="65"/>
      <c r="ID13" s="65"/>
      <c r="IE13" s="65"/>
      <c r="IF13" s="65"/>
      <c r="IG13" s="65"/>
      <c r="IH13" s="65"/>
      <c r="II13" s="65"/>
      <c r="IJ13" s="65"/>
      <c r="IK13" s="65"/>
      <c r="IL13" s="65"/>
      <c r="IM13" s="65"/>
      <c r="IN13" s="65"/>
      <c r="IO13" s="65"/>
      <c r="IP13" s="65"/>
      <c r="IQ13" s="65"/>
      <c r="IR13" s="65"/>
      <c r="IS13" s="65"/>
      <c r="IT13" s="65"/>
      <c r="IU13" s="65"/>
      <c r="IV13" s="65"/>
    </row>
    <row r="14" customFormat="1" ht="15" customHeight="1" spans="1:256">
      <c r="A14" s="71">
        <v>10</v>
      </c>
      <c r="B14" s="75" t="s">
        <v>431</v>
      </c>
      <c r="C14" s="62"/>
      <c r="D14" s="65"/>
      <c r="E14" s="65"/>
      <c r="F14" s="65"/>
      <c r="G14" s="65"/>
      <c r="H14" s="65"/>
      <c r="I14" s="65"/>
      <c r="J14" s="65"/>
      <c r="K14" s="65"/>
      <c r="L14" s="65"/>
      <c r="M14" s="65"/>
      <c r="N14" s="65"/>
      <c r="O14" s="65"/>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5"/>
      <c r="BD14" s="65"/>
      <c r="BE14" s="65"/>
      <c r="BF14" s="65"/>
      <c r="BG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c r="CT14" s="65"/>
      <c r="CU14" s="65"/>
      <c r="CV14" s="65"/>
      <c r="CW14" s="65"/>
      <c r="CX14" s="65"/>
      <c r="CY14" s="65"/>
      <c r="CZ14" s="65"/>
      <c r="DA14" s="65"/>
      <c r="DB14" s="65"/>
      <c r="DC14" s="65"/>
      <c r="DD14" s="65"/>
      <c r="DE14" s="65"/>
      <c r="DF14" s="65"/>
      <c r="DG14" s="65"/>
      <c r="DH14" s="65"/>
      <c r="DI14" s="65"/>
      <c r="DJ14" s="65"/>
      <c r="DK14" s="65"/>
      <c r="DL14" s="65"/>
      <c r="DM14" s="65"/>
      <c r="DN14" s="65"/>
      <c r="DO14" s="65"/>
      <c r="DP14" s="65"/>
      <c r="DQ14" s="65"/>
      <c r="DR14" s="65"/>
      <c r="DS14" s="65"/>
      <c r="DT14" s="65"/>
      <c r="DU14" s="65"/>
      <c r="DV14" s="65"/>
      <c r="DW14" s="65"/>
      <c r="DX14" s="65"/>
      <c r="DY14" s="65"/>
      <c r="DZ14" s="65"/>
      <c r="EA14" s="65"/>
      <c r="EB14" s="65"/>
      <c r="EC14" s="65"/>
      <c r="ED14" s="65"/>
      <c r="EE14" s="65"/>
      <c r="EF14" s="65"/>
      <c r="EG14" s="65"/>
      <c r="EH14" s="65"/>
      <c r="EI14" s="65"/>
      <c r="EJ14" s="65"/>
      <c r="EK14" s="65"/>
      <c r="EL14" s="65"/>
      <c r="EM14" s="65"/>
      <c r="EN14" s="65"/>
      <c r="EO14" s="65"/>
      <c r="EP14" s="65"/>
      <c r="EQ14" s="65"/>
      <c r="ER14" s="65"/>
      <c r="ES14" s="65"/>
      <c r="ET14" s="65"/>
      <c r="EU14" s="65"/>
      <c r="EV14" s="65"/>
      <c r="EW14" s="65"/>
      <c r="EX14" s="65"/>
      <c r="EY14" s="65"/>
      <c r="EZ14" s="65"/>
      <c r="FA14" s="65"/>
      <c r="FB14" s="65"/>
      <c r="FC14" s="65"/>
      <c r="FD14" s="65"/>
      <c r="FE14" s="65"/>
      <c r="FF14" s="65"/>
      <c r="FG14" s="65"/>
      <c r="FH14" s="65"/>
      <c r="FI14" s="65"/>
      <c r="FJ14" s="65"/>
      <c r="FK14" s="65"/>
      <c r="FL14" s="65"/>
      <c r="FM14" s="65"/>
      <c r="FN14" s="65"/>
      <c r="FO14" s="65"/>
      <c r="FP14" s="65"/>
      <c r="FQ14" s="65"/>
      <c r="FR14" s="65"/>
      <c r="FS14" s="65"/>
      <c r="FT14" s="65"/>
      <c r="FU14" s="65"/>
      <c r="FV14" s="65"/>
      <c r="FW14" s="65"/>
      <c r="FX14" s="65"/>
      <c r="FY14" s="65"/>
      <c r="FZ14" s="65"/>
      <c r="GA14" s="65"/>
      <c r="GB14" s="65"/>
      <c r="GC14" s="65"/>
      <c r="GD14" s="65"/>
      <c r="GE14" s="65"/>
      <c r="GF14" s="65"/>
      <c r="GG14" s="65"/>
      <c r="GH14" s="65"/>
      <c r="GI14" s="65"/>
      <c r="GJ14" s="65"/>
      <c r="GK14" s="65"/>
      <c r="GL14" s="65"/>
      <c r="GM14" s="65"/>
      <c r="GN14" s="65"/>
      <c r="GO14" s="65"/>
      <c r="GP14" s="65"/>
      <c r="GQ14" s="65"/>
      <c r="GR14" s="65"/>
      <c r="GS14" s="65"/>
      <c r="GT14" s="65"/>
      <c r="GU14" s="65"/>
      <c r="GV14" s="65"/>
      <c r="GW14" s="65"/>
      <c r="GX14" s="65"/>
      <c r="GY14" s="65"/>
      <c r="GZ14" s="65"/>
      <c r="HA14" s="65"/>
      <c r="HB14" s="65"/>
      <c r="HC14" s="65"/>
      <c r="HD14" s="65"/>
      <c r="HE14" s="65"/>
      <c r="HF14" s="65"/>
      <c r="HG14" s="65"/>
      <c r="HH14" s="65"/>
      <c r="HI14" s="65"/>
      <c r="HJ14" s="65"/>
      <c r="HK14" s="65"/>
      <c r="HL14" s="65"/>
      <c r="HM14" s="65"/>
      <c r="HN14" s="65"/>
      <c r="HO14" s="65"/>
      <c r="HP14" s="65"/>
      <c r="HQ14" s="65"/>
      <c r="HR14" s="65"/>
      <c r="HS14" s="65"/>
      <c r="HT14" s="65"/>
      <c r="HU14" s="65"/>
      <c r="HV14" s="65"/>
      <c r="HW14" s="65"/>
      <c r="HX14" s="65"/>
      <c r="HY14" s="65"/>
      <c r="HZ14" s="65"/>
      <c r="IA14" s="65"/>
      <c r="IB14" s="65"/>
      <c r="IC14" s="65"/>
      <c r="ID14" s="65"/>
      <c r="IE14" s="65"/>
      <c r="IF14" s="65"/>
      <c r="IG14" s="65"/>
      <c r="IH14" s="65"/>
      <c r="II14" s="65"/>
      <c r="IJ14" s="65"/>
      <c r="IK14" s="65"/>
      <c r="IL14" s="65"/>
      <c r="IM14" s="65"/>
      <c r="IN14" s="65"/>
      <c r="IO14" s="65"/>
      <c r="IP14" s="65"/>
      <c r="IQ14" s="65"/>
      <c r="IR14" s="65"/>
      <c r="IS14" s="65"/>
      <c r="IT14" s="65"/>
      <c r="IU14" s="65"/>
      <c r="IV14" s="65"/>
    </row>
    <row r="15" customFormat="1" ht="15" customHeight="1" spans="1:256">
      <c r="A15" s="71">
        <v>11</v>
      </c>
      <c r="B15" s="73" t="s">
        <v>432</v>
      </c>
      <c r="C15" s="61">
        <f>MAX(C16-C19+C17-C22,0)</f>
        <v>0</v>
      </c>
      <c r="D15" s="65"/>
      <c r="E15" s="65"/>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5"/>
      <c r="BD15" s="65"/>
      <c r="BE15" s="65"/>
      <c r="BF15" s="65"/>
      <c r="BG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c r="CT15" s="65"/>
      <c r="CU15" s="65"/>
      <c r="CV15" s="65"/>
      <c r="CW15" s="65"/>
      <c r="CX15" s="65"/>
      <c r="CY15" s="65"/>
      <c r="CZ15" s="65"/>
      <c r="DA15" s="65"/>
      <c r="DB15" s="65"/>
      <c r="DC15" s="65"/>
      <c r="DD15" s="65"/>
      <c r="DE15" s="65"/>
      <c r="DF15" s="65"/>
      <c r="DG15" s="65"/>
      <c r="DH15" s="65"/>
      <c r="DI15" s="65"/>
      <c r="DJ15" s="65"/>
      <c r="DK15" s="65"/>
      <c r="DL15" s="65"/>
      <c r="DM15" s="65"/>
      <c r="DN15" s="65"/>
      <c r="DO15" s="65"/>
      <c r="DP15" s="65"/>
      <c r="DQ15" s="65"/>
      <c r="DR15" s="65"/>
      <c r="DS15" s="65"/>
      <c r="DT15" s="65"/>
      <c r="DU15" s="65"/>
      <c r="DV15" s="65"/>
      <c r="DW15" s="65"/>
      <c r="DX15" s="65"/>
      <c r="DY15" s="65"/>
      <c r="DZ15" s="65"/>
      <c r="EA15" s="65"/>
      <c r="EB15" s="65"/>
      <c r="EC15" s="65"/>
      <c r="ED15" s="65"/>
      <c r="EE15" s="65"/>
      <c r="EF15" s="65"/>
      <c r="EG15" s="65"/>
      <c r="EH15" s="65"/>
      <c r="EI15" s="65"/>
      <c r="EJ15" s="65"/>
      <c r="EK15" s="65"/>
      <c r="EL15" s="65"/>
      <c r="EM15" s="65"/>
      <c r="EN15" s="65"/>
      <c r="EO15" s="65"/>
      <c r="EP15" s="65"/>
      <c r="EQ15" s="65"/>
      <c r="ER15" s="65"/>
      <c r="ES15" s="65"/>
      <c r="ET15" s="65"/>
      <c r="EU15" s="65"/>
      <c r="EV15" s="65"/>
      <c r="EW15" s="65"/>
      <c r="EX15" s="65"/>
      <c r="EY15" s="65"/>
      <c r="EZ15" s="65"/>
      <c r="FA15" s="65"/>
      <c r="FB15" s="65"/>
      <c r="FC15" s="65"/>
      <c r="FD15" s="65"/>
      <c r="FE15" s="65"/>
      <c r="FF15" s="65"/>
      <c r="FG15" s="65"/>
      <c r="FH15" s="65"/>
      <c r="FI15" s="65"/>
      <c r="FJ15" s="65"/>
      <c r="FK15" s="65"/>
      <c r="FL15" s="65"/>
      <c r="FM15" s="65"/>
      <c r="FN15" s="65"/>
      <c r="FO15" s="65"/>
      <c r="FP15" s="65"/>
      <c r="FQ15" s="65"/>
      <c r="FR15" s="65"/>
      <c r="FS15" s="65"/>
      <c r="FT15" s="65"/>
      <c r="FU15" s="65"/>
      <c r="FV15" s="65"/>
      <c r="FW15" s="65"/>
      <c r="FX15" s="65"/>
      <c r="FY15" s="65"/>
      <c r="FZ15" s="65"/>
      <c r="GA15" s="65"/>
      <c r="GB15" s="65"/>
      <c r="GC15" s="65"/>
      <c r="GD15" s="65"/>
      <c r="GE15" s="65"/>
      <c r="GF15" s="65"/>
      <c r="GG15" s="65"/>
      <c r="GH15" s="65"/>
      <c r="GI15" s="65"/>
      <c r="GJ15" s="65"/>
      <c r="GK15" s="65"/>
      <c r="GL15" s="65"/>
      <c r="GM15" s="65"/>
      <c r="GN15" s="65"/>
      <c r="GO15" s="65"/>
      <c r="GP15" s="65"/>
      <c r="GQ15" s="65"/>
      <c r="GR15" s="65"/>
      <c r="GS15" s="65"/>
      <c r="GT15" s="65"/>
      <c r="GU15" s="65"/>
      <c r="GV15" s="65"/>
      <c r="GW15" s="65"/>
      <c r="GX15" s="65"/>
      <c r="GY15" s="65"/>
      <c r="GZ15" s="65"/>
      <c r="HA15" s="65"/>
      <c r="HB15" s="65"/>
      <c r="HC15" s="65"/>
      <c r="HD15" s="65"/>
      <c r="HE15" s="65"/>
      <c r="HF15" s="65"/>
      <c r="HG15" s="65"/>
      <c r="HH15" s="65"/>
      <c r="HI15" s="65"/>
      <c r="HJ15" s="65"/>
      <c r="HK15" s="65"/>
      <c r="HL15" s="65"/>
      <c r="HM15" s="65"/>
      <c r="HN15" s="65"/>
      <c r="HO15" s="65"/>
      <c r="HP15" s="65"/>
      <c r="HQ15" s="65"/>
      <c r="HR15" s="65"/>
      <c r="HS15" s="65"/>
      <c r="HT15" s="65"/>
      <c r="HU15" s="65"/>
      <c r="HV15" s="65"/>
      <c r="HW15" s="65"/>
      <c r="HX15" s="65"/>
      <c r="HY15" s="65"/>
      <c r="HZ15" s="65"/>
      <c r="IA15" s="65"/>
      <c r="IB15" s="65"/>
      <c r="IC15" s="65"/>
      <c r="ID15" s="65"/>
      <c r="IE15" s="65"/>
      <c r="IF15" s="65"/>
      <c r="IG15" s="65"/>
      <c r="IH15" s="65"/>
      <c r="II15" s="65"/>
      <c r="IJ15" s="65"/>
      <c r="IK15" s="65"/>
      <c r="IL15" s="65"/>
      <c r="IM15" s="65"/>
      <c r="IN15" s="65"/>
      <c r="IO15" s="65"/>
      <c r="IP15" s="65"/>
      <c r="IQ15" s="65"/>
      <c r="IR15" s="65"/>
      <c r="IS15" s="65"/>
      <c r="IT15" s="65"/>
      <c r="IU15" s="65"/>
      <c r="IV15" s="65"/>
    </row>
    <row r="16" customFormat="1" ht="15" customHeight="1" spans="1:256">
      <c r="A16" s="71">
        <v>12</v>
      </c>
      <c r="B16" s="75" t="s">
        <v>433</v>
      </c>
      <c r="C16" s="61">
        <f>IF(C6&lt;C7,C7-C6,0)</f>
        <v>0</v>
      </c>
      <c r="D16" s="65"/>
      <c r="E16" s="65"/>
      <c r="F16" s="65"/>
      <c r="G16" s="65"/>
      <c r="H16" s="65"/>
      <c r="I16" s="65"/>
      <c r="J16" s="65"/>
      <c r="K16" s="65"/>
      <c r="L16" s="65"/>
      <c r="M16" s="65"/>
      <c r="N16" s="65"/>
      <c r="O16" s="65"/>
      <c r="P16" s="65"/>
      <c r="Q16" s="6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c r="AZ16" s="65"/>
      <c r="BA16" s="65"/>
      <c r="BB16" s="65"/>
      <c r="BC16" s="65"/>
      <c r="BD16" s="65"/>
      <c r="BE16" s="65"/>
      <c r="BF16" s="65"/>
      <c r="BG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c r="CT16" s="65"/>
      <c r="CU16" s="65"/>
      <c r="CV16" s="65"/>
      <c r="CW16" s="65"/>
      <c r="CX16" s="65"/>
      <c r="CY16" s="65"/>
      <c r="CZ16" s="65"/>
      <c r="DA16" s="65"/>
      <c r="DB16" s="65"/>
      <c r="DC16" s="65"/>
      <c r="DD16" s="65"/>
      <c r="DE16" s="65"/>
      <c r="DF16" s="65"/>
      <c r="DG16" s="65"/>
      <c r="DH16" s="65"/>
      <c r="DI16" s="65"/>
      <c r="DJ16" s="65"/>
      <c r="DK16" s="65"/>
      <c r="DL16" s="65"/>
      <c r="DM16" s="65"/>
      <c r="DN16" s="65"/>
      <c r="DO16" s="65"/>
      <c r="DP16" s="65"/>
      <c r="DQ16" s="65"/>
      <c r="DR16" s="65"/>
      <c r="DS16" s="65"/>
      <c r="DT16" s="65"/>
      <c r="DU16" s="65"/>
      <c r="DV16" s="65"/>
      <c r="DW16" s="65"/>
      <c r="DX16" s="65"/>
      <c r="DY16" s="65"/>
      <c r="DZ16" s="65"/>
      <c r="EA16" s="65"/>
      <c r="EB16" s="65"/>
      <c r="EC16" s="65"/>
      <c r="ED16" s="65"/>
      <c r="EE16" s="65"/>
      <c r="EF16" s="65"/>
      <c r="EG16" s="65"/>
      <c r="EH16" s="65"/>
      <c r="EI16" s="65"/>
      <c r="EJ16" s="65"/>
      <c r="EK16" s="65"/>
      <c r="EL16" s="65"/>
      <c r="EM16" s="65"/>
      <c r="EN16" s="65"/>
      <c r="EO16" s="65"/>
      <c r="EP16" s="65"/>
      <c r="EQ16" s="65"/>
      <c r="ER16" s="65"/>
      <c r="ES16" s="65"/>
      <c r="ET16" s="65"/>
      <c r="EU16" s="65"/>
      <c r="EV16" s="65"/>
      <c r="EW16" s="65"/>
      <c r="EX16" s="65"/>
      <c r="EY16" s="65"/>
      <c r="EZ16" s="65"/>
      <c r="FA16" s="65"/>
      <c r="FB16" s="65"/>
      <c r="FC16" s="65"/>
      <c r="FD16" s="65"/>
      <c r="FE16" s="65"/>
      <c r="FF16" s="65"/>
      <c r="FG16" s="65"/>
      <c r="FH16" s="65"/>
      <c r="FI16" s="65"/>
      <c r="FJ16" s="65"/>
      <c r="FK16" s="65"/>
      <c r="FL16" s="65"/>
      <c r="FM16" s="65"/>
      <c r="FN16" s="65"/>
      <c r="FO16" s="65"/>
      <c r="FP16" s="65"/>
      <c r="FQ16" s="65"/>
      <c r="FR16" s="65"/>
      <c r="FS16" s="65"/>
      <c r="FT16" s="65"/>
      <c r="FU16" s="65"/>
      <c r="FV16" s="65"/>
      <c r="FW16" s="65"/>
      <c r="FX16" s="65"/>
      <c r="FY16" s="65"/>
      <c r="FZ16" s="65"/>
      <c r="GA16" s="65"/>
      <c r="GB16" s="65"/>
      <c r="GC16" s="65"/>
      <c r="GD16" s="65"/>
      <c r="GE16" s="65"/>
      <c r="GF16" s="65"/>
      <c r="GG16" s="65"/>
      <c r="GH16" s="65"/>
      <c r="GI16" s="65"/>
      <c r="GJ16" s="65"/>
      <c r="GK16" s="65"/>
      <c r="GL16" s="65"/>
      <c r="GM16" s="65"/>
      <c r="GN16" s="65"/>
      <c r="GO16" s="65"/>
      <c r="GP16" s="65"/>
      <c r="GQ16" s="65"/>
      <c r="GR16" s="65"/>
      <c r="GS16" s="65"/>
      <c r="GT16" s="65"/>
      <c r="GU16" s="65"/>
      <c r="GV16" s="65"/>
      <c r="GW16" s="65"/>
      <c r="GX16" s="65"/>
      <c r="GY16" s="65"/>
      <c r="GZ16" s="65"/>
      <c r="HA16" s="65"/>
      <c r="HB16" s="65"/>
      <c r="HC16" s="65"/>
      <c r="HD16" s="65"/>
      <c r="HE16" s="65"/>
      <c r="HF16" s="65"/>
      <c r="HG16" s="65"/>
      <c r="HH16" s="65"/>
      <c r="HI16" s="65"/>
      <c r="HJ16" s="65"/>
      <c r="HK16" s="65"/>
      <c r="HL16" s="65"/>
      <c r="HM16" s="65"/>
      <c r="HN16" s="65"/>
      <c r="HO16" s="65"/>
      <c r="HP16" s="65"/>
      <c r="HQ16" s="65"/>
      <c r="HR16" s="65"/>
      <c r="HS16" s="65"/>
      <c r="HT16" s="65"/>
      <c r="HU16" s="65"/>
      <c r="HV16" s="65"/>
      <c r="HW16" s="65"/>
      <c r="HX16" s="65"/>
      <c r="HY16" s="65"/>
      <c r="HZ16" s="65"/>
      <c r="IA16" s="65"/>
      <c r="IB16" s="65"/>
      <c r="IC16" s="65"/>
      <c r="ID16" s="65"/>
      <c r="IE16" s="65"/>
      <c r="IF16" s="65"/>
      <c r="IG16" s="65"/>
      <c r="IH16" s="65"/>
      <c r="II16" s="65"/>
      <c r="IJ16" s="65"/>
      <c r="IK16" s="65"/>
      <c r="IL16" s="65"/>
      <c r="IM16" s="65"/>
      <c r="IN16" s="65"/>
      <c r="IO16" s="65"/>
      <c r="IP16" s="65"/>
      <c r="IQ16" s="65"/>
      <c r="IR16" s="65"/>
      <c r="IS16" s="65"/>
      <c r="IT16" s="65"/>
      <c r="IU16" s="65"/>
      <c r="IV16" s="65"/>
    </row>
    <row r="17" customFormat="1" ht="15" customHeight="1" spans="1:256">
      <c r="A17" s="71">
        <v>13</v>
      </c>
      <c r="B17" s="75" t="s">
        <v>434</v>
      </c>
      <c r="C17" s="61">
        <f>IF(C10&lt;C11,C11-C10,0)</f>
        <v>0</v>
      </c>
      <c r="D17" s="65"/>
      <c r="E17" s="65"/>
      <c r="F17" s="65"/>
      <c r="G17" s="65"/>
      <c r="H17" s="65"/>
      <c r="I17" s="65"/>
      <c r="J17" s="65"/>
      <c r="K17" s="65"/>
      <c r="L17" s="65"/>
      <c r="M17" s="65"/>
      <c r="N17" s="65"/>
      <c r="O17" s="65"/>
      <c r="P17" s="65"/>
      <c r="Q17" s="6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c r="CT17" s="65"/>
      <c r="CU17" s="65"/>
      <c r="CV17" s="65"/>
      <c r="CW17" s="65"/>
      <c r="CX17" s="65"/>
      <c r="CY17" s="65"/>
      <c r="CZ17" s="65"/>
      <c r="DA17" s="65"/>
      <c r="DB17" s="65"/>
      <c r="DC17" s="65"/>
      <c r="DD17" s="65"/>
      <c r="DE17" s="65"/>
      <c r="DF17" s="65"/>
      <c r="DG17" s="65"/>
      <c r="DH17" s="65"/>
      <c r="DI17" s="65"/>
      <c r="DJ17" s="65"/>
      <c r="DK17" s="65"/>
      <c r="DL17" s="65"/>
      <c r="DM17" s="65"/>
      <c r="DN17" s="65"/>
      <c r="DO17" s="65"/>
      <c r="DP17" s="65"/>
      <c r="DQ17" s="65"/>
      <c r="DR17" s="65"/>
      <c r="DS17" s="65"/>
      <c r="DT17" s="65"/>
      <c r="DU17" s="65"/>
      <c r="DV17" s="65"/>
      <c r="DW17" s="65"/>
      <c r="DX17" s="65"/>
      <c r="DY17" s="65"/>
      <c r="DZ17" s="65"/>
      <c r="EA17" s="65"/>
      <c r="EB17" s="65"/>
      <c r="EC17" s="65"/>
      <c r="ED17" s="65"/>
      <c r="EE17" s="65"/>
      <c r="EF17" s="65"/>
      <c r="EG17" s="65"/>
      <c r="EH17" s="65"/>
      <c r="EI17" s="65"/>
      <c r="EJ17" s="65"/>
      <c r="EK17" s="65"/>
      <c r="EL17" s="65"/>
      <c r="EM17" s="65"/>
      <c r="EN17" s="65"/>
      <c r="EO17" s="65"/>
      <c r="EP17" s="65"/>
      <c r="EQ17" s="65"/>
      <c r="ER17" s="65"/>
      <c r="ES17" s="65"/>
      <c r="ET17" s="65"/>
      <c r="EU17" s="65"/>
      <c r="EV17" s="65"/>
      <c r="EW17" s="65"/>
      <c r="EX17" s="65"/>
      <c r="EY17" s="65"/>
      <c r="EZ17" s="65"/>
      <c r="FA17" s="65"/>
      <c r="FB17" s="65"/>
      <c r="FC17" s="65"/>
      <c r="FD17" s="65"/>
      <c r="FE17" s="65"/>
      <c r="FF17" s="65"/>
      <c r="FG17" s="65"/>
      <c r="FH17" s="65"/>
      <c r="FI17" s="65"/>
      <c r="FJ17" s="65"/>
      <c r="FK17" s="65"/>
      <c r="FL17" s="65"/>
      <c r="FM17" s="65"/>
      <c r="FN17" s="65"/>
      <c r="FO17" s="65"/>
      <c r="FP17" s="65"/>
      <c r="FQ17" s="65"/>
      <c r="FR17" s="65"/>
      <c r="FS17" s="65"/>
      <c r="FT17" s="65"/>
      <c r="FU17" s="65"/>
      <c r="FV17" s="65"/>
      <c r="FW17" s="65"/>
      <c r="FX17" s="65"/>
      <c r="FY17" s="65"/>
      <c r="FZ17" s="65"/>
      <c r="GA17" s="65"/>
      <c r="GB17" s="65"/>
      <c r="GC17" s="65"/>
      <c r="GD17" s="65"/>
      <c r="GE17" s="65"/>
      <c r="GF17" s="65"/>
      <c r="GG17" s="65"/>
      <c r="GH17" s="65"/>
      <c r="GI17" s="65"/>
      <c r="GJ17" s="65"/>
      <c r="GK17" s="65"/>
      <c r="GL17" s="65"/>
      <c r="GM17" s="65"/>
      <c r="GN17" s="65"/>
      <c r="GO17" s="65"/>
      <c r="GP17" s="65"/>
      <c r="GQ17" s="65"/>
      <c r="GR17" s="65"/>
      <c r="GS17" s="65"/>
      <c r="GT17" s="65"/>
      <c r="GU17" s="65"/>
      <c r="GV17" s="65"/>
      <c r="GW17" s="65"/>
      <c r="GX17" s="65"/>
      <c r="GY17" s="65"/>
      <c r="GZ17" s="65"/>
      <c r="HA17" s="65"/>
      <c r="HB17" s="65"/>
      <c r="HC17" s="65"/>
      <c r="HD17" s="65"/>
      <c r="HE17" s="65"/>
      <c r="HF17" s="65"/>
      <c r="HG17" s="65"/>
      <c r="HH17" s="65"/>
      <c r="HI17" s="65"/>
      <c r="HJ17" s="65"/>
      <c r="HK17" s="65"/>
      <c r="HL17" s="65"/>
      <c r="HM17" s="65"/>
      <c r="HN17" s="65"/>
      <c r="HO17" s="65"/>
      <c r="HP17" s="65"/>
      <c r="HQ17" s="65"/>
      <c r="HR17" s="65"/>
      <c r="HS17" s="65"/>
      <c r="HT17" s="65"/>
      <c r="HU17" s="65"/>
      <c r="HV17" s="65"/>
      <c r="HW17" s="65"/>
      <c r="HX17" s="65"/>
      <c r="HY17" s="65"/>
      <c r="HZ17" s="65"/>
      <c r="IA17" s="65"/>
      <c r="IB17" s="65"/>
      <c r="IC17" s="65"/>
      <c r="ID17" s="65"/>
      <c r="IE17" s="65"/>
      <c r="IF17" s="65"/>
      <c r="IG17" s="65"/>
      <c r="IH17" s="65"/>
      <c r="II17" s="65"/>
      <c r="IJ17" s="65"/>
      <c r="IK17" s="65"/>
      <c r="IL17" s="65"/>
      <c r="IM17" s="65"/>
      <c r="IN17" s="65"/>
      <c r="IO17" s="65"/>
      <c r="IP17" s="65"/>
      <c r="IQ17" s="65"/>
      <c r="IR17" s="65"/>
      <c r="IS17" s="65"/>
      <c r="IT17" s="65"/>
      <c r="IU17" s="65"/>
      <c r="IV17" s="65"/>
    </row>
    <row r="18" customFormat="1" ht="15" customHeight="1" spans="1:256">
      <c r="A18" s="71">
        <v>14</v>
      </c>
      <c r="B18" s="73" t="s">
        <v>435</v>
      </c>
      <c r="C18" s="61">
        <f>MAX(IF(C13=1,C21+C26,C21+C24),0)</f>
        <v>0</v>
      </c>
      <c r="D18" s="65"/>
      <c r="E18" s="65"/>
      <c r="F18" s="65"/>
      <c r="G18" s="6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c r="CT18" s="65"/>
      <c r="CU18" s="65"/>
      <c r="CV18" s="65"/>
      <c r="CW18" s="65"/>
      <c r="CX18" s="65"/>
      <c r="CY18" s="65"/>
      <c r="CZ18" s="65"/>
      <c r="DA18" s="65"/>
      <c r="DB18" s="65"/>
      <c r="DC18" s="65"/>
      <c r="DD18" s="65"/>
      <c r="DE18" s="65"/>
      <c r="DF18" s="65"/>
      <c r="DG18" s="65"/>
      <c r="DH18" s="65"/>
      <c r="DI18" s="65"/>
      <c r="DJ18" s="65"/>
      <c r="DK18" s="65"/>
      <c r="DL18" s="65"/>
      <c r="DM18" s="65"/>
      <c r="DN18" s="65"/>
      <c r="DO18" s="65"/>
      <c r="DP18" s="65"/>
      <c r="DQ18" s="65"/>
      <c r="DR18" s="65"/>
      <c r="DS18" s="65"/>
      <c r="DT18" s="65"/>
      <c r="DU18" s="65"/>
      <c r="DV18" s="65"/>
      <c r="DW18" s="65"/>
      <c r="DX18" s="65"/>
      <c r="DY18" s="65"/>
      <c r="DZ18" s="65"/>
      <c r="EA18" s="65"/>
      <c r="EB18" s="65"/>
      <c r="EC18" s="65"/>
      <c r="ED18" s="65"/>
      <c r="EE18" s="65"/>
      <c r="EF18" s="65"/>
      <c r="EG18" s="65"/>
      <c r="EH18" s="65"/>
      <c r="EI18" s="65"/>
      <c r="EJ18" s="65"/>
      <c r="EK18" s="65"/>
      <c r="EL18" s="65"/>
      <c r="EM18" s="65"/>
      <c r="EN18" s="65"/>
      <c r="EO18" s="65"/>
      <c r="EP18" s="65"/>
      <c r="EQ18" s="65"/>
      <c r="ER18" s="65"/>
      <c r="ES18" s="65"/>
      <c r="ET18" s="65"/>
      <c r="EU18" s="65"/>
      <c r="EV18" s="65"/>
      <c r="EW18" s="65"/>
      <c r="EX18" s="65"/>
      <c r="EY18" s="65"/>
      <c r="EZ18" s="65"/>
      <c r="FA18" s="65"/>
      <c r="FB18" s="65"/>
      <c r="FC18" s="65"/>
      <c r="FD18" s="65"/>
      <c r="FE18" s="65"/>
      <c r="FF18" s="65"/>
      <c r="FG18" s="65"/>
      <c r="FH18" s="65"/>
      <c r="FI18" s="65"/>
      <c r="FJ18" s="65"/>
      <c r="FK18" s="65"/>
      <c r="FL18" s="65"/>
      <c r="FM18" s="65"/>
      <c r="FN18" s="65"/>
      <c r="FO18" s="65"/>
      <c r="FP18" s="65"/>
      <c r="FQ18" s="65"/>
      <c r="FR18" s="65"/>
      <c r="FS18" s="65"/>
      <c r="FT18" s="65"/>
      <c r="FU18" s="65"/>
      <c r="FV18" s="65"/>
      <c r="FW18" s="65"/>
      <c r="FX18" s="65"/>
      <c r="FY18" s="65"/>
      <c r="FZ18" s="65"/>
      <c r="GA18" s="65"/>
      <c r="GB18" s="65"/>
      <c r="GC18" s="65"/>
      <c r="GD18" s="65"/>
      <c r="GE18" s="65"/>
      <c r="GF18" s="65"/>
      <c r="GG18" s="65"/>
      <c r="GH18" s="65"/>
      <c r="GI18" s="65"/>
      <c r="GJ18" s="65"/>
      <c r="GK18" s="65"/>
      <c r="GL18" s="65"/>
      <c r="GM18" s="65"/>
      <c r="GN18" s="65"/>
      <c r="GO18" s="65"/>
      <c r="GP18" s="65"/>
      <c r="GQ18" s="65"/>
      <c r="GR18" s="65"/>
      <c r="GS18" s="65"/>
      <c r="GT18" s="65"/>
      <c r="GU18" s="65"/>
      <c r="GV18" s="65"/>
      <c r="GW18" s="65"/>
      <c r="GX18" s="65"/>
      <c r="GY18" s="65"/>
      <c r="GZ18" s="65"/>
      <c r="HA18" s="65"/>
      <c r="HB18" s="65"/>
      <c r="HC18" s="65"/>
      <c r="HD18" s="65"/>
      <c r="HE18" s="65"/>
      <c r="HF18" s="65"/>
      <c r="HG18" s="65"/>
      <c r="HH18" s="65"/>
      <c r="HI18" s="65"/>
      <c r="HJ18" s="65"/>
      <c r="HK18" s="65"/>
      <c r="HL18" s="65"/>
      <c r="HM18" s="65"/>
      <c r="HN18" s="65"/>
      <c r="HO18" s="65"/>
      <c r="HP18" s="65"/>
      <c r="HQ18" s="65"/>
      <c r="HR18" s="65"/>
      <c r="HS18" s="65"/>
      <c r="HT18" s="65"/>
      <c r="HU18" s="65"/>
      <c r="HV18" s="65"/>
      <c r="HW18" s="65"/>
      <c r="HX18" s="65"/>
      <c r="HY18" s="65"/>
      <c r="HZ18" s="65"/>
      <c r="IA18" s="65"/>
      <c r="IB18" s="65"/>
      <c r="IC18" s="65"/>
      <c r="ID18" s="65"/>
      <c r="IE18" s="65"/>
      <c r="IF18" s="65"/>
      <c r="IG18" s="65"/>
      <c r="IH18" s="65"/>
      <c r="II18" s="65"/>
      <c r="IJ18" s="65"/>
      <c r="IK18" s="65"/>
      <c r="IL18" s="65"/>
      <c r="IM18" s="65"/>
      <c r="IN18" s="65"/>
      <c r="IO18" s="65"/>
      <c r="IP18" s="65"/>
      <c r="IQ18" s="65"/>
      <c r="IR18" s="65"/>
      <c r="IS18" s="65"/>
      <c r="IT18" s="65"/>
      <c r="IU18" s="65"/>
      <c r="IV18" s="65"/>
    </row>
    <row r="19" customFormat="1" ht="15" customHeight="1" spans="1:256">
      <c r="A19" s="71">
        <v>15</v>
      </c>
      <c r="B19" s="75" t="s">
        <v>436</v>
      </c>
      <c r="C19" s="61">
        <f>IF(C6&gt;=C7,C6-C7,0)</f>
        <v>0</v>
      </c>
      <c r="D19" s="65"/>
      <c r="E19" s="65"/>
      <c r="F19" s="65"/>
      <c r="G19" s="65"/>
      <c r="H19" s="65"/>
      <c r="I19" s="65"/>
      <c r="J19" s="65"/>
      <c r="K19" s="65"/>
      <c r="L19" s="65"/>
      <c r="M19" s="65"/>
      <c r="N19" s="65"/>
      <c r="O19" s="65"/>
      <c r="P19" s="65"/>
      <c r="Q19" s="6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c r="CT19" s="65"/>
      <c r="CU19" s="65"/>
      <c r="CV19" s="65"/>
      <c r="CW19" s="65"/>
      <c r="CX19" s="65"/>
      <c r="CY19" s="65"/>
      <c r="CZ19" s="65"/>
      <c r="DA19" s="65"/>
      <c r="DB19" s="65"/>
      <c r="DC19" s="65"/>
      <c r="DD19" s="65"/>
      <c r="DE19" s="65"/>
      <c r="DF19" s="65"/>
      <c r="DG19" s="65"/>
      <c r="DH19" s="65"/>
      <c r="DI19" s="65"/>
      <c r="DJ19" s="65"/>
      <c r="DK19" s="65"/>
      <c r="DL19" s="65"/>
      <c r="DM19" s="65"/>
      <c r="DN19" s="65"/>
      <c r="DO19" s="65"/>
      <c r="DP19" s="65"/>
      <c r="DQ19" s="65"/>
      <c r="DR19" s="65"/>
      <c r="DS19" s="65"/>
      <c r="DT19" s="65"/>
      <c r="DU19" s="65"/>
      <c r="DV19" s="65"/>
      <c r="DW19" s="65"/>
      <c r="DX19" s="65"/>
      <c r="DY19" s="65"/>
      <c r="DZ19" s="65"/>
      <c r="EA19" s="65"/>
      <c r="EB19" s="65"/>
      <c r="EC19" s="65"/>
      <c r="ED19" s="65"/>
      <c r="EE19" s="65"/>
      <c r="EF19" s="65"/>
      <c r="EG19" s="65"/>
      <c r="EH19" s="65"/>
      <c r="EI19" s="65"/>
      <c r="EJ19" s="65"/>
      <c r="EK19" s="65"/>
      <c r="EL19" s="65"/>
      <c r="EM19" s="65"/>
      <c r="EN19" s="65"/>
      <c r="EO19" s="65"/>
      <c r="EP19" s="65"/>
      <c r="EQ19" s="65"/>
      <c r="ER19" s="65"/>
      <c r="ES19" s="65"/>
      <c r="ET19" s="65"/>
      <c r="EU19" s="65"/>
      <c r="EV19" s="65"/>
      <c r="EW19" s="65"/>
      <c r="EX19" s="65"/>
      <c r="EY19" s="65"/>
      <c r="EZ19" s="65"/>
      <c r="FA19" s="65"/>
      <c r="FB19" s="65"/>
      <c r="FC19" s="65"/>
      <c r="FD19" s="65"/>
      <c r="FE19" s="65"/>
      <c r="FF19" s="65"/>
      <c r="FG19" s="65"/>
      <c r="FH19" s="65"/>
      <c r="FI19" s="65"/>
      <c r="FJ19" s="65"/>
      <c r="FK19" s="65"/>
      <c r="FL19" s="65"/>
      <c r="FM19" s="65"/>
      <c r="FN19" s="65"/>
      <c r="FO19" s="65"/>
      <c r="FP19" s="65"/>
      <c r="FQ19" s="65"/>
      <c r="FR19" s="65"/>
      <c r="FS19" s="65"/>
      <c r="FT19" s="65"/>
      <c r="FU19" s="65"/>
      <c r="FV19" s="65"/>
      <c r="FW19" s="65"/>
      <c r="FX19" s="65"/>
      <c r="FY19" s="65"/>
      <c r="FZ19" s="65"/>
      <c r="GA19" s="65"/>
      <c r="GB19" s="65"/>
      <c r="GC19" s="65"/>
      <c r="GD19" s="65"/>
      <c r="GE19" s="65"/>
      <c r="GF19" s="65"/>
      <c r="GG19" s="65"/>
      <c r="GH19" s="65"/>
      <c r="GI19" s="65"/>
      <c r="GJ19" s="65"/>
      <c r="GK19" s="65"/>
      <c r="GL19" s="65"/>
      <c r="GM19" s="65"/>
      <c r="GN19" s="65"/>
      <c r="GO19" s="65"/>
      <c r="GP19" s="65"/>
      <c r="GQ19" s="65"/>
      <c r="GR19" s="65"/>
      <c r="GS19" s="65"/>
      <c r="GT19" s="65"/>
      <c r="GU19" s="65"/>
      <c r="GV19" s="65"/>
      <c r="GW19" s="65"/>
      <c r="GX19" s="65"/>
      <c r="GY19" s="65"/>
      <c r="GZ19" s="65"/>
      <c r="HA19" s="65"/>
      <c r="HB19" s="65"/>
      <c r="HC19" s="65"/>
      <c r="HD19" s="65"/>
      <c r="HE19" s="65"/>
      <c r="HF19" s="65"/>
      <c r="HG19" s="65"/>
      <c r="HH19" s="65"/>
      <c r="HI19" s="65"/>
      <c r="HJ19" s="65"/>
      <c r="HK19" s="65"/>
      <c r="HL19" s="65"/>
      <c r="HM19" s="65"/>
      <c r="HN19" s="65"/>
      <c r="HO19" s="65"/>
      <c r="HP19" s="65"/>
      <c r="HQ19" s="65"/>
      <c r="HR19" s="65"/>
      <c r="HS19" s="65"/>
      <c r="HT19" s="65"/>
      <c r="HU19" s="65"/>
      <c r="HV19" s="65"/>
      <c r="HW19" s="65"/>
      <c r="HX19" s="65"/>
      <c r="HY19" s="65"/>
      <c r="HZ19" s="65"/>
      <c r="IA19" s="65"/>
      <c r="IB19" s="65"/>
      <c r="IC19" s="65"/>
      <c r="ID19" s="65"/>
      <c r="IE19" s="65"/>
      <c r="IF19" s="65"/>
      <c r="IG19" s="65"/>
      <c r="IH19" s="65"/>
      <c r="II19" s="65"/>
      <c r="IJ19" s="65"/>
      <c r="IK19" s="65"/>
      <c r="IL19" s="65"/>
      <c r="IM19" s="65"/>
      <c r="IN19" s="65"/>
      <c r="IO19" s="65"/>
      <c r="IP19" s="65"/>
      <c r="IQ19" s="65"/>
      <c r="IR19" s="65"/>
      <c r="IS19" s="65"/>
      <c r="IT19" s="65"/>
      <c r="IU19" s="65"/>
      <c r="IV19" s="65"/>
    </row>
    <row r="20" customFormat="1" ht="15" customHeight="1" spans="1:256">
      <c r="A20" s="71">
        <v>16</v>
      </c>
      <c r="B20" s="75" t="s">
        <v>437</v>
      </c>
      <c r="C20" s="61">
        <f>IF(C19-C17&gt;=0,C19-C17,0)</f>
        <v>0</v>
      </c>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c r="CT20" s="65"/>
      <c r="CU20" s="65"/>
      <c r="CV20" s="65"/>
      <c r="CW20" s="65"/>
      <c r="CX20" s="65"/>
      <c r="CY20" s="65"/>
      <c r="CZ20" s="65"/>
      <c r="DA20" s="65"/>
      <c r="DB20" s="65"/>
      <c r="DC20" s="65"/>
      <c r="DD20" s="65"/>
      <c r="DE20" s="65"/>
      <c r="DF20" s="65"/>
      <c r="DG20" s="65"/>
      <c r="DH20" s="65"/>
      <c r="DI20" s="65"/>
      <c r="DJ20" s="65"/>
      <c r="DK20" s="65"/>
      <c r="DL20" s="65"/>
      <c r="DM20" s="65"/>
      <c r="DN20" s="65"/>
      <c r="DO20" s="65"/>
      <c r="DP20" s="65"/>
      <c r="DQ20" s="65"/>
      <c r="DR20" s="65"/>
      <c r="DS20" s="65"/>
      <c r="DT20" s="65"/>
      <c r="DU20" s="65"/>
      <c r="DV20" s="65"/>
      <c r="DW20" s="65"/>
      <c r="DX20" s="65"/>
      <c r="DY20" s="65"/>
      <c r="DZ20" s="65"/>
      <c r="EA20" s="65"/>
      <c r="EB20" s="65"/>
      <c r="EC20" s="65"/>
      <c r="ED20" s="65"/>
      <c r="EE20" s="65"/>
      <c r="EF20" s="65"/>
      <c r="EG20" s="65"/>
      <c r="EH20" s="65"/>
      <c r="EI20" s="65"/>
      <c r="EJ20" s="65"/>
      <c r="EK20" s="65"/>
      <c r="EL20" s="65"/>
      <c r="EM20" s="65"/>
      <c r="EN20" s="65"/>
      <c r="EO20" s="65"/>
      <c r="EP20" s="65"/>
      <c r="EQ20" s="65"/>
      <c r="ER20" s="65"/>
      <c r="ES20" s="65"/>
      <c r="ET20" s="65"/>
      <c r="EU20" s="65"/>
      <c r="EV20" s="65"/>
      <c r="EW20" s="65"/>
      <c r="EX20" s="65"/>
      <c r="EY20" s="65"/>
      <c r="EZ20" s="65"/>
      <c r="FA20" s="65"/>
      <c r="FB20" s="65"/>
      <c r="FC20" s="65"/>
      <c r="FD20" s="65"/>
      <c r="FE20" s="65"/>
      <c r="FF20" s="65"/>
      <c r="FG20" s="65"/>
      <c r="FH20" s="65"/>
      <c r="FI20" s="65"/>
      <c r="FJ20" s="65"/>
      <c r="FK20" s="65"/>
      <c r="FL20" s="65"/>
      <c r="FM20" s="65"/>
      <c r="FN20" s="65"/>
      <c r="FO20" s="65"/>
      <c r="FP20" s="65"/>
      <c r="FQ20" s="65"/>
      <c r="FR20" s="65"/>
      <c r="FS20" s="65"/>
      <c r="FT20" s="65"/>
      <c r="FU20" s="65"/>
      <c r="FV20" s="65"/>
      <c r="FW20" s="65"/>
      <c r="FX20" s="65"/>
      <c r="FY20" s="65"/>
      <c r="FZ20" s="65"/>
      <c r="GA20" s="65"/>
      <c r="GB20" s="65"/>
      <c r="GC20" s="65"/>
      <c r="GD20" s="65"/>
      <c r="GE20" s="65"/>
      <c r="GF20" s="65"/>
      <c r="GG20" s="65"/>
      <c r="GH20" s="65"/>
      <c r="GI20" s="65"/>
      <c r="GJ20" s="65"/>
      <c r="GK20" s="65"/>
      <c r="GL20" s="65"/>
      <c r="GM20" s="65"/>
      <c r="GN20" s="65"/>
      <c r="GO20" s="65"/>
      <c r="GP20" s="65"/>
      <c r="GQ20" s="65"/>
      <c r="GR20" s="65"/>
      <c r="GS20" s="65"/>
      <c r="GT20" s="65"/>
      <c r="GU20" s="65"/>
      <c r="GV20" s="65"/>
      <c r="GW20" s="65"/>
      <c r="GX20" s="65"/>
      <c r="GY20" s="65"/>
      <c r="GZ20" s="65"/>
      <c r="HA20" s="65"/>
      <c r="HB20" s="65"/>
      <c r="HC20" s="65"/>
      <c r="HD20" s="65"/>
      <c r="HE20" s="65"/>
      <c r="HF20" s="65"/>
      <c r="HG20" s="65"/>
      <c r="HH20" s="65"/>
      <c r="HI20" s="65"/>
      <c r="HJ20" s="65"/>
      <c r="HK20" s="65"/>
      <c r="HL20" s="65"/>
      <c r="HM20" s="65"/>
      <c r="HN20" s="65"/>
      <c r="HO20" s="65"/>
      <c r="HP20" s="65"/>
      <c r="HQ20" s="65"/>
      <c r="HR20" s="65"/>
      <c r="HS20" s="65"/>
      <c r="HT20" s="65"/>
      <c r="HU20" s="65"/>
      <c r="HV20" s="65"/>
      <c r="HW20" s="65"/>
      <c r="HX20" s="65"/>
      <c r="HY20" s="65"/>
      <c r="HZ20" s="65"/>
      <c r="IA20" s="65"/>
      <c r="IB20" s="65"/>
      <c r="IC20" s="65"/>
      <c r="ID20" s="65"/>
      <c r="IE20" s="65"/>
      <c r="IF20" s="65"/>
      <c r="IG20" s="65"/>
      <c r="IH20" s="65"/>
      <c r="II20" s="65"/>
      <c r="IJ20" s="65"/>
      <c r="IK20" s="65"/>
      <c r="IL20" s="65"/>
      <c r="IM20" s="65"/>
      <c r="IN20" s="65"/>
      <c r="IO20" s="65"/>
      <c r="IP20" s="65"/>
      <c r="IQ20" s="65"/>
      <c r="IR20" s="65"/>
      <c r="IS20" s="65"/>
      <c r="IT20" s="65"/>
      <c r="IU20" s="65"/>
      <c r="IV20" s="65"/>
    </row>
    <row r="21" customFormat="1" ht="15" customHeight="1" spans="1:256">
      <c r="A21" s="71">
        <v>17</v>
      </c>
      <c r="B21" s="75" t="s">
        <v>438</v>
      </c>
      <c r="C21" s="61">
        <f>MIN(C20,C8*1.25%)</f>
        <v>0</v>
      </c>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c r="CT21" s="65"/>
      <c r="CU21" s="65"/>
      <c r="CV21" s="65"/>
      <c r="CW21" s="65"/>
      <c r="CX21" s="65"/>
      <c r="CY21" s="65"/>
      <c r="CZ21" s="65"/>
      <c r="DA21" s="65"/>
      <c r="DB21" s="65"/>
      <c r="DC21" s="65"/>
      <c r="DD21" s="65"/>
      <c r="DE21" s="65"/>
      <c r="DF21" s="65"/>
      <c r="DG21" s="65"/>
      <c r="DH21" s="65"/>
      <c r="DI21" s="65"/>
      <c r="DJ21" s="65"/>
      <c r="DK21" s="65"/>
      <c r="DL21" s="65"/>
      <c r="DM21" s="65"/>
      <c r="DN21" s="65"/>
      <c r="DO21" s="65"/>
      <c r="DP21" s="65"/>
      <c r="DQ21" s="65"/>
      <c r="DR21" s="65"/>
      <c r="DS21" s="65"/>
      <c r="DT21" s="65"/>
      <c r="DU21" s="65"/>
      <c r="DV21" s="65"/>
      <c r="DW21" s="65"/>
      <c r="DX21" s="65"/>
      <c r="DY21" s="65"/>
      <c r="DZ21" s="65"/>
      <c r="EA21" s="65"/>
      <c r="EB21" s="65"/>
      <c r="EC21" s="65"/>
      <c r="ED21" s="65"/>
      <c r="EE21" s="65"/>
      <c r="EF21" s="65"/>
      <c r="EG21" s="65"/>
      <c r="EH21" s="65"/>
      <c r="EI21" s="65"/>
      <c r="EJ21" s="65"/>
      <c r="EK21" s="65"/>
      <c r="EL21" s="65"/>
      <c r="EM21" s="65"/>
      <c r="EN21" s="65"/>
      <c r="EO21" s="65"/>
      <c r="EP21" s="65"/>
      <c r="EQ21" s="65"/>
      <c r="ER21" s="65"/>
      <c r="ES21" s="65"/>
      <c r="ET21" s="65"/>
      <c r="EU21" s="65"/>
      <c r="EV21" s="65"/>
      <c r="EW21" s="65"/>
      <c r="EX21" s="65"/>
      <c r="EY21" s="65"/>
      <c r="EZ21" s="65"/>
      <c r="FA21" s="65"/>
      <c r="FB21" s="65"/>
      <c r="FC21" s="65"/>
      <c r="FD21" s="65"/>
      <c r="FE21" s="65"/>
      <c r="FF21" s="65"/>
      <c r="FG21" s="65"/>
      <c r="FH21" s="65"/>
      <c r="FI21" s="65"/>
      <c r="FJ21" s="65"/>
      <c r="FK21" s="65"/>
      <c r="FL21" s="65"/>
      <c r="FM21" s="65"/>
      <c r="FN21" s="65"/>
      <c r="FO21" s="65"/>
      <c r="FP21" s="65"/>
      <c r="FQ21" s="65"/>
      <c r="FR21" s="65"/>
      <c r="FS21" s="65"/>
      <c r="FT21" s="65"/>
      <c r="FU21" s="65"/>
      <c r="FV21" s="65"/>
      <c r="FW21" s="65"/>
      <c r="FX21" s="65"/>
      <c r="FY21" s="65"/>
      <c r="FZ21" s="65"/>
      <c r="GA21" s="65"/>
      <c r="GB21" s="65"/>
      <c r="GC21" s="65"/>
      <c r="GD21" s="65"/>
      <c r="GE21" s="65"/>
      <c r="GF21" s="65"/>
      <c r="GG21" s="65"/>
      <c r="GH21" s="65"/>
      <c r="GI21" s="65"/>
      <c r="GJ21" s="65"/>
      <c r="GK21" s="65"/>
      <c r="GL21" s="65"/>
      <c r="GM21" s="65"/>
      <c r="GN21" s="65"/>
      <c r="GO21" s="65"/>
      <c r="GP21" s="65"/>
      <c r="GQ21" s="65"/>
      <c r="GR21" s="65"/>
      <c r="GS21" s="65"/>
      <c r="GT21" s="65"/>
      <c r="GU21" s="65"/>
      <c r="GV21" s="65"/>
      <c r="GW21" s="65"/>
      <c r="GX21" s="65"/>
      <c r="GY21" s="65"/>
      <c r="GZ21" s="65"/>
      <c r="HA21" s="65"/>
      <c r="HB21" s="65"/>
      <c r="HC21" s="65"/>
      <c r="HD21" s="65"/>
      <c r="HE21" s="65"/>
      <c r="HF21" s="65"/>
      <c r="HG21" s="65"/>
      <c r="HH21" s="65"/>
      <c r="HI21" s="65"/>
      <c r="HJ21" s="65"/>
      <c r="HK21" s="65"/>
      <c r="HL21" s="65"/>
      <c r="HM21" s="65"/>
      <c r="HN21" s="65"/>
      <c r="HO21" s="65"/>
      <c r="HP21" s="65"/>
      <c r="HQ21" s="65"/>
      <c r="HR21" s="65"/>
      <c r="HS21" s="65"/>
      <c r="HT21" s="65"/>
      <c r="HU21" s="65"/>
      <c r="HV21" s="65"/>
      <c r="HW21" s="65"/>
      <c r="HX21" s="65"/>
      <c r="HY21" s="65"/>
      <c r="HZ21" s="65"/>
      <c r="IA21" s="65"/>
      <c r="IB21" s="65"/>
      <c r="IC21" s="65"/>
      <c r="ID21" s="65"/>
      <c r="IE21" s="65"/>
      <c r="IF21" s="65"/>
      <c r="IG21" s="65"/>
      <c r="IH21" s="65"/>
      <c r="II21" s="65"/>
      <c r="IJ21" s="65"/>
      <c r="IK21" s="65"/>
      <c r="IL21" s="65"/>
      <c r="IM21" s="65"/>
      <c r="IN21" s="65"/>
      <c r="IO21" s="65"/>
      <c r="IP21" s="65"/>
      <c r="IQ21" s="65"/>
      <c r="IR21" s="65"/>
      <c r="IS21" s="65"/>
      <c r="IT21" s="65"/>
      <c r="IU21" s="65"/>
      <c r="IV21" s="65"/>
    </row>
    <row r="22" customFormat="1" ht="15" customHeight="1" spans="1:256">
      <c r="A22" s="71">
        <v>18</v>
      </c>
      <c r="B22" s="75" t="s">
        <v>439</v>
      </c>
      <c r="C22" s="61">
        <f>IF(C10&gt;=C11,C10-C11,0)</f>
        <v>0</v>
      </c>
      <c r="D22" s="65"/>
      <c r="E22" s="65"/>
      <c r="F22" s="65"/>
      <c r="G22" s="65"/>
      <c r="H22" s="65"/>
      <c r="I22" s="65"/>
      <c r="J22" s="65"/>
      <c r="K22" s="65"/>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c r="CT22" s="65"/>
      <c r="CU22" s="65"/>
      <c r="CV22" s="65"/>
      <c r="CW22" s="65"/>
      <c r="CX22" s="65"/>
      <c r="CY22" s="65"/>
      <c r="CZ22" s="65"/>
      <c r="DA22" s="65"/>
      <c r="DB22" s="65"/>
      <c r="DC22" s="65"/>
      <c r="DD22" s="65"/>
      <c r="DE22" s="65"/>
      <c r="DF22" s="65"/>
      <c r="DG22" s="65"/>
      <c r="DH22" s="65"/>
      <c r="DI22" s="65"/>
      <c r="DJ22" s="65"/>
      <c r="DK22" s="65"/>
      <c r="DL22" s="65"/>
      <c r="DM22" s="65"/>
      <c r="DN22" s="65"/>
      <c r="DO22" s="65"/>
      <c r="DP22" s="65"/>
      <c r="DQ22" s="65"/>
      <c r="DR22" s="65"/>
      <c r="DS22" s="65"/>
      <c r="DT22" s="65"/>
      <c r="DU22" s="65"/>
      <c r="DV22" s="65"/>
      <c r="DW22" s="65"/>
      <c r="DX22" s="65"/>
      <c r="DY22" s="65"/>
      <c r="DZ22" s="65"/>
      <c r="EA22" s="65"/>
      <c r="EB22" s="65"/>
      <c r="EC22" s="65"/>
      <c r="ED22" s="65"/>
      <c r="EE22" s="65"/>
      <c r="EF22" s="65"/>
      <c r="EG22" s="65"/>
      <c r="EH22" s="65"/>
      <c r="EI22" s="65"/>
      <c r="EJ22" s="65"/>
      <c r="EK22" s="65"/>
      <c r="EL22" s="65"/>
      <c r="EM22" s="65"/>
      <c r="EN22" s="65"/>
      <c r="EO22" s="65"/>
      <c r="EP22" s="65"/>
      <c r="EQ22" s="65"/>
      <c r="ER22" s="65"/>
      <c r="ES22" s="65"/>
      <c r="ET22" s="65"/>
      <c r="EU22" s="65"/>
      <c r="EV22" s="65"/>
      <c r="EW22" s="65"/>
      <c r="EX22" s="65"/>
      <c r="EY22" s="65"/>
      <c r="EZ22" s="65"/>
      <c r="FA22" s="65"/>
      <c r="FB22" s="65"/>
      <c r="FC22" s="65"/>
      <c r="FD22" s="65"/>
      <c r="FE22" s="65"/>
      <c r="FF22" s="65"/>
      <c r="FG22" s="65"/>
      <c r="FH22" s="65"/>
      <c r="FI22" s="65"/>
      <c r="FJ22" s="65"/>
      <c r="FK22" s="65"/>
      <c r="FL22" s="65"/>
      <c r="FM22" s="65"/>
      <c r="FN22" s="65"/>
      <c r="FO22" s="65"/>
      <c r="FP22" s="65"/>
      <c r="FQ22" s="65"/>
      <c r="FR22" s="65"/>
      <c r="FS22" s="65"/>
      <c r="FT22" s="65"/>
      <c r="FU22" s="65"/>
      <c r="FV22" s="65"/>
      <c r="FW22" s="65"/>
      <c r="FX22" s="65"/>
      <c r="FY22" s="65"/>
      <c r="FZ22" s="65"/>
      <c r="GA22" s="65"/>
      <c r="GB22" s="65"/>
      <c r="GC22" s="65"/>
      <c r="GD22" s="65"/>
      <c r="GE22" s="65"/>
      <c r="GF22" s="65"/>
      <c r="GG22" s="65"/>
      <c r="GH22" s="65"/>
      <c r="GI22" s="65"/>
      <c r="GJ22" s="65"/>
      <c r="GK22" s="65"/>
      <c r="GL22" s="65"/>
      <c r="GM22" s="65"/>
      <c r="GN22" s="65"/>
      <c r="GO22" s="65"/>
      <c r="GP22" s="65"/>
      <c r="GQ22" s="65"/>
      <c r="GR22" s="65"/>
      <c r="GS22" s="65"/>
      <c r="GT22" s="65"/>
      <c r="GU22" s="65"/>
      <c r="GV22" s="65"/>
      <c r="GW22" s="65"/>
      <c r="GX22" s="65"/>
      <c r="GY22" s="65"/>
      <c r="GZ22" s="65"/>
      <c r="HA22" s="65"/>
      <c r="HB22" s="65"/>
      <c r="HC22" s="65"/>
      <c r="HD22" s="65"/>
      <c r="HE22" s="65"/>
      <c r="HF22" s="65"/>
      <c r="HG22" s="65"/>
      <c r="HH22" s="65"/>
      <c r="HI22" s="65"/>
      <c r="HJ22" s="65"/>
      <c r="HK22" s="65"/>
      <c r="HL22" s="65"/>
      <c r="HM22" s="65"/>
      <c r="HN22" s="65"/>
      <c r="HO22" s="65"/>
      <c r="HP22" s="65"/>
      <c r="HQ22" s="65"/>
      <c r="HR22" s="65"/>
      <c r="HS22" s="65"/>
      <c r="HT22" s="65"/>
      <c r="HU22" s="65"/>
      <c r="HV22" s="65"/>
      <c r="HW22" s="65"/>
      <c r="HX22" s="65"/>
      <c r="HY22" s="65"/>
      <c r="HZ22" s="65"/>
      <c r="IA22" s="65"/>
      <c r="IB22" s="65"/>
      <c r="IC22" s="65"/>
      <c r="ID22" s="65"/>
      <c r="IE22" s="65"/>
      <c r="IF22" s="65"/>
      <c r="IG22" s="65"/>
      <c r="IH22" s="65"/>
      <c r="II22" s="65"/>
      <c r="IJ22" s="65"/>
      <c r="IK22" s="65"/>
      <c r="IL22" s="65"/>
      <c r="IM22" s="65"/>
      <c r="IN22" s="65"/>
      <c r="IO22" s="65"/>
      <c r="IP22" s="65"/>
      <c r="IQ22" s="65"/>
      <c r="IR22" s="65"/>
      <c r="IS22" s="65"/>
      <c r="IT22" s="65"/>
      <c r="IU22" s="65"/>
      <c r="IV22" s="65"/>
    </row>
    <row r="23" customFormat="1" ht="15" customHeight="1" spans="1:256">
      <c r="A23" s="71">
        <v>19</v>
      </c>
      <c r="B23" s="76" t="s">
        <v>440</v>
      </c>
      <c r="C23" s="61">
        <f>IF(C22-C16&gt;=0,C22-C16,0)</f>
        <v>0</v>
      </c>
      <c r="D23" s="65"/>
      <c r="E23" s="65"/>
      <c r="F23" s="65"/>
      <c r="G23" s="65"/>
      <c r="H23" s="65"/>
      <c r="I23" s="65"/>
      <c r="J23" s="65"/>
      <c r="K23" s="65"/>
      <c r="L23" s="65"/>
      <c r="M23" s="65"/>
      <c r="N23" s="65"/>
      <c r="O23" s="65"/>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c r="CT23" s="65"/>
      <c r="CU23" s="65"/>
      <c r="CV23" s="65"/>
      <c r="CW23" s="65"/>
      <c r="CX23" s="65"/>
      <c r="CY23" s="65"/>
      <c r="CZ23" s="65"/>
      <c r="DA23" s="65"/>
      <c r="DB23" s="65"/>
      <c r="DC23" s="65"/>
      <c r="DD23" s="65"/>
      <c r="DE23" s="65"/>
      <c r="DF23" s="65"/>
      <c r="DG23" s="65"/>
      <c r="DH23" s="65"/>
      <c r="DI23" s="65"/>
      <c r="DJ23" s="65"/>
      <c r="DK23" s="65"/>
      <c r="DL23" s="65"/>
      <c r="DM23" s="65"/>
      <c r="DN23" s="65"/>
      <c r="DO23" s="65"/>
      <c r="DP23" s="65"/>
      <c r="DQ23" s="65"/>
      <c r="DR23" s="65"/>
      <c r="DS23" s="65"/>
      <c r="DT23" s="65"/>
      <c r="DU23" s="65"/>
      <c r="DV23" s="65"/>
      <c r="DW23" s="65"/>
      <c r="DX23" s="65"/>
      <c r="DY23" s="65"/>
      <c r="DZ23" s="65"/>
      <c r="EA23" s="65"/>
      <c r="EB23" s="65"/>
      <c r="EC23" s="65"/>
      <c r="ED23" s="65"/>
      <c r="EE23" s="65"/>
      <c r="EF23" s="65"/>
      <c r="EG23" s="65"/>
      <c r="EH23" s="65"/>
      <c r="EI23" s="65"/>
      <c r="EJ23" s="65"/>
      <c r="EK23" s="65"/>
      <c r="EL23" s="65"/>
      <c r="EM23" s="65"/>
      <c r="EN23" s="65"/>
      <c r="EO23" s="65"/>
      <c r="EP23" s="65"/>
      <c r="EQ23" s="65"/>
      <c r="ER23" s="65"/>
      <c r="ES23" s="65"/>
      <c r="ET23" s="65"/>
      <c r="EU23" s="65"/>
      <c r="EV23" s="65"/>
      <c r="EW23" s="65"/>
      <c r="EX23" s="65"/>
      <c r="EY23" s="65"/>
      <c r="EZ23" s="65"/>
      <c r="FA23" s="65"/>
      <c r="FB23" s="65"/>
      <c r="FC23" s="65"/>
      <c r="FD23" s="65"/>
      <c r="FE23" s="65"/>
      <c r="FF23" s="65"/>
      <c r="FG23" s="65"/>
      <c r="FH23" s="65"/>
      <c r="FI23" s="65"/>
      <c r="FJ23" s="65"/>
      <c r="FK23" s="65"/>
      <c r="FL23" s="65"/>
      <c r="FM23" s="65"/>
      <c r="FN23" s="65"/>
      <c r="FO23" s="65"/>
      <c r="FP23" s="65"/>
      <c r="FQ23" s="65"/>
      <c r="FR23" s="65"/>
      <c r="FS23" s="65"/>
      <c r="FT23" s="65"/>
      <c r="FU23" s="65"/>
      <c r="FV23" s="65"/>
      <c r="FW23" s="65"/>
      <c r="FX23" s="65"/>
      <c r="FY23" s="65"/>
      <c r="FZ23" s="65"/>
      <c r="GA23" s="65"/>
      <c r="GB23" s="65"/>
      <c r="GC23" s="65"/>
      <c r="GD23" s="65"/>
      <c r="GE23" s="65"/>
      <c r="GF23" s="65"/>
      <c r="GG23" s="65"/>
      <c r="GH23" s="65"/>
      <c r="GI23" s="65"/>
      <c r="GJ23" s="65"/>
      <c r="GK23" s="65"/>
      <c r="GL23" s="65"/>
      <c r="GM23" s="65"/>
      <c r="GN23" s="65"/>
      <c r="GO23" s="65"/>
      <c r="GP23" s="65"/>
      <c r="GQ23" s="65"/>
      <c r="GR23" s="65"/>
      <c r="GS23" s="65"/>
      <c r="GT23" s="65"/>
      <c r="GU23" s="65"/>
      <c r="GV23" s="65"/>
      <c r="GW23" s="65"/>
      <c r="GX23" s="65"/>
      <c r="GY23" s="65"/>
      <c r="GZ23" s="65"/>
      <c r="HA23" s="65"/>
      <c r="HB23" s="65"/>
      <c r="HC23" s="65"/>
      <c r="HD23" s="65"/>
      <c r="HE23" s="65"/>
      <c r="HF23" s="65"/>
      <c r="HG23" s="65"/>
      <c r="HH23" s="65"/>
      <c r="HI23" s="65"/>
      <c r="HJ23" s="65"/>
      <c r="HK23" s="65"/>
      <c r="HL23" s="65"/>
      <c r="HM23" s="65"/>
      <c r="HN23" s="65"/>
      <c r="HO23" s="65"/>
      <c r="HP23" s="65"/>
      <c r="HQ23" s="65"/>
      <c r="HR23" s="65"/>
      <c r="HS23" s="65"/>
      <c r="HT23" s="65"/>
      <c r="HU23" s="65"/>
      <c r="HV23" s="65"/>
      <c r="HW23" s="65"/>
      <c r="HX23" s="65"/>
      <c r="HY23" s="65"/>
      <c r="HZ23" s="65"/>
      <c r="IA23" s="65"/>
      <c r="IB23" s="65"/>
      <c r="IC23" s="65"/>
      <c r="ID23" s="65"/>
      <c r="IE23" s="65"/>
      <c r="IF23" s="65"/>
      <c r="IG23" s="65"/>
      <c r="IH23" s="65"/>
      <c r="II23" s="65"/>
      <c r="IJ23" s="65"/>
      <c r="IK23" s="65"/>
      <c r="IL23" s="65"/>
      <c r="IM23" s="65"/>
      <c r="IN23" s="65"/>
      <c r="IO23" s="65"/>
      <c r="IP23" s="65"/>
      <c r="IQ23" s="65"/>
      <c r="IR23" s="65"/>
      <c r="IS23" s="65"/>
      <c r="IT23" s="65"/>
      <c r="IU23" s="65"/>
      <c r="IV23" s="65"/>
    </row>
    <row r="24" customFormat="1" ht="15" customHeight="1" spans="1:256">
      <c r="A24" s="71">
        <v>20</v>
      </c>
      <c r="B24" s="76" t="s">
        <v>441</v>
      </c>
      <c r="C24" s="61">
        <f>MIN(C23,C12*0.6%)</f>
        <v>0</v>
      </c>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c r="CT24" s="65"/>
      <c r="CU24" s="65"/>
      <c r="CV24" s="65"/>
      <c r="CW24" s="65"/>
      <c r="CX24" s="65"/>
      <c r="CY24" s="65"/>
      <c r="CZ24" s="65"/>
      <c r="DA24" s="65"/>
      <c r="DB24" s="65"/>
      <c r="DC24" s="65"/>
      <c r="DD24" s="65"/>
      <c r="DE24" s="65"/>
      <c r="DF24" s="65"/>
      <c r="DG24" s="65"/>
      <c r="DH24" s="65"/>
      <c r="DI24" s="65"/>
      <c r="DJ24" s="65"/>
      <c r="DK24" s="65"/>
      <c r="DL24" s="65"/>
      <c r="DM24" s="65"/>
      <c r="DN24" s="65"/>
      <c r="DO24" s="65"/>
      <c r="DP24" s="65"/>
      <c r="DQ24" s="65"/>
      <c r="DR24" s="65"/>
      <c r="DS24" s="65"/>
      <c r="DT24" s="65"/>
      <c r="DU24" s="65"/>
      <c r="DV24" s="65"/>
      <c r="DW24" s="65"/>
      <c r="DX24" s="65"/>
      <c r="DY24" s="65"/>
      <c r="DZ24" s="65"/>
      <c r="EA24" s="65"/>
      <c r="EB24" s="65"/>
      <c r="EC24" s="65"/>
      <c r="ED24" s="65"/>
      <c r="EE24" s="65"/>
      <c r="EF24" s="65"/>
      <c r="EG24" s="65"/>
      <c r="EH24" s="65"/>
      <c r="EI24" s="65"/>
      <c r="EJ24" s="65"/>
      <c r="EK24" s="65"/>
      <c r="EL24" s="65"/>
      <c r="EM24" s="65"/>
      <c r="EN24" s="65"/>
      <c r="EO24" s="65"/>
      <c r="EP24" s="65"/>
      <c r="EQ24" s="65"/>
      <c r="ER24" s="65"/>
      <c r="ES24" s="65"/>
      <c r="ET24" s="65"/>
      <c r="EU24" s="65"/>
      <c r="EV24" s="65"/>
      <c r="EW24" s="65"/>
      <c r="EX24" s="65"/>
      <c r="EY24" s="65"/>
      <c r="EZ24" s="65"/>
      <c r="FA24" s="65"/>
      <c r="FB24" s="65"/>
      <c r="FC24" s="65"/>
      <c r="FD24" s="65"/>
      <c r="FE24" s="65"/>
      <c r="FF24" s="65"/>
      <c r="FG24" s="65"/>
      <c r="FH24" s="65"/>
      <c r="FI24" s="65"/>
      <c r="FJ24" s="65"/>
      <c r="FK24" s="65"/>
      <c r="FL24" s="65"/>
      <c r="FM24" s="65"/>
      <c r="FN24" s="65"/>
      <c r="FO24" s="65"/>
      <c r="FP24" s="65"/>
      <c r="FQ24" s="65"/>
      <c r="FR24" s="65"/>
      <c r="FS24" s="65"/>
      <c r="FT24" s="65"/>
      <c r="FU24" s="65"/>
      <c r="FV24" s="65"/>
      <c r="FW24" s="65"/>
      <c r="FX24" s="65"/>
      <c r="FY24" s="65"/>
      <c r="FZ24" s="65"/>
      <c r="GA24" s="65"/>
      <c r="GB24" s="65"/>
      <c r="GC24" s="65"/>
      <c r="GD24" s="65"/>
      <c r="GE24" s="65"/>
      <c r="GF24" s="65"/>
      <c r="GG24" s="65"/>
      <c r="GH24" s="65"/>
      <c r="GI24" s="65"/>
      <c r="GJ24" s="65"/>
      <c r="GK24" s="65"/>
      <c r="GL24" s="65"/>
      <c r="GM24" s="65"/>
      <c r="GN24" s="65"/>
      <c r="GO24" s="65"/>
      <c r="GP24" s="65"/>
      <c r="GQ24" s="65"/>
      <c r="GR24" s="65"/>
      <c r="GS24" s="65"/>
      <c r="GT24" s="65"/>
      <c r="GU24" s="65"/>
      <c r="GV24" s="65"/>
      <c r="GW24" s="65"/>
      <c r="GX24" s="65"/>
      <c r="GY24" s="65"/>
      <c r="GZ24" s="65"/>
      <c r="HA24" s="65"/>
      <c r="HB24" s="65"/>
      <c r="HC24" s="65"/>
      <c r="HD24" s="65"/>
      <c r="HE24" s="65"/>
      <c r="HF24" s="65"/>
      <c r="HG24" s="65"/>
      <c r="HH24" s="65"/>
      <c r="HI24" s="65"/>
      <c r="HJ24" s="65"/>
      <c r="HK24" s="65"/>
      <c r="HL24" s="65"/>
      <c r="HM24" s="65"/>
      <c r="HN24" s="65"/>
      <c r="HO24" s="65"/>
      <c r="HP24" s="65"/>
      <c r="HQ24" s="65"/>
      <c r="HR24" s="65"/>
      <c r="HS24" s="65"/>
      <c r="HT24" s="65"/>
      <c r="HU24" s="65"/>
      <c r="HV24" s="65"/>
      <c r="HW24" s="65"/>
      <c r="HX24" s="65"/>
      <c r="HY24" s="65"/>
      <c r="HZ24" s="65"/>
      <c r="IA24" s="65"/>
      <c r="IB24" s="65"/>
      <c r="IC24" s="65"/>
      <c r="ID24" s="65"/>
      <c r="IE24" s="65"/>
      <c r="IF24" s="65"/>
      <c r="IG24" s="65"/>
      <c r="IH24" s="65"/>
      <c r="II24" s="65"/>
      <c r="IJ24" s="65"/>
      <c r="IK24" s="65"/>
      <c r="IL24" s="65"/>
      <c r="IM24" s="65"/>
      <c r="IN24" s="65"/>
      <c r="IO24" s="65"/>
      <c r="IP24" s="65"/>
      <c r="IQ24" s="65"/>
      <c r="IR24" s="65"/>
      <c r="IS24" s="65"/>
      <c r="IT24" s="65"/>
      <c r="IU24" s="65"/>
      <c r="IV24" s="65"/>
    </row>
    <row r="25" customFormat="1" ht="15" customHeight="1" spans="1:256">
      <c r="A25" s="71">
        <v>21</v>
      </c>
      <c r="B25" s="76" t="s">
        <v>442</v>
      </c>
      <c r="C25" s="61">
        <f>C14*1.5</f>
        <v>0</v>
      </c>
      <c r="D25" s="65"/>
      <c r="E25" s="65"/>
      <c r="F25" s="65"/>
      <c r="G25" s="65"/>
      <c r="H25" s="65"/>
      <c r="I25" s="65"/>
      <c r="J25" s="65"/>
      <c r="K25" s="65"/>
      <c r="L25" s="65"/>
      <c r="M25" s="65"/>
      <c r="N25" s="65"/>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c r="CT25" s="65"/>
      <c r="CU25" s="65"/>
      <c r="CV25" s="65"/>
      <c r="CW25" s="65"/>
      <c r="CX25" s="65"/>
      <c r="CY25" s="65"/>
      <c r="CZ25" s="65"/>
      <c r="DA25" s="65"/>
      <c r="DB25" s="65"/>
      <c r="DC25" s="65"/>
      <c r="DD25" s="65"/>
      <c r="DE25" s="65"/>
      <c r="DF25" s="65"/>
      <c r="DG25" s="65"/>
      <c r="DH25" s="65"/>
      <c r="DI25" s="65"/>
      <c r="DJ25" s="65"/>
      <c r="DK25" s="65"/>
      <c r="DL25" s="65"/>
      <c r="DM25" s="65"/>
      <c r="DN25" s="65"/>
      <c r="DO25" s="65"/>
      <c r="DP25" s="65"/>
      <c r="DQ25" s="65"/>
      <c r="DR25" s="65"/>
      <c r="DS25" s="65"/>
      <c r="DT25" s="65"/>
      <c r="DU25" s="65"/>
      <c r="DV25" s="65"/>
      <c r="DW25" s="65"/>
      <c r="DX25" s="65"/>
      <c r="DY25" s="65"/>
      <c r="DZ25" s="65"/>
      <c r="EA25" s="65"/>
      <c r="EB25" s="65"/>
      <c r="EC25" s="65"/>
      <c r="ED25" s="65"/>
      <c r="EE25" s="65"/>
      <c r="EF25" s="65"/>
      <c r="EG25" s="65"/>
      <c r="EH25" s="65"/>
      <c r="EI25" s="65"/>
      <c r="EJ25" s="65"/>
      <c r="EK25" s="65"/>
      <c r="EL25" s="65"/>
      <c r="EM25" s="65"/>
      <c r="EN25" s="65"/>
      <c r="EO25" s="65"/>
      <c r="EP25" s="65"/>
      <c r="EQ25" s="65"/>
      <c r="ER25" s="65"/>
      <c r="ES25" s="65"/>
      <c r="ET25" s="65"/>
      <c r="EU25" s="65"/>
      <c r="EV25" s="65"/>
      <c r="EW25" s="65"/>
      <c r="EX25" s="65"/>
      <c r="EY25" s="65"/>
      <c r="EZ25" s="65"/>
      <c r="FA25" s="65"/>
      <c r="FB25" s="65"/>
      <c r="FC25" s="65"/>
      <c r="FD25" s="65"/>
      <c r="FE25" s="65"/>
      <c r="FF25" s="65"/>
      <c r="FG25" s="65"/>
      <c r="FH25" s="65"/>
      <c r="FI25" s="65"/>
      <c r="FJ25" s="65"/>
      <c r="FK25" s="65"/>
      <c r="FL25" s="65"/>
      <c r="FM25" s="65"/>
      <c r="FN25" s="65"/>
      <c r="FO25" s="65"/>
      <c r="FP25" s="65"/>
      <c r="FQ25" s="65"/>
      <c r="FR25" s="65"/>
      <c r="FS25" s="65"/>
      <c r="FT25" s="65"/>
      <c r="FU25" s="65"/>
      <c r="FV25" s="65"/>
      <c r="FW25" s="65"/>
      <c r="FX25" s="65"/>
      <c r="FY25" s="65"/>
      <c r="FZ25" s="65"/>
      <c r="GA25" s="65"/>
      <c r="GB25" s="65"/>
      <c r="GC25" s="65"/>
      <c r="GD25" s="65"/>
      <c r="GE25" s="65"/>
      <c r="GF25" s="65"/>
      <c r="GG25" s="65"/>
      <c r="GH25" s="65"/>
      <c r="GI25" s="65"/>
      <c r="GJ25" s="65"/>
      <c r="GK25" s="65"/>
      <c r="GL25" s="65"/>
      <c r="GM25" s="65"/>
      <c r="GN25" s="65"/>
      <c r="GO25" s="65"/>
      <c r="GP25" s="65"/>
      <c r="GQ25" s="65"/>
      <c r="GR25" s="65"/>
      <c r="GS25" s="65"/>
      <c r="GT25" s="65"/>
      <c r="GU25" s="65"/>
      <c r="GV25" s="65"/>
      <c r="GW25" s="65"/>
      <c r="GX25" s="65"/>
      <c r="GY25" s="65"/>
      <c r="GZ25" s="65"/>
      <c r="HA25" s="65"/>
      <c r="HB25" s="65"/>
      <c r="HC25" s="65"/>
      <c r="HD25" s="65"/>
      <c r="HE25" s="65"/>
      <c r="HF25" s="65"/>
      <c r="HG25" s="65"/>
      <c r="HH25" s="65"/>
      <c r="HI25" s="65"/>
      <c r="HJ25" s="65"/>
      <c r="HK25" s="65"/>
      <c r="HL25" s="65"/>
      <c r="HM25" s="65"/>
      <c r="HN25" s="65"/>
      <c r="HO25" s="65"/>
      <c r="HP25" s="65"/>
      <c r="HQ25" s="65"/>
      <c r="HR25" s="65"/>
      <c r="HS25" s="65"/>
      <c r="HT25" s="65"/>
      <c r="HU25" s="65"/>
      <c r="HV25" s="65"/>
      <c r="HW25" s="65"/>
      <c r="HX25" s="65"/>
      <c r="HY25" s="65"/>
      <c r="HZ25" s="65"/>
      <c r="IA25" s="65"/>
      <c r="IB25" s="65"/>
      <c r="IC25" s="65"/>
      <c r="ID25" s="65"/>
      <c r="IE25" s="65"/>
      <c r="IF25" s="65"/>
      <c r="IG25" s="65"/>
      <c r="IH25" s="65"/>
      <c r="II25" s="65"/>
      <c r="IJ25" s="65"/>
      <c r="IK25" s="65"/>
      <c r="IL25" s="65"/>
      <c r="IM25" s="65"/>
      <c r="IN25" s="65"/>
      <c r="IO25" s="65"/>
      <c r="IP25" s="65"/>
      <c r="IQ25" s="65"/>
      <c r="IR25" s="65"/>
      <c r="IS25" s="65"/>
      <c r="IT25" s="65"/>
      <c r="IU25" s="65"/>
      <c r="IV25" s="65"/>
    </row>
    <row r="26" customFormat="1" ht="15" customHeight="1" spans="1:256">
      <c r="A26" s="71">
        <v>22</v>
      </c>
      <c r="B26" s="75" t="s">
        <v>443</v>
      </c>
      <c r="C26" s="61">
        <f>IF(C25&lt;=C11,C23,IF(AND(C25&gt;C11,C25&lt;=C11+C23),MIN(C12*0.6%,C25-C11)+C11+C23-C25,IF(C25&gt;C11+C23,MIN(C12*0.6%,C23),0)))</f>
        <v>0</v>
      </c>
      <c r="D26" s="77"/>
      <c r="E26" s="65"/>
      <c r="F26" s="65"/>
      <c r="G26" s="65"/>
      <c r="H26" s="65"/>
      <c r="I26" s="65"/>
      <c r="J26" s="65"/>
      <c r="K26" s="65"/>
      <c r="L26" s="65"/>
      <c r="M26" s="65"/>
      <c r="N26" s="65"/>
      <c r="O26" s="65"/>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5"/>
      <c r="BD26" s="65"/>
      <c r="BE26" s="65"/>
      <c r="BF26" s="65"/>
      <c r="BG26" s="65"/>
      <c r="BH26" s="65"/>
      <c r="BI26" s="65"/>
      <c r="BJ26" s="65"/>
      <c r="BK26" s="65"/>
      <c r="BL26" s="65"/>
      <c r="BM26" s="65"/>
      <c r="BN26" s="65"/>
      <c r="BO26" s="65"/>
      <c r="BP26" s="65"/>
      <c r="BQ26" s="65"/>
      <c r="BR26" s="65"/>
      <c r="BS26" s="65"/>
      <c r="BT26" s="65"/>
      <c r="BU26" s="65"/>
      <c r="BV26" s="65"/>
      <c r="BW26" s="65"/>
      <c r="BX26" s="65"/>
      <c r="BY26" s="65"/>
      <c r="BZ26" s="65"/>
      <c r="CA26" s="65"/>
      <c r="CB26" s="65"/>
      <c r="CC26" s="65"/>
      <c r="CD26" s="65"/>
      <c r="CE26" s="65"/>
      <c r="CF26" s="65"/>
      <c r="CG26" s="65"/>
      <c r="CH26" s="65"/>
      <c r="CI26" s="65"/>
      <c r="CJ26" s="65"/>
      <c r="CK26" s="65"/>
      <c r="CL26" s="65"/>
      <c r="CM26" s="65"/>
      <c r="CN26" s="65"/>
      <c r="CO26" s="65"/>
      <c r="CP26" s="65"/>
      <c r="CQ26" s="65"/>
      <c r="CR26" s="65"/>
      <c r="CS26" s="65"/>
      <c r="CT26" s="65"/>
      <c r="CU26" s="65"/>
      <c r="CV26" s="65"/>
      <c r="CW26" s="65"/>
      <c r="CX26" s="65"/>
      <c r="CY26" s="65"/>
      <c r="CZ26" s="65"/>
      <c r="DA26" s="65"/>
      <c r="DB26" s="65"/>
      <c r="DC26" s="65"/>
      <c r="DD26" s="65"/>
      <c r="DE26" s="65"/>
      <c r="DF26" s="65"/>
      <c r="DG26" s="65"/>
      <c r="DH26" s="65"/>
      <c r="DI26" s="65"/>
      <c r="DJ26" s="65"/>
      <c r="DK26" s="65"/>
      <c r="DL26" s="65"/>
      <c r="DM26" s="65"/>
      <c r="DN26" s="65"/>
      <c r="DO26" s="65"/>
      <c r="DP26" s="65"/>
      <c r="DQ26" s="65"/>
      <c r="DR26" s="65"/>
      <c r="DS26" s="65"/>
      <c r="DT26" s="65"/>
      <c r="DU26" s="65"/>
      <c r="DV26" s="65"/>
      <c r="DW26" s="65"/>
      <c r="DX26" s="65"/>
      <c r="DY26" s="65"/>
      <c r="DZ26" s="65"/>
      <c r="EA26" s="65"/>
      <c r="EB26" s="65"/>
      <c r="EC26" s="65"/>
      <c r="ED26" s="65"/>
      <c r="EE26" s="65"/>
      <c r="EF26" s="65"/>
      <c r="EG26" s="65"/>
      <c r="EH26" s="65"/>
      <c r="EI26" s="65"/>
      <c r="EJ26" s="65"/>
      <c r="EK26" s="65"/>
      <c r="EL26" s="65"/>
      <c r="EM26" s="65"/>
      <c r="EN26" s="65"/>
      <c r="EO26" s="65"/>
      <c r="EP26" s="65"/>
      <c r="EQ26" s="65"/>
      <c r="ER26" s="65"/>
      <c r="ES26" s="65"/>
      <c r="ET26" s="65"/>
      <c r="EU26" s="65"/>
      <c r="EV26" s="65"/>
      <c r="EW26" s="65"/>
      <c r="EX26" s="65"/>
      <c r="EY26" s="65"/>
      <c r="EZ26" s="65"/>
      <c r="FA26" s="65"/>
      <c r="FB26" s="65"/>
      <c r="FC26" s="65"/>
      <c r="FD26" s="65"/>
      <c r="FE26" s="65"/>
      <c r="FF26" s="65"/>
      <c r="FG26" s="65"/>
      <c r="FH26" s="65"/>
      <c r="FI26" s="65"/>
      <c r="FJ26" s="65"/>
      <c r="FK26" s="65"/>
      <c r="FL26" s="65"/>
      <c r="FM26" s="65"/>
      <c r="FN26" s="65"/>
      <c r="FO26" s="65"/>
      <c r="FP26" s="65"/>
      <c r="FQ26" s="65"/>
      <c r="FR26" s="65"/>
      <c r="FS26" s="65"/>
      <c r="FT26" s="65"/>
      <c r="FU26" s="65"/>
      <c r="FV26" s="65"/>
      <c r="FW26" s="65"/>
      <c r="FX26" s="65"/>
      <c r="FY26" s="65"/>
      <c r="FZ26" s="65"/>
      <c r="GA26" s="65"/>
      <c r="GB26" s="65"/>
      <c r="GC26" s="65"/>
      <c r="GD26" s="65"/>
      <c r="GE26" s="65"/>
      <c r="GF26" s="65"/>
      <c r="GG26" s="65"/>
      <c r="GH26" s="65"/>
      <c r="GI26" s="65"/>
      <c r="GJ26" s="65"/>
      <c r="GK26" s="65"/>
      <c r="GL26" s="65"/>
      <c r="GM26" s="65"/>
      <c r="GN26" s="65"/>
      <c r="GO26" s="65"/>
      <c r="GP26" s="65"/>
      <c r="GQ26" s="65"/>
      <c r="GR26" s="65"/>
      <c r="GS26" s="65"/>
      <c r="GT26" s="65"/>
      <c r="GU26" s="65"/>
      <c r="GV26" s="65"/>
      <c r="GW26" s="65"/>
      <c r="GX26" s="65"/>
      <c r="GY26" s="65"/>
      <c r="GZ26" s="65"/>
      <c r="HA26" s="65"/>
      <c r="HB26" s="65"/>
      <c r="HC26" s="65"/>
      <c r="HD26" s="65"/>
      <c r="HE26" s="65"/>
      <c r="HF26" s="65"/>
      <c r="HG26" s="65"/>
      <c r="HH26" s="65"/>
      <c r="HI26" s="65"/>
      <c r="HJ26" s="65"/>
      <c r="HK26" s="65"/>
      <c r="HL26" s="65"/>
      <c r="HM26" s="65"/>
      <c r="HN26" s="65"/>
      <c r="HO26" s="65"/>
      <c r="HP26" s="65"/>
      <c r="HQ26" s="65"/>
      <c r="HR26" s="65"/>
      <c r="HS26" s="65"/>
      <c r="HT26" s="65"/>
      <c r="HU26" s="65"/>
      <c r="HV26" s="65"/>
      <c r="HW26" s="65"/>
      <c r="HX26" s="65"/>
      <c r="HY26" s="65"/>
      <c r="HZ26" s="65"/>
      <c r="IA26" s="65"/>
      <c r="IB26" s="65"/>
      <c r="IC26" s="65"/>
      <c r="ID26" s="65"/>
      <c r="IE26" s="65"/>
      <c r="IF26" s="65"/>
      <c r="IG26" s="65"/>
      <c r="IH26" s="65"/>
      <c r="II26" s="65"/>
      <c r="IJ26" s="65"/>
      <c r="IK26" s="65"/>
      <c r="IL26" s="65"/>
      <c r="IM26" s="65"/>
      <c r="IN26" s="65"/>
      <c r="IO26" s="65"/>
      <c r="IP26" s="65"/>
      <c r="IQ26" s="65"/>
      <c r="IR26" s="65"/>
      <c r="IS26" s="65"/>
      <c r="IT26" s="65"/>
      <c r="IU26" s="65"/>
      <c r="IV26" s="65"/>
    </row>
    <row r="27" customFormat="1" spans="1:256">
      <c r="A27" s="78" t="s">
        <v>444</v>
      </c>
      <c r="B27" s="79"/>
      <c r="C27" s="80"/>
      <c r="D27" s="65"/>
      <c r="E27" s="65"/>
      <c r="F27" s="65"/>
      <c r="G27" s="65"/>
      <c r="H27" s="65"/>
      <c r="I27" s="65"/>
      <c r="J27" s="65"/>
      <c r="K27" s="65"/>
      <c r="L27" s="65"/>
      <c r="M27" s="65"/>
      <c r="N27" s="65"/>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5"/>
      <c r="BD27" s="65"/>
      <c r="BE27" s="65"/>
      <c r="BF27" s="65"/>
      <c r="BG27" s="65"/>
      <c r="BH27" s="65"/>
      <c r="BI27" s="65"/>
      <c r="BJ27" s="65"/>
      <c r="BK27" s="65"/>
      <c r="BL27" s="65"/>
      <c r="BM27" s="65"/>
      <c r="BN27" s="65"/>
      <c r="BO27" s="65"/>
      <c r="BP27" s="65"/>
      <c r="BQ27" s="65"/>
      <c r="BR27" s="65"/>
      <c r="BS27" s="65"/>
      <c r="BT27" s="65"/>
      <c r="BU27" s="65"/>
      <c r="BV27" s="65"/>
      <c r="BW27" s="65"/>
      <c r="BX27" s="65"/>
      <c r="BY27" s="65"/>
      <c r="BZ27" s="65"/>
      <c r="CA27" s="65"/>
      <c r="CB27" s="65"/>
      <c r="CC27" s="65"/>
      <c r="CD27" s="65"/>
      <c r="CE27" s="65"/>
      <c r="CF27" s="65"/>
      <c r="CG27" s="65"/>
      <c r="CH27" s="65"/>
      <c r="CI27" s="65"/>
      <c r="CJ27" s="65"/>
      <c r="CK27" s="65"/>
      <c r="CL27" s="65"/>
      <c r="CM27" s="65"/>
      <c r="CN27" s="65"/>
      <c r="CO27" s="65"/>
      <c r="CP27" s="65"/>
      <c r="CQ27" s="65"/>
      <c r="CR27" s="65"/>
      <c r="CS27" s="65"/>
      <c r="CT27" s="65"/>
      <c r="CU27" s="65"/>
      <c r="CV27" s="65"/>
      <c r="CW27" s="65"/>
      <c r="CX27" s="65"/>
      <c r="CY27" s="65"/>
      <c r="CZ27" s="65"/>
      <c r="DA27" s="65"/>
      <c r="DB27" s="65"/>
      <c r="DC27" s="65"/>
      <c r="DD27" s="65"/>
      <c r="DE27" s="65"/>
      <c r="DF27" s="65"/>
      <c r="DG27" s="65"/>
      <c r="DH27" s="65"/>
      <c r="DI27" s="65"/>
      <c r="DJ27" s="65"/>
      <c r="DK27" s="65"/>
      <c r="DL27" s="65"/>
      <c r="DM27" s="65"/>
      <c r="DN27" s="65"/>
      <c r="DO27" s="65"/>
      <c r="DP27" s="65"/>
      <c r="DQ27" s="65"/>
      <c r="DR27" s="65"/>
      <c r="DS27" s="65"/>
      <c r="DT27" s="65"/>
      <c r="DU27" s="65"/>
      <c r="DV27" s="65"/>
      <c r="DW27" s="65"/>
      <c r="DX27" s="65"/>
      <c r="DY27" s="65"/>
      <c r="DZ27" s="65"/>
      <c r="EA27" s="65"/>
      <c r="EB27" s="65"/>
      <c r="EC27" s="65"/>
      <c r="ED27" s="65"/>
      <c r="EE27" s="65"/>
      <c r="EF27" s="65"/>
      <c r="EG27" s="65"/>
      <c r="EH27" s="65"/>
      <c r="EI27" s="65"/>
      <c r="EJ27" s="65"/>
      <c r="EK27" s="65"/>
      <c r="EL27" s="65"/>
      <c r="EM27" s="65"/>
      <c r="EN27" s="65"/>
      <c r="EO27" s="65"/>
      <c r="EP27" s="65"/>
      <c r="EQ27" s="65"/>
      <c r="ER27" s="65"/>
      <c r="ES27" s="65"/>
      <c r="ET27" s="65"/>
      <c r="EU27" s="65"/>
      <c r="EV27" s="65"/>
      <c r="EW27" s="65"/>
      <c r="EX27" s="65"/>
      <c r="EY27" s="65"/>
      <c r="EZ27" s="65"/>
      <c r="FA27" s="65"/>
      <c r="FB27" s="65"/>
      <c r="FC27" s="65"/>
      <c r="FD27" s="65"/>
      <c r="FE27" s="65"/>
      <c r="FF27" s="65"/>
      <c r="FG27" s="65"/>
      <c r="FH27" s="65"/>
      <c r="FI27" s="65"/>
      <c r="FJ27" s="65"/>
      <c r="FK27" s="65"/>
      <c r="FL27" s="65"/>
      <c r="FM27" s="65"/>
      <c r="FN27" s="65"/>
      <c r="FO27" s="65"/>
      <c r="FP27" s="65"/>
      <c r="FQ27" s="65"/>
      <c r="FR27" s="65"/>
      <c r="FS27" s="65"/>
      <c r="FT27" s="65"/>
      <c r="FU27" s="65"/>
      <c r="FV27" s="65"/>
      <c r="FW27" s="65"/>
      <c r="FX27" s="65"/>
      <c r="FY27" s="65"/>
      <c r="FZ27" s="65"/>
      <c r="GA27" s="65"/>
      <c r="GB27" s="65"/>
      <c r="GC27" s="65"/>
      <c r="GD27" s="65"/>
      <c r="GE27" s="65"/>
      <c r="GF27" s="65"/>
      <c r="GG27" s="65"/>
      <c r="GH27" s="65"/>
      <c r="GI27" s="65"/>
      <c r="GJ27" s="65"/>
      <c r="GK27" s="65"/>
      <c r="GL27" s="65"/>
      <c r="GM27" s="65"/>
      <c r="GN27" s="65"/>
      <c r="GO27" s="65"/>
      <c r="GP27" s="65"/>
      <c r="GQ27" s="65"/>
      <c r="GR27" s="65"/>
      <c r="GS27" s="65"/>
      <c r="GT27" s="65"/>
      <c r="GU27" s="65"/>
      <c r="GV27" s="65"/>
      <c r="GW27" s="65"/>
      <c r="GX27" s="65"/>
      <c r="GY27" s="65"/>
      <c r="GZ27" s="65"/>
      <c r="HA27" s="65"/>
      <c r="HB27" s="65"/>
      <c r="HC27" s="65"/>
      <c r="HD27" s="65"/>
      <c r="HE27" s="65"/>
      <c r="HF27" s="65"/>
      <c r="HG27" s="65"/>
      <c r="HH27" s="65"/>
      <c r="HI27" s="65"/>
      <c r="HJ27" s="65"/>
      <c r="HK27" s="65"/>
      <c r="HL27" s="65"/>
      <c r="HM27" s="65"/>
      <c r="HN27" s="65"/>
      <c r="HO27" s="65"/>
      <c r="HP27" s="65"/>
      <c r="HQ27" s="65"/>
      <c r="HR27" s="65"/>
      <c r="HS27" s="65"/>
      <c r="HT27" s="65"/>
      <c r="HU27" s="65"/>
      <c r="HV27" s="65"/>
      <c r="HW27" s="65"/>
      <c r="HX27" s="65"/>
      <c r="HY27" s="65"/>
      <c r="HZ27" s="65"/>
      <c r="IA27" s="65"/>
      <c r="IB27" s="65"/>
      <c r="IC27" s="65"/>
      <c r="ID27" s="65"/>
      <c r="IE27" s="65"/>
      <c r="IF27" s="65"/>
      <c r="IG27" s="65"/>
      <c r="IH27" s="65"/>
      <c r="II27" s="65"/>
      <c r="IJ27" s="65"/>
      <c r="IK27" s="65"/>
      <c r="IL27" s="65"/>
      <c r="IM27" s="65"/>
      <c r="IN27" s="65"/>
      <c r="IO27" s="65"/>
      <c r="IP27" s="65"/>
      <c r="IQ27" s="65"/>
      <c r="IR27" s="65"/>
      <c r="IS27" s="65"/>
      <c r="IT27" s="65"/>
      <c r="IU27" s="65"/>
      <c r="IV27" s="65"/>
    </row>
    <row r="28" ht="13.5" spans="1:2">
      <c r="A28" s="33"/>
      <c r="B28" s="34" t="s">
        <v>89</v>
      </c>
    </row>
    <row r="29" ht="13.5" spans="1:2">
      <c r="A29" s="35"/>
      <c r="B29" s="36" t="s">
        <v>90</v>
      </c>
    </row>
    <row r="30" ht="13.5" spans="1:2">
      <c r="A30" s="40" t="s">
        <v>91</v>
      </c>
      <c r="B30" s="41">
        <v>241</v>
      </c>
    </row>
  </sheetData>
  <sheetProtection sort="0" autoFilter="0" pivotTables="0"/>
  <protectedRanges>
    <protectedRange sqref="C25:C26" name="区域2_1_1_2_1"/>
  </protectedRanges>
  <mergeCells count="4">
    <mergeCell ref="A1:C1"/>
    <mergeCell ref="A2:C2"/>
    <mergeCell ref="A27:C27"/>
    <mergeCell ref="A3:B4"/>
  </mergeCells>
  <dataValidations count="2">
    <dataValidation type="decimal" operator="between" allowBlank="1" showInputMessage="1" showErrorMessage="1" sqref="C1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WVK983054 C25:C26 C65561:C65562 C131097:C131098 C196633:C196634 C262169:C262170 C327705:C327706 C393241:C393242 C458777:C458778 C524313:C524314 C589849:C589850 C655385:C655386 C720921:C720922 C786457:C786458 C851993:C851994 C917529:C917530 C983065:C983066 IY25:IY26 IY65561:IY65562 IY131097:IY131098 IY196633:IY196634 IY262169:IY262170 IY327705:IY327706 IY393241:IY393242 IY458777:IY458778 IY524313:IY524314 IY589849:IY589850 IY655385:IY655386 IY720921:IY720922 IY786457:IY786458 IY851993:IY851994 IY917529:IY917530 IY983065:IY983066 SU25:SU26 SU65561:SU65562 SU131097:SU131098 SU196633:SU196634 SU262169:SU262170 SU327705:SU327706 SU393241:SU393242 SU458777:SU458778 SU524313:SU524314 SU589849:SU589850 SU655385:SU655386 SU720921:SU720922 SU786457:SU786458 SU851993:SU851994 SU917529:SU917530 SU983065:SU983066 ACQ25:ACQ26 ACQ65561:ACQ65562 ACQ131097:ACQ131098 ACQ196633:ACQ196634 ACQ262169:ACQ262170 ACQ327705:ACQ327706 ACQ393241:ACQ393242 ACQ458777:ACQ458778 ACQ524313:ACQ524314 ACQ589849:ACQ589850 ACQ655385:ACQ655386 ACQ720921:ACQ720922 ACQ786457:ACQ786458 ACQ851993:ACQ851994 ACQ917529:ACQ917530 ACQ983065:ACQ983066 AMM25:AMM26 AMM65561:AMM65562 AMM131097:AMM131098 AMM196633:AMM196634 AMM262169:AMM262170 AMM327705:AMM327706 AMM393241:AMM393242 AMM458777:AMM458778 AMM524313:AMM524314 AMM589849:AMM589850 AMM655385:AMM655386 AMM720921:AMM720922 AMM786457:AMM786458 AMM851993:AMM851994 AMM917529:AMM917530 AMM983065:AMM983066 AWI25:AWI26 AWI65561:AWI65562 AWI131097:AWI131098 AWI196633:AWI196634 AWI262169:AWI262170 AWI327705:AWI327706 AWI393241:AWI393242 AWI458777:AWI458778 AWI524313:AWI524314 AWI589849:AWI589850 AWI655385:AWI655386 AWI720921:AWI720922 AWI786457:AWI786458 AWI851993:AWI851994 AWI917529:AWI917530 AWI983065:AWI983066 BGE25:BGE26 BGE65561:BGE65562 BGE131097:BGE131098 BGE196633:BGE196634 BGE262169:BGE262170 BGE327705:BGE327706 BGE393241:BGE393242 BGE458777:BGE458778 BGE524313:BGE524314 BGE589849:BGE589850 BGE655385:BGE655386 BGE720921:BGE720922 BGE786457:BGE786458 BGE851993:BGE851994 BGE917529:BGE917530 BGE983065:BGE983066 BQA25:BQA26 BQA65561:BQA65562 BQA131097:BQA131098 BQA196633:BQA196634 BQA262169:BQA262170 BQA327705:BQA327706 BQA393241:BQA393242 BQA458777:BQA458778 BQA524313:BQA524314 BQA589849:BQA589850 BQA655385:BQA655386 BQA720921:BQA720922 BQA786457:BQA786458 BQA851993:BQA851994 BQA917529:BQA917530 BQA983065:BQA983066 BZW25:BZW26 BZW65561:BZW65562 BZW131097:BZW131098 BZW196633:BZW196634 BZW262169:BZW262170 BZW327705:BZW327706 BZW393241:BZW393242 BZW458777:BZW458778 BZW524313:BZW524314 BZW589849:BZW589850 BZW655385:BZW655386 BZW720921:BZW720922 BZW786457:BZW786458 BZW851993:BZW851994 BZW917529:BZW917530 BZW983065:BZW983066 CJS25:CJS26 CJS65561:CJS65562 CJS131097:CJS131098 CJS196633:CJS196634 CJS262169:CJS262170 CJS327705:CJS327706 CJS393241:CJS393242 CJS458777:CJS458778 CJS524313:CJS524314 CJS589849:CJS589850 CJS655385:CJS655386 CJS720921:CJS720922 CJS786457:CJS786458 CJS851993:CJS851994 CJS917529:CJS917530 CJS983065:CJS983066 CTO25:CTO26 CTO65561:CTO65562 CTO131097:CTO131098 CTO196633:CTO196634 CTO262169:CTO262170 CTO327705:CTO327706 CTO393241:CTO393242 CTO458777:CTO458778 CTO524313:CTO524314 CTO589849:CTO589850 CTO655385:CTO655386 CTO720921:CTO720922 CTO786457:CTO786458 CTO851993:CTO851994 CTO917529:CTO917530 CTO983065:CTO983066 DDK25:DDK26 DDK65561:DDK65562 DDK131097:DDK131098 DDK196633:DDK196634 DDK262169:DDK262170 DDK327705:DDK327706 DDK393241:DDK393242 DDK458777:DDK458778 DDK524313:DDK524314 DDK589849:DDK589850 DDK655385:DDK655386 DDK720921:DDK720922 DDK786457:DDK786458 DDK851993:DDK851994 DDK917529:DDK917530 DDK983065:DDK983066 DNG25:DNG26 DNG65561:DNG65562 DNG131097:DNG131098 DNG196633:DNG196634 DNG262169:DNG262170 DNG327705:DNG327706 DNG393241:DNG393242 DNG458777:DNG458778 DNG524313:DNG524314 DNG589849:DNG589850 DNG655385:DNG655386 DNG720921:DNG720922 DNG786457:DNG786458 DNG851993:DNG851994 DNG917529:DNG917530 DNG983065:DNG983066 DXC25:DXC26 DXC65561:DXC65562 DXC131097:DXC131098 DXC196633:DXC196634 DXC262169:DXC262170 DXC327705:DXC327706 DXC393241:DXC393242 DXC458777:DXC458778 DXC524313:DXC524314 DXC589849:DXC589850 DXC655385:DXC655386 DXC720921:DXC720922 DXC786457:DXC786458 DXC851993:DXC851994 DXC917529:DXC917530 DXC983065:DXC983066 EGY25:EGY26 EGY65561:EGY65562 EGY131097:EGY131098 EGY196633:EGY196634 EGY262169:EGY262170 EGY327705:EGY327706 EGY393241:EGY393242 EGY458777:EGY458778 EGY524313:EGY524314 EGY589849:EGY589850 EGY655385:EGY655386 EGY720921:EGY720922 EGY786457:EGY786458 EGY851993:EGY851994 EGY917529:EGY917530 EGY983065:EGY983066 EQU25:EQU26 EQU65561:EQU65562 EQU131097:EQU131098 EQU196633:EQU196634 EQU262169:EQU262170 EQU327705:EQU327706 EQU393241:EQU393242 EQU458777:EQU458778 EQU524313:EQU524314 EQU589849:EQU589850 EQU655385:EQU655386 EQU720921:EQU720922 EQU786457:EQU786458 EQU851993:EQU851994 EQU917529:EQU917530 EQU983065:EQU983066 FAQ25:FAQ26 FAQ65561:FAQ65562 FAQ131097:FAQ131098 FAQ196633:FAQ196634 FAQ262169:FAQ262170 FAQ327705:FAQ327706 FAQ393241:FAQ393242 FAQ458777:FAQ458778 FAQ524313:FAQ524314 FAQ589849:FAQ589850 FAQ655385:FAQ655386 FAQ720921:FAQ720922 FAQ786457:FAQ786458 FAQ851993:FAQ851994 FAQ917529:FAQ917530 FAQ983065:FAQ983066 FKM25:FKM26 FKM65561:FKM65562 FKM131097:FKM131098 FKM196633:FKM196634 FKM262169:FKM262170 FKM327705:FKM327706 FKM393241:FKM393242 FKM458777:FKM458778 FKM524313:FKM524314 FKM589849:FKM589850 FKM655385:FKM655386 FKM720921:FKM720922 FKM786457:FKM786458 FKM851993:FKM851994 FKM917529:FKM917530 FKM983065:FKM983066 FUI25:FUI26 FUI65561:FUI65562 FUI131097:FUI131098 FUI196633:FUI196634 FUI262169:FUI262170 FUI327705:FUI327706 FUI393241:FUI393242 FUI458777:FUI458778 FUI524313:FUI524314 FUI589849:FUI589850 FUI655385:FUI655386 FUI720921:FUI720922 FUI786457:FUI786458 FUI851993:FUI851994 FUI917529:FUI917530 FUI983065:FUI983066 GEE25:GEE26 GEE65561:GEE65562 GEE131097:GEE131098 GEE196633:GEE196634 GEE262169:GEE262170 GEE327705:GEE327706 GEE393241:GEE393242 GEE458777:GEE458778 GEE524313:GEE524314 GEE589849:GEE589850 GEE655385:GEE655386 GEE720921:GEE720922 GEE786457:GEE786458 GEE851993:GEE851994 GEE917529:GEE917530 GEE983065:GEE983066 GOA25:GOA26 GOA65561:GOA65562 GOA131097:GOA131098 GOA196633:GOA196634 GOA262169:GOA262170 GOA327705:GOA327706 GOA393241:GOA393242 GOA458777:GOA458778 GOA524313:GOA524314 GOA589849:GOA589850 GOA655385:GOA655386 GOA720921:GOA720922 GOA786457:GOA786458 GOA851993:GOA851994 GOA917529:GOA917530 GOA983065:GOA983066 GXW25:GXW26 GXW65561:GXW65562 GXW131097:GXW131098 GXW196633:GXW196634 GXW262169:GXW262170 GXW327705:GXW327706 GXW393241:GXW393242 GXW458777:GXW458778 GXW524313:GXW524314 GXW589849:GXW589850 GXW655385:GXW655386 GXW720921:GXW720922 GXW786457:GXW786458 GXW851993:GXW851994 GXW917529:GXW917530 GXW983065:GXW983066 HHS25:HHS26 HHS65561:HHS65562 HHS131097:HHS131098 HHS196633:HHS196634 HHS262169:HHS262170 HHS327705:HHS327706 HHS393241:HHS393242 HHS458777:HHS458778 HHS524313:HHS524314 HHS589849:HHS589850 HHS655385:HHS655386 HHS720921:HHS720922 HHS786457:HHS786458 HHS851993:HHS851994 HHS917529:HHS917530 HHS983065:HHS983066 HRO25:HRO26 HRO65561:HRO65562 HRO131097:HRO131098 HRO196633:HRO196634 HRO262169:HRO262170 HRO327705:HRO327706 HRO393241:HRO393242 HRO458777:HRO458778 HRO524313:HRO524314 HRO589849:HRO589850 HRO655385:HRO655386 HRO720921:HRO720922 HRO786457:HRO786458 HRO851993:HRO851994 HRO917529:HRO917530 HRO983065:HRO983066 IBK25:IBK26 IBK65561:IBK65562 IBK131097:IBK131098 IBK196633:IBK196634 IBK262169:IBK262170 IBK327705:IBK327706 IBK393241:IBK393242 IBK458777:IBK458778 IBK524313:IBK524314 IBK589849:IBK589850 IBK655385:IBK655386 IBK720921:IBK720922 IBK786457:IBK786458 IBK851993:IBK851994 IBK917529:IBK917530 IBK983065:IBK983066 ILG25:ILG26 ILG65561:ILG65562 ILG131097:ILG131098 ILG196633:ILG196634 ILG262169:ILG262170 ILG327705:ILG327706 ILG393241:ILG393242 ILG458777:ILG458778 ILG524313:ILG524314 ILG589849:ILG589850 ILG655385:ILG655386 ILG720921:ILG720922 ILG786457:ILG786458 ILG851993:ILG851994 ILG917529:ILG917530 ILG983065:ILG983066 IVC25:IVC26 IVC65561:IVC65562 IVC131097:IVC131098 IVC196633:IVC196634 IVC262169:IVC262170 IVC327705:IVC327706 IVC393241:IVC393242 IVC458777:IVC458778 IVC524313:IVC524314 IVC589849:IVC589850 IVC655385:IVC655386 IVC720921:IVC720922 IVC786457:IVC786458 IVC851993:IVC851994 IVC917529:IVC917530 IVC983065:IVC983066 JEY25:JEY26 JEY65561:JEY65562 JEY131097:JEY131098 JEY196633:JEY196634 JEY262169:JEY262170 JEY327705:JEY327706 JEY393241:JEY393242 JEY458777:JEY458778 JEY524313:JEY524314 JEY589849:JEY589850 JEY655385:JEY655386 JEY720921:JEY720922 JEY786457:JEY786458 JEY851993:JEY851994 JEY917529:JEY917530 JEY983065:JEY983066 JOU25:JOU26 JOU65561:JOU65562 JOU131097:JOU131098 JOU196633:JOU196634 JOU262169:JOU262170 JOU327705:JOU327706 JOU393241:JOU393242 JOU458777:JOU458778 JOU524313:JOU524314 JOU589849:JOU589850 JOU655385:JOU655386 JOU720921:JOU720922 JOU786457:JOU786458 JOU851993:JOU851994 JOU917529:JOU917530 JOU983065:JOU983066 JYQ25:JYQ26 JYQ65561:JYQ65562 JYQ131097:JYQ131098 JYQ196633:JYQ196634 JYQ262169:JYQ262170 JYQ327705:JYQ327706 JYQ393241:JYQ393242 JYQ458777:JYQ458778 JYQ524313:JYQ524314 JYQ589849:JYQ589850 JYQ655385:JYQ655386 JYQ720921:JYQ720922 JYQ786457:JYQ786458 JYQ851993:JYQ851994 JYQ917529:JYQ917530 JYQ983065:JYQ983066 KIM25:KIM26 KIM65561:KIM65562 KIM131097:KIM131098 KIM196633:KIM196634 KIM262169:KIM262170 KIM327705:KIM327706 KIM393241:KIM393242 KIM458777:KIM458778 KIM524313:KIM524314 KIM589849:KIM589850 KIM655385:KIM655386 KIM720921:KIM720922 KIM786457:KIM786458 KIM851993:KIM851994 KIM917529:KIM917530 KIM983065:KIM983066 KSI25:KSI26 KSI65561:KSI65562 KSI131097:KSI131098 KSI196633:KSI196634 KSI262169:KSI262170 KSI327705:KSI327706 KSI393241:KSI393242 KSI458777:KSI458778 KSI524313:KSI524314 KSI589849:KSI589850 KSI655385:KSI655386 KSI720921:KSI720922 KSI786457:KSI786458 KSI851993:KSI851994 KSI917529:KSI917530 KSI983065:KSI983066 LCE25:LCE26 LCE65561:LCE65562 LCE131097:LCE131098 LCE196633:LCE196634 LCE262169:LCE262170 LCE327705:LCE327706 LCE393241:LCE393242 LCE458777:LCE458778 LCE524313:LCE524314 LCE589849:LCE589850 LCE655385:LCE655386 LCE720921:LCE720922 LCE786457:LCE786458 LCE851993:LCE851994 LCE917529:LCE917530 LCE983065:LCE983066 LMA25:LMA26 LMA65561:LMA65562 LMA131097:LMA131098 LMA196633:LMA196634 LMA262169:LMA262170 LMA327705:LMA327706 LMA393241:LMA393242 LMA458777:LMA458778 LMA524313:LMA524314 LMA589849:LMA589850 LMA655385:LMA655386 LMA720921:LMA720922 LMA786457:LMA786458 LMA851993:LMA851994 LMA917529:LMA917530 LMA983065:LMA983066 LVW25:LVW26 LVW65561:LVW65562 LVW131097:LVW131098 LVW196633:LVW196634 LVW262169:LVW262170 LVW327705:LVW327706 LVW393241:LVW393242 LVW458777:LVW458778 LVW524313:LVW524314 LVW589849:LVW589850 LVW655385:LVW655386 LVW720921:LVW720922 LVW786457:LVW786458 LVW851993:LVW851994 LVW917529:LVW917530 LVW983065:LVW983066 MFS25:MFS26 MFS65561:MFS65562 MFS131097:MFS131098 MFS196633:MFS196634 MFS262169:MFS262170 MFS327705:MFS327706 MFS393241:MFS393242 MFS458777:MFS458778 MFS524313:MFS524314 MFS589849:MFS589850 MFS655385:MFS655386 MFS720921:MFS720922 MFS786457:MFS786458 MFS851993:MFS851994 MFS917529:MFS917530 MFS983065:MFS983066 MPO25:MPO26 MPO65561:MPO65562 MPO131097:MPO131098 MPO196633:MPO196634 MPO262169:MPO262170 MPO327705:MPO327706 MPO393241:MPO393242 MPO458777:MPO458778 MPO524313:MPO524314 MPO589849:MPO589850 MPO655385:MPO655386 MPO720921:MPO720922 MPO786457:MPO786458 MPO851993:MPO851994 MPO917529:MPO917530 MPO983065:MPO983066 MZK25:MZK26 MZK65561:MZK65562 MZK131097:MZK131098 MZK196633:MZK196634 MZK262169:MZK262170 MZK327705:MZK327706 MZK393241:MZK393242 MZK458777:MZK458778 MZK524313:MZK524314 MZK589849:MZK589850 MZK655385:MZK655386 MZK720921:MZK720922 MZK786457:MZK786458 MZK851993:MZK851994 MZK917529:MZK917530 MZK983065:MZK983066 NJG25:NJG26 NJG65561:NJG65562 NJG131097:NJG131098 NJG196633:NJG196634 NJG262169:NJG262170 NJG327705:NJG327706 NJG393241:NJG393242 NJG458777:NJG458778 NJG524313:NJG524314 NJG589849:NJG589850 NJG655385:NJG655386 NJG720921:NJG720922 NJG786457:NJG786458 NJG851993:NJG851994 NJG917529:NJG917530 NJG983065:NJG983066 NTC25:NTC26 NTC65561:NTC65562 NTC131097:NTC131098 NTC196633:NTC196634 NTC262169:NTC262170 NTC327705:NTC327706 NTC393241:NTC393242 NTC458777:NTC458778 NTC524313:NTC524314 NTC589849:NTC589850 NTC655385:NTC655386 NTC720921:NTC720922 NTC786457:NTC786458 NTC851993:NTC851994 NTC917529:NTC917530 NTC983065:NTC983066 OCY25:OCY26 OCY65561:OCY65562 OCY131097:OCY131098 OCY196633:OCY196634 OCY262169:OCY262170 OCY327705:OCY327706 OCY393241:OCY393242 OCY458777:OCY458778 OCY524313:OCY524314 OCY589849:OCY589850 OCY655385:OCY655386 OCY720921:OCY720922 OCY786457:OCY786458 OCY851993:OCY851994 OCY917529:OCY917530 OCY983065:OCY983066 OMU25:OMU26 OMU65561:OMU65562 OMU131097:OMU131098 OMU196633:OMU196634 OMU262169:OMU262170 OMU327705:OMU327706 OMU393241:OMU393242 OMU458777:OMU458778 OMU524313:OMU524314 OMU589849:OMU589850 OMU655385:OMU655386 OMU720921:OMU720922 OMU786457:OMU786458 OMU851993:OMU851994 OMU917529:OMU917530 OMU983065:OMU983066 OWQ25:OWQ26 OWQ65561:OWQ65562 OWQ131097:OWQ131098 OWQ196633:OWQ196634 OWQ262169:OWQ262170 OWQ327705:OWQ327706 OWQ393241:OWQ393242 OWQ458777:OWQ458778 OWQ524313:OWQ524314 OWQ589849:OWQ589850 OWQ655385:OWQ655386 OWQ720921:OWQ720922 OWQ786457:OWQ786458 OWQ851993:OWQ851994 OWQ917529:OWQ917530 OWQ983065:OWQ983066 PGM25:PGM26 PGM65561:PGM65562 PGM131097:PGM131098 PGM196633:PGM196634 PGM262169:PGM262170 PGM327705:PGM327706 PGM393241:PGM393242 PGM458777:PGM458778 PGM524313:PGM524314 PGM589849:PGM589850 PGM655385:PGM655386 PGM720921:PGM720922 PGM786457:PGM786458 PGM851993:PGM851994 PGM917529:PGM917530 PGM983065:PGM983066 PQI25:PQI26 PQI65561:PQI65562 PQI131097:PQI131098 PQI196633:PQI196634 PQI262169:PQI262170 PQI327705:PQI327706 PQI393241:PQI393242 PQI458777:PQI458778 PQI524313:PQI524314 PQI589849:PQI589850 PQI655385:PQI655386 PQI720921:PQI720922 PQI786457:PQI786458 PQI851993:PQI851994 PQI917529:PQI917530 PQI983065:PQI983066 QAE25:QAE26 QAE65561:QAE65562 QAE131097:QAE131098 QAE196633:QAE196634 QAE262169:QAE262170 QAE327705:QAE327706 QAE393241:QAE393242 QAE458777:QAE458778 QAE524313:QAE524314 QAE589849:QAE589850 QAE655385:QAE655386 QAE720921:QAE720922 QAE786457:QAE786458 QAE851993:QAE851994 QAE917529:QAE917530 QAE983065:QAE983066 QKA25:QKA26 QKA65561:QKA65562 QKA131097:QKA131098 QKA196633:QKA196634 QKA262169:QKA262170 QKA327705:QKA327706 QKA393241:QKA393242 QKA458777:QKA458778 QKA524313:QKA524314 QKA589849:QKA589850 QKA655385:QKA655386 QKA720921:QKA720922 QKA786457:QKA786458 QKA851993:QKA851994 QKA917529:QKA917530 QKA983065:QKA983066 QTW25:QTW26 QTW65561:QTW65562 QTW131097:QTW131098 QTW196633:QTW196634 QTW262169:QTW262170 QTW327705:QTW327706 QTW393241:QTW393242 QTW458777:QTW458778 QTW524313:QTW524314 QTW589849:QTW589850 QTW655385:QTW655386 QTW720921:QTW720922 QTW786457:QTW786458 QTW851993:QTW851994 QTW917529:QTW917530 QTW983065:QTW983066 RDS25:RDS26 RDS65561:RDS65562 RDS131097:RDS131098 RDS196633:RDS196634 RDS262169:RDS262170 RDS327705:RDS327706 RDS393241:RDS393242 RDS458777:RDS458778 RDS524313:RDS524314 RDS589849:RDS589850 RDS655385:RDS655386 RDS720921:RDS720922 RDS786457:RDS786458 RDS851993:RDS851994 RDS917529:RDS917530 RDS983065:RDS983066 RNO25:RNO26 RNO65561:RNO65562 RNO131097:RNO131098 RNO196633:RNO196634 RNO262169:RNO262170 RNO327705:RNO327706 RNO393241:RNO393242 RNO458777:RNO458778 RNO524313:RNO524314 RNO589849:RNO589850 RNO655385:RNO655386 RNO720921:RNO720922 RNO786457:RNO786458 RNO851993:RNO851994 RNO917529:RNO917530 RNO983065:RNO983066 RXK25:RXK26 RXK65561:RXK65562 RXK131097:RXK131098 RXK196633:RXK196634 RXK262169:RXK262170 RXK327705:RXK327706 RXK393241:RXK393242 RXK458777:RXK458778 RXK524313:RXK524314 RXK589849:RXK589850 RXK655385:RXK655386 RXK720921:RXK720922 RXK786457:RXK786458 RXK851993:RXK851994 RXK917529:RXK917530 RXK983065:RXK983066 SHG25:SHG26 SHG65561:SHG65562 SHG131097:SHG131098 SHG196633:SHG196634 SHG262169:SHG262170 SHG327705:SHG327706 SHG393241:SHG393242 SHG458777:SHG458778 SHG524313:SHG524314 SHG589849:SHG589850 SHG655385:SHG655386 SHG720921:SHG720922 SHG786457:SHG786458 SHG851993:SHG851994 SHG917529:SHG917530 SHG983065:SHG983066 SRC25:SRC26 SRC65561:SRC65562 SRC131097:SRC131098 SRC196633:SRC196634 SRC262169:SRC262170 SRC327705:SRC327706 SRC393241:SRC393242 SRC458777:SRC458778 SRC524313:SRC524314 SRC589849:SRC589850 SRC655385:SRC655386 SRC720921:SRC720922 SRC786457:SRC786458 SRC851993:SRC851994 SRC917529:SRC917530 SRC983065:SRC983066 TAY25:TAY26 TAY65561:TAY65562 TAY131097:TAY131098 TAY196633:TAY196634 TAY262169:TAY262170 TAY327705:TAY327706 TAY393241:TAY393242 TAY458777:TAY458778 TAY524313:TAY524314 TAY589849:TAY589850 TAY655385:TAY655386 TAY720921:TAY720922 TAY786457:TAY786458 TAY851993:TAY851994 TAY917529:TAY917530 TAY983065:TAY983066 TKU25:TKU26 TKU65561:TKU65562 TKU131097:TKU131098 TKU196633:TKU196634 TKU262169:TKU262170 TKU327705:TKU327706 TKU393241:TKU393242 TKU458777:TKU458778 TKU524313:TKU524314 TKU589849:TKU589850 TKU655385:TKU655386 TKU720921:TKU720922 TKU786457:TKU786458 TKU851993:TKU851994 TKU917529:TKU917530 TKU983065:TKU983066 TUQ25:TUQ26 TUQ65561:TUQ65562 TUQ131097:TUQ131098 TUQ196633:TUQ196634 TUQ262169:TUQ262170 TUQ327705:TUQ327706 TUQ393241:TUQ393242 TUQ458777:TUQ458778 TUQ524313:TUQ524314 TUQ589849:TUQ589850 TUQ655385:TUQ655386 TUQ720921:TUQ720922 TUQ786457:TUQ786458 TUQ851993:TUQ851994 TUQ917529:TUQ917530 TUQ983065:TUQ983066 UEM25:UEM26 UEM65561:UEM65562 UEM131097:UEM131098 UEM196633:UEM196634 UEM262169:UEM262170 UEM327705:UEM327706 UEM393241:UEM393242 UEM458777:UEM458778 UEM524313:UEM524314 UEM589849:UEM589850 UEM655385:UEM655386 UEM720921:UEM720922 UEM786457:UEM786458 UEM851993:UEM851994 UEM917529:UEM917530 UEM983065:UEM983066 UOI25:UOI26 UOI65561:UOI65562 UOI131097:UOI131098 UOI196633:UOI196634 UOI262169:UOI262170 UOI327705:UOI327706 UOI393241:UOI393242 UOI458777:UOI458778 UOI524313:UOI524314 UOI589849:UOI589850 UOI655385:UOI655386 UOI720921:UOI720922 UOI786457:UOI786458 UOI851993:UOI851994 UOI917529:UOI917530 UOI983065:UOI983066 UYE25:UYE26 UYE65561:UYE65562 UYE131097:UYE131098 UYE196633:UYE196634 UYE262169:UYE262170 UYE327705:UYE327706 UYE393241:UYE393242 UYE458777:UYE458778 UYE524313:UYE524314 UYE589849:UYE589850 UYE655385:UYE655386 UYE720921:UYE720922 UYE786457:UYE786458 UYE851993:UYE851994 UYE917529:UYE917530 UYE983065:UYE983066 VIA25:VIA26 VIA65561:VIA65562 VIA131097:VIA131098 VIA196633:VIA196634 VIA262169:VIA262170 VIA327705:VIA327706 VIA393241:VIA393242 VIA458777:VIA458778 VIA524313:VIA524314 VIA589849:VIA589850 VIA655385:VIA655386 VIA720921:VIA720922 VIA786457:VIA786458 VIA851993:VIA851994 VIA917529:VIA917530 VIA983065:VIA983066 VRW25:VRW26 VRW65561:VRW65562 VRW131097:VRW131098 VRW196633:VRW196634 VRW262169:VRW262170 VRW327705:VRW327706 VRW393241:VRW393242 VRW458777:VRW458778 VRW524313:VRW524314 VRW589849:VRW589850 VRW655385:VRW655386 VRW720921:VRW720922 VRW786457:VRW786458 VRW851993:VRW851994 VRW917529:VRW917530 VRW983065:VRW983066 WBS25:WBS26 WBS65561:WBS65562 WBS131097:WBS131098 WBS196633:WBS196634 WBS262169:WBS262170 WBS327705:WBS327706 WBS393241:WBS393242 WBS458777:WBS458778 WBS524313:WBS524314 WBS589849:WBS589850 WBS655385:WBS655386 WBS720921:WBS720922 WBS786457:WBS786458 WBS851993:WBS851994 WBS917529:WBS917530 WBS983065:WBS983066 WLO25:WLO26 WLO65561:WLO65562 WLO131097:WLO131098 WLO196633:WLO196634 WLO262169:WLO262170 WLO327705:WLO327706 WLO393241:WLO393242 WLO458777:WLO458778 WLO524313:WLO524314 WLO589849:WLO589850 WLO655385:WLO655386 WLO720921:WLO720922 WLO786457:WLO786458 WLO851993:WLO851994 WLO917529:WLO917530 WLO983065:WLO983066 WVK25:WVK26 WVK65561:WVK65562 WVK131097:WVK131098 WVK196633:WVK196634 WVK262169:WVK262170 WVK327705:WVK327706 WVK393241:WVK393242 WVK458777:WVK458778 WVK524313:WVK524314 WVK589849:WVK589850 WVK655385:WVK655386 WVK720921:WVK720922 WVK786457:WVK786458 WVK851993:WVK851994 WVK917529:WVK917530 WVK983065:WVK983066">
      <formula1>-9999999999.99</formula1>
      <formula2>9999999999.99</formula2>
    </dataValidation>
    <dataValidation type="list" allowBlank="1" showInputMessage="1" showErrorMessage="1" sqref="C1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WVK983053">
      <formula1>"1,0,"</formula1>
    </dataValidation>
  </dataValidations>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pageSetUpPr fitToPage="1"/>
  </sheetPr>
  <dimension ref="A1:IV61"/>
  <sheetViews>
    <sheetView tabSelected="1" topLeftCell="A32" workbookViewId="0">
      <selection activeCell="J63" sqref="J63"/>
    </sheetView>
  </sheetViews>
  <sheetFormatPr defaultColWidth="9" defaultRowHeight="13.5"/>
  <cols>
    <col min="1" max="1" width="6.75" style="8" customWidth="1"/>
    <col min="2" max="2" width="5.83333333333333" style="9" customWidth="1"/>
    <col min="3" max="3" width="7.66666666666667" style="9" customWidth="1"/>
    <col min="4" max="5" width="8.16666666666667" style="10" customWidth="1"/>
    <col min="6" max="6" width="11" style="10" customWidth="1"/>
    <col min="7" max="7" width="9.5" style="10" customWidth="1"/>
    <col min="8" max="8" width="9.33333333333333" style="10" customWidth="1"/>
    <col min="9" max="9" width="8.66666666666667" style="11" customWidth="1"/>
    <col min="10" max="15" width="6.66666666666667" style="11" customWidth="1"/>
    <col min="16" max="16" width="6.66666666666667" style="10" customWidth="1"/>
    <col min="17" max="18" width="8.5" style="9" customWidth="1"/>
    <col min="19" max="19" width="6.66666666666667" style="10" customWidth="1"/>
    <col min="20" max="20" width="6.66666666666667" style="9" customWidth="1"/>
    <col min="21" max="253" width="9" style="9"/>
    <col min="254" max="16384" width="9" style="12"/>
  </cols>
  <sheetData>
    <row r="1" s="1" customFormat="1" ht="24" customHeight="1" spans="1:20">
      <c r="A1" s="13" t="s">
        <v>445</v>
      </c>
      <c r="B1" s="14"/>
      <c r="C1" s="14"/>
      <c r="D1" s="15"/>
      <c r="E1" s="15"/>
      <c r="F1" s="15"/>
      <c r="G1" s="15"/>
      <c r="H1" s="15"/>
      <c r="I1" s="44"/>
      <c r="J1" s="44"/>
      <c r="K1" s="44"/>
      <c r="L1" s="44"/>
      <c r="M1" s="44"/>
      <c r="N1" s="44"/>
      <c r="O1" s="44"/>
      <c r="P1" s="15"/>
      <c r="Q1" s="14"/>
      <c r="R1" s="14"/>
      <c r="S1" s="15"/>
      <c r="T1" s="14"/>
    </row>
    <row r="2" s="2" customFormat="1" ht="20.25" customHeight="1" spans="1:251">
      <c r="A2" s="16" t="s">
        <v>1</v>
      </c>
      <c r="B2" s="17"/>
      <c r="C2" s="5"/>
      <c r="D2" s="18"/>
      <c r="E2" s="18"/>
      <c r="F2" s="18"/>
      <c r="G2" s="18"/>
      <c r="H2" s="42"/>
      <c r="I2" s="45"/>
      <c r="J2" s="46" t="s">
        <v>93</v>
      </c>
      <c r="K2" s="46"/>
      <c r="L2" s="46"/>
      <c r="M2" s="54"/>
      <c r="N2" s="54"/>
      <c r="O2" s="54"/>
      <c r="P2" s="42"/>
      <c r="R2" s="5"/>
      <c r="S2" s="58" t="s">
        <v>446</v>
      </c>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row>
    <row r="3" s="3" customFormat="1" ht="20.25" customHeight="1" spans="1:20">
      <c r="A3" s="19" t="s">
        <v>4</v>
      </c>
      <c r="B3" s="20" t="s">
        <v>447</v>
      </c>
      <c r="C3" s="21" t="s">
        <v>6</v>
      </c>
      <c r="D3" s="22" t="s">
        <v>7</v>
      </c>
      <c r="E3" s="22" t="s">
        <v>8</v>
      </c>
      <c r="F3" s="22" t="s">
        <v>9</v>
      </c>
      <c r="G3" s="22" t="s">
        <v>10</v>
      </c>
      <c r="H3" s="22" t="s">
        <v>11</v>
      </c>
      <c r="I3" s="47" t="s">
        <v>12</v>
      </c>
      <c r="J3" s="47" t="s">
        <v>13</v>
      </c>
      <c r="K3" s="47" t="s">
        <v>96</v>
      </c>
      <c r="L3" s="47" t="s">
        <v>97</v>
      </c>
      <c r="M3" s="47" t="s">
        <v>98</v>
      </c>
      <c r="N3" s="47" t="s">
        <v>99</v>
      </c>
      <c r="O3" s="47" t="s">
        <v>100</v>
      </c>
      <c r="P3" s="22" t="s">
        <v>101</v>
      </c>
      <c r="Q3" s="21" t="s">
        <v>102</v>
      </c>
      <c r="R3" s="21" t="s">
        <v>103</v>
      </c>
      <c r="S3" s="59" t="s">
        <v>104</v>
      </c>
      <c r="T3" s="60" t="s">
        <v>105</v>
      </c>
    </row>
    <row r="4" s="4" customFormat="1" ht="24.75" customHeight="1" spans="1:20">
      <c r="A4" s="23"/>
      <c r="B4" s="20"/>
      <c r="C4" s="20" t="s">
        <v>448</v>
      </c>
      <c r="D4" s="24" t="s">
        <v>449</v>
      </c>
      <c r="E4" s="24" t="s">
        <v>450</v>
      </c>
      <c r="F4" s="24" t="s">
        <v>451</v>
      </c>
      <c r="G4" s="24"/>
      <c r="H4" s="24"/>
      <c r="I4" s="48" t="s">
        <v>232</v>
      </c>
      <c r="J4" s="48"/>
      <c r="K4" s="48"/>
      <c r="L4" s="48"/>
      <c r="M4" s="48"/>
      <c r="N4" s="48"/>
      <c r="O4" s="48"/>
      <c r="P4" s="24"/>
      <c r="Q4" s="20" t="s">
        <v>18</v>
      </c>
      <c r="R4" s="20"/>
      <c r="S4" s="24" t="s">
        <v>72</v>
      </c>
      <c r="T4" s="20" t="s">
        <v>17</v>
      </c>
    </row>
    <row r="5" s="4" customFormat="1" ht="48" spans="1:20">
      <c r="A5" s="23"/>
      <c r="B5" s="20"/>
      <c r="C5" s="20"/>
      <c r="D5" s="24"/>
      <c r="E5" s="24"/>
      <c r="F5" s="24" t="s">
        <v>452</v>
      </c>
      <c r="G5" s="24" t="s">
        <v>453</v>
      </c>
      <c r="H5" s="24" t="s">
        <v>359</v>
      </c>
      <c r="I5" s="48" t="s">
        <v>374</v>
      </c>
      <c r="J5" s="48" t="s">
        <v>375</v>
      </c>
      <c r="K5" s="48" t="s">
        <v>376</v>
      </c>
      <c r="L5" s="48" t="s">
        <v>454</v>
      </c>
      <c r="M5" s="48" t="s">
        <v>455</v>
      </c>
      <c r="N5" s="48" t="s">
        <v>456</v>
      </c>
      <c r="O5" s="48" t="s">
        <v>457</v>
      </c>
      <c r="P5" s="55" t="s">
        <v>358</v>
      </c>
      <c r="Q5" s="20" t="s">
        <v>458</v>
      </c>
      <c r="R5" s="20" t="s">
        <v>21</v>
      </c>
      <c r="S5" s="24"/>
      <c r="T5" s="20"/>
    </row>
    <row r="6" s="5" customFormat="1" ht="15" customHeight="1" spans="1:20">
      <c r="A6" s="25">
        <v>1</v>
      </c>
      <c r="B6" s="26" t="s">
        <v>111</v>
      </c>
      <c r="C6" s="27"/>
      <c r="D6" s="28"/>
      <c r="E6" s="28"/>
      <c r="F6" s="28"/>
      <c r="G6" s="28"/>
      <c r="H6" s="28"/>
      <c r="I6" s="49">
        <f>SUM(I7:I56)</f>
        <v>0</v>
      </c>
      <c r="J6" s="49">
        <f t="shared" ref="J6:O6" si="0">SUM(J7:J56)</f>
        <v>0</v>
      </c>
      <c r="K6" s="49">
        <f t="shared" si="0"/>
        <v>0</v>
      </c>
      <c r="L6" s="49">
        <f t="shared" si="0"/>
        <v>0</v>
      </c>
      <c r="M6" s="49">
        <f t="shared" si="0"/>
        <v>0</v>
      </c>
      <c r="N6" s="49">
        <f t="shared" si="0"/>
        <v>0</v>
      </c>
      <c r="O6" s="49">
        <f t="shared" si="0"/>
        <v>0</v>
      </c>
      <c r="P6" s="56" t="e">
        <f>J6/I6</f>
        <v>#DIV/0!</v>
      </c>
      <c r="Q6" s="61">
        <f>SUM(Q7:Q56)</f>
        <v>0</v>
      </c>
      <c r="R6" s="61">
        <f>SUM(R7:R56)</f>
        <v>0</v>
      </c>
      <c r="S6" s="56" t="e">
        <f>Q6/T6</f>
        <v>#DIV/0!</v>
      </c>
      <c r="T6" s="61">
        <f>SUM(T7:T56)</f>
        <v>0</v>
      </c>
    </row>
    <row r="7" spans="1:20">
      <c r="A7" s="29">
        <v>2</v>
      </c>
      <c r="B7" s="26" t="s">
        <v>459</v>
      </c>
      <c r="C7" s="30"/>
      <c r="D7" s="31"/>
      <c r="E7" s="31"/>
      <c r="F7" s="43"/>
      <c r="G7" s="43"/>
      <c r="H7" s="31"/>
      <c r="I7" s="50"/>
      <c r="J7" s="50"/>
      <c r="K7" s="50"/>
      <c r="L7" s="50"/>
      <c r="M7" s="50"/>
      <c r="N7" s="50"/>
      <c r="O7" s="50"/>
      <c r="P7" s="56" t="e">
        <f t="shared" ref="P7:P38" si="1">J7/I7</f>
        <v>#DIV/0!</v>
      </c>
      <c r="Q7" s="62"/>
      <c r="R7" s="62"/>
      <c r="S7" s="56" t="e">
        <f>Q7/T7</f>
        <v>#DIV/0!</v>
      </c>
      <c r="T7" s="63"/>
    </row>
    <row r="8" spans="1:20">
      <c r="A8" s="25">
        <v>3</v>
      </c>
      <c r="B8" s="26" t="s">
        <v>460</v>
      </c>
      <c r="C8" s="30"/>
      <c r="D8" s="31"/>
      <c r="E8" s="31"/>
      <c r="F8" s="43"/>
      <c r="G8" s="43"/>
      <c r="H8" s="31"/>
      <c r="I8" s="50"/>
      <c r="J8" s="50"/>
      <c r="K8" s="50"/>
      <c r="L8" s="50"/>
      <c r="M8" s="50"/>
      <c r="N8" s="50"/>
      <c r="O8" s="50"/>
      <c r="P8" s="56" t="e">
        <f t="shared" si="1"/>
        <v>#DIV/0!</v>
      </c>
      <c r="Q8" s="62"/>
      <c r="R8" s="62"/>
      <c r="S8" s="56" t="e">
        <f t="shared" ref="S8:S38" si="2">Q8/T8</f>
        <v>#DIV/0!</v>
      </c>
      <c r="T8" s="63"/>
    </row>
    <row r="9" spans="1:20">
      <c r="A9" s="29">
        <v>4</v>
      </c>
      <c r="B9" s="26" t="s">
        <v>461</v>
      </c>
      <c r="C9" s="30"/>
      <c r="D9" s="31"/>
      <c r="E9" s="31"/>
      <c r="F9" s="43"/>
      <c r="G9" s="43"/>
      <c r="H9" s="31"/>
      <c r="I9" s="50"/>
      <c r="J9" s="50"/>
      <c r="K9" s="50"/>
      <c r="L9" s="50"/>
      <c r="M9" s="50"/>
      <c r="N9" s="50"/>
      <c r="O9" s="50"/>
      <c r="P9" s="56" t="e">
        <f t="shared" si="1"/>
        <v>#DIV/0!</v>
      </c>
      <c r="Q9" s="62"/>
      <c r="R9" s="62"/>
      <c r="S9" s="56" t="e">
        <f t="shared" si="2"/>
        <v>#DIV/0!</v>
      </c>
      <c r="T9" s="63"/>
    </row>
    <row r="10" spans="1:20">
      <c r="A10" s="25">
        <v>5</v>
      </c>
      <c r="B10" s="26" t="s">
        <v>462</v>
      </c>
      <c r="C10" s="30"/>
      <c r="D10" s="31"/>
      <c r="E10" s="31"/>
      <c r="F10" s="43"/>
      <c r="G10" s="43"/>
      <c r="H10" s="31"/>
      <c r="I10" s="50"/>
      <c r="J10" s="50"/>
      <c r="K10" s="50"/>
      <c r="L10" s="50"/>
      <c r="M10" s="50"/>
      <c r="N10" s="50"/>
      <c r="O10" s="50"/>
      <c r="P10" s="56" t="e">
        <f t="shared" si="1"/>
        <v>#DIV/0!</v>
      </c>
      <c r="Q10" s="62"/>
      <c r="R10" s="62"/>
      <c r="S10" s="56" t="e">
        <f t="shared" si="2"/>
        <v>#DIV/0!</v>
      </c>
      <c r="T10" s="63"/>
    </row>
    <row r="11" spans="1:20">
      <c r="A11" s="29">
        <v>6</v>
      </c>
      <c r="B11" s="26" t="s">
        <v>463</v>
      </c>
      <c r="C11" s="30"/>
      <c r="D11" s="31"/>
      <c r="E11" s="31"/>
      <c r="F11" s="43"/>
      <c r="G11" s="43"/>
      <c r="H11" s="31"/>
      <c r="I11" s="50"/>
      <c r="J11" s="50"/>
      <c r="K11" s="50"/>
      <c r="L11" s="50"/>
      <c r="M11" s="50"/>
      <c r="N11" s="50"/>
      <c r="O11" s="50"/>
      <c r="P11" s="56" t="e">
        <f t="shared" si="1"/>
        <v>#DIV/0!</v>
      </c>
      <c r="Q11" s="62"/>
      <c r="R11" s="62"/>
      <c r="S11" s="56" t="e">
        <f t="shared" si="2"/>
        <v>#DIV/0!</v>
      </c>
      <c r="T11" s="63"/>
    </row>
    <row r="12" spans="1:20">
      <c r="A12" s="25">
        <v>7</v>
      </c>
      <c r="B12" s="26" t="s">
        <v>464</v>
      </c>
      <c r="C12" s="30"/>
      <c r="D12" s="31"/>
      <c r="E12" s="31"/>
      <c r="F12" s="43"/>
      <c r="G12" s="43"/>
      <c r="H12" s="31"/>
      <c r="I12" s="50"/>
      <c r="J12" s="50"/>
      <c r="K12" s="50"/>
      <c r="L12" s="50"/>
      <c r="M12" s="50"/>
      <c r="N12" s="50"/>
      <c r="O12" s="50"/>
      <c r="P12" s="56" t="e">
        <f t="shared" si="1"/>
        <v>#DIV/0!</v>
      </c>
      <c r="Q12" s="62"/>
      <c r="R12" s="62"/>
      <c r="S12" s="56" t="e">
        <f t="shared" si="2"/>
        <v>#DIV/0!</v>
      </c>
      <c r="T12" s="63"/>
    </row>
    <row r="13" spans="1:20">
      <c r="A13" s="29">
        <v>8</v>
      </c>
      <c r="B13" s="26" t="s">
        <v>465</v>
      </c>
      <c r="C13" s="30"/>
      <c r="D13" s="31"/>
      <c r="E13" s="31"/>
      <c r="F13" s="43"/>
      <c r="G13" s="43"/>
      <c r="H13" s="31"/>
      <c r="I13" s="50"/>
      <c r="J13" s="50"/>
      <c r="K13" s="50"/>
      <c r="L13" s="50"/>
      <c r="M13" s="50"/>
      <c r="N13" s="50"/>
      <c r="O13" s="50"/>
      <c r="P13" s="56" t="e">
        <f t="shared" si="1"/>
        <v>#DIV/0!</v>
      </c>
      <c r="Q13" s="62"/>
      <c r="R13" s="62"/>
      <c r="S13" s="56" t="e">
        <f t="shared" si="2"/>
        <v>#DIV/0!</v>
      </c>
      <c r="T13" s="63"/>
    </row>
    <row r="14" spans="1:20">
      <c r="A14" s="25">
        <v>9</v>
      </c>
      <c r="B14" s="26" t="s">
        <v>466</v>
      </c>
      <c r="C14" s="30"/>
      <c r="D14" s="31"/>
      <c r="E14" s="31"/>
      <c r="F14" s="43"/>
      <c r="G14" s="43"/>
      <c r="H14" s="31"/>
      <c r="I14" s="50"/>
      <c r="J14" s="50"/>
      <c r="K14" s="50"/>
      <c r="L14" s="50"/>
      <c r="M14" s="50"/>
      <c r="N14" s="50"/>
      <c r="O14" s="50"/>
      <c r="P14" s="56" t="e">
        <f t="shared" si="1"/>
        <v>#DIV/0!</v>
      </c>
      <c r="Q14" s="62"/>
      <c r="R14" s="62"/>
      <c r="S14" s="56" t="e">
        <f t="shared" si="2"/>
        <v>#DIV/0!</v>
      </c>
      <c r="T14" s="63"/>
    </row>
    <row r="15" spans="1:20">
      <c r="A15" s="29">
        <v>10</v>
      </c>
      <c r="B15" s="26" t="s">
        <v>467</v>
      </c>
      <c r="C15" s="30"/>
      <c r="D15" s="31"/>
      <c r="E15" s="31"/>
      <c r="F15" s="43"/>
      <c r="G15" s="43"/>
      <c r="H15" s="31"/>
      <c r="I15" s="50"/>
      <c r="J15" s="50"/>
      <c r="K15" s="50"/>
      <c r="L15" s="50"/>
      <c r="M15" s="50"/>
      <c r="N15" s="50"/>
      <c r="O15" s="50"/>
      <c r="P15" s="56" t="e">
        <f t="shared" si="1"/>
        <v>#DIV/0!</v>
      </c>
      <c r="Q15" s="62"/>
      <c r="R15" s="62"/>
      <c r="S15" s="56" t="e">
        <f t="shared" si="2"/>
        <v>#DIV/0!</v>
      </c>
      <c r="T15" s="63"/>
    </row>
    <row r="16" spans="1:20">
      <c r="A16" s="25">
        <v>11</v>
      </c>
      <c r="B16" s="26" t="s">
        <v>468</v>
      </c>
      <c r="C16" s="30"/>
      <c r="D16" s="31"/>
      <c r="E16" s="31"/>
      <c r="F16" s="43"/>
      <c r="G16" s="43"/>
      <c r="H16" s="31"/>
      <c r="I16" s="50"/>
      <c r="J16" s="50"/>
      <c r="K16" s="50"/>
      <c r="L16" s="50"/>
      <c r="M16" s="50"/>
      <c r="N16" s="50"/>
      <c r="O16" s="50"/>
      <c r="P16" s="56" t="e">
        <f t="shared" si="1"/>
        <v>#DIV/0!</v>
      </c>
      <c r="Q16" s="62"/>
      <c r="R16" s="62"/>
      <c r="S16" s="56" t="e">
        <f t="shared" si="2"/>
        <v>#DIV/0!</v>
      </c>
      <c r="T16" s="63"/>
    </row>
    <row r="17" spans="1:20">
      <c r="A17" s="29">
        <v>12</v>
      </c>
      <c r="B17" s="26" t="s">
        <v>469</v>
      </c>
      <c r="C17" s="30"/>
      <c r="D17" s="31"/>
      <c r="E17" s="31"/>
      <c r="F17" s="43"/>
      <c r="G17" s="43"/>
      <c r="H17" s="31"/>
      <c r="I17" s="50"/>
      <c r="J17" s="50"/>
      <c r="K17" s="50"/>
      <c r="L17" s="50"/>
      <c r="M17" s="50"/>
      <c r="N17" s="50"/>
      <c r="O17" s="50"/>
      <c r="P17" s="56" t="e">
        <f t="shared" si="1"/>
        <v>#DIV/0!</v>
      </c>
      <c r="Q17" s="62"/>
      <c r="R17" s="62"/>
      <c r="S17" s="56" t="e">
        <f t="shared" si="2"/>
        <v>#DIV/0!</v>
      </c>
      <c r="T17" s="63"/>
    </row>
    <row r="18" spans="1:20">
      <c r="A18" s="25">
        <v>13</v>
      </c>
      <c r="B18" s="26" t="s">
        <v>470</v>
      </c>
      <c r="C18" s="30"/>
      <c r="D18" s="31"/>
      <c r="E18" s="31"/>
      <c r="F18" s="43"/>
      <c r="G18" s="43"/>
      <c r="H18" s="31"/>
      <c r="I18" s="50"/>
      <c r="J18" s="50"/>
      <c r="K18" s="50"/>
      <c r="L18" s="50"/>
      <c r="M18" s="50"/>
      <c r="N18" s="50"/>
      <c r="O18" s="50"/>
      <c r="P18" s="56" t="e">
        <f t="shared" si="1"/>
        <v>#DIV/0!</v>
      </c>
      <c r="Q18" s="62"/>
      <c r="R18" s="62"/>
      <c r="S18" s="56" t="e">
        <f t="shared" si="2"/>
        <v>#DIV/0!</v>
      </c>
      <c r="T18" s="63"/>
    </row>
    <row r="19" spans="1:20">
      <c r="A19" s="29">
        <v>14</v>
      </c>
      <c r="B19" s="26" t="s">
        <v>471</v>
      </c>
      <c r="C19" s="30"/>
      <c r="D19" s="31"/>
      <c r="E19" s="31"/>
      <c r="F19" s="43"/>
      <c r="G19" s="43"/>
      <c r="H19" s="31"/>
      <c r="I19" s="50"/>
      <c r="J19" s="50"/>
      <c r="K19" s="50"/>
      <c r="L19" s="50"/>
      <c r="M19" s="50"/>
      <c r="N19" s="50"/>
      <c r="O19" s="50"/>
      <c r="P19" s="56" t="e">
        <f t="shared" si="1"/>
        <v>#DIV/0!</v>
      </c>
      <c r="Q19" s="62"/>
      <c r="R19" s="62"/>
      <c r="S19" s="56" t="e">
        <f t="shared" si="2"/>
        <v>#DIV/0!</v>
      </c>
      <c r="T19" s="63"/>
    </row>
    <row r="20" spans="1:20">
      <c r="A20" s="25">
        <v>15</v>
      </c>
      <c r="B20" s="26" t="s">
        <v>472</v>
      </c>
      <c r="C20" s="30"/>
      <c r="D20" s="31"/>
      <c r="E20" s="31"/>
      <c r="F20" s="43"/>
      <c r="G20" s="43"/>
      <c r="H20" s="31"/>
      <c r="I20" s="50"/>
      <c r="J20" s="50"/>
      <c r="K20" s="50"/>
      <c r="L20" s="50"/>
      <c r="M20" s="50"/>
      <c r="N20" s="50"/>
      <c r="O20" s="50"/>
      <c r="P20" s="56" t="e">
        <f t="shared" si="1"/>
        <v>#DIV/0!</v>
      </c>
      <c r="Q20" s="62"/>
      <c r="R20" s="62"/>
      <c r="S20" s="56" t="e">
        <f t="shared" si="2"/>
        <v>#DIV/0!</v>
      </c>
      <c r="T20" s="63"/>
    </row>
    <row r="21" spans="1:20">
      <c r="A21" s="29">
        <v>16</v>
      </c>
      <c r="B21" s="26" t="s">
        <v>473</v>
      </c>
      <c r="C21" s="30"/>
      <c r="D21" s="31"/>
      <c r="E21" s="31"/>
      <c r="F21" s="43"/>
      <c r="G21" s="43"/>
      <c r="H21" s="31"/>
      <c r="I21" s="50"/>
      <c r="J21" s="50"/>
      <c r="K21" s="50"/>
      <c r="L21" s="50"/>
      <c r="M21" s="50"/>
      <c r="N21" s="50"/>
      <c r="O21" s="50"/>
      <c r="P21" s="56" t="e">
        <f t="shared" si="1"/>
        <v>#DIV/0!</v>
      </c>
      <c r="Q21" s="62"/>
      <c r="R21" s="62"/>
      <c r="S21" s="56" t="e">
        <f t="shared" si="2"/>
        <v>#DIV/0!</v>
      </c>
      <c r="T21" s="63"/>
    </row>
    <row r="22" spans="1:20">
      <c r="A22" s="29">
        <v>17</v>
      </c>
      <c r="B22" s="26" t="s">
        <v>474</v>
      </c>
      <c r="C22" s="30"/>
      <c r="D22" s="31"/>
      <c r="E22" s="31"/>
      <c r="F22" s="43"/>
      <c r="G22" s="43"/>
      <c r="H22" s="31"/>
      <c r="I22" s="50"/>
      <c r="J22" s="50"/>
      <c r="K22" s="50"/>
      <c r="L22" s="50"/>
      <c r="M22" s="50"/>
      <c r="N22" s="50"/>
      <c r="O22" s="50"/>
      <c r="P22" s="56" t="e">
        <f t="shared" si="1"/>
        <v>#DIV/0!</v>
      </c>
      <c r="Q22" s="62"/>
      <c r="R22" s="62"/>
      <c r="S22" s="56" t="e">
        <f t="shared" si="2"/>
        <v>#DIV/0!</v>
      </c>
      <c r="T22" s="63"/>
    </row>
    <row r="23" spans="1:20">
      <c r="A23" s="25">
        <v>18</v>
      </c>
      <c r="B23" s="26" t="s">
        <v>475</v>
      </c>
      <c r="C23" s="30"/>
      <c r="D23" s="31"/>
      <c r="E23" s="31"/>
      <c r="F23" s="43"/>
      <c r="G23" s="43"/>
      <c r="H23" s="31"/>
      <c r="I23" s="50"/>
      <c r="J23" s="50"/>
      <c r="K23" s="50"/>
      <c r="L23" s="50"/>
      <c r="M23" s="50"/>
      <c r="N23" s="50"/>
      <c r="O23" s="50"/>
      <c r="P23" s="56" t="e">
        <f t="shared" si="1"/>
        <v>#DIV/0!</v>
      </c>
      <c r="Q23" s="62"/>
      <c r="R23" s="62"/>
      <c r="S23" s="56" t="e">
        <f t="shared" si="2"/>
        <v>#DIV/0!</v>
      </c>
      <c r="T23" s="63"/>
    </row>
    <row r="24" spans="1:20">
      <c r="A24" s="29">
        <v>19</v>
      </c>
      <c r="B24" s="26" t="s">
        <v>476</v>
      </c>
      <c r="C24" s="30"/>
      <c r="D24" s="31"/>
      <c r="E24" s="31"/>
      <c r="F24" s="43"/>
      <c r="G24" s="43"/>
      <c r="H24" s="31"/>
      <c r="I24" s="50"/>
      <c r="J24" s="50"/>
      <c r="K24" s="50"/>
      <c r="L24" s="50"/>
      <c r="M24" s="50"/>
      <c r="N24" s="50"/>
      <c r="O24" s="50"/>
      <c r="P24" s="56" t="e">
        <f t="shared" si="1"/>
        <v>#DIV/0!</v>
      </c>
      <c r="Q24" s="62"/>
      <c r="R24" s="62"/>
      <c r="S24" s="56" t="e">
        <f t="shared" si="2"/>
        <v>#DIV/0!</v>
      </c>
      <c r="T24" s="63"/>
    </row>
    <row r="25" spans="1:20">
      <c r="A25" s="29">
        <v>20</v>
      </c>
      <c r="B25" s="26" t="s">
        <v>477</v>
      </c>
      <c r="C25" s="30"/>
      <c r="D25" s="31"/>
      <c r="E25" s="31"/>
      <c r="F25" s="43"/>
      <c r="G25" s="43"/>
      <c r="H25" s="31"/>
      <c r="I25" s="50"/>
      <c r="J25" s="50"/>
      <c r="K25" s="50"/>
      <c r="L25" s="50"/>
      <c r="M25" s="50"/>
      <c r="N25" s="50"/>
      <c r="O25" s="50"/>
      <c r="P25" s="56" t="e">
        <f t="shared" si="1"/>
        <v>#DIV/0!</v>
      </c>
      <c r="Q25" s="62"/>
      <c r="R25" s="62"/>
      <c r="S25" s="56" t="e">
        <f t="shared" si="2"/>
        <v>#DIV/0!</v>
      </c>
      <c r="T25" s="63"/>
    </row>
    <row r="26" spans="1:20">
      <c r="A26" s="25">
        <v>21</v>
      </c>
      <c r="B26" s="26" t="s">
        <v>478</v>
      </c>
      <c r="C26" s="30"/>
      <c r="D26" s="31"/>
      <c r="E26" s="31"/>
      <c r="F26" s="43"/>
      <c r="G26" s="43"/>
      <c r="H26" s="31"/>
      <c r="I26" s="50"/>
      <c r="J26" s="50"/>
      <c r="K26" s="50"/>
      <c r="L26" s="50"/>
      <c r="M26" s="50"/>
      <c r="N26" s="50"/>
      <c r="O26" s="50"/>
      <c r="P26" s="56" t="e">
        <f t="shared" si="1"/>
        <v>#DIV/0!</v>
      </c>
      <c r="Q26" s="62"/>
      <c r="R26" s="62"/>
      <c r="S26" s="56" t="e">
        <f t="shared" si="2"/>
        <v>#DIV/0!</v>
      </c>
      <c r="T26" s="63"/>
    </row>
    <row r="27" spans="1:20">
      <c r="A27" s="29">
        <v>22</v>
      </c>
      <c r="B27" s="26" t="s">
        <v>479</v>
      </c>
      <c r="C27" s="30"/>
      <c r="D27" s="31"/>
      <c r="E27" s="31"/>
      <c r="F27" s="43"/>
      <c r="G27" s="43"/>
      <c r="H27" s="31"/>
      <c r="I27" s="50"/>
      <c r="J27" s="50"/>
      <c r="K27" s="50"/>
      <c r="L27" s="50"/>
      <c r="M27" s="50"/>
      <c r="N27" s="50"/>
      <c r="O27" s="50"/>
      <c r="P27" s="56" t="e">
        <f t="shared" si="1"/>
        <v>#DIV/0!</v>
      </c>
      <c r="Q27" s="62"/>
      <c r="R27" s="62"/>
      <c r="S27" s="56" t="e">
        <f t="shared" si="2"/>
        <v>#DIV/0!</v>
      </c>
      <c r="T27" s="63"/>
    </row>
    <row r="28" spans="1:20">
      <c r="A28" s="29">
        <v>23</v>
      </c>
      <c r="B28" s="26" t="s">
        <v>480</v>
      </c>
      <c r="C28" s="30"/>
      <c r="D28" s="31"/>
      <c r="E28" s="31"/>
      <c r="F28" s="43"/>
      <c r="G28" s="43"/>
      <c r="H28" s="31"/>
      <c r="I28" s="50"/>
      <c r="J28" s="50"/>
      <c r="K28" s="50"/>
      <c r="L28" s="50"/>
      <c r="M28" s="50"/>
      <c r="N28" s="50"/>
      <c r="O28" s="50"/>
      <c r="P28" s="56" t="e">
        <f t="shared" si="1"/>
        <v>#DIV/0!</v>
      </c>
      <c r="Q28" s="62"/>
      <c r="R28" s="62"/>
      <c r="S28" s="56" t="e">
        <f t="shared" si="2"/>
        <v>#DIV/0!</v>
      </c>
      <c r="T28" s="63"/>
    </row>
    <row r="29" spans="1:20">
      <c r="A29" s="25">
        <v>24</v>
      </c>
      <c r="B29" s="26" t="s">
        <v>481</v>
      </c>
      <c r="C29" s="30"/>
      <c r="D29" s="31"/>
      <c r="E29" s="31"/>
      <c r="F29" s="43"/>
      <c r="G29" s="43"/>
      <c r="H29" s="31"/>
      <c r="I29" s="50"/>
      <c r="J29" s="50"/>
      <c r="K29" s="50"/>
      <c r="L29" s="50"/>
      <c r="M29" s="50"/>
      <c r="N29" s="50"/>
      <c r="O29" s="50"/>
      <c r="P29" s="56" t="e">
        <f t="shared" si="1"/>
        <v>#DIV/0!</v>
      </c>
      <c r="Q29" s="62"/>
      <c r="R29" s="62"/>
      <c r="S29" s="56" t="e">
        <f t="shared" si="2"/>
        <v>#DIV/0!</v>
      </c>
      <c r="T29" s="63"/>
    </row>
    <row r="30" spans="1:20">
      <c r="A30" s="29">
        <v>25</v>
      </c>
      <c r="B30" s="26" t="s">
        <v>482</v>
      </c>
      <c r="C30" s="30"/>
      <c r="D30" s="31"/>
      <c r="E30" s="31"/>
      <c r="F30" s="43"/>
      <c r="G30" s="43"/>
      <c r="H30" s="31"/>
      <c r="I30" s="50"/>
      <c r="J30" s="50"/>
      <c r="K30" s="50"/>
      <c r="L30" s="50"/>
      <c r="M30" s="50"/>
      <c r="N30" s="50"/>
      <c r="O30" s="50"/>
      <c r="P30" s="56" t="e">
        <f t="shared" si="1"/>
        <v>#DIV/0!</v>
      </c>
      <c r="Q30" s="62"/>
      <c r="R30" s="62"/>
      <c r="S30" s="56" t="e">
        <f t="shared" si="2"/>
        <v>#DIV/0!</v>
      </c>
      <c r="T30" s="63"/>
    </row>
    <row r="31" spans="1:20">
      <c r="A31" s="29">
        <v>26</v>
      </c>
      <c r="B31" s="26" t="s">
        <v>483</v>
      </c>
      <c r="C31" s="30"/>
      <c r="D31" s="31"/>
      <c r="E31" s="31"/>
      <c r="F31" s="43"/>
      <c r="G31" s="43"/>
      <c r="H31" s="31"/>
      <c r="I31" s="50"/>
      <c r="J31" s="50"/>
      <c r="K31" s="50"/>
      <c r="L31" s="50"/>
      <c r="M31" s="50"/>
      <c r="N31" s="50"/>
      <c r="O31" s="50"/>
      <c r="P31" s="56" t="e">
        <f t="shared" si="1"/>
        <v>#DIV/0!</v>
      </c>
      <c r="Q31" s="62"/>
      <c r="R31" s="62"/>
      <c r="S31" s="56" t="e">
        <f t="shared" si="2"/>
        <v>#DIV/0!</v>
      </c>
      <c r="T31" s="63"/>
    </row>
    <row r="32" spans="1:20">
      <c r="A32" s="25">
        <v>27</v>
      </c>
      <c r="B32" s="26" t="s">
        <v>484</v>
      </c>
      <c r="C32" s="30"/>
      <c r="D32" s="31"/>
      <c r="E32" s="31"/>
      <c r="F32" s="43"/>
      <c r="G32" s="43"/>
      <c r="H32" s="31"/>
      <c r="I32" s="50"/>
      <c r="J32" s="50"/>
      <c r="K32" s="50"/>
      <c r="L32" s="50"/>
      <c r="M32" s="50"/>
      <c r="N32" s="50"/>
      <c r="O32" s="50"/>
      <c r="P32" s="56" t="e">
        <f t="shared" si="1"/>
        <v>#DIV/0!</v>
      </c>
      <c r="Q32" s="62"/>
      <c r="R32" s="62"/>
      <c r="S32" s="56" t="e">
        <f t="shared" si="2"/>
        <v>#DIV/0!</v>
      </c>
      <c r="T32" s="63"/>
    </row>
    <row r="33" spans="1:20">
      <c r="A33" s="29">
        <v>28</v>
      </c>
      <c r="B33" s="26" t="s">
        <v>485</v>
      </c>
      <c r="C33" s="30"/>
      <c r="D33" s="31"/>
      <c r="E33" s="31"/>
      <c r="F33" s="43"/>
      <c r="G33" s="43"/>
      <c r="H33" s="31"/>
      <c r="I33" s="50"/>
      <c r="J33" s="50"/>
      <c r="K33" s="50"/>
      <c r="L33" s="50"/>
      <c r="M33" s="50"/>
      <c r="N33" s="50"/>
      <c r="O33" s="50"/>
      <c r="P33" s="56" t="e">
        <f t="shared" si="1"/>
        <v>#DIV/0!</v>
      </c>
      <c r="Q33" s="62"/>
      <c r="R33" s="62"/>
      <c r="S33" s="56" t="e">
        <f t="shared" si="2"/>
        <v>#DIV/0!</v>
      </c>
      <c r="T33" s="63"/>
    </row>
    <row r="34" spans="1:20">
      <c r="A34" s="29">
        <v>29</v>
      </c>
      <c r="B34" s="26" t="s">
        <v>486</v>
      </c>
      <c r="C34" s="30"/>
      <c r="D34" s="31"/>
      <c r="E34" s="31"/>
      <c r="F34" s="43"/>
      <c r="G34" s="43"/>
      <c r="H34" s="31"/>
      <c r="I34" s="50"/>
      <c r="J34" s="50"/>
      <c r="K34" s="50"/>
      <c r="L34" s="50"/>
      <c r="M34" s="50"/>
      <c r="N34" s="50"/>
      <c r="O34" s="50"/>
      <c r="P34" s="56" t="e">
        <f t="shared" si="1"/>
        <v>#DIV/0!</v>
      </c>
      <c r="Q34" s="62"/>
      <c r="R34" s="62"/>
      <c r="S34" s="56" t="e">
        <f t="shared" si="2"/>
        <v>#DIV/0!</v>
      </c>
      <c r="T34" s="63"/>
    </row>
    <row r="35" spans="1:20">
      <c r="A35" s="25">
        <v>30</v>
      </c>
      <c r="B35" s="26" t="s">
        <v>487</v>
      </c>
      <c r="C35" s="30"/>
      <c r="D35" s="31"/>
      <c r="E35" s="31"/>
      <c r="F35" s="43"/>
      <c r="G35" s="43"/>
      <c r="H35" s="31"/>
      <c r="I35" s="50"/>
      <c r="J35" s="50"/>
      <c r="K35" s="50"/>
      <c r="L35" s="50"/>
      <c r="M35" s="50"/>
      <c r="N35" s="50"/>
      <c r="O35" s="50"/>
      <c r="P35" s="56" t="e">
        <f t="shared" si="1"/>
        <v>#DIV/0!</v>
      </c>
      <c r="Q35" s="62"/>
      <c r="R35" s="62"/>
      <c r="S35" s="56" t="e">
        <f t="shared" si="2"/>
        <v>#DIV/0!</v>
      </c>
      <c r="T35" s="63"/>
    </row>
    <row r="36" spans="1:20">
      <c r="A36" s="29">
        <v>31</v>
      </c>
      <c r="B36" s="26" t="s">
        <v>488</v>
      </c>
      <c r="C36" s="30"/>
      <c r="D36" s="31"/>
      <c r="E36" s="31"/>
      <c r="F36" s="43"/>
      <c r="G36" s="43"/>
      <c r="H36" s="31"/>
      <c r="I36" s="50"/>
      <c r="J36" s="50"/>
      <c r="K36" s="50"/>
      <c r="L36" s="50"/>
      <c r="M36" s="50"/>
      <c r="N36" s="50"/>
      <c r="O36" s="50"/>
      <c r="P36" s="56" t="e">
        <f t="shared" si="1"/>
        <v>#DIV/0!</v>
      </c>
      <c r="Q36" s="62"/>
      <c r="R36" s="62"/>
      <c r="S36" s="56" t="e">
        <f t="shared" si="2"/>
        <v>#DIV/0!</v>
      </c>
      <c r="T36" s="63"/>
    </row>
    <row r="37" spans="1:20">
      <c r="A37" s="29">
        <v>32</v>
      </c>
      <c r="B37" s="26" t="s">
        <v>489</v>
      </c>
      <c r="C37" s="30"/>
      <c r="D37" s="31"/>
      <c r="E37" s="31"/>
      <c r="F37" s="43"/>
      <c r="G37" s="43"/>
      <c r="H37" s="31"/>
      <c r="I37" s="50"/>
      <c r="J37" s="50"/>
      <c r="K37" s="50"/>
      <c r="L37" s="50"/>
      <c r="M37" s="50"/>
      <c r="N37" s="50"/>
      <c r="O37" s="50"/>
      <c r="P37" s="56" t="e">
        <f t="shared" si="1"/>
        <v>#DIV/0!</v>
      </c>
      <c r="Q37" s="62"/>
      <c r="R37" s="62"/>
      <c r="S37" s="56" t="e">
        <f t="shared" si="2"/>
        <v>#DIV/0!</v>
      </c>
      <c r="T37" s="63"/>
    </row>
    <row r="38" spans="1:20">
      <c r="A38" s="25">
        <v>33</v>
      </c>
      <c r="B38" s="26" t="s">
        <v>490</v>
      </c>
      <c r="C38" s="30"/>
      <c r="D38" s="31"/>
      <c r="E38" s="31"/>
      <c r="F38" s="43"/>
      <c r="G38" s="43"/>
      <c r="H38" s="31"/>
      <c r="I38" s="50"/>
      <c r="J38" s="50"/>
      <c r="K38" s="50"/>
      <c r="L38" s="50"/>
      <c r="M38" s="50"/>
      <c r="N38" s="50"/>
      <c r="O38" s="50"/>
      <c r="P38" s="56" t="e">
        <f t="shared" si="1"/>
        <v>#DIV/0!</v>
      </c>
      <c r="Q38" s="62"/>
      <c r="R38" s="62"/>
      <c r="S38" s="56" t="e">
        <f t="shared" si="2"/>
        <v>#DIV/0!</v>
      </c>
      <c r="T38" s="63"/>
    </row>
    <row r="39" spans="1:20">
      <c r="A39" s="29">
        <v>34</v>
      </c>
      <c r="B39" s="26" t="s">
        <v>491</v>
      </c>
      <c r="C39" s="30"/>
      <c r="D39" s="31"/>
      <c r="E39" s="31"/>
      <c r="F39" s="43"/>
      <c r="G39" s="43"/>
      <c r="H39" s="31"/>
      <c r="I39" s="50"/>
      <c r="J39" s="50"/>
      <c r="K39" s="50"/>
      <c r="L39" s="50"/>
      <c r="M39" s="50"/>
      <c r="N39" s="50"/>
      <c r="O39" s="50"/>
      <c r="P39" s="56" t="e">
        <f t="shared" ref="P39:P56" si="3">J39/I39</f>
        <v>#DIV/0!</v>
      </c>
      <c r="Q39" s="62"/>
      <c r="R39" s="62"/>
      <c r="S39" s="56" t="e">
        <f t="shared" ref="S39:S56" si="4">Q39/T39</f>
        <v>#DIV/0!</v>
      </c>
      <c r="T39" s="63"/>
    </row>
    <row r="40" spans="1:20">
      <c r="A40" s="29">
        <v>35</v>
      </c>
      <c r="B40" s="26" t="s">
        <v>492</v>
      </c>
      <c r="C40" s="30"/>
      <c r="D40" s="31"/>
      <c r="E40" s="31"/>
      <c r="F40" s="43"/>
      <c r="G40" s="43"/>
      <c r="H40" s="31"/>
      <c r="I40" s="50"/>
      <c r="J40" s="50"/>
      <c r="K40" s="50"/>
      <c r="L40" s="50"/>
      <c r="M40" s="50"/>
      <c r="N40" s="50"/>
      <c r="O40" s="50"/>
      <c r="P40" s="56" t="e">
        <f t="shared" si="3"/>
        <v>#DIV/0!</v>
      </c>
      <c r="Q40" s="62"/>
      <c r="R40" s="62"/>
      <c r="S40" s="56" t="e">
        <f t="shared" si="4"/>
        <v>#DIV/0!</v>
      </c>
      <c r="T40" s="63"/>
    </row>
    <row r="41" spans="1:20">
      <c r="A41" s="25">
        <v>36</v>
      </c>
      <c r="B41" s="26" t="s">
        <v>493</v>
      </c>
      <c r="C41" s="30"/>
      <c r="D41" s="31"/>
      <c r="E41" s="31"/>
      <c r="F41" s="43"/>
      <c r="G41" s="43"/>
      <c r="H41" s="31"/>
      <c r="I41" s="50"/>
      <c r="J41" s="50"/>
      <c r="K41" s="50"/>
      <c r="L41" s="50"/>
      <c r="M41" s="50"/>
      <c r="N41" s="50"/>
      <c r="O41" s="50"/>
      <c r="P41" s="56" t="e">
        <f t="shared" si="3"/>
        <v>#DIV/0!</v>
      </c>
      <c r="Q41" s="62"/>
      <c r="R41" s="62"/>
      <c r="S41" s="56" t="e">
        <f t="shared" si="4"/>
        <v>#DIV/0!</v>
      </c>
      <c r="T41" s="63"/>
    </row>
    <row r="42" spans="1:20">
      <c r="A42" s="29">
        <v>37</v>
      </c>
      <c r="B42" s="26" t="s">
        <v>494</v>
      </c>
      <c r="C42" s="30"/>
      <c r="D42" s="31"/>
      <c r="E42" s="31"/>
      <c r="F42" s="43"/>
      <c r="G42" s="43"/>
      <c r="H42" s="31"/>
      <c r="I42" s="50"/>
      <c r="J42" s="50"/>
      <c r="K42" s="50"/>
      <c r="L42" s="50"/>
      <c r="M42" s="50"/>
      <c r="N42" s="50"/>
      <c r="O42" s="50"/>
      <c r="P42" s="56" t="e">
        <f t="shared" si="3"/>
        <v>#DIV/0!</v>
      </c>
      <c r="Q42" s="62"/>
      <c r="R42" s="62"/>
      <c r="S42" s="56" t="e">
        <f t="shared" si="4"/>
        <v>#DIV/0!</v>
      </c>
      <c r="T42" s="63"/>
    </row>
    <row r="43" spans="1:20">
      <c r="A43" s="29">
        <v>38</v>
      </c>
      <c r="B43" s="26" t="s">
        <v>495</v>
      </c>
      <c r="C43" s="30"/>
      <c r="D43" s="31"/>
      <c r="E43" s="31"/>
      <c r="F43" s="43"/>
      <c r="G43" s="43"/>
      <c r="H43" s="31"/>
      <c r="I43" s="50"/>
      <c r="J43" s="50"/>
      <c r="K43" s="50"/>
      <c r="L43" s="50"/>
      <c r="M43" s="50"/>
      <c r="N43" s="50"/>
      <c r="O43" s="50"/>
      <c r="P43" s="56" t="e">
        <f t="shared" si="3"/>
        <v>#DIV/0!</v>
      </c>
      <c r="Q43" s="62"/>
      <c r="R43" s="62"/>
      <c r="S43" s="56" t="e">
        <f t="shared" si="4"/>
        <v>#DIV/0!</v>
      </c>
      <c r="T43" s="63"/>
    </row>
    <row r="44" spans="1:20">
      <c r="A44" s="25">
        <v>39</v>
      </c>
      <c r="B44" s="26" t="s">
        <v>496</v>
      </c>
      <c r="C44" s="30"/>
      <c r="D44" s="31"/>
      <c r="E44" s="31"/>
      <c r="F44" s="43"/>
      <c r="G44" s="43"/>
      <c r="H44" s="31"/>
      <c r="I44" s="50"/>
      <c r="J44" s="50"/>
      <c r="K44" s="50"/>
      <c r="L44" s="50"/>
      <c r="M44" s="50"/>
      <c r="N44" s="50"/>
      <c r="O44" s="50"/>
      <c r="P44" s="56" t="e">
        <f t="shared" si="3"/>
        <v>#DIV/0!</v>
      </c>
      <c r="Q44" s="62"/>
      <c r="R44" s="62"/>
      <c r="S44" s="56" t="e">
        <f t="shared" si="4"/>
        <v>#DIV/0!</v>
      </c>
      <c r="T44" s="63"/>
    </row>
    <row r="45" spans="1:20">
      <c r="A45" s="29">
        <v>40</v>
      </c>
      <c r="B45" s="26" t="s">
        <v>497</v>
      </c>
      <c r="C45" s="30"/>
      <c r="D45" s="31"/>
      <c r="E45" s="31"/>
      <c r="F45" s="43"/>
      <c r="G45" s="43"/>
      <c r="H45" s="31"/>
      <c r="I45" s="50"/>
      <c r="J45" s="50"/>
      <c r="K45" s="50"/>
      <c r="L45" s="50"/>
      <c r="M45" s="50"/>
      <c r="N45" s="50"/>
      <c r="O45" s="50"/>
      <c r="P45" s="56" t="e">
        <f t="shared" si="3"/>
        <v>#DIV/0!</v>
      </c>
      <c r="Q45" s="62"/>
      <c r="R45" s="62"/>
      <c r="S45" s="56" t="e">
        <f t="shared" si="4"/>
        <v>#DIV/0!</v>
      </c>
      <c r="T45" s="63"/>
    </row>
    <row r="46" spans="1:20">
      <c r="A46" s="29">
        <v>41</v>
      </c>
      <c r="B46" s="26" t="s">
        <v>498</v>
      </c>
      <c r="C46" s="30"/>
      <c r="D46" s="31"/>
      <c r="E46" s="31"/>
      <c r="F46" s="43"/>
      <c r="G46" s="43"/>
      <c r="H46" s="31"/>
      <c r="I46" s="50"/>
      <c r="J46" s="50"/>
      <c r="K46" s="50"/>
      <c r="L46" s="50"/>
      <c r="M46" s="50"/>
      <c r="N46" s="50"/>
      <c r="O46" s="50"/>
      <c r="P46" s="56" t="e">
        <f t="shared" si="3"/>
        <v>#DIV/0!</v>
      </c>
      <c r="Q46" s="62"/>
      <c r="R46" s="62"/>
      <c r="S46" s="56" t="e">
        <f t="shared" si="4"/>
        <v>#DIV/0!</v>
      </c>
      <c r="T46" s="63"/>
    </row>
    <row r="47" spans="1:20">
      <c r="A47" s="25">
        <v>42</v>
      </c>
      <c r="B47" s="26" t="s">
        <v>499</v>
      </c>
      <c r="C47" s="30"/>
      <c r="D47" s="31"/>
      <c r="E47" s="31"/>
      <c r="F47" s="43"/>
      <c r="G47" s="43"/>
      <c r="H47" s="31"/>
      <c r="I47" s="50"/>
      <c r="J47" s="50"/>
      <c r="K47" s="50"/>
      <c r="L47" s="50"/>
      <c r="M47" s="50"/>
      <c r="N47" s="50"/>
      <c r="O47" s="50"/>
      <c r="P47" s="56" t="e">
        <f t="shared" si="3"/>
        <v>#DIV/0!</v>
      </c>
      <c r="Q47" s="62"/>
      <c r="R47" s="62"/>
      <c r="S47" s="56" t="e">
        <f t="shared" si="4"/>
        <v>#DIV/0!</v>
      </c>
      <c r="T47" s="63"/>
    </row>
    <row r="48" spans="1:20">
      <c r="A48" s="29">
        <v>43</v>
      </c>
      <c r="B48" s="26" t="s">
        <v>500</v>
      </c>
      <c r="C48" s="30"/>
      <c r="D48" s="31"/>
      <c r="E48" s="31"/>
      <c r="F48" s="43"/>
      <c r="G48" s="43"/>
      <c r="H48" s="31"/>
      <c r="I48" s="50"/>
      <c r="J48" s="50"/>
      <c r="K48" s="50"/>
      <c r="L48" s="50"/>
      <c r="M48" s="50"/>
      <c r="N48" s="50"/>
      <c r="O48" s="50"/>
      <c r="P48" s="56" t="e">
        <f t="shared" si="3"/>
        <v>#DIV/0!</v>
      </c>
      <c r="Q48" s="62"/>
      <c r="R48" s="62"/>
      <c r="S48" s="56" t="e">
        <f t="shared" si="4"/>
        <v>#DIV/0!</v>
      </c>
      <c r="T48" s="63"/>
    </row>
    <row r="49" spans="1:20">
      <c r="A49" s="29">
        <v>44</v>
      </c>
      <c r="B49" s="26" t="s">
        <v>501</v>
      </c>
      <c r="C49" s="30"/>
      <c r="D49" s="31"/>
      <c r="E49" s="31"/>
      <c r="F49" s="43"/>
      <c r="G49" s="43"/>
      <c r="H49" s="31"/>
      <c r="I49" s="50"/>
      <c r="J49" s="50"/>
      <c r="K49" s="50"/>
      <c r="L49" s="50"/>
      <c r="M49" s="50"/>
      <c r="N49" s="50"/>
      <c r="O49" s="50"/>
      <c r="P49" s="56" t="e">
        <f t="shared" si="3"/>
        <v>#DIV/0!</v>
      </c>
      <c r="Q49" s="62"/>
      <c r="R49" s="62"/>
      <c r="S49" s="56" t="e">
        <f t="shared" si="4"/>
        <v>#DIV/0!</v>
      </c>
      <c r="T49" s="63"/>
    </row>
    <row r="50" spans="1:20">
      <c r="A50" s="25">
        <v>45</v>
      </c>
      <c r="B50" s="26" t="s">
        <v>502</v>
      </c>
      <c r="C50" s="30"/>
      <c r="D50" s="31"/>
      <c r="E50" s="31"/>
      <c r="F50" s="43"/>
      <c r="G50" s="43"/>
      <c r="H50" s="31"/>
      <c r="I50" s="50"/>
      <c r="J50" s="50"/>
      <c r="K50" s="50"/>
      <c r="L50" s="50"/>
      <c r="M50" s="50"/>
      <c r="N50" s="50"/>
      <c r="O50" s="50"/>
      <c r="P50" s="56" t="e">
        <f t="shared" si="3"/>
        <v>#DIV/0!</v>
      </c>
      <c r="Q50" s="62"/>
      <c r="R50" s="62"/>
      <c r="S50" s="56" t="e">
        <f t="shared" si="4"/>
        <v>#DIV/0!</v>
      </c>
      <c r="T50" s="63"/>
    </row>
    <row r="51" spans="1:20">
      <c r="A51" s="29">
        <v>46</v>
      </c>
      <c r="B51" s="26" t="s">
        <v>503</v>
      </c>
      <c r="C51" s="30"/>
      <c r="D51" s="31"/>
      <c r="E51" s="31"/>
      <c r="F51" s="43"/>
      <c r="G51" s="43"/>
      <c r="H51" s="31"/>
      <c r="I51" s="50"/>
      <c r="J51" s="50"/>
      <c r="K51" s="50"/>
      <c r="L51" s="50"/>
      <c r="M51" s="50"/>
      <c r="N51" s="50"/>
      <c r="O51" s="50"/>
      <c r="P51" s="56" t="e">
        <f t="shared" si="3"/>
        <v>#DIV/0!</v>
      </c>
      <c r="Q51" s="62"/>
      <c r="R51" s="62"/>
      <c r="S51" s="56" t="e">
        <f t="shared" si="4"/>
        <v>#DIV/0!</v>
      </c>
      <c r="T51" s="63"/>
    </row>
    <row r="52" spans="1:20">
      <c r="A52" s="29">
        <v>47</v>
      </c>
      <c r="B52" s="26" t="s">
        <v>504</v>
      </c>
      <c r="C52" s="30"/>
      <c r="D52" s="31"/>
      <c r="E52" s="31"/>
      <c r="F52" s="43"/>
      <c r="G52" s="43"/>
      <c r="H52" s="31"/>
      <c r="I52" s="50"/>
      <c r="J52" s="50"/>
      <c r="K52" s="50"/>
      <c r="L52" s="50"/>
      <c r="M52" s="50"/>
      <c r="N52" s="50"/>
      <c r="O52" s="50"/>
      <c r="P52" s="56" t="e">
        <f t="shared" si="3"/>
        <v>#DIV/0!</v>
      </c>
      <c r="Q52" s="62"/>
      <c r="R52" s="62"/>
      <c r="S52" s="56" t="e">
        <f t="shared" si="4"/>
        <v>#DIV/0!</v>
      </c>
      <c r="T52" s="63"/>
    </row>
    <row r="53" spans="1:20">
      <c r="A53" s="25">
        <v>48</v>
      </c>
      <c r="B53" s="26" t="s">
        <v>505</v>
      </c>
      <c r="C53" s="30"/>
      <c r="D53" s="31"/>
      <c r="E53" s="31"/>
      <c r="F53" s="43"/>
      <c r="G53" s="43"/>
      <c r="H53" s="31"/>
      <c r="I53" s="50"/>
      <c r="J53" s="50"/>
      <c r="K53" s="50"/>
      <c r="L53" s="50"/>
      <c r="M53" s="50"/>
      <c r="N53" s="50"/>
      <c r="O53" s="50"/>
      <c r="P53" s="56" t="e">
        <f t="shared" si="3"/>
        <v>#DIV/0!</v>
      </c>
      <c r="Q53" s="62"/>
      <c r="R53" s="62"/>
      <c r="S53" s="56" t="e">
        <f t="shared" si="4"/>
        <v>#DIV/0!</v>
      </c>
      <c r="T53" s="63"/>
    </row>
    <row r="54" spans="1:20">
      <c r="A54" s="29">
        <v>49</v>
      </c>
      <c r="B54" s="26" t="s">
        <v>506</v>
      </c>
      <c r="C54" s="30"/>
      <c r="D54" s="31"/>
      <c r="E54" s="31"/>
      <c r="F54" s="43"/>
      <c r="G54" s="43"/>
      <c r="H54" s="31"/>
      <c r="I54" s="50"/>
      <c r="J54" s="50"/>
      <c r="K54" s="50"/>
      <c r="L54" s="50"/>
      <c r="M54" s="50"/>
      <c r="N54" s="50"/>
      <c r="O54" s="50"/>
      <c r="P54" s="56" t="e">
        <f t="shared" si="3"/>
        <v>#DIV/0!</v>
      </c>
      <c r="Q54" s="62"/>
      <c r="R54" s="62"/>
      <c r="S54" s="56" t="e">
        <f t="shared" si="4"/>
        <v>#DIV/0!</v>
      </c>
      <c r="T54" s="63"/>
    </row>
    <row r="55" spans="1:20">
      <c r="A55" s="29">
        <v>50</v>
      </c>
      <c r="B55" s="26" t="s">
        <v>507</v>
      </c>
      <c r="C55" s="30"/>
      <c r="D55" s="31"/>
      <c r="E55" s="31"/>
      <c r="F55" s="43"/>
      <c r="G55" s="43"/>
      <c r="H55" s="31"/>
      <c r="I55" s="50"/>
      <c r="J55" s="50"/>
      <c r="K55" s="50"/>
      <c r="L55" s="50"/>
      <c r="M55" s="50"/>
      <c r="N55" s="50"/>
      <c r="O55" s="50"/>
      <c r="P55" s="56" t="e">
        <f t="shared" si="3"/>
        <v>#DIV/0!</v>
      </c>
      <c r="Q55" s="62"/>
      <c r="R55" s="62"/>
      <c r="S55" s="56" t="e">
        <f t="shared" si="4"/>
        <v>#DIV/0!</v>
      </c>
      <c r="T55" s="63"/>
    </row>
    <row r="56" spans="1:20">
      <c r="A56" s="25">
        <v>51</v>
      </c>
      <c r="B56" s="26" t="s">
        <v>508</v>
      </c>
      <c r="C56" s="30"/>
      <c r="D56" s="31"/>
      <c r="E56" s="31"/>
      <c r="F56" s="43"/>
      <c r="G56" s="43"/>
      <c r="H56" s="31"/>
      <c r="I56" s="50"/>
      <c r="J56" s="50"/>
      <c r="K56" s="50"/>
      <c r="L56" s="50"/>
      <c r="M56" s="50"/>
      <c r="N56" s="50"/>
      <c r="O56" s="50"/>
      <c r="P56" s="56" t="e">
        <f t="shared" si="3"/>
        <v>#DIV/0!</v>
      </c>
      <c r="Q56" s="62"/>
      <c r="R56" s="62"/>
      <c r="S56" s="56" t="e">
        <f t="shared" si="4"/>
        <v>#DIV/0!</v>
      </c>
      <c r="T56" s="63"/>
    </row>
    <row r="57" s="6" customFormat="1" ht="17.25" customHeight="1" spans="1:19">
      <c r="A57" s="6" t="s">
        <v>155</v>
      </c>
      <c r="D57" s="32"/>
      <c r="E57" s="32"/>
      <c r="F57" s="32"/>
      <c r="G57" s="32"/>
      <c r="H57" s="32"/>
      <c r="I57" s="51" t="s">
        <v>87</v>
      </c>
      <c r="J57" s="52"/>
      <c r="K57" s="52"/>
      <c r="L57" s="52"/>
      <c r="M57" s="52"/>
      <c r="N57" s="52"/>
      <c r="O57" s="52"/>
      <c r="P57" s="57" t="s">
        <v>88</v>
      </c>
      <c r="S57" s="32"/>
    </row>
    <row r="58" spans="1:2">
      <c r="A58" s="33"/>
      <c r="B58" s="34" t="s">
        <v>89</v>
      </c>
    </row>
    <row r="59" spans="1:2">
      <c r="A59" s="35"/>
      <c r="B59" s="36" t="s">
        <v>90</v>
      </c>
    </row>
    <row r="60" s="7" customFormat="1" spans="1:256">
      <c r="A60" s="37" t="s">
        <v>509</v>
      </c>
      <c r="B60" s="38"/>
      <c r="C60" s="38"/>
      <c r="D60" s="39"/>
      <c r="E60" s="39"/>
      <c r="F60" s="39"/>
      <c r="G60" s="39"/>
      <c r="H60" s="39"/>
      <c r="I60" s="53"/>
      <c r="J60" s="53"/>
      <c r="K60" s="53"/>
      <c r="L60" s="53"/>
      <c r="M60" s="53"/>
      <c r="N60" s="53"/>
      <c r="O60" s="53"/>
      <c r="P60" s="39"/>
      <c r="Q60" s="38"/>
      <c r="R60" s="38"/>
      <c r="S60" s="39"/>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c r="BC60" s="38"/>
      <c r="BD60" s="38"/>
      <c r="BE60" s="38"/>
      <c r="BF60" s="38"/>
      <c r="BG60" s="38"/>
      <c r="BH60" s="38"/>
      <c r="BI60" s="38"/>
      <c r="BJ60" s="38"/>
      <c r="BK60" s="38"/>
      <c r="BL60" s="38"/>
      <c r="BM60" s="38"/>
      <c r="BN60" s="38"/>
      <c r="BO60" s="38"/>
      <c r="BP60" s="38"/>
      <c r="BQ60" s="38"/>
      <c r="BR60" s="38"/>
      <c r="BS60" s="38"/>
      <c r="BT60" s="38"/>
      <c r="BU60" s="38"/>
      <c r="BV60" s="38"/>
      <c r="BW60" s="38"/>
      <c r="BX60" s="38"/>
      <c r="BY60" s="38"/>
      <c r="BZ60" s="38"/>
      <c r="CA60" s="38"/>
      <c r="CB60" s="38"/>
      <c r="CC60" s="38"/>
      <c r="CD60" s="38"/>
      <c r="CE60" s="38"/>
      <c r="CF60" s="38"/>
      <c r="CG60" s="38"/>
      <c r="CH60" s="38"/>
      <c r="CI60" s="38"/>
      <c r="CJ60" s="38"/>
      <c r="CK60" s="38"/>
      <c r="CL60" s="38"/>
      <c r="CM60" s="38"/>
      <c r="CN60" s="38"/>
      <c r="CO60" s="38"/>
      <c r="CP60" s="38"/>
      <c r="CQ60" s="38"/>
      <c r="CR60" s="38"/>
      <c r="CS60" s="38"/>
      <c r="CT60" s="38"/>
      <c r="CU60" s="38"/>
      <c r="CV60" s="38"/>
      <c r="CW60" s="38"/>
      <c r="CX60" s="38"/>
      <c r="CY60" s="38"/>
      <c r="CZ60" s="38"/>
      <c r="DA60" s="38"/>
      <c r="DB60" s="38"/>
      <c r="DC60" s="38"/>
      <c r="DD60" s="38"/>
      <c r="DE60" s="38"/>
      <c r="DF60" s="38"/>
      <c r="DG60" s="38"/>
      <c r="DH60" s="38"/>
      <c r="DI60" s="38"/>
      <c r="DJ60" s="38"/>
      <c r="DK60" s="38"/>
      <c r="DL60" s="38"/>
      <c r="DM60" s="38"/>
      <c r="DN60" s="38"/>
      <c r="DO60" s="38"/>
      <c r="DP60" s="38"/>
      <c r="DQ60" s="38"/>
      <c r="DR60" s="38"/>
      <c r="DS60" s="38"/>
      <c r="DT60" s="38"/>
      <c r="DU60" s="38"/>
      <c r="DV60" s="38"/>
      <c r="DW60" s="38"/>
      <c r="DX60" s="38"/>
      <c r="DY60" s="38"/>
      <c r="DZ60" s="38"/>
      <c r="EA60" s="38"/>
      <c r="EB60" s="38"/>
      <c r="EC60" s="38"/>
      <c r="ED60" s="38"/>
      <c r="EE60" s="38"/>
      <c r="EF60" s="38"/>
      <c r="EG60" s="38"/>
      <c r="EH60" s="38"/>
      <c r="EI60" s="38"/>
      <c r="EJ60" s="38"/>
      <c r="EK60" s="38"/>
      <c r="EL60" s="38"/>
      <c r="EM60" s="38"/>
      <c r="EN60" s="38"/>
      <c r="EO60" s="38"/>
      <c r="EP60" s="38"/>
      <c r="EQ60" s="38"/>
      <c r="ER60" s="38"/>
      <c r="ES60" s="38"/>
      <c r="ET60" s="38"/>
      <c r="EU60" s="38"/>
      <c r="EV60" s="38"/>
      <c r="EW60" s="38"/>
      <c r="EX60" s="38"/>
      <c r="EY60" s="38"/>
      <c r="EZ60" s="38"/>
      <c r="FA60" s="38"/>
      <c r="FB60" s="38"/>
      <c r="FC60" s="38"/>
      <c r="FD60" s="38"/>
      <c r="FE60" s="38"/>
      <c r="FF60" s="38"/>
      <c r="FG60" s="38"/>
      <c r="FH60" s="38"/>
      <c r="FI60" s="38"/>
      <c r="FJ60" s="38"/>
      <c r="FK60" s="38"/>
      <c r="FL60" s="38"/>
      <c r="FM60" s="38"/>
      <c r="FN60" s="38"/>
      <c r="FO60" s="38"/>
      <c r="FP60" s="38"/>
      <c r="FQ60" s="38"/>
      <c r="FR60" s="38"/>
      <c r="FS60" s="38"/>
      <c r="FT60" s="38"/>
      <c r="FU60" s="38"/>
      <c r="FV60" s="38"/>
      <c r="FW60" s="38"/>
      <c r="FX60" s="38"/>
      <c r="FY60" s="38"/>
      <c r="FZ60" s="38"/>
      <c r="GA60" s="38"/>
      <c r="GB60" s="38"/>
      <c r="GC60" s="38"/>
      <c r="GD60" s="38"/>
      <c r="GE60" s="38"/>
      <c r="GF60" s="38"/>
      <c r="GG60" s="38"/>
      <c r="GH60" s="38"/>
      <c r="GI60" s="38"/>
      <c r="GJ60" s="38"/>
      <c r="GK60" s="38"/>
      <c r="GL60" s="38"/>
      <c r="GM60" s="38"/>
      <c r="GN60" s="38"/>
      <c r="GO60" s="38"/>
      <c r="GP60" s="38"/>
      <c r="GQ60" s="38"/>
      <c r="GR60" s="38"/>
      <c r="GS60" s="38"/>
      <c r="GT60" s="38"/>
      <c r="GU60" s="38"/>
      <c r="GV60" s="38"/>
      <c r="GW60" s="38"/>
      <c r="GX60" s="38"/>
      <c r="GY60" s="38"/>
      <c r="GZ60" s="38"/>
      <c r="HA60" s="38"/>
      <c r="HB60" s="38"/>
      <c r="HC60" s="38"/>
      <c r="HD60" s="38"/>
      <c r="HE60" s="38"/>
      <c r="HF60" s="38"/>
      <c r="HG60" s="38"/>
      <c r="HH60" s="38"/>
      <c r="HI60" s="38"/>
      <c r="HJ60" s="38"/>
      <c r="HK60" s="38"/>
      <c r="HL60" s="38"/>
      <c r="HM60" s="38"/>
      <c r="HN60" s="38"/>
      <c r="HO60" s="38"/>
      <c r="HP60" s="38"/>
      <c r="HQ60" s="38"/>
      <c r="HR60" s="38"/>
      <c r="HS60" s="38"/>
      <c r="HT60" s="38"/>
      <c r="HU60" s="38"/>
      <c r="HV60" s="38"/>
      <c r="HW60" s="38"/>
      <c r="HX60" s="38"/>
      <c r="HY60" s="38"/>
      <c r="HZ60" s="38"/>
      <c r="IA60" s="38"/>
      <c r="IB60" s="38"/>
      <c r="IC60" s="38"/>
      <c r="ID60" s="38"/>
      <c r="IE60" s="38"/>
      <c r="IF60" s="38"/>
      <c r="IG60" s="38"/>
      <c r="IH60" s="38"/>
      <c r="II60" s="38"/>
      <c r="IJ60" s="38"/>
      <c r="IK60" s="38"/>
      <c r="IL60" s="38"/>
      <c r="IM60" s="38"/>
      <c r="IN60" s="38"/>
      <c r="IO60" s="38"/>
      <c r="IP60" s="38"/>
      <c r="IQ60" s="38"/>
      <c r="IR60" s="38"/>
      <c r="IS60" s="38"/>
      <c r="IT60" s="38"/>
      <c r="IU60" s="38"/>
      <c r="IV60" s="38"/>
    </row>
    <row r="61" spans="1:2">
      <c r="A61" s="40" t="s">
        <v>91</v>
      </c>
      <c r="B61" s="41">
        <v>241</v>
      </c>
    </row>
  </sheetData>
  <sheetProtection sort="0" autoFilter="0" pivotTables="0"/>
  <mergeCells count="11">
    <mergeCell ref="A1:T1"/>
    <mergeCell ref="F4:H4"/>
    <mergeCell ref="I4:P4"/>
    <mergeCell ref="Q4:R4"/>
    <mergeCell ref="A3:A5"/>
    <mergeCell ref="B3:B5"/>
    <mergeCell ref="C4:C5"/>
    <mergeCell ref="D4:D5"/>
    <mergeCell ref="E4:E5"/>
    <mergeCell ref="S4:S5"/>
    <mergeCell ref="T4:T5"/>
  </mergeCells>
  <conditionalFormatting sqref="T7:T56 C7:O56">
    <cfRule type="cellIs" dxfId="0" priority="1" stopIfTrue="1" operator="lessThan">
      <formula>0</formula>
    </cfRule>
  </conditionalFormatting>
  <pageMargins left="0.75" right="0.75" top="1" bottom="1" header="0.509027777777778" footer="0.509027777777778"/>
  <pageSetup paperSize="9" scale="51" fitToWidth="0" orientation="landscape"/>
  <headerFooter alignWithMargins="0" scaleWithDoc="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1" master=""/>
  <rangeList sheetStid="2" master=""/>
  <rangeList sheetStid="3" master=""/>
  <rangeList sheetStid="4" master=""/>
  <rangeList sheetStid="5" master=""/>
  <rangeList sheetStid="6" master=""/>
  <rangeList sheetStid="25" master=""/>
  <rangeList sheetStid="7" master=""/>
  <rangeList sheetStid="24" master="">
    <arrUserId title="区域2" rangeCreator="" othersAccessPermission="edit"/>
    <arrUserId title="区域14" rangeCreator="" othersAccessPermission="edit"/>
    <arrUserId title="区域2_1" rangeCreator="" othersAccessPermission="edit"/>
  </rangeList>
  <rangeList sheetStid="9" master=""/>
  <rangeList sheetStid="10" master=""/>
  <rangeList sheetStid="11" master=""/>
  <rangeList sheetStid="12" master=""/>
  <rangeList sheetStid="13" master=""/>
  <rangeList sheetStid="19" master=""/>
  <rangeList sheetStid="18" master="">
    <arrUserId title="区域2_1_1_2_1" rangeCreator="" othersAccessPermission="edit"/>
  </rangeList>
  <rangeList sheetStid="16"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17</vt:i4>
      </vt:variant>
    </vt:vector>
  </HeadingPairs>
  <TitlesOfParts>
    <vt:vector size="17" baseType="lpstr">
      <vt:lpstr>G4E</vt:lpstr>
      <vt:lpstr>G4E-1</vt:lpstr>
      <vt:lpstr>G4E-2</vt:lpstr>
      <vt:lpstr>G4E-3</vt:lpstr>
      <vt:lpstr>G4E-4</vt:lpstr>
      <vt:lpstr>G4E-5</vt:lpstr>
      <vt:lpstr>G4E-6</vt:lpstr>
      <vt:lpstr>G4E-7</vt:lpstr>
      <vt:lpstr>G4E-8</vt:lpstr>
      <vt:lpstr>G4H</vt:lpstr>
      <vt:lpstr>G4H-1</vt:lpstr>
      <vt:lpstr>G4H-2</vt:lpstr>
      <vt:lpstr>G4H-3</vt:lpstr>
      <vt:lpstr>G4H-4</vt:lpstr>
      <vt:lpstr>G4F</vt:lpstr>
      <vt:lpstr>G4A-1(b)</vt:lpstr>
      <vt:lpstr>S11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陈静</cp:lastModifiedBy>
  <cp:revision>1</cp:revision>
  <dcterms:created xsi:type="dcterms:W3CDTF">2006-09-17T03:21:00Z</dcterms:created>
  <cp:lastPrinted>2015-11-09T22:09:00Z</cp:lastPrinted>
  <dcterms:modified xsi:type="dcterms:W3CDTF">2024-12-13T15:04:15Z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2052-11.8.2.11764</vt:lpwstr>
  </property>
  <property fmtid="{D5CDD505-2E9C-101B-9397-08002B2CF9AE}" pid="3" name="KSOReadingLayout">
    <vt:bool>false</vt:bool>
  </property>
  <property fmtid="{D5CDD505-2E9C-101B-9397-08002B2CF9AE}" pid="4" name="ICV">
    <vt:lpwstr>1BEFCFA02E764D8986F8C67BCC996747_13</vt:lpwstr>
  </property>
  <property fmtid="{D5CDD505-2E9C-101B-9397-08002B2CF9AE}" pid="5" name="EM_Doc_Temp_ID">
    <vt:lpwstr>eeb551ae</vt:lpwstr>
  </property>
</Properties>
</file>