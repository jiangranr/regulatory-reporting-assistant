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25"/>
  </bookViews>
  <sheets>
    <sheet name="G4C-2(a)市场风险标准法资本要求情况表" sheetId="1" r:id="rId1"/>
  </sheets>
  <calcPr calcId="144525"/>
</workbook>
</file>

<file path=xl/sharedStrings.xml><?xml version="1.0" encoding="utf-8"?>
<sst xmlns="http://schemas.openxmlformats.org/spreadsheetml/2006/main" count="64" uniqueCount="64">
  <si>
    <t>G4C-2(a) 市场风险标准法资本要求情况表（新规）</t>
  </si>
  <si>
    <t>填报机构：</t>
  </si>
  <si>
    <r>
      <rPr>
        <sz val="10"/>
        <rFont val="宋体"/>
        <charset val="134"/>
      </rPr>
      <t>报表日期：</t>
    </r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年</t>
    </r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月</t>
    </r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日</t>
    </r>
  </si>
  <si>
    <t>单位：万元</t>
  </si>
  <si>
    <t>序号</t>
  </si>
  <si>
    <t>项                   目</t>
  </si>
  <si>
    <t>敏感度</t>
  </si>
  <si>
    <t>高相关性</t>
  </si>
  <si>
    <t>中相关性</t>
  </si>
  <si>
    <t>低相关性</t>
  </si>
  <si>
    <t>资本要求</t>
  </si>
  <si>
    <t>A</t>
  </si>
  <si>
    <t>B</t>
  </si>
  <si>
    <t>C</t>
  </si>
  <si>
    <t>D</t>
  </si>
  <si>
    <t>1.基于敏感度法的资本要求</t>
  </si>
  <si>
    <t>1.1 Delta敏感度</t>
  </si>
  <si>
    <t>1.2 Vega敏感度</t>
  </si>
  <si>
    <t>1.3 Curvature敏感度</t>
  </si>
  <si>
    <t>1.4 敏感度资本要求合计</t>
  </si>
  <si>
    <t>2.一般利率风险</t>
  </si>
  <si>
    <t>2.1 Delta敏感度</t>
  </si>
  <si>
    <t>2.2 Vega敏感度</t>
  </si>
  <si>
    <t>2.3 Curvature敏感度</t>
  </si>
  <si>
    <t>3.股票风险</t>
  </si>
  <si>
    <t>3.1 Delta敏感度</t>
  </si>
  <si>
    <t>3.2 Vega敏感度</t>
  </si>
  <si>
    <t>3.3 Curvature敏感度</t>
  </si>
  <si>
    <t>4.商品风险</t>
  </si>
  <si>
    <t>4.1 Delta敏感度</t>
  </si>
  <si>
    <t>4.2 Vega敏感度</t>
  </si>
  <si>
    <t>4.3 Curvature敏感度</t>
  </si>
  <si>
    <t>5.汇率风险</t>
  </si>
  <si>
    <t>5.1 Delta敏感度</t>
  </si>
  <si>
    <t>5.2 Vega敏感度</t>
  </si>
  <si>
    <t>5.3 Curvature敏感度</t>
  </si>
  <si>
    <t>6.信用利差风险-非证券化工具</t>
  </si>
  <si>
    <t>6.1 Delta敏感度</t>
  </si>
  <si>
    <t>6.2 Vega敏感度</t>
  </si>
  <si>
    <t>6.3 Curvature敏感度</t>
  </si>
  <si>
    <t>7.信用利差风险-证券化工具（非相关性交易组合）</t>
  </si>
  <si>
    <t>7.1 Delta敏感度</t>
  </si>
  <si>
    <t>7.2 Vega敏感度</t>
  </si>
  <si>
    <t>7.3 Curvature敏感度</t>
  </si>
  <si>
    <t>8.信用利差风险-证券化工具（相关性交易组合）</t>
  </si>
  <si>
    <t>8.1 Delta敏感度</t>
  </si>
  <si>
    <t>8.2 Vega敏感度</t>
  </si>
  <si>
    <t>8.3 Curvature敏感度</t>
  </si>
  <si>
    <t>9.违约风险资本要求</t>
  </si>
  <si>
    <t>9.1 违约风险-非证券化工具</t>
  </si>
  <si>
    <t>9.2 违约风险-证券化工具（非相关性交易组合）</t>
  </si>
  <si>
    <t>9.3 违约风险-证券化工具（相关性交易组合）</t>
  </si>
  <si>
    <t>9.4 违约风险资本要求合计</t>
  </si>
  <si>
    <t>10.剩余风险附加资本要求</t>
  </si>
  <si>
    <t>10.1 标的为奇异性资产</t>
  </si>
  <si>
    <t>10.2 其他剩余风险</t>
  </si>
  <si>
    <t>10.3 剩余风险附加资本要求合计</t>
  </si>
  <si>
    <t>11.内部风险转移交易台资本要求</t>
  </si>
  <si>
    <t>12.非穿透法计量的资产管理产品资本要求</t>
  </si>
  <si>
    <t>13.市场风险资本要求总额</t>
  </si>
  <si>
    <t>14.市场风险的风险加权资产总额</t>
  </si>
  <si>
    <t>填表人：</t>
  </si>
  <si>
    <t>复核人：</t>
  </si>
  <si>
    <t>负责人：</t>
  </si>
</sst>
</file>

<file path=xl/styles.xml><?xml version="1.0" encoding="utf-8"?>
<styleSheet xmlns="http://schemas.openxmlformats.org/spreadsheetml/2006/main">
  <numFmts count="6">
    <numFmt numFmtId="176" formatCode="#,##0.00_ "/>
    <numFmt numFmtId="177" formatCode="\¥#,##0_);[Red]\(\¥#,##0\)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name val="Times New Roman"/>
      <charset val="134"/>
    </font>
    <font>
      <b/>
      <sz val="16"/>
      <name val="宋体"/>
      <charset val="134"/>
    </font>
    <font>
      <sz val="10"/>
      <name val="宋体"/>
      <charset val="134"/>
    </font>
    <font>
      <sz val="10"/>
      <color indexed="8"/>
      <name val="Times New Roman"/>
      <charset val="134"/>
    </font>
    <font>
      <sz val="10"/>
      <color indexed="8"/>
      <name val="宋体"/>
      <charset val="134"/>
    </font>
    <font>
      <sz val="10"/>
      <color rgb="FFFF0000"/>
      <name val="Times New Roman"/>
      <charset val="134"/>
    </font>
    <font>
      <sz val="10"/>
      <color rgb="FFFF0000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0" fontId="9" fillId="1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5" fillId="28" borderId="20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1" fillId="25" borderId="20" applyNumberFormat="0" applyAlignment="0" applyProtection="0">
      <alignment vertical="center"/>
    </xf>
    <xf numFmtId="0" fontId="24" fillId="28" borderId="22" applyNumberFormat="0" applyAlignment="0" applyProtection="0">
      <alignment vertical="center"/>
    </xf>
    <xf numFmtId="0" fontId="22" fillId="26" borderId="21" applyNumberFormat="0" applyAlignment="0" applyProtection="0">
      <alignment vertical="center"/>
    </xf>
    <xf numFmtId="0" fontId="26" fillId="0" borderId="23" applyNumberFormat="0" applyFill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0" fillId="19" borderId="1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0" borderId="0"/>
    <xf numFmtId="0" fontId="8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0" borderId="0" xfId="46" applyFont="1" applyAlignment="1">
      <alignment vertical="center"/>
    </xf>
    <xf numFmtId="0" fontId="2" fillId="0" borderId="0" xfId="46" applyFont="1" applyAlignment="1">
      <alignment horizontal="center" vertical="center" wrapText="1"/>
    </xf>
    <xf numFmtId="0" fontId="1" fillId="0" borderId="0" xfId="46" applyFont="1" applyAlignment="1">
      <alignment horizontal="left" vertical="center" wrapText="1"/>
    </xf>
    <xf numFmtId="0" fontId="3" fillId="0" borderId="0" xfId="46" applyFont="1" applyAlignment="1">
      <alignment horizontal="center" vertical="center"/>
    </xf>
    <xf numFmtId="177" fontId="4" fillId="0" borderId="1" xfId="46" applyNumberFormat="1" applyFont="1" applyBorder="1" applyAlignment="1">
      <alignment horizontal="center" vertical="center"/>
    </xf>
    <xf numFmtId="177" fontId="4" fillId="0" borderId="2" xfId="46" applyNumberFormat="1" applyFont="1" applyBorder="1" applyAlignment="1">
      <alignment horizontal="center" vertical="center"/>
    </xf>
    <xf numFmtId="177" fontId="5" fillId="0" borderId="3" xfId="46" applyNumberFormat="1" applyFont="1" applyBorder="1" applyAlignment="1">
      <alignment horizontal="center" vertical="center"/>
    </xf>
    <xf numFmtId="177" fontId="5" fillId="0" borderId="2" xfId="46" applyNumberFormat="1" applyFont="1" applyBorder="1" applyAlignment="1">
      <alignment horizontal="center" vertical="center"/>
    </xf>
    <xf numFmtId="177" fontId="4" fillId="0" borderId="4" xfId="46" applyNumberFormat="1" applyFont="1" applyBorder="1" applyAlignment="1">
      <alignment horizontal="center" vertical="center"/>
    </xf>
    <xf numFmtId="177" fontId="4" fillId="0" borderId="5" xfId="46" applyNumberFormat="1" applyFont="1" applyBorder="1" applyAlignment="1">
      <alignment horizontal="center" vertical="center"/>
    </xf>
    <xf numFmtId="177" fontId="5" fillId="0" borderId="6" xfId="46" applyNumberFormat="1" applyFont="1" applyBorder="1" applyAlignment="1">
      <alignment horizontal="center" vertical="center"/>
    </xf>
    <xf numFmtId="0" fontId="4" fillId="0" borderId="7" xfId="46" applyFont="1" applyBorder="1" applyAlignment="1">
      <alignment horizontal="center" vertical="center"/>
    </xf>
    <xf numFmtId="177" fontId="5" fillId="0" borderId="8" xfId="46" applyNumberFormat="1" applyFont="1" applyBorder="1" applyAlignment="1">
      <alignment horizontal="left" vertical="center" wrapText="1"/>
    </xf>
    <xf numFmtId="177" fontId="5" fillId="0" borderId="6" xfId="46" applyNumberFormat="1" applyFont="1" applyBorder="1" applyAlignment="1">
      <alignment horizontal="left" vertical="center"/>
    </xf>
    <xf numFmtId="176" fontId="1" fillId="2" borderId="6" xfId="0" applyNumberFormat="1" applyFont="1" applyFill="1" applyBorder="1" applyAlignment="1">
      <alignment horizontal="center" vertical="center"/>
    </xf>
    <xf numFmtId="0" fontId="4" fillId="0" borderId="9" xfId="46" applyFont="1" applyBorder="1" applyAlignment="1">
      <alignment horizontal="center" vertical="center"/>
    </xf>
    <xf numFmtId="177" fontId="5" fillId="0" borderId="10" xfId="46" applyNumberFormat="1" applyFont="1" applyBorder="1" applyAlignment="1">
      <alignment horizontal="left" vertical="center" wrapText="1"/>
    </xf>
    <xf numFmtId="0" fontId="4" fillId="0" borderId="4" xfId="46" applyFont="1" applyBorder="1" applyAlignment="1">
      <alignment horizontal="center" vertical="center"/>
    </xf>
    <xf numFmtId="177" fontId="5" fillId="0" borderId="5" xfId="46" applyNumberFormat="1" applyFont="1" applyBorder="1" applyAlignment="1">
      <alignment horizontal="left" vertical="center" wrapText="1"/>
    </xf>
    <xf numFmtId="176" fontId="4" fillId="3" borderId="6" xfId="46" applyNumberFormat="1" applyFont="1" applyFill="1" applyBorder="1" applyAlignment="1">
      <alignment horizontal="center" vertical="center"/>
    </xf>
    <xf numFmtId="177" fontId="5" fillId="0" borderId="6" xfId="46" applyNumberFormat="1" applyFont="1" applyBorder="1" applyAlignment="1">
      <alignment horizontal="left" vertical="center" wrapText="1"/>
    </xf>
    <xf numFmtId="0" fontId="1" fillId="4" borderId="6" xfId="0" applyFont="1" applyFill="1" applyBorder="1" applyAlignment="1">
      <alignment vertical="center"/>
    </xf>
    <xf numFmtId="0" fontId="6" fillId="0" borderId="4" xfId="46" applyFont="1" applyBorder="1" applyAlignment="1">
      <alignment horizontal="center" vertical="center"/>
    </xf>
    <xf numFmtId="0" fontId="7" fillId="0" borderId="6" xfId="46" applyFont="1" applyBorder="1" applyAlignment="1">
      <alignment horizontal="left" vertical="center" wrapText="1"/>
    </xf>
    <xf numFmtId="0" fontId="7" fillId="0" borderId="11" xfId="46" applyFont="1" applyBorder="1" applyAlignment="1">
      <alignment horizontal="left" vertical="center" wrapText="1"/>
    </xf>
    <xf numFmtId="0" fontId="1" fillId="4" borderId="11" xfId="0" applyFont="1" applyFill="1" applyBorder="1" applyAlignment="1">
      <alignment vertical="center"/>
    </xf>
    <xf numFmtId="0" fontId="4" fillId="0" borderId="0" xfId="46" applyFont="1" applyAlignment="1">
      <alignment horizontal="left" vertical="center"/>
    </xf>
    <xf numFmtId="0" fontId="1" fillId="0" borderId="0" xfId="46" applyFont="1" applyAlignment="1">
      <alignment horizontal="left" vertical="center"/>
    </xf>
    <xf numFmtId="0" fontId="1" fillId="0" borderId="0" xfId="46" applyFont="1" applyAlignment="1">
      <alignment horizontal="right" vertical="center"/>
    </xf>
    <xf numFmtId="0" fontId="3" fillId="0" borderId="0" xfId="46" applyFont="1" applyAlignment="1">
      <alignment horizontal="right" vertical="center"/>
    </xf>
    <xf numFmtId="177" fontId="5" fillId="0" borderId="12" xfId="0" applyNumberFormat="1" applyFont="1" applyBorder="1" applyAlignment="1">
      <alignment horizontal="center" vertical="center"/>
    </xf>
    <xf numFmtId="177" fontId="4" fillId="0" borderId="13" xfId="46" applyNumberFormat="1" applyFont="1" applyBorder="1" applyAlignment="1">
      <alignment horizontal="center" vertical="center"/>
    </xf>
    <xf numFmtId="0" fontId="1" fillId="4" borderId="14" xfId="0" applyFont="1" applyFill="1" applyBorder="1" applyAlignment="1">
      <alignment vertical="center"/>
    </xf>
    <xf numFmtId="176" fontId="1" fillId="2" borderId="14" xfId="0" applyNumberFormat="1" applyFont="1" applyFill="1" applyBorder="1" applyAlignment="1">
      <alignment horizontal="center" vertical="center"/>
    </xf>
    <xf numFmtId="176" fontId="4" fillId="3" borderId="14" xfId="46" applyNumberFormat="1" applyFont="1" applyFill="1" applyBorder="1" applyAlignment="1">
      <alignment horizontal="center" vertical="center"/>
    </xf>
    <xf numFmtId="176" fontId="6" fillId="2" borderId="14" xfId="0" applyNumberFormat="1" applyFont="1" applyFill="1" applyBorder="1" applyAlignment="1">
      <alignment horizontal="center" vertical="center"/>
    </xf>
    <xf numFmtId="176" fontId="6" fillId="2" borderId="15" xfId="0" applyNumberFormat="1" applyFont="1" applyFill="1" applyBorder="1" applyAlignment="1">
      <alignment horizontal="center" vertical="center"/>
    </xf>
    <xf numFmtId="177" fontId="4" fillId="0" borderId="0" xfId="46" applyNumberFormat="1" applyFont="1" applyAlignment="1">
      <alignment vertical="center"/>
    </xf>
  </cellXfs>
  <cellStyles count="50">
    <cellStyle name="常规" xfId="0" builtinId="0"/>
    <cellStyle name="40% - 强调文字颜色 6" xfId="1" builtinId="51"/>
    <cellStyle name="20% - 强调文字颜色 6" xfId="2" builtinId="50"/>
    <cellStyle name="强调文字颜色 6" xfId="3" builtinId="49"/>
    <cellStyle name="40% - 强调文字颜色 5" xfId="4" builtinId="47"/>
    <cellStyle name="20% - 强调文字颜色 5" xfId="5" builtinId="46"/>
    <cellStyle name="强调文字颜色 5" xfId="6" builtinId="45"/>
    <cellStyle name="40% - 强调文字颜色 4" xfId="7" builtinId="43"/>
    <cellStyle name="标题 3" xfId="8" builtinId="18"/>
    <cellStyle name="解释性文本" xfId="9" builtinId="53"/>
    <cellStyle name="汇总" xfId="10" builtinId="25"/>
    <cellStyle name="百分比" xfId="11" builtinId="5"/>
    <cellStyle name="千位分隔" xfId="12" builtinId="3"/>
    <cellStyle name="标题 2" xfId="13" builtinId="17"/>
    <cellStyle name="货币[0]" xfId="14" builtinId="7"/>
    <cellStyle name="60% - 强调文字颜色 4" xfId="15" builtinId="44"/>
    <cellStyle name="警告文本" xfId="16" builtinId="11"/>
    <cellStyle name="20% - 强调文字颜色 2" xfId="17" builtinId="34"/>
    <cellStyle name="60% - 强调文字颜色 5" xfId="18" builtinId="48"/>
    <cellStyle name="标题 1" xfId="19" builtinId="16"/>
    <cellStyle name="超链接" xfId="20" builtinId="8"/>
    <cellStyle name="20% - 强调文字颜色 3" xfId="21" builtinId="38"/>
    <cellStyle name="货币" xfId="22" builtinId="4"/>
    <cellStyle name="20% - 强调文字颜色 4" xfId="23" builtinId="42"/>
    <cellStyle name="计算" xfId="24" builtinId="22"/>
    <cellStyle name="已访问的超链接" xfId="25" builtinId="9"/>
    <cellStyle name="千位分隔[0]" xfId="26" builtinId="6"/>
    <cellStyle name="强调文字颜色 4" xfId="27" builtinId="41"/>
    <cellStyle name="40% - 强调文字颜色 3" xfId="28" builtinId="39"/>
    <cellStyle name="60% - 强调文字颜色 6" xfId="29" builtinId="52"/>
    <cellStyle name="输入" xfId="30" builtinId="20"/>
    <cellStyle name="输出" xfId="31" builtinId="21"/>
    <cellStyle name="检查单元格" xfId="32" builtinId="23"/>
    <cellStyle name="链接单元格" xfId="33" builtinId="24"/>
    <cellStyle name="60% - 强调文字颜色 1" xfId="34" builtinId="32"/>
    <cellStyle name="60% - 强调文字颜色 3" xfId="35" builtinId="40"/>
    <cellStyle name="注释" xfId="36" builtinId="10"/>
    <cellStyle name="标题" xfId="37" builtinId="15"/>
    <cellStyle name="好" xfId="38" builtinId="26"/>
    <cellStyle name="标题 4" xfId="39" builtinId="19"/>
    <cellStyle name="强调文字颜色 1" xfId="40" builtinId="29"/>
    <cellStyle name="适中" xfId="41" builtinId="28"/>
    <cellStyle name="20% - 强调文字颜色 1" xfId="42" builtinId="30"/>
    <cellStyle name="差" xfId="43" builtinId="27"/>
    <cellStyle name="强调文字颜色 2" xfId="44" builtinId="33"/>
    <cellStyle name="40% - 强调文字颜色 1" xfId="45" builtinId="31"/>
    <cellStyle name="常规 2" xfId="46"/>
    <cellStyle name="60% - 强调文字颜色 2" xfId="47" builtinId="36"/>
    <cellStyle name="40% - 强调文字颜色 2" xfId="48" builtinId="35"/>
    <cellStyle name="强调文字颜色 3" xfId="49" builtinId="37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tabSelected="1" workbookViewId="0">
      <selection activeCell="L4" sqref="L4"/>
    </sheetView>
  </sheetViews>
  <sheetFormatPr defaultColWidth="9" defaultRowHeight="12.75" outlineLevelCol="6"/>
  <cols>
    <col min="1" max="1" width="9.33333333333333" style="1" customWidth="1"/>
    <col min="2" max="2" width="19" style="1" customWidth="1"/>
    <col min="3" max="3" width="31.1083333333333" style="1" customWidth="1"/>
    <col min="4" max="4" width="11.6666666666667" style="1" customWidth="1"/>
    <col min="5" max="5" width="11.775" style="1" customWidth="1"/>
    <col min="6" max="6" width="11.3333333333333" style="1" customWidth="1"/>
    <col min="7" max="7" width="11.4416666666667" style="1" customWidth="1"/>
    <col min="8" max="256" width="9" style="1"/>
    <col min="257" max="257" width="15.4416666666667" style="1" customWidth="1"/>
    <col min="258" max="258" width="39.775" style="1" customWidth="1"/>
    <col min="259" max="259" width="20.6666666666667" style="1" customWidth="1"/>
    <col min="260" max="260" width="14.6666666666667" style="1" customWidth="1"/>
    <col min="261" max="261" width="14.1083333333333" style="1" customWidth="1"/>
    <col min="262" max="512" width="9" style="1"/>
    <col min="513" max="513" width="15.4416666666667" style="1" customWidth="1"/>
    <col min="514" max="514" width="39.775" style="1" customWidth="1"/>
    <col min="515" max="515" width="20.6666666666667" style="1" customWidth="1"/>
    <col min="516" max="516" width="14.6666666666667" style="1" customWidth="1"/>
    <col min="517" max="517" width="14.1083333333333" style="1" customWidth="1"/>
    <col min="518" max="768" width="9" style="1"/>
    <col min="769" max="769" width="15.4416666666667" style="1" customWidth="1"/>
    <col min="770" max="770" width="39.775" style="1" customWidth="1"/>
    <col min="771" max="771" width="20.6666666666667" style="1" customWidth="1"/>
    <col min="772" max="772" width="14.6666666666667" style="1" customWidth="1"/>
    <col min="773" max="773" width="14.1083333333333" style="1" customWidth="1"/>
    <col min="774" max="1024" width="9" style="1"/>
    <col min="1025" max="1025" width="15.4416666666667" style="1" customWidth="1"/>
    <col min="1026" max="1026" width="39.775" style="1" customWidth="1"/>
    <col min="1027" max="1027" width="20.6666666666667" style="1" customWidth="1"/>
    <col min="1028" max="1028" width="14.6666666666667" style="1" customWidth="1"/>
    <col min="1029" max="1029" width="14.1083333333333" style="1" customWidth="1"/>
    <col min="1030" max="1280" width="9" style="1"/>
    <col min="1281" max="1281" width="15.4416666666667" style="1" customWidth="1"/>
    <col min="1282" max="1282" width="39.775" style="1" customWidth="1"/>
    <col min="1283" max="1283" width="20.6666666666667" style="1" customWidth="1"/>
    <col min="1284" max="1284" width="14.6666666666667" style="1" customWidth="1"/>
    <col min="1285" max="1285" width="14.1083333333333" style="1" customWidth="1"/>
    <col min="1286" max="1536" width="9" style="1"/>
    <col min="1537" max="1537" width="15.4416666666667" style="1" customWidth="1"/>
    <col min="1538" max="1538" width="39.775" style="1" customWidth="1"/>
    <col min="1539" max="1539" width="20.6666666666667" style="1" customWidth="1"/>
    <col min="1540" max="1540" width="14.6666666666667" style="1" customWidth="1"/>
    <col min="1541" max="1541" width="14.1083333333333" style="1" customWidth="1"/>
    <col min="1542" max="1792" width="9" style="1"/>
    <col min="1793" max="1793" width="15.4416666666667" style="1" customWidth="1"/>
    <col min="1794" max="1794" width="39.775" style="1" customWidth="1"/>
    <col min="1795" max="1795" width="20.6666666666667" style="1" customWidth="1"/>
    <col min="1796" max="1796" width="14.6666666666667" style="1" customWidth="1"/>
    <col min="1797" max="1797" width="14.1083333333333" style="1" customWidth="1"/>
    <col min="1798" max="2048" width="9" style="1"/>
    <col min="2049" max="2049" width="15.4416666666667" style="1" customWidth="1"/>
    <col min="2050" max="2050" width="39.775" style="1" customWidth="1"/>
    <col min="2051" max="2051" width="20.6666666666667" style="1" customWidth="1"/>
    <col min="2052" max="2052" width="14.6666666666667" style="1" customWidth="1"/>
    <col min="2053" max="2053" width="14.1083333333333" style="1" customWidth="1"/>
    <col min="2054" max="2304" width="9" style="1"/>
    <col min="2305" max="2305" width="15.4416666666667" style="1" customWidth="1"/>
    <col min="2306" max="2306" width="39.775" style="1" customWidth="1"/>
    <col min="2307" max="2307" width="20.6666666666667" style="1" customWidth="1"/>
    <col min="2308" max="2308" width="14.6666666666667" style="1" customWidth="1"/>
    <col min="2309" max="2309" width="14.1083333333333" style="1" customWidth="1"/>
    <col min="2310" max="2560" width="9" style="1"/>
    <col min="2561" max="2561" width="15.4416666666667" style="1" customWidth="1"/>
    <col min="2562" max="2562" width="39.775" style="1" customWidth="1"/>
    <col min="2563" max="2563" width="20.6666666666667" style="1" customWidth="1"/>
    <col min="2564" max="2564" width="14.6666666666667" style="1" customWidth="1"/>
    <col min="2565" max="2565" width="14.1083333333333" style="1" customWidth="1"/>
    <col min="2566" max="2816" width="9" style="1"/>
    <col min="2817" max="2817" width="15.4416666666667" style="1" customWidth="1"/>
    <col min="2818" max="2818" width="39.775" style="1" customWidth="1"/>
    <col min="2819" max="2819" width="20.6666666666667" style="1" customWidth="1"/>
    <col min="2820" max="2820" width="14.6666666666667" style="1" customWidth="1"/>
    <col min="2821" max="2821" width="14.1083333333333" style="1" customWidth="1"/>
    <col min="2822" max="3072" width="9" style="1"/>
    <col min="3073" max="3073" width="15.4416666666667" style="1" customWidth="1"/>
    <col min="3074" max="3074" width="39.775" style="1" customWidth="1"/>
    <col min="3075" max="3075" width="20.6666666666667" style="1" customWidth="1"/>
    <col min="3076" max="3076" width="14.6666666666667" style="1" customWidth="1"/>
    <col min="3077" max="3077" width="14.1083333333333" style="1" customWidth="1"/>
    <col min="3078" max="3328" width="9" style="1"/>
    <col min="3329" max="3329" width="15.4416666666667" style="1" customWidth="1"/>
    <col min="3330" max="3330" width="39.775" style="1" customWidth="1"/>
    <col min="3331" max="3331" width="20.6666666666667" style="1" customWidth="1"/>
    <col min="3332" max="3332" width="14.6666666666667" style="1" customWidth="1"/>
    <col min="3333" max="3333" width="14.1083333333333" style="1" customWidth="1"/>
    <col min="3334" max="3584" width="9" style="1"/>
    <col min="3585" max="3585" width="15.4416666666667" style="1" customWidth="1"/>
    <col min="3586" max="3586" width="39.775" style="1" customWidth="1"/>
    <col min="3587" max="3587" width="20.6666666666667" style="1" customWidth="1"/>
    <col min="3588" max="3588" width="14.6666666666667" style="1" customWidth="1"/>
    <col min="3589" max="3589" width="14.1083333333333" style="1" customWidth="1"/>
    <col min="3590" max="3840" width="9" style="1"/>
    <col min="3841" max="3841" width="15.4416666666667" style="1" customWidth="1"/>
    <col min="3842" max="3842" width="39.775" style="1" customWidth="1"/>
    <col min="3843" max="3843" width="20.6666666666667" style="1" customWidth="1"/>
    <col min="3844" max="3844" width="14.6666666666667" style="1" customWidth="1"/>
    <col min="3845" max="3845" width="14.1083333333333" style="1" customWidth="1"/>
    <col min="3846" max="4096" width="9" style="1"/>
    <col min="4097" max="4097" width="15.4416666666667" style="1" customWidth="1"/>
    <col min="4098" max="4098" width="39.775" style="1" customWidth="1"/>
    <col min="4099" max="4099" width="20.6666666666667" style="1" customWidth="1"/>
    <col min="4100" max="4100" width="14.6666666666667" style="1" customWidth="1"/>
    <col min="4101" max="4101" width="14.1083333333333" style="1" customWidth="1"/>
    <col min="4102" max="4352" width="9" style="1"/>
    <col min="4353" max="4353" width="15.4416666666667" style="1" customWidth="1"/>
    <col min="4354" max="4354" width="39.775" style="1" customWidth="1"/>
    <col min="4355" max="4355" width="20.6666666666667" style="1" customWidth="1"/>
    <col min="4356" max="4356" width="14.6666666666667" style="1" customWidth="1"/>
    <col min="4357" max="4357" width="14.1083333333333" style="1" customWidth="1"/>
    <col min="4358" max="4608" width="9" style="1"/>
    <col min="4609" max="4609" width="15.4416666666667" style="1" customWidth="1"/>
    <col min="4610" max="4610" width="39.775" style="1" customWidth="1"/>
    <col min="4611" max="4611" width="20.6666666666667" style="1" customWidth="1"/>
    <col min="4612" max="4612" width="14.6666666666667" style="1" customWidth="1"/>
    <col min="4613" max="4613" width="14.1083333333333" style="1" customWidth="1"/>
    <col min="4614" max="4864" width="9" style="1"/>
    <col min="4865" max="4865" width="15.4416666666667" style="1" customWidth="1"/>
    <col min="4866" max="4866" width="39.775" style="1" customWidth="1"/>
    <col min="4867" max="4867" width="20.6666666666667" style="1" customWidth="1"/>
    <col min="4868" max="4868" width="14.6666666666667" style="1" customWidth="1"/>
    <col min="4869" max="4869" width="14.1083333333333" style="1" customWidth="1"/>
    <col min="4870" max="5120" width="9" style="1"/>
    <col min="5121" max="5121" width="15.4416666666667" style="1" customWidth="1"/>
    <col min="5122" max="5122" width="39.775" style="1" customWidth="1"/>
    <col min="5123" max="5123" width="20.6666666666667" style="1" customWidth="1"/>
    <col min="5124" max="5124" width="14.6666666666667" style="1" customWidth="1"/>
    <col min="5125" max="5125" width="14.1083333333333" style="1" customWidth="1"/>
    <col min="5126" max="5376" width="9" style="1"/>
    <col min="5377" max="5377" width="15.4416666666667" style="1" customWidth="1"/>
    <col min="5378" max="5378" width="39.775" style="1" customWidth="1"/>
    <col min="5379" max="5379" width="20.6666666666667" style="1" customWidth="1"/>
    <col min="5380" max="5380" width="14.6666666666667" style="1" customWidth="1"/>
    <col min="5381" max="5381" width="14.1083333333333" style="1" customWidth="1"/>
    <col min="5382" max="5632" width="9" style="1"/>
    <col min="5633" max="5633" width="15.4416666666667" style="1" customWidth="1"/>
    <col min="5634" max="5634" width="39.775" style="1" customWidth="1"/>
    <col min="5635" max="5635" width="20.6666666666667" style="1" customWidth="1"/>
    <col min="5636" max="5636" width="14.6666666666667" style="1" customWidth="1"/>
    <col min="5637" max="5637" width="14.1083333333333" style="1" customWidth="1"/>
    <col min="5638" max="5888" width="9" style="1"/>
    <col min="5889" max="5889" width="15.4416666666667" style="1" customWidth="1"/>
    <col min="5890" max="5890" width="39.775" style="1" customWidth="1"/>
    <col min="5891" max="5891" width="20.6666666666667" style="1" customWidth="1"/>
    <col min="5892" max="5892" width="14.6666666666667" style="1" customWidth="1"/>
    <col min="5893" max="5893" width="14.1083333333333" style="1" customWidth="1"/>
    <col min="5894" max="6144" width="9" style="1"/>
    <col min="6145" max="6145" width="15.4416666666667" style="1" customWidth="1"/>
    <col min="6146" max="6146" width="39.775" style="1" customWidth="1"/>
    <col min="6147" max="6147" width="20.6666666666667" style="1" customWidth="1"/>
    <col min="6148" max="6148" width="14.6666666666667" style="1" customWidth="1"/>
    <col min="6149" max="6149" width="14.1083333333333" style="1" customWidth="1"/>
    <col min="6150" max="6400" width="9" style="1"/>
    <col min="6401" max="6401" width="15.4416666666667" style="1" customWidth="1"/>
    <col min="6402" max="6402" width="39.775" style="1" customWidth="1"/>
    <col min="6403" max="6403" width="20.6666666666667" style="1" customWidth="1"/>
    <col min="6404" max="6404" width="14.6666666666667" style="1" customWidth="1"/>
    <col min="6405" max="6405" width="14.1083333333333" style="1" customWidth="1"/>
    <col min="6406" max="6656" width="9" style="1"/>
    <col min="6657" max="6657" width="15.4416666666667" style="1" customWidth="1"/>
    <col min="6658" max="6658" width="39.775" style="1" customWidth="1"/>
    <col min="6659" max="6659" width="20.6666666666667" style="1" customWidth="1"/>
    <col min="6660" max="6660" width="14.6666666666667" style="1" customWidth="1"/>
    <col min="6661" max="6661" width="14.1083333333333" style="1" customWidth="1"/>
    <col min="6662" max="6912" width="9" style="1"/>
    <col min="6913" max="6913" width="15.4416666666667" style="1" customWidth="1"/>
    <col min="6914" max="6914" width="39.775" style="1" customWidth="1"/>
    <col min="6915" max="6915" width="20.6666666666667" style="1" customWidth="1"/>
    <col min="6916" max="6916" width="14.6666666666667" style="1" customWidth="1"/>
    <col min="6917" max="6917" width="14.1083333333333" style="1" customWidth="1"/>
    <col min="6918" max="7168" width="9" style="1"/>
    <col min="7169" max="7169" width="15.4416666666667" style="1" customWidth="1"/>
    <col min="7170" max="7170" width="39.775" style="1" customWidth="1"/>
    <col min="7171" max="7171" width="20.6666666666667" style="1" customWidth="1"/>
    <col min="7172" max="7172" width="14.6666666666667" style="1" customWidth="1"/>
    <col min="7173" max="7173" width="14.1083333333333" style="1" customWidth="1"/>
    <col min="7174" max="7424" width="9" style="1"/>
    <col min="7425" max="7425" width="15.4416666666667" style="1" customWidth="1"/>
    <col min="7426" max="7426" width="39.775" style="1" customWidth="1"/>
    <col min="7427" max="7427" width="20.6666666666667" style="1" customWidth="1"/>
    <col min="7428" max="7428" width="14.6666666666667" style="1" customWidth="1"/>
    <col min="7429" max="7429" width="14.1083333333333" style="1" customWidth="1"/>
    <col min="7430" max="7680" width="9" style="1"/>
    <col min="7681" max="7681" width="15.4416666666667" style="1" customWidth="1"/>
    <col min="7682" max="7682" width="39.775" style="1" customWidth="1"/>
    <col min="7683" max="7683" width="20.6666666666667" style="1" customWidth="1"/>
    <col min="7684" max="7684" width="14.6666666666667" style="1" customWidth="1"/>
    <col min="7685" max="7685" width="14.1083333333333" style="1" customWidth="1"/>
    <col min="7686" max="7936" width="9" style="1"/>
    <col min="7937" max="7937" width="15.4416666666667" style="1" customWidth="1"/>
    <col min="7938" max="7938" width="39.775" style="1" customWidth="1"/>
    <col min="7939" max="7939" width="20.6666666666667" style="1" customWidth="1"/>
    <col min="7940" max="7940" width="14.6666666666667" style="1" customWidth="1"/>
    <col min="7941" max="7941" width="14.1083333333333" style="1" customWidth="1"/>
    <col min="7942" max="8192" width="9" style="1"/>
    <col min="8193" max="8193" width="15.4416666666667" style="1" customWidth="1"/>
    <col min="8194" max="8194" width="39.775" style="1" customWidth="1"/>
    <col min="8195" max="8195" width="20.6666666666667" style="1" customWidth="1"/>
    <col min="8196" max="8196" width="14.6666666666667" style="1" customWidth="1"/>
    <col min="8197" max="8197" width="14.1083333333333" style="1" customWidth="1"/>
    <col min="8198" max="8448" width="9" style="1"/>
    <col min="8449" max="8449" width="15.4416666666667" style="1" customWidth="1"/>
    <col min="8450" max="8450" width="39.775" style="1" customWidth="1"/>
    <col min="8451" max="8451" width="20.6666666666667" style="1" customWidth="1"/>
    <col min="8452" max="8452" width="14.6666666666667" style="1" customWidth="1"/>
    <col min="8453" max="8453" width="14.1083333333333" style="1" customWidth="1"/>
    <col min="8454" max="8704" width="9" style="1"/>
    <col min="8705" max="8705" width="15.4416666666667" style="1" customWidth="1"/>
    <col min="8706" max="8706" width="39.775" style="1" customWidth="1"/>
    <col min="8707" max="8707" width="20.6666666666667" style="1" customWidth="1"/>
    <col min="8708" max="8708" width="14.6666666666667" style="1" customWidth="1"/>
    <col min="8709" max="8709" width="14.1083333333333" style="1" customWidth="1"/>
    <col min="8710" max="8960" width="9" style="1"/>
    <col min="8961" max="8961" width="15.4416666666667" style="1" customWidth="1"/>
    <col min="8962" max="8962" width="39.775" style="1" customWidth="1"/>
    <col min="8963" max="8963" width="20.6666666666667" style="1" customWidth="1"/>
    <col min="8964" max="8964" width="14.6666666666667" style="1" customWidth="1"/>
    <col min="8965" max="8965" width="14.1083333333333" style="1" customWidth="1"/>
    <col min="8966" max="9216" width="9" style="1"/>
    <col min="9217" max="9217" width="15.4416666666667" style="1" customWidth="1"/>
    <col min="9218" max="9218" width="39.775" style="1" customWidth="1"/>
    <col min="9219" max="9219" width="20.6666666666667" style="1" customWidth="1"/>
    <col min="9220" max="9220" width="14.6666666666667" style="1" customWidth="1"/>
    <col min="9221" max="9221" width="14.1083333333333" style="1" customWidth="1"/>
    <col min="9222" max="9472" width="9" style="1"/>
    <col min="9473" max="9473" width="15.4416666666667" style="1" customWidth="1"/>
    <col min="9474" max="9474" width="39.775" style="1" customWidth="1"/>
    <col min="9475" max="9475" width="20.6666666666667" style="1" customWidth="1"/>
    <col min="9476" max="9476" width="14.6666666666667" style="1" customWidth="1"/>
    <col min="9477" max="9477" width="14.1083333333333" style="1" customWidth="1"/>
    <col min="9478" max="9728" width="9" style="1"/>
    <col min="9729" max="9729" width="15.4416666666667" style="1" customWidth="1"/>
    <col min="9730" max="9730" width="39.775" style="1" customWidth="1"/>
    <col min="9731" max="9731" width="20.6666666666667" style="1" customWidth="1"/>
    <col min="9732" max="9732" width="14.6666666666667" style="1" customWidth="1"/>
    <col min="9733" max="9733" width="14.1083333333333" style="1" customWidth="1"/>
    <col min="9734" max="9984" width="9" style="1"/>
    <col min="9985" max="9985" width="15.4416666666667" style="1" customWidth="1"/>
    <col min="9986" max="9986" width="39.775" style="1" customWidth="1"/>
    <col min="9987" max="9987" width="20.6666666666667" style="1" customWidth="1"/>
    <col min="9988" max="9988" width="14.6666666666667" style="1" customWidth="1"/>
    <col min="9989" max="9989" width="14.1083333333333" style="1" customWidth="1"/>
    <col min="9990" max="10240" width="9" style="1"/>
    <col min="10241" max="10241" width="15.4416666666667" style="1" customWidth="1"/>
    <col min="10242" max="10242" width="39.775" style="1" customWidth="1"/>
    <col min="10243" max="10243" width="20.6666666666667" style="1" customWidth="1"/>
    <col min="10244" max="10244" width="14.6666666666667" style="1" customWidth="1"/>
    <col min="10245" max="10245" width="14.1083333333333" style="1" customWidth="1"/>
    <col min="10246" max="10496" width="9" style="1"/>
    <col min="10497" max="10497" width="15.4416666666667" style="1" customWidth="1"/>
    <col min="10498" max="10498" width="39.775" style="1" customWidth="1"/>
    <col min="10499" max="10499" width="20.6666666666667" style="1" customWidth="1"/>
    <col min="10500" max="10500" width="14.6666666666667" style="1" customWidth="1"/>
    <col min="10501" max="10501" width="14.1083333333333" style="1" customWidth="1"/>
    <col min="10502" max="10752" width="9" style="1"/>
    <col min="10753" max="10753" width="15.4416666666667" style="1" customWidth="1"/>
    <col min="10754" max="10754" width="39.775" style="1" customWidth="1"/>
    <col min="10755" max="10755" width="20.6666666666667" style="1" customWidth="1"/>
    <col min="10756" max="10756" width="14.6666666666667" style="1" customWidth="1"/>
    <col min="10757" max="10757" width="14.1083333333333" style="1" customWidth="1"/>
    <col min="10758" max="11008" width="9" style="1"/>
    <col min="11009" max="11009" width="15.4416666666667" style="1" customWidth="1"/>
    <col min="11010" max="11010" width="39.775" style="1" customWidth="1"/>
    <col min="11011" max="11011" width="20.6666666666667" style="1" customWidth="1"/>
    <col min="11012" max="11012" width="14.6666666666667" style="1" customWidth="1"/>
    <col min="11013" max="11013" width="14.1083333333333" style="1" customWidth="1"/>
    <col min="11014" max="11264" width="9" style="1"/>
    <col min="11265" max="11265" width="15.4416666666667" style="1" customWidth="1"/>
    <col min="11266" max="11266" width="39.775" style="1" customWidth="1"/>
    <col min="11267" max="11267" width="20.6666666666667" style="1" customWidth="1"/>
    <col min="11268" max="11268" width="14.6666666666667" style="1" customWidth="1"/>
    <col min="11269" max="11269" width="14.1083333333333" style="1" customWidth="1"/>
    <col min="11270" max="11520" width="9" style="1"/>
    <col min="11521" max="11521" width="15.4416666666667" style="1" customWidth="1"/>
    <col min="11522" max="11522" width="39.775" style="1" customWidth="1"/>
    <col min="11523" max="11523" width="20.6666666666667" style="1" customWidth="1"/>
    <col min="11524" max="11524" width="14.6666666666667" style="1" customWidth="1"/>
    <col min="11525" max="11525" width="14.1083333333333" style="1" customWidth="1"/>
    <col min="11526" max="11776" width="9" style="1"/>
    <col min="11777" max="11777" width="15.4416666666667" style="1" customWidth="1"/>
    <col min="11778" max="11778" width="39.775" style="1" customWidth="1"/>
    <col min="11779" max="11779" width="20.6666666666667" style="1" customWidth="1"/>
    <col min="11780" max="11780" width="14.6666666666667" style="1" customWidth="1"/>
    <col min="11781" max="11781" width="14.1083333333333" style="1" customWidth="1"/>
    <col min="11782" max="12032" width="9" style="1"/>
    <col min="12033" max="12033" width="15.4416666666667" style="1" customWidth="1"/>
    <col min="12034" max="12034" width="39.775" style="1" customWidth="1"/>
    <col min="12035" max="12035" width="20.6666666666667" style="1" customWidth="1"/>
    <col min="12036" max="12036" width="14.6666666666667" style="1" customWidth="1"/>
    <col min="12037" max="12037" width="14.1083333333333" style="1" customWidth="1"/>
    <col min="12038" max="12288" width="9" style="1"/>
    <col min="12289" max="12289" width="15.4416666666667" style="1" customWidth="1"/>
    <col min="12290" max="12290" width="39.775" style="1" customWidth="1"/>
    <col min="12291" max="12291" width="20.6666666666667" style="1" customWidth="1"/>
    <col min="12292" max="12292" width="14.6666666666667" style="1" customWidth="1"/>
    <col min="12293" max="12293" width="14.1083333333333" style="1" customWidth="1"/>
    <col min="12294" max="12544" width="9" style="1"/>
    <col min="12545" max="12545" width="15.4416666666667" style="1" customWidth="1"/>
    <col min="12546" max="12546" width="39.775" style="1" customWidth="1"/>
    <col min="12547" max="12547" width="20.6666666666667" style="1" customWidth="1"/>
    <col min="12548" max="12548" width="14.6666666666667" style="1" customWidth="1"/>
    <col min="12549" max="12549" width="14.1083333333333" style="1" customWidth="1"/>
    <col min="12550" max="12800" width="9" style="1"/>
    <col min="12801" max="12801" width="15.4416666666667" style="1" customWidth="1"/>
    <col min="12802" max="12802" width="39.775" style="1" customWidth="1"/>
    <col min="12803" max="12803" width="20.6666666666667" style="1" customWidth="1"/>
    <col min="12804" max="12804" width="14.6666666666667" style="1" customWidth="1"/>
    <col min="12805" max="12805" width="14.1083333333333" style="1" customWidth="1"/>
    <col min="12806" max="13056" width="9" style="1"/>
    <col min="13057" max="13057" width="15.4416666666667" style="1" customWidth="1"/>
    <col min="13058" max="13058" width="39.775" style="1" customWidth="1"/>
    <col min="13059" max="13059" width="20.6666666666667" style="1" customWidth="1"/>
    <col min="13060" max="13060" width="14.6666666666667" style="1" customWidth="1"/>
    <col min="13061" max="13061" width="14.1083333333333" style="1" customWidth="1"/>
    <col min="13062" max="13312" width="9" style="1"/>
    <col min="13313" max="13313" width="15.4416666666667" style="1" customWidth="1"/>
    <col min="13314" max="13314" width="39.775" style="1" customWidth="1"/>
    <col min="13315" max="13315" width="20.6666666666667" style="1" customWidth="1"/>
    <col min="13316" max="13316" width="14.6666666666667" style="1" customWidth="1"/>
    <col min="13317" max="13317" width="14.1083333333333" style="1" customWidth="1"/>
    <col min="13318" max="13568" width="9" style="1"/>
    <col min="13569" max="13569" width="15.4416666666667" style="1" customWidth="1"/>
    <col min="13570" max="13570" width="39.775" style="1" customWidth="1"/>
    <col min="13571" max="13571" width="20.6666666666667" style="1" customWidth="1"/>
    <col min="13572" max="13572" width="14.6666666666667" style="1" customWidth="1"/>
    <col min="13573" max="13573" width="14.1083333333333" style="1" customWidth="1"/>
    <col min="13574" max="13824" width="9" style="1"/>
    <col min="13825" max="13825" width="15.4416666666667" style="1" customWidth="1"/>
    <col min="13826" max="13826" width="39.775" style="1" customWidth="1"/>
    <col min="13827" max="13827" width="20.6666666666667" style="1" customWidth="1"/>
    <col min="13828" max="13828" width="14.6666666666667" style="1" customWidth="1"/>
    <col min="13829" max="13829" width="14.1083333333333" style="1" customWidth="1"/>
    <col min="13830" max="14080" width="9" style="1"/>
    <col min="14081" max="14081" width="15.4416666666667" style="1" customWidth="1"/>
    <col min="14082" max="14082" width="39.775" style="1" customWidth="1"/>
    <col min="14083" max="14083" width="20.6666666666667" style="1" customWidth="1"/>
    <col min="14084" max="14084" width="14.6666666666667" style="1" customWidth="1"/>
    <col min="14085" max="14085" width="14.1083333333333" style="1" customWidth="1"/>
    <col min="14086" max="14336" width="9" style="1"/>
    <col min="14337" max="14337" width="15.4416666666667" style="1" customWidth="1"/>
    <col min="14338" max="14338" width="39.775" style="1" customWidth="1"/>
    <col min="14339" max="14339" width="20.6666666666667" style="1" customWidth="1"/>
    <col min="14340" max="14340" width="14.6666666666667" style="1" customWidth="1"/>
    <col min="14341" max="14341" width="14.1083333333333" style="1" customWidth="1"/>
    <col min="14342" max="14592" width="9" style="1"/>
    <col min="14593" max="14593" width="15.4416666666667" style="1" customWidth="1"/>
    <col min="14594" max="14594" width="39.775" style="1" customWidth="1"/>
    <col min="14595" max="14595" width="20.6666666666667" style="1" customWidth="1"/>
    <col min="14596" max="14596" width="14.6666666666667" style="1" customWidth="1"/>
    <col min="14597" max="14597" width="14.1083333333333" style="1" customWidth="1"/>
    <col min="14598" max="14848" width="9" style="1"/>
    <col min="14849" max="14849" width="15.4416666666667" style="1" customWidth="1"/>
    <col min="14850" max="14850" width="39.775" style="1" customWidth="1"/>
    <col min="14851" max="14851" width="20.6666666666667" style="1" customWidth="1"/>
    <col min="14852" max="14852" width="14.6666666666667" style="1" customWidth="1"/>
    <col min="14853" max="14853" width="14.1083333333333" style="1" customWidth="1"/>
    <col min="14854" max="15104" width="9" style="1"/>
    <col min="15105" max="15105" width="15.4416666666667" style="1" customWidth="1"/>
    <col min="15106" max="15106" width="39.775" style="1" customWidth="1"/>
    <col min="15107" max="15107" width="20.6666666666667" style="1" customWidth="1"/>
    <col min="15108" max="15108" width="14.6666666666667" style="1" customWidth="1"/>
    <col min="15109" max="15109" width="14.1083333333333" style="1" customWidth="1"/>
    <col min="15110" max="15360" width="9" style="1"/>
    <col min="15361" max="15361" width="15.4416666666667" style="1" customWidth="1"/>
    <col min="15362" max="15362" width="39.775" style="1" customWidth="1"/>
    <col min="15363" max="15363" width="20.6666666666667" style="1" customWidth="1"/>
    <col min="15364" max="15364" width="14.6666666666667" style="1" customWidth="1"/>
    <col min="15365" max="15365" width="14.1083333333333" style="1" customWidth="1"/>
    <col min="15366" max="15616" width="9" style="1"/>
    <col min="15617" max="15617" width="15.4416666666667" style="1" customWidth="1"/>
    <col min="15618" max="15618" width="39.775" style="1" customWidth="1"/>
    <col min="15619" max="15619" width="20.6666666666667" style="1" customWidth="1"/>
    <col min="15620" max="15620" width="14.6666666666667" style="1" customWidth="1"/>
    <col min="15621" max="15621" width="14.1083333333333" style="1" customWidth="1"/>
    <col min="15622" max="15872" width="9" style="1"/>
    <col min="15873" max="15873" width="15.4416666666667" style="1" customWidth="1"/>
    <col min="15874" max="15874" width="39.775" style="1" customWidth="1"/>
    <col min="15875" max="15875" width="20.6666666666667" style="1" customWidth="1"/>
    <col min="15876" max="15876" width="14.6666666666667" style="1" customWidth="1"/>
    <col min="15877" max="15877" width="14.1083333333333" style="1" customWidth="1"/>
    <col min="15878" max="16128" width="9" style="1"/>
    <col min="16129" max="16129" width="15.4416666666667" style="1" customWidth="1"/>
    <col min="16130" max="16130" width="39.775" style="1" customWidth="1"/>
    <col min="16131" max="16131" width="20.6666666666667" style="1" customWidth="1"/>
    <col min="16132" max="16132" width="14.6666666666667" style="1" customWidth="1"/>
    <col min="16133" max="16133" width="14.1083333333333" style="1" customWidth="1"/>
    <col min="16134" max="16384" width="9" style="1"/>
  </cols>
  <sheetData>
    <row r="1" ht="39" customHeight="1" spans="1:6">
      <c r="A1" s="2" t="s">
        <v>0</v>
      </c>
      <c r="B1" s="2"/>
      <c r="C1" s="2"/>
      <c r="D1" s="2"/>
      <c r="E1" s="2"/>
      <c r="F1" s="2"/>
    </row>
    <row r="2" ht="27.75" customHeight="1" spans="1:7">
      <c r="A2" s="3" t="s">
        <v>1</v>
      </c>
      <c r="B2" s="4" t="s">
        <v>2</v>
      </c>
      <c r="C2" s="4"/>
      <c r="D2" s="4"/>
      <c r="E2" s="29"/>
      <c r="G2" s="30" t="s">
        <v>3</v>
      </c>
    </row>
    <row r="3" ht="22.5" customHeight="1" spans="1:7">
      <c r="A3" s="5" t="s">
        <v>4</v>
      </c>
      <c r="B3" s="6" t="s">
        <v>5</v>
      </c>
      <c r="C3" s="7" t="s">
        <v>6</v>
      </c>
      <c r="D3" s="8" t="s">
        <v>7</v>
      </c>
      <c r="E3" s="8" t="s">
        <v>8</v>
      </c>
      <c r="F3" s="8" t="s">
        <v>9</v>
      </c>
      <c r="G3" s="31" t="s">
        <v>10</v>
      </c>
    </row>
    <row r="4" ht="22.5" customHeight="1" spans="1:7">
      <c r="A4" s="9"/>
      <c r="B4" s="10"/>
      <c r="C4" s="10"/>
      <c r="D4" s="11" t="s">
        <v>11</v>
      </c>
      <c r="E4" s="11" t="s">
        <v>12</v>
      </c>
      <c r="F4" s="11" t="s">
        <v>13</v>
      </c>
      <c r="G4" s="32" t="s">
        <v>14</v>
      </c>
    </row>
    <row r="5" ht="25.5" customHeight="1" spans="1:7">
      <c r="A5" s="12">
        <v>1</v>
      </c>
      <c r="B5" s="13" t="s">
        <v>15</v>
      </c>
      <c r="C5" s="14" t="s">
        <v>16</v>
      </c>
      <c r="D5" s="15">
        <f>D9+D12+D15+D18+D21+D24+D27</f>
        <v>0</v>
      </c>
      <c r="E5" s="15">
        <f>E9+E12+E15+E18+E21+E24+E27</f>
        <v>0</v>
      </c>
      <c r="F5" s="15">
        <f>F9+F12+F15+F18+F21+F24+F27</f>
        <v>0</v>
      </c>
      <c r="G5" s="33"/>
    </row>
    <row r="6" ht="25.5" customHeight="1" spans="1:7">
      <c r="A6" s="16"/>
      <c r="B6" s="17"/>
      <c r="C6" s="14" t="s">
        <v>17</v>
      </c>
      <c r="D6" s="15">
        <f>D10+D13+D16+D19+D22+D25+D28</f>
        <v>0</v>
      </c>
      <c r="E6" s="15">
        <f>E10+E13+E16+E19+E22+E25+E28</f>
        <v>0</v>
      </c>
      <c r="F6" s="15">
        <f t="shared" ref="F6" si="0">F10+F13+F16+F19+F22+F25+F28</f>
        <v>0</v>
      </c>
      <c r="G6" s="33"/>
    </row>
    <row r="7" ht="25.5" customHeight="1" spans="1:7">
      <c r="A7" s="16"/>
      <c r="B7" s="17"/>
      <c r="C7" s="14" t="s">
        <v>18</v>
      </c>
      <c r="D7" s="15">
        <f t="shared" ref="D7:F7" si="1">D11+D14+D17+D20+D23+D26+D29</f>
        <v>0</v>
      </c>
      <c r="E7" s="15">
        <f t="shared" si="1"/>
        <v>0</v>
      </c>
      <c r="F7" s="15">
        <f t="shared" si="1"/>
        <v>0</v>
      </c>
      <c r="G7" s="33"/>
    </row>
    <row r="8" ht="25.5" customHeight="1" spans="1:7">
      <c r="A8" s="18"/>
      <c r="B8" s="19"/>
      <c r="C8" s="14" t="s">
        <v>19</v>
      </c>
      <c r="D8" s="15">
        <f>SUM(D5:D7)</f>
        <v>0</v>
      </c>
      <c r="E8" s="15">
        <f t="shared" ref="E8:F8" si="2">SUM(E5:E7)</f>
        <v>0</v>
      </c>
      <c r="F8" s="15">
        <f t="shared" si="2"/>
        <v>0</v>
      </c>
      <c r="G8" s="34">
        <f>MAX(D8,E8,F8)</f>
        <v>0</v>
      </c>
    </row>
    <row r="9" ht="24.75" customHeight="1" spans="1:7">
      <c r="A9" s="12">
        <v>2</v>
      </c>
      <c r="B9" s="13" t="s">
        <v>20</v>
      </c>
      <c r="C9" s="14" t="s">
        <v>21</v>
      </c>
      <c r="D9" s="20"/>
      <c r="E9" s="20"/>
      <c r="F9" s="20"/>
      <c r="G9" s="33"/>
    </row>
    <row r="10" ht="24.75" customHeight="1" spans="1:7">
      <c r="A10" s="16"/>
      <c r="B10" s="17"/>
      <c r="C10" s="14" t="s">
        <v>22</v>
      </c>
      <c r="D10" s="20"/>
      <c r="E10" s="20"/>
      <c r="F10" s="20"/>
      <c r="G10" s="33"/>
    </row>
    <row r="11" ht="24.75" customHeight="1" spans="1:7">
      <c r="A11" s="18"/>
      <c r="B11" s="19"/>
      <c r="C11" s="14" t="s">
        <v>23</v>
      </c>
      <c r="D11" s="20"/>
      <c r="E11" s="20"/>
      <c r="F11" s="20"/>
      <c r="G11" s="33"/>
    </row>
    <row r="12" ht="24.75" customHeight="1" spans="1:7">
      <c r="A12" s="12">
        <v>3</v>
      </c>
      <c r="B12" s="13" t="s">
        <v>24</v>
      </c>
      <c r="C12" s="14" t="s">
        <v>25</v>
      </c>
      <c r="D12" s="20"/>
      <c r="E12" s="20"/>
      <c r="F12" s="20"/>
      <c r="G12" s="33"/>
    </row>
    <row r="13" ht="24.75" customHeight="1" spans="1:7">
      <c r="A13" s="16"/>
      <c r="B13" s="17"/>
      <c r="C13" s="14" t="s">
        <v>26</v>
      </c>
      <c r="D13" s="20"/>
      <c r="E13" s="20"/>
      <c r="F13" s="20"/>
      <c r="G13" s="33"/>
    </row>
    <row r="14" ht="24.75" customHeight="1" spans="1:7">
      <c r="A14" s="18"/>
      <c r="B14" s="19"/>
      <c r="C14" s="14" t="s">
        <v>27</v>
      </c>
      <c r="D14" s="20"/>
      <c r="E14" s="20"/>
      <c r="F14" s="20"/>
      <c r="G14" s="33"/>
    </row>
    <row r="15" ht="24.75" customHeight="1" spans="1:7">
      <c r="A15" s="12">
        <v>4</v>
      </c>
      <c r="B15" s="13" t="s">
        <v>28</v>
      </c>
      <c r="C15" s="14" t="s">
        <v>29</v>
      </c>
      <c r="D15" s="20"/>
      <c r="E15" s="20"/>
      <c r="F15" s="20"/>
      <c r="G15" s="33"/>
    </row>
    <row r="16" ht="24.75" customHeight="1" spans="1:7">
      <c r="A16" s="16"/>
      <c r="B16" s="17"/>
      <c r="C16" s="14" t="s">
        <v>30</v>
      </c>
      <c r="D16" s="20"/>
      <c r="E16" s="20"/>
      <c r="F16" s="20"/>
      <c r="G16" s="33"/>
    </row>
    <row r="17" ht="24.75" customHeight="1" spans="1:7">
      <c r="A17" s="18"/>
      <c r="B17" s="19"/>
      <c r="C17" s="14" t="s">
        <v>31</v>
      </c>
      <c r="D17" s="20"/>
      <c r="E17" s="20"/>
      <c r="F17" s="20"/>
      <c r="G17" s="33"/>
    </row>
    <row r="18" ht="24.75" customHeight="1" spans="1:7">
      <c r="A18" s="12">
        <v>5</v>
      </c>
      <c r="B18" s="13" t="s">
        <v>32</v>
      </c>
      <c r="C18" s="14" t="s">
        <v>33</v>
      </c>
      <c r="D18" s="20"/>
      <c r="E18" s="20"/>
      <c r="F18" s="20"/>
      <c r="G18" s="33"/>
    </row>
    <row r="19" ht="24.75" customHeight="1" spans="1:7">
      <c r="A19" s="16"/>
      <c r="B19" s="17"/>
      <c r="C19" s="14" t="s">
        <v>34</v>
      </c>
      <c r="D19" s="20"/>
      <c r="E19" s="20"/>
      <c r="F19" s="20"/>
      <c r="G19" s="33"/>
    </row>
    <row r="20" ht="24.75" customHeight="1" spans="1:7">
      <c r="A20" s="18"/>
      <c r="B20" s="19"/>
      <c r="C20" s="14" t="s">
        <v>35</v>
      </c>
      <c r="D20" s="20"/>
      <c r="E20" s="20"/>
      <c r="F20" s="20"/>
      <c r="G20" s="33"/>
    </row>
    <row r="21" ht="24.75" customHeight="1" spans="1:7">
      <c r="A21" s="12">
        <v>6</v>
      </c>
      <c r="B21" s="13" t="s">
        <v>36</v>
      </c>
      <c r="C21" s="14" t="s">
        <v>37</v>
      </c>
      <c r="D21" s="20"/>
      <c r="E21" s="20"/>
      <c r="F21" s="20"/>
      <c r="G21" s="33"/>
    </row>
    <row r="22" ht="24.75" customHeight="1" spans="1:7">
      <c r="A22" s="16"/>
      <c r="B22" s="17"/>
      <c r="C22" s="14" t="s">
        <v>38</v>
      </c>
      <c r="D22" s="20"/>
      <c r="E22" s="20"/>
      <c r="F22" s="20"/>
      <c r="G22" s="33"/>
    </row>
    <row r="23" ht="24.75" customHeight="1" spans="1:7">
      <c r="A23" s="18"/>
      <c r="B23" s="19"/>
      <c r="C23" s="14" t="s">
        <v>39</v>
      </c>
      <c r="D23" s="20"/>
      <c r="E23" s="20"/>
      <c r="F23" s="20"/>
      <c r="G23" s="33"/>
    </row>
    <row r="24" ht="24.75" customHeight="1" spans="1:7">
      <c r="A24" s="12">
        <v>7</v>
      </c>
      <c r="B24" s="13" t="s">
        <v>40</v>
      </c>
      <c r="C24" s="14" t="s">
        <v>41</v>
      </c>
      <c r="D24" s="20"/>
      <c r="E24" s="20"/>
      <c r="F24" s="20"/>
      <c r="G24" s="33"/>
    </row>
    <row r="25" ht="24.75" customHeight="1" spans="1:7">
      <c r="A25" s="16"/>
      <c r="B25" s="17"/>
      <c r="C25" s="14" t="s">
        <v>42</v>
      </c>
      <c r="D25" s="20"/>
      <c r="E25" s="20"/>
      <c r="F25" s="20"/>
      <c r="G25" s="33"/>
    </row>
    <row r="26" ht="24.75" customHeight="1" spans="1:7">
      <c r="A26" s="18"/>
      <c r="B26" s="19"/>
      <c r="C26" s="14" t="s">
        <v>43</v>
      </c>
      <c r="D26" s="20"/>
      <c r="E26" s="20"/>
      <c r="F26" s="20"/>
      <c r="G26" s="33"/>
    </row>
    <row r="27" ht="24.75" customHeight="1" spans="1:7">
      <c r="A27" s="12">
        <v>8</v>
      </c>
      <c r="B27" s="13" t="s">
        <v>44</v>
      </c>
      <c r="C27" s="14" t="s">
        <v>45</v>
      </c>
      <c r="D27" s="20"/>
      <c r="E27" s="20"/>
      <c r="F27" s="20"/>
      <c r="G27" s="33"/>
    </row>
    <row r="28" ht="24.75" customHeight="1" spans="1:7">
      <c r="A28" s="16"/>
      <c r="B28" s="17"/>
      <c r="C28" s="14" t="s">
        <v>46</v>
      </c>
      <c r="D28" s="20"/>
      <c r="E28" s="20"/>
      <c r="F28" s="20"/>
      <c r="G28" s="33"/>
    </row>
    <row r="29" ht="24.75" customHeight="1" spans="1:7">
      <c r="A29" s="18"/>
      <c r="B29" s="19"/>
      <c r="C29" s="14" t="s">
        <v>47</v>
      </c>
      <c r="D29" s="20"/>
      <c r="E29" s="20"/>
      <c r="F29" s="20"/>
      <c r="G29" s="33"/>
    </row>
    <row r="30" ht="24" customHeight="1" spans="1:7">
      <c r="A30" s="12">
        <v>9</v>
      </c>
      <c r="B30" s="13" t="s">
        <v>48</v>
      </c>
      <c r="C30" s="21" t="s">
        <v>49</v>
      </c>
      <c r="D30" s="22"/>
      <c r="E30" s="22"/>
      <c r="F30" s="22"/>
      <c r="G30" s="35"/>
    </row>
    <row r="31" ht="25.5" customHeight="1" spans="1:7">
      <c r="A31" s="16"/>
      <c r="B31" s="17"/>
      <c r="C31" s="21" t="s">
        <v>50</v>
      </c>
      <c r="D31" s="22"/>
      <c r="E31" s="22"/>
      <c r="F31" s="22"/>
      <c r="G31" s="35"/>
    </row>
    <row r="32" ht="25.5" customHeight="1" spans="1:7">
      <c r="A32" s="16"/>
      <c r="B32" s="17"/>
      <c r="C32" s="21" t="s">
        <v>51</v>
      </c>
      <c r="D32" s="22"/>
      <c r="E32" s="22"/>
      <c r="F32" s="22"/>
      <c r="G32" s="35"/>
    </row>
    <row r="33" ht="25.5" customHeight="1" spans="1:7">
      <c r="A33" s="18"/>
      <c r="B33" s="19"/>
      <c r="C33" s="21" t="s">
        <v>52</v>
      </c>
      <c r="D33" s="22"/>
      <c r="E33" s="22"/>
      <c r="F33" s="22"/>
      <c r="G33" s="34">
        <f>SUM(G30:G32)</f>
        <v>0</v>
      </c>
    </row>
    <row r="34" ht="27" customHeight="1" spans="1:7">
      <c r="A34" s="12">
        <v>10</v>
      </c>
      <c r="B34" s="13" t="s">
        <v>53</v>
      </c>
      <c r="C34" s="14" t="s">
        <v>54</v>
      </c>
      <c r="D34" s="22"/>
      <c r="E34" s="22"/>
      <c r="F34" s="22"/>
      <c r="G34" s="35"/>
    </row>
    <row r="35" ht="27" customHeight="1" spans="1:7">
      <c r="A35" s="16"/>
      <c r="B35" s="17"/>
      <c r="C35" s="14" t="s">
        <v>55</v>
      </c>
      <c r="D35" s="22"/>
      <c r="E35" s="22"/>
      <c r="F35" s="22"/>
      <c r="G35" s="35"/>
    </row>
    <row r="36" ht="27" customHeight="1" spans="1:7">
      <c r="A36" s="18"/>
      <c r="B36" s="19"/>
      <c r="C36" s="14" t="s">
        <v>56</v>
      </c>
      <c r="D36" s="22"/>
      <c r="E36" s="22"/>
      <c r="F36" s="22"/>
      <c r="G36" s="34">
        <f>SUM(G34:G35)</f>
        <v>0</v>
      </c>
    </row>
    <row r="37" ht="27" customHeight="1" spans="1:7">
      <c r="A37" s="23">
        <v>11</v>
      </c>
      <c r="B37" s="24" t="s">
        <v>57</v>
      </c>
      <c r="C37" s="22"/>
      <c r="D37" s="22"/>
      <c r="E37" s="22"/>
      <c r="F37" s="22"/>
      <c r="G37" s="35"/>
    </row>
    <row r="38" ht="27" customHeight="1" spans="1:7">
      <c r="A38" s="23">
        <v>12</v>
      </c>
      <c r="B38" s="24" t="s">
        <v>58</v>
      </c>
      <c r="C38" s="22"/>
      <c r="D38" s="22"/>
      <c r="E38" s="22"/>
      <c r="F38" s="22"/>
      <c r="G38" s="35"/>
    </row>
    <row r="39" ht="29.25" customHeight="1" spans="1:7">
      <c r="A39" s="23">
        <v>13</v>
      </c>
      <c r="B39" s="24" t="s">
        <v>59</v>
      </c>
      <c r="C39" s="22"/>
      <c r="D39" s="22"/>
      <c r="E39" s="22"/>
      <c r="F39" s="22"/>
      <c r="G39" s="36">
        <f>G8+G33+G36+G37+G38</f>
        <v>0</v>
      </c>
    </row>
    <row r="40" ht="30" customHeight="1" spans="1:7">
      <c r="A40" s="23">
        <v>14</v>
      </c>
      <c r="B40" s="25" t="s">
        <v>60</v>
      </c>
      <c r="C40" s="26"/>
      <c r="D40" s="26"/>
      <c r="E40" s="26"/>
      <c r="F40" s="26"/>
      <c r="G40" s="37">
        <f>G39*12.5</f>
        <v>0</v>
      </c>
    </row>
    <row r="41" ht="19.5" customHeight="1" spans="1:5">
      <c r="A41" s="27" t="s">
        <v>61</v>
      </c>
      <c r="B41" s="27" t="s">
        <v>62</v>
      </c>
      <c r="C41" s="27"/>
      <c r="D41" s="27"/>
      <c r="E41" s="38" t="s">
        <v>63</v>
      </c>
    </row>
    <row r="45" spans="2:4">
      <c r="B45" s="28"/>
      <c r="C45" s="28"/>
      <c r="D45" s="28"/>
    </row>
  </sheetData>
  <mergeCells count="24">
    <mergeCell ref="A1:F1"/>
    <mergeCell ref="A3:A4"/>
    <mergeCell ref="A5:A8"/>
    <mergeCell ref="A9:A11"/>
    <mergeCell ref="A12:A14"/>
    <mergeCell ref="A15:A17"/>
    <mergeCell ref="A18:A20"/>
    <mergeCell ref="A21:A23"/>
    <mergeCell ref="A24:A26"/>
    <mergeCell ref="A27:A29"/>
    <mergeCell ref="A30:A33"/>
    <mergeCell ref="A34:A36"/>
    <mergeCell ref="B3:B4"/>
    <mergeCell ref="B5:B8"/>
    <mergeCell ref="B9:B11"/>
    <mergeCell ref="B12:B14"/>
    <mergeCell ref="B15:B17"/>
    <mergeCell ref="B18:B20"/>
    <mergeCell ref="B21:B23"/>
    <mergeCell ref="B24:B26"/>
    <mergeCell ref="B27:B29"/>
    <mergeCell ref="B30:B33"/>
    <mergeCell ref="B34:B36"/>
    <mergeCell ref="C3:C4"/>
  </mergeCells>
  <printOptions horizontalCentered="1"/>
  <pageMargins left="0.747916666666667" right="0.747916666666667" top="0.984027777777778" bottom="0.984027777777778" header="0.511805555555556" footer="0.511805555555556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G4C-2(a)市场风险标准法资本要求情况表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陈静</cp:lastModifiedBy>
  <dcterms:created xsi:type="dcterms:W3CDTF">2006-09-16T08:00:00Z</dcterms:created>
  <dcterms:modified xsi:type="dcterms:W3CDTF">2024-12-12T17:42:28Z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2052-11.8.2.11764</vt:lpwstr>
  </property>
  <property fmtid="{D5CDD505-2E9C-101B-9397-08002B2CF9AE}" pid="3" name="ICV">
    <vt:lpwstr>30598477BD284ABF9AE5CBD68894F937_13</vt:lpwstr>
  </property>
</Properties>
</file>