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/>
  </bookViews>
  <sheets>
    <sheet name="G4C-1 " sheetId="2" r:id="rId1"/>
  </sheets>
  <calcPr calcId="144525"/>
</workbook>
</file>

<file path=xl/sharedStrings.xml><?xml version="1.0" encoding="utf-8"?>
<sst xmlns="http://schemas.openxmlformats.org/spreadsheetml/2006/main" count="33" uniqueCount="33">
  <si>
    <t>G4C_I 市场风险资本要求情况表（简化标准法）(新规)</t>
  </si>
  <si>
    <t>填报机构：</t>
  </si>
  <si>
    <r>
      <rPr>
        <sz val="10"/>
        <rFont val="宋体"/>
        <charset val="134"/>
      </rPr>
      <t>报表日期：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日</t>
    </r>
  </si>
  <si>
    <t>单位：万元</t>
  </si>
  <si>
    <t>序号</t>
  </si>
  <si>
    <t>项                   目</t>
  </si>
  <si>
    <t>金额</t>
  </si>
  <si>
    <t>A</t>
  </si>
  <si>
    <t>1.利率风险</t>
  </si>
  <si>
    <r>
      <rPr>
        <sz val="10"/>
        <color indexed="8"/>
        <rFont val="Times New Roman"/>
        <charset val="134"/>
      </rPr>
      <t xml:space="preserve">     1.1</t>
    </r>
    <r>
      <rPr>
        <sz val="10"/>
        <color indexed="8"/>
        <rFont val="宋体"/>
        <charset val="134"/>
      </rPr>
      <t>一般风险</t>
    </r>
  </si>
  <si>
    <r>
      <rPr>
        <sz val="10"/>
        <color indexed="8"/>
        <rFont val="Times New Roman"/>
        <charset val="134"/>
      </rPr>
      <t xml:space="preserve">     1.2</t>
    </r>
    <r>
      <rPr>
        <sz val="10"/>
        <color indexed="8"/>
        <rFont val="宋体"/>
        <charset val="134"/>
      </rPr>
      <t>特定风险</t>
    </r>
  </si>
  <si>
    <r>
      <rPr>
        <sz val="10"/>
        <color indexed="8"/>
        <rFont val="Times New Roman"/>
        <charset val="134"/>
      </rPr>
      <t xml:space="preserve">     1.3</t>
    </r>
    <r>
      <rPr>
        <sz val="10"/>
        <color indexed="8"/>
        <rFont val="宋体"/>
        <charset val="134"/>
      </rPr>
      <t>期权风险（简易法）</t>
    </r>
  </si>
  <si>
    <r>
      <rPr>
        <sz val="10"/>
        <color indexed="8"/>
        <rFont val="Times New Roman"/>
        <charset val="134"/>
      </rPr>
      <t xml:space="preserve">     1.4</t>
    </r>
    <r>
      <rPr>
        <sz val="10"/>
        <color indexed="8"/>
        <rFont val="宋体"/>
        <charset val="134"/>
      </rPr>
      <t>期权风险（得尔塔</t>
    </r>
    <r>
      <rPr>
        <sz val="10"/>
        <color indexed="8"/>
        <rFont val="Times New Roman"/>
        <charset val="134"/>
      </rPr>
      <t>+</t>
    </r>
    <r>
      <rPr>
        <sz val="10"/>
        <color indexed="8"/>
        <rFont val="宋体"/>
        <charset val="134"/>
      </rPr>
      <t>法）</t>
    </r>
  </si>
  <si>
    <t>2.股票风险</t>
  </si>
  <si>
    <r>
      <rPr>
        <sz val="10"/>
        <color indexed="8"/>
        <rFont val="Times New Roman"/>
        <charset val="134"/>
      </rPr>
      <t xml:space="preserve">     2.1</t>
    </r>
    <r>
      <rPr>
        <sz val="10"/>
        <color indexed="8"/>
        <rFont val="宋体"/>
        <charset val="134"/>
      </rPr>
      <t>一般风险</t>
    </r>
  </si>
  <si>
    <r>
      <rPr>
        <sz val="10"/>
        <color indexed="8"/>
        <rFont val="Times New Roman"/>
        <charset val="134"/>
      </rPr>
      <t xml:space="preserve">     2.2</t>
    </r>
    <r>
      <rPr>
        <sz val="10"/>
        <color indexed="8"/>
        <rFont val="宋体"/>
        <charset val="134"/>
      </rPr>
      <t>特定风险</t>
    </r>
  </si>
  <si>
    <r>
      <rPr>
        <sz val="10"/>
        <color indexed="8"/>
        <rFont val="Times New Roman"/>
        <charset val="134"/>
      </rPr>
      <t xml:space="preserve">     2.3</t>
    </r>
    <r>
      <rPr>
        <sz val="10"/>
        <color indexed="8"/>
        <rFont val="宋体"/>
        <charset val="134"/>
      </rPr>
      <t>期权风险（简易法）</t>
    </r>
  </si>
  <si>
    <r>
      <rPr>
        <sz val="10"/>
        <color indexed="8"/>
        <rFont val="Times New Roman"/>
        <charset val="134"/>
      </rPr>
      <t xml:space="preserve">     2.4</t>
    </r>
    <r>
      <rPr>
        <sz val="10"/>
        <color indexed="8"/>
        <rFont val="宋体"/>
        <charset val="134"/>
      </rPr>
      <t>期权风险（得尔塔</t>
    </r>
    <r>
      <rPr>
        <sz val="10"/>
        <color indexed="8"/>
        <rFont val="Times New Roman"/>
        <charset val="134"/>
      </rPr>
      <t>+</t>
    </r>
    <r>
      <rPr>
        <sz val="10"/>
        <color indexed="8"/>
        <rFont val="宋体"/>
        <charset val="134"/>
      </rPr>
      <t>法）</t>
    </r>
  </si>
  <si>
    <t>3.汇率风险</t>
  </si>
  <si>
    <r>
      <rPr>
        <sz val="10"/>
        <color indexed="8"/>
        <rFont val="Times New Roman"/>
        <charset val="134"/>
      </rPr>
      <t xml:space="preserve">     3.1</t>
    </r>
    <r>
      <rPr>
        <sz val="10"/>
        <color indexed="8"/>
        <rFont val="宋体"/>
        <charset val="134"/>
      </rPr>
      <t>一般风险</t>
    </r>
  </si>
  <si>
    <r>
      <rPr>
        <sz val="10"/>
        <color indexed="8"/>
        <rFont val="Times New Roman"/>
        <charset val="134"/>
      </rPr>
      <t xml:space="preserve">     3.2</t>
    </r>
    <r>
      <rPr>
        <sz val="10"/>
        <color indexed="8"/>
        <rFont val="宋体"/>
        <charset val="134"/>
      </rPr>
      <t>期权风险（简易法）</t>
    </r>
  </si>
  <si>
    <r>
      <rPr>
        <sz val="10"/>
        <color indexed="8"/>
        <rFont val="Times New Roman"/>
        <charset val="134"/>
      </rPr>
      <t xml:space="preserve">     3.3</t>
    </r>
    <r>
      <rPr>
        <sz val="10"/>
        <color indexed="8"/>
        <rFont val="宋体"/>
        <charset val="134"/>
      </rPr>
      <t>期权风险（得尔塔</t>
    </r>
    <r>
      <rPr>
        <sz val="10"/>
        <color indexed="8"/>
        <rFont val="Times New Roman"/>
        <charset val="134"/>
      </rPr>
      <t>+</t>
    </r>
    <r>
      <rPr>
        <sz val="10"/>
        <color indexed="8"/>
        <rFont val="宋体"/>
        <charset val="134"/>
      </rPr>
      <t>法）</t>
    </r>
  </si>
  <si>
    <t>4.商品风险</t>
  </si>
  <si>
    <r>
      <rPr>
        <sz val="10"/>
        <color indexed="8"/>
        <rFont val="Times New Roman"/>
        <charset val="134"/>
      </rPr>
      <t xml:space="preserve">     4.1</t>
    </r>
    <r>
      <rPr>
        <sz val="10"/>
        <color indexed="8"/>
        <rFont val="宋体"/>
        <charset val="134"/>
      </rPr>
      <t>一般风险</t>
    </r>
  </si>
  <si>
    <r>
      <rPr>
        <sz val="10"/>
        <color indexed="8"/>
        <rFont val="Times New Roman"/>
        <charset val="134"/>
      </rPr>
      <t xml:space="preserve">     4.2</t>
    </r>
    <r>
      <rPr>
        <sz val="10"/>
        <color indexed="8"/>
        <rFont val="宋体"/>
        <charset val="134"/>
      </rPr>
      <t>期权风险（简易法）</t>
    </r>
  </si>
  <si>
    <r>
      <rPr>
        <sz val="10"/>
        <color indexed="8"/>
        <rFont val="Times New Roman"/>
        <charset val="134"/>
      </rPr>
      <t xml:space="preserve">     4.3</t>
    </r>
    <r>
      <rPr>
        <sz val="10"/>
        <color indexed="8"/>
        <rFont val="宋体"/>
        <charset val="134"/>
      </rPr>
      <t>期权风险（得尔塔</t>
    </r>
    <r>
      <rPr>
        <sz val="10"/>
        <color indexed="8"/>
        <rFont val="Times New Roman"/>
        <charset val="134"/>
      </rPr>
      <t>+</t>
    </r>
    <r>
      <rPr>
        <sz val="10"/>
        <color indexed="8"/>
        <rFont val="宋体"/>
        <charset val="134"/>
      </rPr>
      <t>法）</t>
    </r>
  </si>
  <si>
    <t>5.交易账簿证券化风险暴露的特定风险</t>
  </si>
  <si>
    <t>7.市场风险资本要求总额</t>
  </si>
  <si>
    <t>8.市场风险的风险加权资产总额</t>
  </si>
  <si>
    <t>填表人：</t>
  </si>
  <si>
    <t>复核人：</t>
  </si>
  <si>
    <t>负责人：</t>
  </si>
  <si>
    <t>版本号：</t>
  </si>
</sst>
</file>

<file path=xl/styles.xml><?xml version="1.0" encoding="utf-8"?>
<styleSheet xmlns="http://schemas.openxmlformats.org/spreadsheetml/2006/main">
  <numFmts count="6">
    <numFmt numFmtId="176" formatCode="#,##0.00_ "/>
    <numFmt numFmtId="177" formatCode="\¥#,##0_);[Red]\(\¥#,##0\)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Times New Roman"/>
      <charset val="134"/>
    </font>
    <font>
      <b/>
      <sz val="16"/>
      <name val="宋体"/>
      <charset val="134"/>
    </font>
    <font>
      <sz val="10"/>
      <color indexed="8"/>
      <name val="Times New Roman"/>
      <charset val="134"/>
    </font>
    <font>
      <sz val="10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2"/>
      <name val="宋体"/>
      <charset val="134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0"/>
      <name val="Arial"/>
      <charset val="0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0" fontId="10" fillId="0" borderId="0">
      <alignment vertical="center"/>
    </xf>
    <xf numFmtId="0" fontId="16" fillId="0" borderId="0">
      <alignment vertical="center"/>
    </xf>
    <xf numFmtId="0" fontId="7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1" fillId="16" borderId="15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2" fillId="32" borderId="15" applyNumberFormat="0" applyAlignment="0" applyProtection="0">
      <alignment vertical="center"/>
    </xf>
    <xf numFmtId="0" fontId="14" fillId="16" borderId="13" applyNumberFormat="0" applyAlignment="0" applyProtection="0">
      <alignment vertical="center"/>
    </xf>
    <xf numFmtId="0" fontId="24" fillId="33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29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/>
    <xf numFmtId="0" fontId="6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48" applyFont="1" applyAlignment="1" applyProtection="1">
      <alignment vertical="center"/>
      <protection locked="0"/>
    </xf>
    <xf numFmtId="0" fontId="2" fillId="0" borderId="0" xfId="48" applyFont="1" applyAlignment="1" applyProtection="1">
      <alignment vertical="center"/>
      <protection locked="0"/>
    </xf>
    <xf numFmtId="0" fontId="3" fillId="0" borderId="0" xfId="48" applyFont="1" applyAlignment="1" applyProtection="1">
      <alignment horizontal="center" vertical="center" wrapText="1"/>
      <protection locked="0"/>
    </xf>
    <xf numFmtId="0" fontId="2" fillId="0" borderId="0" xfId="48" applyFont="1" applyAlignment="1" applyProtection="1">
      <alignment horizontal="left" vertical="center" wrapText="1"/>
      <protection locked="0"/>
    </xf>
    <xf numFmtId="0" fontId="1" fillId="0" borderId="0" xfId="48" applyFont="1" applyAlignment="1" applyProtection="1">
      <alignment horizontal="center" vertical="center"/>
      <protection locked="0"/>
    </xf>
    <xf numFmtId="0" fontId="1" fillId="0" borderId="0" xfId="48" applyFont="1" applyAlignment="1" applyProtection="1">
      <alignment horizontal="right" vertical="center"/>
      <protection locked="0"/>
    </xf>
    <xf numFmtId="177" fontId="4" fillId="0" borderId="1" xfId="48" applyNumberFormat="1" applyFont="1" applyBorder="1" applyAlignment="1" applyProtection="1">
      <alignment horizontal="center" vertical="center"/>
      <protection locked="0"/>
    </xf>
    <xf numFmtId="177" fontId="4" fillId="0" borderId="2" xfId="48" applyNumberFormat="1" applyFont="1" applyBorder="1" applyAlignment="1" applyProtection="1">
      <alignment horizontal="center" vertical="center"/>
      <protection locked="0"/>
    </xf>
    <xf numFmtId="177" fontId="5" fillId="0" borderId="3" xfId="0" applyNumberFormat="1" applyFont="1" applyBorder="1" applyAlignment="1" applyProtection="1">
      <alignment horizontal="center" vertical="center"/>
      <protection locked="0"/>
    </xf>
    <xf numFmtId="177" fontId="4" fillId="0" borderId="4" xfId="48" applyNumberFormat="1" applyFont="1" applyBorder="1" applyAlignment="1" applyProtection="1">
      <alignment horizontal="center" vertical="center"/>
      <protection locked="0"/>
    </xf>
    <xf numFmtId="177" fontId="4" fillId="0" borderId="5" xfId="48" applyNumberFormat="1" applyFont="1" applyBorder="1" applyAlignment="1" applyProtection="1">
      <alignment horizontal="center" vertical="center"/>
      <protection locked="0"/>
    </xf>
    <xf numFmtId="177" fontId="4" fillId="0" borderId="6" xfId="48" applyNumberFormat="1" applyFont="1" applyBorder="1" applyAlignment="1" applyProtection="1">
      <alignment horizontal="center" vertical="center"/>
      <protection locked="0"/>
    </xf>
    <xf numFmtId="0" fontId="4" fillId="0" borderId="7" xfId="48" applyFont="1" applyBorder="1" applyAlignment="1" applyProtection="1">
      <alignment horizontal="center" vertical="center"/>
      <protection locked="0"/>
    </xf>
    <xf numFmtId="177" fontId="5" fillId="0" borderId="8" xfId="48" applyNumberFormat="1" applyFont="1" applyBorder="1" applyAlignment="1" applyProtection="1">
      <alignment horizontal="left" vertical="center"/>
      <protection locked="0"/>
    </xf>
    <xf numFmtId="176" fontId="2" fillId="2" borderId="6" xfId="0" applyNumberFormat="1" applyFont="1" applyFill="1" applyBorder="1" applyAlignment="1">
      <alignment horizontal="center" vertical="center"/>
    </xf>
    <xf numFmtId="177" fontId="4" fillId="0" borderId="8" xfId="48" applyNumberFormat="1" applyFont="1" applyBorder="1" applyAlignment="1" applyProtection="1">
      <alignment horizontal="left" vertical="center"/>
      <protection locked="0"/>
    </xf>
    <xf numFmtId="176" fontId="2" fillId="3" borderId="6" xfId="0" applyNumberFormat="1" applyFont="1" applyFill="1" applyBorder="1" applyAlignment="1" applyProtection="1">
      <alignment horizontal="center" vertical="center"/>
      <protection locked="0"/>
    </xf>
    <xf numFmtId="0" fontId="5" fillId="0" borderId="8" xfId="48" applyFont="1" applyBorder="1" applyAlignment="1" applyProtection="1">
      <alignment vertical="center"/>
      <protection locked="0"/>
    </xf>
    <xf numFmtId="0" fontId="5" fillId="0" borderId="9" xfId="48" applyFont="1" applyBorder="1" applyAlignment="1" applyProtection="1">
      <alignment vertical="center"/>
      <protection locked="0"/>
    </xf>
    <xf numFmtId="176" fontId="2" fillId="2" borderId="10" xfId="0" applyNumberFormat="1" applyFont="1" applyFill="1" applyBorder="1" applyAlignment="1">
      <alignment horizontal="center" vertical="center"/>
    </xf>
    <xf numFmtId="0" fontId="5" fillId="0" borderId="0" xfId="48" applyFont="1" applyAlignment="1" applyProtection="1">
      <alignment horizontal="left" vertical="center"/>
      <protection locked="0"/>
    </xf>
    <xf numFmtId="0" fontId="2" fillId="0" borderId="0" xfId="48" applyFont="1" applyAlignment="1" applyProtection="1">
      <alignment horizontal="left" vertical="center"/>
      <protection locked="0"/>
    </xf>
  </cellXfs>
  <cellStyles count="52">
    <cellStyle name="常规" xfId="0" builtinId="0"/>
    <cellStyle name="常规_资本充足率汇总表-0223" xfId="1"/>
    <cellStyle name="常规_G01" xfId="2"/>
    <cellStyle name="40% - 强调文字颜色 6" xfId="3" builtinId="51"/>
    <cellStyle name="20% - 强调文字颜色 6" xfId="4" builtinId="50"/>
    <cellStyle name="强调文字颜色 6" xfId="5" builtinId="49"/>
    <cellStyle name="40% - 强调文字颜色 5" xfId="6" builtinId="47"/>
    <cellStyle name="20% - 强调文字颜色 5" xfId="7" builtinId="46"/>
    <cellStyle name="强调文字颜色 5" xfId="8" builtinId="45"/>
    <cellStyle name="40% - 强调文字颜色 4" xfId="9" builtinId="43"/>
    <cellStyle name="标题 3" xfId="10" builtinId="18"/>
    <cellStyle name="解释性文本" xfId="11" builtinId="53"/>
    <cellStyle name="汇总" xfId="12" builtinId="25"/>
    <cellStyle name="百分比" xfId="13" builtinId="5"/>
    <cellStyle name="千位分隔" xfId="14" builtinId="3"/>
    <cellStyle name="标题 2" xfId="15" builtinId="17"/>
    <cellStyle name="货币[0]" xfId="16" builtinId="7"/>
    <cellStyle name="60% - 强调文字颜色 4" xfId="17" builtinId="44"/>
    <cellStyle name="警告文本" xfId="18" builtinId="11"/>
    <cellStyle name="20% - 强调文字颜色 2" xfId="19" builtinId="34"/>
    <cellStyle name="60% - 强调文字颜色 5" xfId="20" builtinId="48"/>
    <cellStyle name="标题 1" xfId="21" builtinId="16"/>
    <cellStyle name="超链接" xfId="22" builtinId="8"/>
    <cellStyle name="20% - 强调文字颜色 3" xfId="23" builtinId="38"/>
    <cellStyle name="货币" xfId="24" builtinId="4"/>
    <cellStyle name="20% - 强调文字颜色 4" xfId="25" builtinId="42"/>
    <cellStyle name="计算" xfId="26" builtinId="22"/>
    <cellStyle name="已访问的超链接" xfId="27" builtinId="9"/>
    <cellStyle name="千位分隔[0]" xfId="28" builtinId="6"/>
    <cellStyle name="强调文字颜色 4" xfId="29" builtinId="41"/>
    <cellStyle name="40% - 强调文字颜色 3" xfId="30" builtinId="39"/>
    <cellStyle name="60% - 强调文字颜色 6" xfId="31" builtinId="52"/>
    <cellStyle name="输入" xfId="32" builtinId="20"/>
    <cellStyle name="输出" xfId="33" builtinId="21"/>
    <cellStyle name="检查单元格" xfId="34" builtinId="23"/>
    <cellStyle name="链接单元格" xfId="35" builtinId="24"/>
    <cellStyle name="60% - 强调文字颜色 1" xfId="36" builtinId="32"/>
    <cellStyle name="60% - 强调文字颜色 3" xfId="37" builtinId="40"/>
    <cellStyle name="注释" xfId="38" builtinId="10"/>
    <cellStyle name="标题" xfId="39" builtinId="15"/>
    <cellStyle name="好" xfId="40" builtinId="26"/>
    <cellStyle name="标题 4" xfId="41" builtinId="19"/>
    <cellStyle name="强调文字颜色 1" xfId="42" builtinId="29"/>
    <cellStyle name="适中" xfId="43" builtinId="28"/>
    <cellStyle name="20% - 强调文字颜色 1" xfId="44" builtinId="30"/>
    <cellStyle name="差" xfId="45" builtinId="27"/>
    <cellStyle name="强调文字颜色 2" xfId="46" builtinId="33"/>
    <cellStyle name="40% - 强调文字颜色 1" xfId="47" builtinId="31"/>
    <cellStyle name="常规 2" xfId="48"/>
    <cellStyle name="60% - 强调文字颜色 2" xfId="49" builtinId="36"/>
    <cellStyle name="40% - 强调文字颜色 2" xfId="50" builtinId="35"/>
    <cellStyle name="强调文字颜色 3" xfId="51" builtinId="37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0"/>
  <sheetViews>
    <sheetView tabSelected="1" workbookViewId="0">
      <selection activeCell="H12" sqref="H12"/>
    </sheetView>
  </sheetViews>
  <sheetFormatPr defaultColWidth="9" defaultRowHeight="12.75" outlineLevelCol="2"/>
  <cols>
    <col min="1" max="1" width="15.4416666666667" style="2" customWidth="1"/>
    <col min="2" max="2" width="47.4416666666667" style="2" customWidth="1"/>
    <col min="3" max="3" width="11.4416666666667" style="2" customWidth="1"/>
    <col min="4" max="252" width="9" style="2"/>
    <col min="253" max="253" width="15.4416666666667" style="2" customWidth="1"/>
    <col min="254" max="254" width="39.775" style="2" customWidth="1"/>
    <col min="255" max="255" width="20.6666666666667" style="2" customWidth="1"/>
    <col min="256" max="256" width="14.6666666666667" style="2" customWidth="1"/>
    <col min="257" max="257" width="14.1083333333333" style="2" customWidth="1"/>
    <col min="258" max="508" width="9" style="2"/>
    <col min="509" max="509" width="15.4416666666667" style="2" customWidth="1"/>
    <col min="510" max="510" width="39.775" style="2" customWidth="1"/>
    <col min="511" max="511" width="20.6666666666667" style="2" customWidth="1"/>
    <col min="512" max="512" width="14.6666666666667" style="2" customWidth="1"/>
    <col min="513" max="513" width="14.1083333333333" style="2" customWidth="1"/>
    <col min="514" max="764" width="9" style="2"/>
    <col min="765" max="765" width="15.4416666666667" style="2" customWidth="1"/>
    <col min="766" max="766" width="39.775" style="2" customWidth="1"/>
    <col min="767" max="767" width="20.6666666666667" style="2" customWidth="1"/>
    <col min="768" max="768" width="14.6666666666667" style="2" customWidth="1"/>
    <col min="769" max="769" width="14.1083333333333" style="2" customWidth="1"/>
    <col min="770" max="1020" width="9" style="2"/>
    <col min="1021" max="1021" width="15.4416666666667" style="2" customWidth="1"/>
    <col min="1022" max="1022" width="39.775" style="2" customWidth="1"/>
    <col min="1023" max="1023" width="20.6666666666667" style="2" customWidth="1"/>
    <col min="1024" max="1024" width="14.6666666666667" style="2" customWidth="1"/>
    <col min="1025" max="1025" width="14.1083333333333" style="2" customWidth="1"/>
    <col min="1026" max="1276" width="9" style="2"/>
    <col min="1277" max="1277" width="15.4416666666667" style="2" customWidth="1"/>
    <col min="1278" max="1278" width="39.775" style="2" customWidth="1"/>
    <col min="1279" max="1279" width="20.6666666666667" style="2" customWidth="1"/>
    <col min="1280" max="1280" width="14.6666666666667" style="2" customWidth="1"/>
    <col min="1281" max="1281" width="14.1083333333333" style="2" customWidth="1"/>
    <col min="1282" max="1532" width="9" style="2"/>
    <col min="1533" max="1533" width="15.4416666666667" style="2" customWidth="1"/>
    <col min="1534" max="1534" width="39.775" style="2" customWidth="1"/>
    <col min="1535" max="1535" width="20.6666666666667" style="2" customWidth="1"/>
    <col min="1536" max="1536" width="14.6666666666667" style="2" customWidth="1"/>
    <col min="1537" max="1537" width="14.1083333333333" style="2" customWidth="1"/>
    <col min="1538" max="1788" width="9" style="2"/>
    <col min="1789" max="1789" width="15.4416666666667" style="2" customWidth="1"/>
    <col min="1790" max="1790" width="39.775" style="2" customWidth="1"/>
    <col min="1791" max="1791" width="20.6666666666667" style="2" customWidth="1"/>
    <col min="1792" max="1792" width="14.6666666666667" style="2" customWidth="1"/>
    <col min="1793" max="1793" width="14.1083333333333" style="2" customWidth="1"/>
    <col min="1794" max="2044" width="9" style="2"/>
    <col min="2045" max="2045" width="15.4416666666667" style="2" customWidth="1"/>
    <col min="2046" max="2046" width="39.775" style="2" customWidth="1"/>
    <col min="2047" max="2047" width="20.6666666666667" style="2" customWidth="1"/>
    <col min="2048" max="2048" width="14.6666666666667" style="2" customWidth="1"/>
    <col min="2049" max="2049" width="14.1083333333333" style="2" customWidth="1"/>
    <col min="2050" max="2300" width="9" style="2"/>
    <col min="2301" max="2301" width="15.4416666666667" style="2" customWidth="1"/>
    <col min="2302" max="2302" width="39.775" style="2" customWidth="1"/>
    <col min="2303" max="2303" width="20.6666666666667" style="2" customWidth="1"/>
    <col min="2304" max="2304" width="14.6666666666667" style="2" customWidth="1"/>
    <col min="2305" max="2305" width="14.1083333333333" style="2" customWidth="1"/>
    <col min="2306" max="2556" width="9" style="2"/>
    <col min="2557" max="2557" width="15.4416666666667" style="2" customWidth="1"/>
    <col min="2558" max="2558" width="39.775" style="2" customWidth="1"/>
    <col min="2559" max="2559" width="20.6666666666667" style="2" customWidth="1"/>
    <col min="2560" max="2560" width="14.6666666666667" style="2" customWidth="1"/>
    <col min="2561" max="2561" width="14.1083333333333" style="2" customWidth="1"/>
    <col min="2562" max="2812" width="9" style="2"/>
    <col min="2813" max="2813" width="15.4416666666667" style="2" customWidth="1"/>
    <col min="2814" max="2814" width="39.775" style="2" customWidth="1"/>
    <col min="2815" max="2815" width="20.6666666666667" style="2" customWidth="1"/>
    <col min="2816" max="2816" width="14.6666666666667" style="2" customWidth="1"/>
    <col min="2817" max="2817" width="14.1083333333333" style="2" customWidth="1"/>
    <col min="2818" max="3068" width="9" style="2"/>
    <col min="3069" max="3069" width="15.4416666666667" style="2" customWidth="1"/>
    <col min="3070" max="3070" width="39.775" style="2" customWidth="1"/>
    <col min="3071" max="3071" width="20.6666666666667" style="2" customWidth="1"/>
    <col min="3072" max="3072" width="14.6666666666667" style="2" customWidth="1"/>
    <col min="3073" max="3073" width="14.1083333333333" style="2" customWidth="1"/>
    <col min="3074" max="3324" width="9" style="2"/>
    <col min="3325" max="3325" width="15.4416666666667" style="2" customWidth="1"/>
    <col min="3326" max="3326" width="39.775" style="2" customWidth="1"/>
    <col min="3327" max="3327" width="20.6666666666667" style="2" customWidth="1"/>
    <col min="3328" max="3328" width="14.6666666666667" style="2" customWidth="1"/>
    <col min="3329" max="3329" width="14.1083333333333" style="2" customWidth="1"/>
    <col min="3330" max="3580" width="9" style="2"/>
    <col min="3581" max="3581" width="15.4416666666667" style="2" customWidth="1"/>
    <col min="3582" max="3582" width="39.775" style="2" customWidth="1"/>
    <col min="3583" max="3583" width="20.6666666666667" style="2" customWidth="1"/>
    <col min="3584" max="3584" width="14.6666666666667" style="2" customWidth="1"/>
    <col min="3585" max="3585" width="14.1083333333333" style="2" customWidth="1"/>
    <col min="3586" max="3836" width="9" style="2"/>
    <col min="3837" max="3837" width="15.4416666666667" style="2" customWidth="1"/>
    <col min="3838" max="3838" width="39.775" style="2" customWidth="1"/>
    <col min="3839" max="3839" width="20.6666666666667" style="2" customWidth="1"/>
    <col min="3840" max="3840" width="14.6666666666667" style="2" customWidth="1"/>
    <col min="3841" max="3841" width="14.1083333333333" style="2" customWidth="1"/>
    <col min="3842" max="4092" width="9" style="2"/>
    <col min="4093" max="4093" width="15.4416666666667" style="2" customWidth="1"/>
    <col min="4094" max="4094" width="39.775" style="2" customWidth="1"/>
    <col min="4095" max="4095" width="20.6666666666667" style="2" customWidth="1"/>
    <col min="4096" max="4096" width="14.6666666666667" style="2" customWidth="1"/>
    <col min="4097" max="4097" width="14.1083333333333" style="2" customWidth="1"/>
    <col min="4098" max="4348" width="9" style="2"/>
    <col min="4349" max="4349" width="15.4416666666667" style="2" customWidth="1"/>
    <col min="4350" max="4350" width="39.775" style="2" customWidth="1"/>
    <col min="4351" max="4351" width="20.6666666666667" style="2" customWidth="1"/>
    <col min="4352" max="4352" width="14.6666666666667" style="2" customWidth="1"/>
    <col min="4353" max="4353" width="14.1083333333333" style="2" customWidth="1"/>
    <col min="4354" max="4604" width="9" style="2"/>
    <col min="4605" max="4605" width="15.4416666666667" style="2" customWidth="1"/>
    <col min="4606" max="4606" width="39.775" style="2" customWidth="1"/>
    <col min="4607" max="4607" width="20.6666666666667" style="2" customWidth="1"/>
    <col min="4608" max="4608" width="14.6666666666667" style="2" customWidth="1"/>
    <col min="4609" max="4609" width="14.1083333333333" style="2" customWidth="1"/>
    <col min="4610" max="4860" width="9" style="2"/>
    <col min="4861" max="4861" width="15.4416666666667" style="2" customWidth="1"/>
    <col min="4862" max="4862" width="39.775" style="2" customWidth="1"/>
    <col min="4863" max="4863" width="20.6666666666667" style="2" customWidth="1"/>
    <col min="4864" max="4864" width="14.6666666666667" style="2" customWidth="1"/>
    <col min="4865" max="4865" width="14.1083333333333" style="2" customWidth="1"/>
    <col min="4866" max="5116" width="9" style="2"/>
    <col min="5117" max="5117" width="15.4416666666667" style="2" customWidth="1"/>
    <col min="5118" max="5118" width="39.775" style="2" customWidth="1"/>
    <col min="5119" max="5119" width="20.6666666666667" style="2" customWidth="1"/>
    <col min="5120" max="5120" width="14.6666666666667" style="2" customWidth="1"/>
    <col min="5121" max="5121" width="14.1083333333333" style="2" customWidth="1"/>
    <col min="5122" max="5372" width="9" style="2"/>
    <col min="5373" max="5373" width="15.4416666666667" style="2" customWidth="1"/>
    <col min="5374" max="5374" width="39.775" style="2" customWidth="1"/>
    <col min="5375" max="5375" width="20.6666666666667" style="2" customWidth="1"/>
    <col min="5376" max="5376" width="14.6666666666667" style="2" customWidth="1"/>
    <col min="5377" max="5377" width="14.1083333333333" style="2" customWidth="1"/>
    <col min="5378" max="5628" width="9" style="2"/>
    <col min="5629" max="5629" width="15.4416666666667" style="2" customWidth="1"/>
    <col min="5630" max="5630" width="39.775" style="2" customWidth="1"/>
    <col min="5631" max="5631" width="20.6666666666667" style="2" customWidth="1"/>
    <col min="5632" max="5632" width="14.6666666666667" style="2" customWidth="1"/>
    <col min="5633" max="5633" width="14.1083333333333" style="2" customWidth="1"/>
    <col min="5634" max="5884" width="9" style="2"/>
    <col min="5885" max="5885" width="15.4416666666667" style="2" customWidth="1"/>
    <col min="5886" max="5886" width="39.775" style="2" customWidth="1"/>
    <col min="5887" max="5887" width="20.6666666666667" style="2" customWidth="1"/>
    <col min="5888" max="5888" width="14.6666666666667" style="2" customWidth="1"/>
    <col min="5889" max="5889" width="14.1083333333333" style="2" customWidth="1"/>
    <col min="5890" max="6140" width="9" style="2"/>
    <col min="6141" max="6141" width="15.4416666666667" style="2" customWidth="1"/>
    <col min="6142" max="6142" width="39.775" style="2" customWidth="1"/>
    <col min="6143" max="6143" width="20.6666666666667" style="2" customWidth="1"/>
    <col min="6144" max="6144" width="14.6666666666667" style="2" customWidth="1"/>
    <col min="6145" max="6145" width="14.1083333333333" style="2" customWidth="1"/>
    <col min="6146" max="6396" width="9" style="2"/>
    <col min="6397" max="6397" width="15.4416666666667" style="2" customWidth="1"/>
    <col min="6398" max="6398" width="39.775" style="2" customWidth="1"/>
    <col min="6399" max="6399" width="20.6666666666667" style="2" customWidth="1"/>
    <col min="6400" max="6400" width="14.6666666666667" style="2" customWidth="1"/>
    <col min="6401" max="6401" width="14.1083333333333" style="2" customWidth="1"/>
    <col min="6402" max="6652" width="9" style="2"/>
    <col min="6653" max="6653" width="15.4416666666667" style="2" customWidth="1"/>
    <col min="6654" max="6654" width="39.775" style="2" customWidth="1"/>
    <col min="6655" max="6655" width="20.6666666666667" style="2" customWidth="1"/>
    <col min="6656" max="6656" width="14.6666666666667" style="2" customWidth="1"/>
    <col min="6657" max="6657" width="14.1083333333333" style="2" customWidth="1"/>
    <col min="6658" max="6908" width="9" style="2"/>
    <col min="6909" max="6909" width="15.4416666666667" style="2" customWidth="1"/>
    <col min="6910" max="6910" width="39.775" style="2" customWidth="1"/>
    <col min="6911" max="6911" width="20.6666666666667" style="2" customWidth="1"/>
    <col min="6912" max="6912" width="14.6666666666667" style="2" customWidth="1"/>
    <col min="6913" max="6913" width="14.1083333333333" style="2" customWidth="1"/>
    <col min="6914" max="7164" width="9" style="2"/>
    <col min="7165" max="7165" width="15.4416666666667" style="2" customWidth="1"/>
    <col min="7166" max="7166" width="39.775" style="2" customWidth="1"/>
    <col min="7167" max="7167" width="20.6666666666667" style="2" customWidth="1"/>
    <col min="7168" max="7168" width="14.6666666666667" style="2" customWidth="1"/>
    <col min="7169" max="7169" width="14.1083333333333" style="2" customWidth="1"/>
    <col min="7170" max="7420" width="9" style="2"/>
    <col min="7421" max="7421" width="15.4416666666667" style="2" customWidth="1"/>
    <col min="7422" max="7422" width="39.775" style="2" customWidth="1"/>
    <col min="7423" max="7423" width="20.6666666666667" style="2" customWidth="1"/>
    <col min="7424" max="7424" width="14.6666666666667" style="2" customWidth="1"/>
    <col min="7425" max="7425" width="14.1083333333333" style="2" customWidth="1"/>
    <col min="7426" max="7676" width="9" style="2"/>
    <col min="7677" max="7677" width="15.4416666666667" style="2" customWidth="1"/>
    <col min="7678" max="7678" width="39.775" style="2" customWidth="1"/>
    <col min="7679" max="7679" width="20.6666666666667" style="2" customWidth="1"/>
    <col min="7680" max="7680" width="14.6666666666667" style="2" customWidth="1"/>
    <col min="7681" max="7681" width="14.1083333333333" style="2" customWidth="1"/>
    <col min="7682" max="7932" width="9" style="2"/>
    <col min="7933" max="7933" width="15.4416666666667" style="2" customWidth="1"/>
    <col min="7934" max="7934" width="39.775" style="2" customWidth="1"/>
    <col min="7935" max="7935" width="20.6666666666667" style="2" customWidth="1"/>
    <col min="7936" max="7936" width="14.6666666666667" style="2" customWidth="1"/>
    <col min="7937" max="7937" width="14.1083333333333" style="2" customWidth="1"/>
    <col min="7938" max="8188" width="9" style="2"/>
    <col min="8189" max="8189" width="15.4416666666667" style="2" customWidth="1"/>
    <col min="8190" max="8190" width="39.775" style="2" customWidth="1"/>
    <col min="8191" max="8191" width="20.6666666666667" style="2" customWidth="1"/>
    <col min="8192" max="8192" width="14.6666666666667" style="2" customWidth="1"/>
    <col min="8193" max="8193" width="14.1083333333333" style="2" customWidth="1"/>
    <col min="8194" max="8444" width="9" style="2"/>
    <col min="8445" max="8445" width="15.4416666666667" style="2" customWidth="1"/>
    <col min="8446" max="8446" width="39.775" style="2" customWidth="1"/>
    <col min="8447" max="8447" width="20.6666666666667" style="2" customWidth="1"/>
    <col min="8448" max="8448" width="14.6666666666667" style="2" customWidth="1"/>
    <col min="8449" max="8449" width="14.1083333333333" style="2" customWidth="1"/>
    <col min="8450" max="8700" width="9" style="2"/>
    <col min="8701" max="8701" width="15.4416666666667" style="2" customWidth="1"/>
    <col min="8702" max="8702" width="39.775" style="2" customWidth="1"/>
    <col min="8703" max="8703" width="20.6666666666667" style="2" customWidth="1"/>
    <col min="8704" max="8704" width="14.6666666666667" style="2" customWidth="1"/>
    <col min="8705" max="8705" width="14.1083333333333" style="2" customWidth="1"/>
    <col min="8706" max="8956" width="9" style="2"/>
    <col min="8957" max="8957" width="15.4416666666667" style="2" customWidth="1"/>
    <col min="8958" max="8958" width="39.775" style="2" customWidth="1"/>
    <col min="8959" max="8959" width="20.6666666666667" style="2" customWidth="1"/>
    <col min="8960" max="8960" width="14.6666666666667" style="2" customWidth="1"/>
    <col min="8961" max="8961" width="14.1083333333333" style="2" customWidth="1"/>
    <col min="8962" max="9212" width="9" style="2"/>
    <col min="9213" max="9213" width="15.4416666666667" style="2" customWidth="1"/>
    <col min="9214" max="9214" width="39.775" style="2" customWidth="1"/>
    <col min="9215" max="9215" width="20.6666666666667" style="2" customWidth="1"/>
    <col min="9216" max="9216" width="14.6666666666667" style="2" customWidth="1"/>
    <col min="9217" max="9217" width="14.1083333333333" style="2" customWidth="1"/>
    <col min="9218" max="9468" width="9" style="2"/>
    <col min="9469" max="9469" width="15.4416666666667" style="2" customWidth="1"/>
    <col min="9470" max="9470" width="39.775" style="2" customWidth="1"/>
    <col min="9471" max="9471" width="20.6666666666667" style="2" customWidth="1"/>
    <col min="9472" max="9472" width="14.6666666666667" style="2" customWidth="1"/>
    <col min="9473" max="9473" width="14.1083333333333" style="2" customWidth="1"/>
    <col min="9474" max="9724" width="9" style="2"/>
    <col min="9725" max="9725" width="15.4416666666667" style="2" customWidth="1"/>
    <col min="9726" max="9726" width="39.775" style="2" customWidth="1"/>
    <col min="9727" max="9727" width="20.6666666666667" style="2" customWidth="1"/>
    <col min="9728" max="9728" width="14.6666666666667" style="2" customWidth="1"/>
    <col min="9729" max="9729" width="14.1083333333333" style="2" customWidth="1"/>
    <col min="9730" max="9980" width="9" style="2"/>
    <col min="9981" max="9981" width="15.4416666666667" style="2" customWidth="1"/>
    <col min="9982" max="9982" width="39.775" style="2" customWidth="1"/>
    <col min="9983" max="9983" width="20.6666666666667" style="2" customWidth="1"/>
    <col min="9984" max="9984" width="14.6666666666667" style="2" customWidth="1"/>
    <col min="9985" max="9985" width="14.1083333333333" style="2" customWidth="1"/>
    <col min="9986" max="10236" width="9" style="2"/>
    <col min="10237" max="10237" width="15.4416666666667" style="2" customWidth="1"/>
    <col min="10238" max="10238" width="39.775" style="2" customWidth="1"/>
    <col min="10239" max="10239" width="20.6666666666667" style="2" customWidth="1"/>
    <col min="10240" max="10240" width="14.6666666666667" style="2" customWidth="1"/>
    <col min="10241" max="10241" width="14.1083333333333" style="2" customWidth="1"/>
    <col min="10242" max="10492" width="9" style="2"/>
    <col min="10493" max="10493" width="15.4416666666667" style="2" customWidth="1"/>
    <col min="10494" max="10494" width="39.775" style="2" customWidth="1"/>
    <col min="10495" max="10495" width="20.6666666666667" style="2" customWidth="1"/>
    <col min="10496" max="10496" width="14.6666666666667" style="2" customWidth="1"/>
    <col min="10497" max="10497" width="14.1083333333333" style="2" customWidth="1"/>
    <col min="10498" max="10748" width="9" style="2"/>
    <col min="10749" max="10749" width="15.4416666666667" style="2" customWidth="1"/>
    <col min="10750" max="10750" width="39.775" style="2" customWidth="1"/>
    <col min="10751" max="10751" width="20.6666666666667" style="2" customWidth="1"/>
    <col min="10752" max="10752" width="14.6666666666667" style="2" customWidth="1"/>
    <col min="10753" max="10753" width="14.1083333333333" style="2" customWidth="1"/>
    <col min="10754" max="11004" width="9" style="2"/>
    <col min="11005" max="11005" width="15.4416666666667" style="2" customWidth="1"/>
    <col min="11006" max="11006" width="39.775" style="2" customWidth="1"/>
    <col min="11007" max="11007" width="20.6666666666667" style="2" customWidth="1"/>
    <col min="11008" max="11008" width="14.6666666666667" style="2" customWidth="1"/>
    <col min="11009" max="11009" width="14.1083333333333" style="2" customWidth="1"/>
    <col min="11010" max="11260" width="9" style="2"/>
    <col min="11261" max="11261" width="15.4416666666667" style="2" customWidth="1"/>
    <col min="11262" max="11262" width="39.775" style="2" customWidth="1"/>
    <col min="11263" max="11263" width="20.6666666666667" style="2" customWidth="1"/>
    <col min="11264" max="11264" width="14.6666666666667" style="2" customWidth="1"/>
    <col min="11265" max="11265" width="14.1083333333333" style="2" customWidth="1"/>
    <col min="11266" max="11516" width="9" style="2"/>
    <col min="11517" max="11517" width="15.4416666666667" style="2" customWidth="1"/>
    <col min="11518" max="11518" width="39.775" style="2" customWidth="1"/>
    <col min="11519" max="11519" width="20.6666666666667" style="2" customWidth="1"/>
    <col min="11520" max="11520" width="14.6666666666667" style="2" customWidth="1"/>
    <col min="11521" max="11521" width="14.1083333333333" style="2" customWidth="1"/>
    <col min="11522" max="11772" width="9" style="2"/>
    <col min="11773" max="11773" width="15.4416666666667" style="2" customWidth="1"/>
    <col min="11774" max="11774" width="39.775" style="2" customWidth="1"/>
    <col min="11775" max="11775" width="20.6666666666667" style="2" customWidth="1"/>
    <col min="11776" max="11776" width="14.6666666666667" style="2" customWidth="1"/>
    <col min="11777" max="11777" width="14.1083333333333" style="2" customWidth="1"/>
    <col min="11778" max="12028" width="9" style="2"/>
    <col min="12029" max="12029" width="15.4416666666667" style="2" customWidth="1"/>
    <col min="12030" max="12030" width="39.775" style="2" customWidth="1"/>
    <col min="12031" max="12031" width="20.6666666666667" style="2" customWidth="1"/>
    <col min="12032" max="12032" width="14.6666666666667" style="2" customWidth="1"/>
    <col min="12033" max="12033" width="14.1083333333333" style="2" customWidth="1"/>
    <col min="12034" max="12284" width="9" style="2"/>
    <col min="12285" max="12285" width="15.4416666666667" style="2" customWidth="1"/>
    <col min="12286" max="12286" width="39.775" style="2" customWidth="1"/>
    <col min="12287" max="12287" width="20.6666666666667" style="2" customWidth="1"/>
    <col min="12288" max="12288" width="14.6666666666667" style="2" customWidth="1"/>
    <col min="12289" max="12289" width="14.1083333333333" style="2" customWidth="1"/>
    <col min="12290" max="12540" width="9" style="2"/>
    <col min="12541" max="12541" width="15.4416666666667" style="2" customWidth="1"/>
    <col min="12542" max="12542" width="39.775" style="2" customWidth="1"/>
    <col min="12543" max="12543" width="20.6666666666667" style="2" customWidth="1"/>
    <col min="12544" max="12544" width="14.6666666666667" style="2" customWidth="1"/>
    <col min="12545" max="12545" width="14.1083333333333" style="2" customWidth="1"/>
    <col min="12546" max="12796" width="9" style="2"/>
    <col min="12797" max="12797" width="15.4416666666667" style="2" customWidth="1"/>
    <col min="12798" max="12798" width="39.775" style="2" customWidth="1"/>
    <col min="12799" max="12799" width="20.6666666666667" style="2" customWidth="1"/>
    <col min="12800" max="12800" width="14.6666666666667" style="2" customWidth="1"/>
    <col min="12801" max="12801" width="14.1083333333333" style="2" customWidth="1"/>
    <col min="12802" max="13052" width="9" style="2"/>
    <col min="13053" max="13053" width="15.4416666666667" style="2" customWidth="1"/>
    <col min="13054" max="13054" width="39.775" style="2" customWidth="1"/>
    <col min="13055" max="13055" width="20.6666666666667" style="2" customWidth="1"/>
    <col min="13056" max="13056" width="14.6666666666667" style="2" customWidth="1"/>
    <col min="13057" max="13057" width="14.1083333333333" style="2" customWidth="1"/>
    <col min="13058" max="13308" width="9" style="2"/>
    <col min="13309" max="13309" width="15.4416666666667" style="2" customWidth="1"/>
    <col min="13310" max="13310" width="39.775" style="2" customWidth="1"/>
    <col min="13311" max="13311" width="20.6666666666667" style="2" customWidth="1"/>
    <col min="13312" max="13312" width="14.6666666666667" style="2" customWidth="1"/>
    <col min="13313" max="13313" width="14.1083333333333" style="2" customWidth="1"/>
    <col min="13314" max="13564" width="9" style="2"/>
    <col min="13565" max="13565" width="15.4416666666667" style="2" customWidth="1"/>
    <col min="13566" max="13566" width="39.775" style="2" customWidth="1"/>
    <col min="13567" max="13567" width="20.6666666666667" style="2" customWidth="1"/>
    <col min="13568" max="13568" width="14.6666666666667" style="2" customWidth="1"/>
    <col min="13569" max="13569" width="14.1083333333333" style="2" customWidth="1"/>
    <col min="13570" max="13820" width="9" style="2"/>
    <col min="13821" max="13821" width="15.4416666666667" style="2" customWidth="1"/>
    <col min="13822" max="13822" width="39.775" style="2" customWidth="1"/>
    <col min="13823" max="13823" width="20.6666666666667" style="2" customWidth="1"/>
    <col min="13824" max="13824" width="14.6666666666667" style="2" customWidth="1"/>
    <col min="13825" max="13825" width="14.1083333333333" style="2" customWidth="1"/>
    <col min="13826" max="14076" width="9" style="2"/>
    <col min="14077" max="14077" width="15.4416666666667" style="2" customWidth="1"/>
    <col min="14078" max="14078" width="39.775" style="2" customWidth="1"/>
    <col min="14079" max="14079" width="20.6666666666667" style="2" customWidth="1"/>
    <col min="14080" max="14080" width="14.6666666666667" style="2" customWidth="1"/>
    <col min="14081" max="14081" width="14.1083333333333" style="2" customWidth="1"/>
    <col min="14082" max="14332" width="9" style="2"/>
    <col min="14333" max="14333" width="15.4416666666667" style="2" customWidth="1"/>
    <col min="14334" max="14334" width="39.775" style="2" customWidth="1"/>
    <col min="14335" max="14335" width="20.6666666666667" style="2" customWidth="1"/>
    <col min="14336" max="14336" width="14.6666666666667" style="2" customWidth="1"/>
    <col min="14337" max="14337" width="14.1083333333333" style="2" customWidth="1"/>
    <col min="14338" max="14588" width="9" style="2"/>
    <col min="14589" max="14589" width="15.4416666666667" style="2" customWidth="1"/>
    <col min="14590" max="14590" width="39.775" style="2" customWidth="1"/>
    <col min="14591" max="14591" width="20.6666666666667" style="2" customWidth="1"/>
    <col min="14592" max="14592" width="14.6666666666667" style="2" customWidth="1"/>
    <col min="14593" max="14593" width="14.1083333333333" style="2" customWidth="1"/>
    <col min="14594" max="14844" width="9" style="2"/>
    <col min="14845" max="14845" width="15.4416666666667" style="2" customWidth="1"/>
    <col min="14846" max="14846" width="39.775" style="2" customWidth="1"/>
    <col min="14847" max="14847" width="20.6666666666667" style="2" customWidth="1"/>
    <col min="14848" max="14848" width="14.6666666666667" style="2" customWidth="1"/>
    <col min="14849" max="14849" width="14.1083333333333" style="2" customWidth="1"/>
    <col min="14850" max="15100" width="9" style="2"/>
    <col min="15101" max="15101" width="15.4416666666667" style="2" customWidth="1"/>
    <col min="15102" max="15102" width="39.775" style="2" customWidth="1"/>
    <col min="15103" max="15103" width="20.6666666666667" style="2" customWidth="1"/>
    <col min="15104" max="15104" width="14.6666666666667" style="2" customWidth="1"/>
    <col min="15105" max="15105" width="14.1083333333333" style="2" customWidth="1"/>
    <col min="15106" max="15356" width="9" style="2"/>
    <col min="15357" max="15357" width="15.4416666666667" style="2" customWidth="1"/>
    <col min="15358" max="15358" width="39.775" style="2" customWidth="1"/>
    <col min="15359" max="15359" width="20.6666666666667" style="2" customWidth="1"/>
    <col min="15360" max="15360" width="14.6666666666667" style="2" customWidth="1"/>
    <col min="15361" max="15361" width="14.1083333333333" style="2" customWidth="1"/>
    <col min="15362" max="15612" width="9" style="2"/>
    <col min="15613" max="15613" width="15.4416666666667" style="2" customWidth="1"/>
    <col min="15614" max="15614" width="39.775" style="2" customWidth="1"/>
    <col min="15615" max="15615" width="20.6666666666667" style="2" customWidth="1"/>
    <col min="15616" max="15616" width="14.6666666666667" style="2" customWidth="1"/>
    <col min="15617" max="15617" width="14.1083333333333" style="2" customWidth="1"/>
    <col min="15618" max="15868" width="9" style="2"/>
    <col min="15869" max="15869" width="15.4416666666667" style="2" customWidth="1"/>
    <col min="15870" max="15870" width="39.775" style="2" customWidth="1"/>
    <col min="15871" max="15871" width="20.6666666666667" style="2" customWidth="1"/>
    <col min="15872" max="15872" width="14.6666666666667" style="2" customWidth="1"/>
    <col min="15873" max="15873" width="14.1083333333333" style="2" customWidth="1"/>
    <col min="15874" max="16124" width="9" style="2"/>
    <col min="16125" max="16125" width="15.4416666666667" style="2" customWidth="1"/>
    <col min="16126" max="16126" width="39.775" style="2" customWidth="1"/>
    <col min="16127" max="16127" width="20.6666666666667" style="2" customWidth="1"/>
    <col min="16128" max="16128" width="14.6666666666667" style="2" customWidth="1"/>
    <col min="16129" max="16129" width="14.1083333333333" style="2" customWidth="1"/>
    <col min="16130" max="16384" width="9" style="2"/>
  </cols>
  <sheetData>
    <row r="1" ht="37.95" customHeight="1" spans="1:3">
      <c r="A1" s="3" t="s">
        <v>0</v>
      </c>
      <c r="B1" s="3"/>
      <c r="C1" s="3"/>
    </row>
    <row r="2" ht="22.05" customHeight="1" spans="1:3">
      <c r="A2" s="4" t="s">
        <v>1</v>
      </c>
      <c r="B2" s="5" t="s">
        <v>2</v>
      </c>
      <c r="C2" s="6" t="s">
        <v>3</v>
      </c>
    </row>
    <row r="3" ht="22.5" customHeight="1" spans="1:3">
      <c r="A3" s="7" t="s">
        <v>4</v>
      </c>
      <c r="B3" s="8" t="s">
        <v>5</v>
      </c>
      <c r="C3" s="9" t="s">
        <v>6</v>
      </c>
    </row>
    <row r="4" ht="22.5" customHeight="1" spans="1:3">
      <c r="A4" s="10"/>
      <c r="B4" s="11"/>
      <c r="C4" s="12" t="s">
        <v>7</v>
      </c>
    </row>
    <row r="5" ht="22.5" customHeight="1" spans="1:3">
      <c r="A5" s="13">
        <v>1</v>
      </c>
      <c r="B5" s="14" t="s">
        <v>8</v>
      </c>
      <c r="C5" s="15">
        <f>SUM(C6:C9)</f>
        <v>0</v>
      </c>
    </row>
    <row r="6" ht="22.5" customHeight="1" spans="1:3">
      <c r="A6" s="13">
        <v>2</v>
      </c>
      <c r="B6" s="16" t="s">
        <v>9</v>
      </c>
      <c r="C6" s="17"/>
    </row>
    <row r="7" ht="22.5" customHeight="1" spans="1:3">
      <c r="A7" s="13">
        <v>3</v>
      </c>
      <c r="B7" s="16" t="s">
        <v>10</v>
      </c>
      <c r="C7" s="17"/>
    </row>
    <row r="8" ht="22.5" customHeight="1" spans="1:3">
      <c r="A8" s="13">
        <v>4</v>
      </c>
      <c r="B8" s="16" t="s">
        <v>11</v>
      </c>
      <c r="C8" s="17"/>
    </row>
    <row r="9" ht="22.5" customHeight="1" spans="1:3">
      <c r="A9" s="13">
        <v>5</v>
      </c>
      <c r="B9" s="16" t="s">
        <v>12</v>
      </c>
      <c r="C9" s="17"/>
    </row>
    <row r="10" ht="19.5" customHeight="1" spans="1:3">
      <c r="A10" s="13">
        <v>6</v>
      </c>
      <c r="B10" s="14" t="s">
        <v>13</v>
      </c>
      <c r="C10" s="15">
        <f>SUM(C11:C14)</f>
        <v>0</v>
      </c>
    </row>
    <row r="11" ht="19.5" customHeight="1" spans="1:3">
      <c r="A11" s="13">
        <v>7</v>
      </c>
      <c r="B11" s="16" t="s">
        <v>14</v>
      </c>
      <c r="C11" s="17"/>
    </row>
    <row r="12" ht="19.5" customHeight="1" spans="1:3">
      <c r="A12" s="13">
        <v>8</v>
      </c>
      <c r="B12" s="16" t="s">
        <v>15</v>
      </c>
      <c r="C12" s="17"/>
    </row>
    <row r="13" ht="19.5" customHeight="1" spans="1:3">
      <c r="A13" s="13">
        <v>9</v>
      </c>
      <c r="B13" s="16" t="s">
        <v>16</v>
      </c>
      <c r="C13" s="17"/>
    </row>
    <row r="14" ht="19.5" customHeight="1" spans="1:3">
      <c r="A14" s="13">
        <v>10</v>
      </c>
      <c r="B14" s="16" t="s">
        <v>17</v>
      </c>
      <c r="C14" s="17"/>
    </row>
    <row r="15" ht="19.5" customHeight="1" spans="1:3">
      <c r="A15" s="13">
        <v>11</v>
      </c>
      <c r="B15" s="14" t="s">
        <v>18</v>
      </c>
      <c r="C15" s="15">
        <f>SUM(C16:C18)</f>
        <v>0</v>
      </c>
    </row>
    <row r="16" ht="19.5" customHeight="1" spans="1:3">
      <c r="A16" s="13">
        <v>12</v>
      </c>
      <c r="B16" s="16" t="s">
        <v>19</v>
      </c>
      <c r="C16" s="17"/>
    </row>
    <row r="17" ht="19.5" customHeight="1" spans="1:3">
      <c r="A17" s="13">
        <v>13</v>
      </c>
      <c r="B17" s="16" t="s">
        <v>20</v>
      </c>
      <c r="C17" s="17"/>
    </row>
    <row r="18" ht="19.5" customHeight="1" spans="1:3">
      <c r="A18" s="13">
        <v>14</v>
      </c>
      <c r="B18" s="16" t="s">
        <v>21</v>
      </c>
      <c r="C18" s="17"/>
    </row>
    <row r="19" ht="19.5" customHeight="1" spans="1:3">
      <c r="A19" s="13">
        <v>15</v>
      </c>
      <c r="B19" s="14" t="s">
        <v>22</v>
      </c>
      <c r="C19" s="15">
        <f>SUM(C20:C22)</f>
        <v>0</v>
      </c>
    </row>
    <row r="20" ht="19.5" customHeight="1" spans="1:3">
      <c r="A20" s="13">
        <v>16</v>
      </c>
      <c r="B20" s="16" t="s">
        <v>23</v>
      </c>
      <c r="C20" s="17"/>
    </row>
    <row r="21" ht="19.5" customHeight="1" spans="1:3">
      <c r="A21" s="13">
        <v>17</v>
      </c>
      <c r="B21" s="16" t="s">
        <v>24</v>
      </c>
      <c r="C21" s="17"/>
    </row>
    <row r="22" ht="19.5" customHeight="1" spans="1:3">
      <c r="A22" s="13">
        <v>18</v>
      </c>
      <c r="B22" s="16" t="s">
        <v>25</v>
      </c>
      <c r="C22" s="17"/>
    </row>
    <row r="23" ht="19.5" customHeight="1" spans="1:3">
      <c r="A23" s="13">
        <v>19</v>
      </c>
      <c r="B23" s="14" t="s">
        <v>26</v>
      </c>
      <c r="C23" s="17"/>
    </row>
    <row r="24" ht="19.5" customHeight="1" spans="1:3">
      <c r="A24" s="13">
        <v>20</v>
      </c>
      <c r="B24" s="18" t="s">
        <v>27</v>
      </c>
      <c r="C24" s="15">
        <f>C5*1.3+C10*3.5+C15*1.2+C19*1.9+C23*1.3</f>
        <v>0</v>
      </c>
    </row>
    <row r="25" ht="19.5" customHeight="1" spans="1:3">
      <c r="A25" s="13">
        <v>21</v>
      </c>
      <c r="B25" s="19" t="s">
        <v>28</v>
      </c>
      <c r="C25" s="20">
        <f>C24*12.5</f>
        <v>0</v>
      </c>
    </row>
    <row r="26" s="1" customFormat="1" ht="19.5" customHeight="1" spans="1:3">
      <c r="A26" s="21" t="s">
        <v>29</v>
      </c>
      <c r="B26" s="21" t="s">
        <v>30</v>
      </c>
      <c r="C26" s="21" t="s">
        <v>31</v>
      </c>
    </row>
    <row r="27" s="1" customFormat="1" ht="19.5" customHeight="1" spans="1:3">
      <c r="A27" s="21" t="s">
        <v>32</v>
      </c>
      <c r="B27" s="21">
        <v>241</v>
      </c>
      <c r="C27" s="21"/>
    </row>
    <row r="30" spans="2:2">
      <c r="B30" s="22"/>
    </row>
  </sheetData>
  <sheetProtection sort="0" autoFilter="0" pivotTables="0"/>
  <mergeCells count="3">
    <mergeCell ref="A1:C1"/>
    <mergeCell ref="A3:A4"/>
    <mergeCell ref="B3:B4"/>
  </mergeCells>
  <printOptions horizontalCentered="1"/>
  <pageMargins left="0.748031496062992" right="0.748031496062992" top="0.984251968503937" bottom="0.984251968503937" header="0.511811023622047" footer="0.511811023622047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G4C-1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陈静</cp:lastModifiedBy>
  <dcterms:created xsi:type="dcterms:W3CDTF">2006-09-16T16:00:00Z</dcterms:created>
  <dcterms:modified xsi:type="dcterms:W3CDTF">2024-12-13T14:58:39Z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9FDD829ACC21389CD2AE5A6732B8340D</vt:lpwstr>
  </property>
</Properties>
</file>