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B-5(a)（第一档）" sheetId="11" r:id="rId1"/>
    <sheet name="Sheet2" sheetId="9" state="hidden" r:id="rId2"/>
  </sheets>
  <definedNames>
    <definedName name="_xlnm._FilterDatabase" localSheetId="0" hidden="1">'G4B-5(a)（第一档）'!$A$8:$S$106</definedName>
    <definedName name="_xlnm.Print_Titles" localSheetId="0">'G4B-5(a)（第一档）'!$3:$4</definedName>
    <definedName name="Z_EEB39285_1378_4F4C_B72A_68261139B9F0_.wvu.FilterData" localSheetId="0" hidden="1">'G4B-5(a)（第一档）'!$A$8:$S$106</definedName>
  </definedNames>
  <calcPr calcId="144525"/>
</workbook>
</file>

<file path=xl/sharedStrings.xml><?xml version="1.0" encoding="utf-8"?>
<sst xmlns="http://schemas.openxmlformats.org/spreadsheetml/2006/main" count="155" uniqueCount="133">
  <si>
    <r>
      <t>G4B-5</t>
    </r>
    <r>
      <rPr>
        <b/>
        <sz val="16"/>
        <rFont val="宋体"/>
        <charset val="134"/>
      </rPr>
      <t>（</t>
    </r>
    <r>
      <rPr>
        <b/>
        <sz val="16"/>
        <rFont val="Times New Roman"/>
        <charset val="134"/>
      </rPr>
      <t>a</t>
    </r>
    <r>
      <rPr>
        <b/>
        <sz val="16"/>
        <rFont val="宋体"/>
        <charset val="134"/>
      </rPr>
      <t>）资产管理产品风险加权资产计算表（银行账簿，权重法）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第一档银行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</si>
  <si>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>填报机构：</t>
  </si>
  <si>
    <t>报表日期：     年     月      日</t>
  </si>
  <si>
    <t>货币单位：万元</t>
  </si>
  <si>
    <t>项目/方法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</si>
  <si>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</si>
  <si>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</si>
  <si>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</si>
  <si>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</si>
  <si>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</si>
  <si>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</si>
  <si>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</si>
  <si>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</si>
  <si>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</si>
  <si>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</si>
  <si>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</si>
  <si>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</si>
  <si>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</si>
  <si>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</si>
  <si>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</si>
  <si>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</si>
  <si>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</si>
  <si>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基础信息</t>
  </si>
  <si>
    <t>适用穿透法部分</t>
  </si>
  <si>
    <t>适用授权基础法部分</t>
  </si>
  <si>
    <r>
      <rPr>
        <b/>
        <sz val="10"/>
        <color theme="1"/>
        <rFont val="宋体"/>
        <charset val="134"/>
      </rPr>
      <t>适用</t>
    </r>
    <r>
      <rPr>
        <b/>
        <sz val="10"/>
        <color theme="1"/>
        <rFont val="Arial"/>
        <charset val="134"/>
      </rPr>
      <t>1250%</t>
    </r>
    <r>
      <rPr>
        <b/>
        <sz val="10"/>
        <color theme="1"/>
        <rFont val="宋体"/>
        <charset val="134"/>
      </rPr>
      <t>风险权重部分</t>
    </r>
  </si>
  <si>
    <t>其他风险</t>
  </si>
  <si>
    <t>持有部分风险加权资产</t>
  </si>
  <si>
    <t>自行穿透部分</t>
  </si>
  <si>
    <t>通过第三方计算部分</t>
  </si>
  <si>
    <t>总资产</t>
  </si>
  <si>
    <t>净资产</t>
  </si>
  <si>
    <t>杠杆率</t>
  </si>
  <si>
    <t>持有份额占比</t>
  </si>
  <si>
    <t>投资金额</t>
  </si>
  <si>
    <t>风险暴露</t>
  </si>
  <si>
    <t>风险加权资产</t>
  </si>
  <si>
    <t>交易对手信用风险加权资产</t>
  </si>
  <si>
    <t>信用估值调整风险加权资产</t>
  </si>
  <si>
    <t>调整前风险加权资产</t>
  </si>
  <si>
    <t>调整后风险加权资产</t>
  </si>
  <si>
    <t>1.表内资产</t>
  </si>
  <si>
    <r>
      <rPr>
        <sz val="10"/>
        <color theme="1"/>
        <rFont val="宋体"/>
        <charset val="134"/>
        <scheme val="minor"/>
      </rPr>
      <t xml:space="preserve">  1.1</t>
    </r>
    <r>
      <rPr>
        <sz val="10"/>
        <color rgb="FF000000"/>
        <rFont val="宋体"/>
        <charset val="134"/>
        <scheme val="minor"/>
      </rPr>
      <t>公募基金</t>
    </r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</si>
  <si>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货币市场基金</t>
    </r>
  </si>
  <si>
    <r>
      <rPr>
        <sz val="10"/>
        <color theme="1"/>
        <rFont val="宋体"/>
        <charset val="134"/>
        <scheme val="minor"/>
      </rPr>
      <t xml:space="preserve">       1.1.1.1</t>
    </r>
    <r>
      <rPr>
        <sz val="10"/>
        <color rgb="FF000000"/>
        <rFont val="宋体"/>
        <charset val="134"/>
        <scheme val="minor"/>
      </rPr>
      <t>基金名称XXX</t>
    </r>
  </si>
  <si>
    <r>
      <rPr>
        <sz val="10"/>
        <color theme="1"/>
        <rFont val="宋体"/>
        <charset val="134"/>
        <scheme val="minor"/>
      </rPr>
      <t xml:space="preserve">       1.1.1.2</t>
    </r>
    <r>
      <rPr>
        <sz val="10"/>
        <color rgb="FF000000"/>
        <rFont val="宋体"/>
        <charset val="134"/>
        <scheme val="minor"/>
      </rPr>
      <t>基金名称XXX</t>
    </r>
  </si>
  <si>
    <t xml:space="preserve">       .....</t>
  </si>
  <si>
    <r>
      <rPr>
        <sz val="10"/>
        <color theme="1"/>
        <rFont val="宋体"/>
        <charset val="134"/>
        <scheme val="minor"/>
      </rPr>
      <t xml:space="preserve">       1.1.1.n</t>
    </r>
    <r>
      <rPr>
        <sz val="10"/>
        <color rgb="FF000000"/>
        <rFont val="宋体"/>
        <charset val="134"/>
        <scheme val="minor"/>
      </rPr>
      <t>基金名称XXX</t>
    </r>
  </si>
  <si>
    <t xml:space="preserve">    1.1.2债券基金</t>
  </si>
  <si>
    <t xml:space="preserve">       1.1.2.1基金名称XXX</t>
  </si>
  <si>
    <t xml:space="preserve">       1.1.2.2基金名称XXX</t>
  </si>
  <si>
    <t xml:space="preserve">       1.1.2.n基金名称XXX</t>
  </si>
  <si>
    <r>
      <rPr>
        <sz val="10"/>
        <color theme="1"/>
        <rFont val="宋体"/>
        <charset val="134"/>
        <scheme val="minor"/>
      </rPr>
      <t xml:space="preserve">     1.1.3</t>
    </r>
    <r>
      <rPr>
        <sz val="10"/>
        <color rgb="FF000000"/>
        <rFont val="宋体"/>
        <charset val="134"/>
        <scheme val="minor"/>
      </rPr>
      <t>其他公募基金</t>
    </r>
  </si>
  <si>
    <t xml:space="preserve">       1.1.3.1基金名称XXX</t>
  </si>
  <si>
    <t xml:space="preserve">       1.1.3.2基金名称XXX</t>
  </si>
  <si>
    <t xml:space="preserve">       1.1.3.n基金名称XXX</t>
  </si>
  <si>
    <r>
      <rPr>
        <sz val="10"/>
        <color theme="1"/>
        <rFont val="宋体"/>
        <charset val="134"/>
        <scheme val="minor"/>
      </rPr>
      <t xml:space="preserve">  1.2 非保本</t>
    </r>
    <r>
      <rPr>
        <sz val="10"/>
        <color rgb="FF000000"/>
        <rFont val="宋体"/>
        <charset val="134"/>
        <scheme val="minor"/>
      </rPr>
      <t>理财产品</t>
    </r>
  </si>
  <si>
    <t xml:space="preserve">     1.2.1基金名称XXX</t>
  </si>
  <si>
    <t xml:space="preserve">     1.2.2基金名称XXX</t>
  </si>
  <si>
    <t xml:space="preserve">     .....</t>
  </si>
  <si>
    <t xml:space="preserve">     1.2.n基金名称XXX</t>
  </si>
  <si>
    <r>
      <rPr>
        <sz val="10"/>
        <color theme="1"/>
        <rFont val="宋体"/>
        <charset val="134"/>
        <scheme val="minor"/>
      </rPr>
      <t xml:space="preserve">  1.3</t>
    </r>
    <r>
      <rPr>
        <sz val="10"/>
        <color rgb="FF000000"/>
        <rFont val="宋体"/>
        <charset val="134"/>
        <scheme val="minor"/>
      </rPr>
      <t>证券业资管产品（除公募基金）</t>
    </r>
  </si>
  <si>
    <t xml:space="preserve">     1.3.1基金名称XXX</t>
  </si>
  <si>
    <t xml:space="preserve">     1.3.2基金名称XXX</t>
  </si>
  <si>
    <t xml:space="preserve">     1.3.n基金名称XXX</t>
  </si>
  <si>
    <t xml:space="preserve">  1.4信托产品</t>
  </si>
  <si>
    <t xml:space="preserve">     1.4.1基金名称XXX</t>
  </si>
  <si>
    <t xml:space="preserve">     1.4.2基金名称XXX</t>
  </si>
  <si>
    <t xml:space="preserve">     1.4.n基金名称XXX</t>
  </si>
  <si>
    <r>
      <rPr>
        <sz val="10"/>
        <color theme="1"/>
        <rFont val="宋体"/>
        <charset val="134"/>
        <scheme val="minor"/>
      </rPr>
      <t xml:space="preserve">  1.5</t>
    </r>
    <r>
      <rPr>
        <sz val="10"/>
        <color indexed="8"/>
        <rFont val="宋体"/>
        <charset val="134"/>
        <scheme val="minor"/>
      </rPr>
      <t>保险业资管产品</t>
    </r>
  </si>
  <si>
    <t xml:space="preserve">     1.5.1基金名称XXX</t>
  </si>
  <si>
    <t xml:space="preserve">     1.5.2基金名称XXX</t>
  </si>
  <si>
    <t xml:space="preserve">     1.5.n基金名称XXX</t>
  </si>
  <si>
    <t xml:space="preserve">  1.6私募投资基金</t>
  </si>
  <si>
    <t xml:space="preserve">     1.6.1基金名称XXX</t>
  </si>
  <si>
    <t xml:space="preserve">     1.6.2基金名称XXX</t>
  </si>
  <si>
    <t xml:space="preserve">     1.6.n基金名称XXX</t>
  </si>
  <si>
    <r>
      <rPr>
        <sz val="10"/>
        <color theme="1"/>
        <rFont val="宋体"/>
        <charset val="134"/>
        <scheme val="minor"/>
      </rPr>
      <t xml:space="preserve">  1.7</t>
    </r>
    <r>
      <rPr>
        <sz val="10"/>
        <color rgb="FF000000"/>
        <rFont val="宋体"/>
        <charset val="134"/>
        <scheme val="minor"/>
      </rPr>
      <t>其他资管产品</t>
    </r>
  </si>
  <si>
    <t xml:space="preserve">     1.7.1基金名称XXX</t>
  </si>
  <si>
    <t xml:space="preserve">     1.7.2基金名称XXX</t>
  </si>
  <si>
    <t xml:space="preserve">     1.7.n基金名称XXX</t>
  </si>
  <si>
    <t>2.表外资产</t>
  </si>
  <si>
    <r>
      <rPr>
        <sz val="10"/>
        <color theme="1"/>
        <rFont val="宋体"/>
        <charset val="134"/>
        <scheme val="minor"/>
      </rPr>
      <t xml:space="preserve">  2.1</t>
    </r>
    <r>
      <rPr>
        <sz val="10"/>
        <color rgb="FF000000"/>
        <rFont val="宋体"/>
        <charset val="134"/>
        <scheme val="minor"/>
      </rPr>
      <t>公募基金</t>
    </r>
  </si>
  <si>
    <t xml:space="preserve">     2.1.1货币市场基金</t>
  </si>
  <si>
    <t xml:space="preserve">       2.1.1.1基金名称XXX</t>
  </si>
  <si>
    <t xml:space="preserve">       2.1.1.2基金名称XXX</t>
  </si>
  <si>
    <t xml:space="preserve">       2.1.1.n基金名称XXX</t>
  </si>
  <si>
    <t xml:space="preserve">    2.1.2债券基金</t>
  </si>
  <si>
    <t xml:space="preserve">       2.1.2.1基金名称XXX</t>
  </si>
  <si>
    <t xml:space="preserve">       2.1.2.2基金名称XXX</t>
  </si>
  <si>
    <t xml:space="preserve">       2.1.2.n基金名称XXX</t>
  </si>
  <si>
    <t xml:space="preserve">     2.1.3其他公募基金</t>
  </si>
  <si>
    <t xml:space="preserve">       2.1.3.1基金名称XXX</t>
  </si>
  <si>
    <t xml:space="preserve">       2.1.3.2基金名称XXX</t>
  </si>
  <si>
    <t xml:space="preserve">       2.1.3.n基金名称XXX</t>
  </si>
  <si>
    <t xml:space="preserve">  2.2 非保本理财产品</t>
  </si>
  <si>
    <t xml:space="preserve">     2.2.1基金名称XXX</t>
  </si>
  <si>
    <t xml:space="preserve">     2.2.2基金名称XXX</t>
  </si>
  <si>
    <t xml:space="preserve">     2.2.n基金名称XXX</t>
  </si>
  <si>
    <t xml:space="preserve">  2.3证券业资管产品（除公募基金）</t>
  </si>
  <si>
    <t xml:space="preserve">     2.3.1基金名称XXX</t>
  </si>
  <si>
    <t xml:space="preserve">     2.3.2基金名称XXX</t>
  </si>
  <si>
    <t xml:space="preserve">     2.3.n基金名称XXX</t>
  </si>
  <si>
    <t xml:space="preserve">  2.4信托产品</t>
  </si>
  <si>
    <t xml:space="preserve">     2.4.1基金名称XXX</t>
  </si>
  <si>
    <t xml:space="preserve">     2.4.2基金名称XXX</t>
  </si>
  <si>
    <t xml:space="preserve">     2.4.n基金名称XXX</t>
  </si>
  <si>
    <t xml:space="preserve">  2.5保险业资管产品</t>
  </si>
  <si>
    <t xml:space="preserve">     2.5.1基金名称XXX</t>
  </si>
  <si>
    <t xml:space="preserve">     2.5.2基金名称XXX</t>
  </si>
  <si>
    <t xml:space="preserve">     2.5.n基金名称XXX</t>
  </si>
  <si>
    <t xml:space="preserve">  2.6私募投资基金</t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</si>
  <si>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基金名称XXX</t>
    </r>
  </si>
  <si>
    <t xml:space="preserve">     2.6.2基金名称XXX</t>
  </si>
  <si>
    <t xml:space="preserve">     2.6.n基金名称XXX</t>
  </si>
  <si>
    <t xml:space="preserve">  2.7其他资管产品</t>
  </si>
  <si>
    <t xml:space="preserve">     2.7.1基金名称XXX</t>
  </si>
  <si>
    <t xml:space="preserve">     2.7.2基金名称XXX</t>
  </si>
  <si>
    <t xml:space="preserve">     2.7.n基金名称XXX</t>
  </si>
  <si>
    <t>3.合计</t>
  </si>
  <si>
    <t>无数据部分</t>
  </si>
  <si>
    <t>需填列的表格</t>
  </si>
  <si>
    <t>自动计算部分</t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</si>
  <si>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货币市场基金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</si>
  <si>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债券基金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</si>
  <si>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其他公募基金</t>
    </r>
  </si>
  <si>
    <r>
      <rPr>
        <sz val="10"/>
        <color theme="1"/>
        <rFont val="宋体"/>
        <charset val="134"/>
      </rPr>
      <t>非保本</t>
    </r>
    <r>
      <rPr>
        <sz val="10"/>
        <color rgb="FF000000"/>
        <rFont val="宋体"/>
        <charset val="134"/>
      </rPr>
      <t>理财产品</t>
    </r>
  </si>
  <si>
    <t>证券业资管产品（除公募基金）</t>
  </si>
  <si>
    <t>信托产品</t>
  </si>
  <si>
    <t>保险业资管产品</t>
  </si>
  <si>
    <t>其他资管产品</t>
  </si>
  <si>
    <t>私募投资基金</t>
  </si>
  <si>
    <t>银行、证券、保险、信托、基金、理财公司、期货、金融资产投资公司、其他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</si>
</sst>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_-* #,##0_-;\-* #,##0_-;_-* &quot;-&quot;_-;_-@_-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_-* #,##0.00_-;\-* #,##0.00_-;_-* &quot;-&quot;??_-;_-@_-"/>
  </numFmts>
  <fonts count="93"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name val="Times New Roman"/>
      <charset val="134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Arial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color theme="1"/>
      <name val="Arial"/>
      <charset val="134"/>
    </font>
    <font>
      <b/>
      <sz val="11"/>
      <color indexed="56"/>
      <name val="宋体"/>
      <charset val="134"/>
    </font>
    <font>
      <b/>
      <sz val="15"/>
      <color indexed="56"/>
      <name val="新細明體"/>
      <charset val="136"/>
    </font>
    <font>
      <sz val="12"/>
      <color indexed="9"/>
      <name val="新細明體"/>
      <charset val="136"/>
    </font>
    <font>
      <b/>
      <sz val="11"/>
      <color indexed="63"/>
      <name val="宋体"/>
      <charset val="134"/>
    </font>
    <font>
      <b/>
      <sz val="13"/>
      <color indexed="56"/>
      <name val="宋体"/>
      <charset val="134"/>
    </font>
    <font>
      <sz val="11"/>
      <color indexed="57"/>
      <name val="Tahoma"/>
      <charset val="134"/>
    </font>
    <font>
      <b/>
      <sz val="15"/>
      <color indexed="62"/>
      <name val="Tahoma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Tahoma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b/>
      <sz val="11"/>
      <color indexed="62"/>
      <name val="Tahoma"/>
      <charset val="134"/>
    </font>
    <font>
      <sz val="12"/>
      <name val="Times New Roman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sz val="11"/>
      <color indexed="8"/>
      <name val="Tahoma"/>
      <charset val="134"/>
    </font>
    <font>
      <b/>
      <sz val="18"/>
      <color indexed="56"/>
      <name val="新細明體"/>
      <charset val="136"/>
    </font>
    <font>
      <sz val="11"/>
      <color theme="0"/>
      <name val="宋体"/>
      <charset val="0"/>
      <scheme val="minor"/>
    </font>
    <font>
      <sz val="11"/>
      <color indexed="10"/>
      <name val="Tahoma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2"/>
      <color indexed="52"/>
      <name val="新細明體"/>
      <charset val="136"/>
    </font>
    <font>
      <b/>
      <sz val="11"/>
      <color indexed="8"/>
      <name val="Tahoma"/>
      <charset val="134"/>
    </font>
    <font>
      <sz val="11"/>
      <color indexed="62"/>
      <name val="Tahoma"/>
      <charset val="134"/>
    </font>
    <font>
      <sz val="12"/>
      <color indexed="17"/>
      <name val="新細明體"/>
      <charset val="136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1"/>
      <color theme="3"/>
      <name val="宋体"/>
      <charset val="134"/>
      <scheme val="minor"/>
    </font>
    <font>
      <sz val="12"/>
      <color indexed="8"/>
      <name val="新細明體"/>
      <charset val="136"/>
    </font>
    <font>
      <sz val="12"/>
      <color indexed="20"/>
      <name val="新細明體"/>
      <charset val="136"/>
    </font>
    <font>
      <sz val="11"/>
      <color indexed="52"/>
      <name val="Tahoma"/>
      <charset val="134"/>
    </font>
    <font>
      <b/>
      <sz val="11"/>
      <color theme="1"/>
      <name val="宋体"/>
      <charset val="0"/>
      <scheme val="minor"/>
    </font>
    <font>
      <b/>
      <sz val="13"/>
      <color indexed="62"/>
      <name val="Tahoma"/>
      <charset val="134"/>
    </font>
    <font>
      <i/>
      <sz val="11"/>
      <color indexed="23"/>
      <name val="宋体"/>
      <charset val="134"/>
    </font>
    <font>
      <b/>
      <sz val="11"/>
      <color indexed="56"/>
      <name val="新細明體"/>
      <charset val="136"/>
    </font>
    <font>
      <b/>
      <sz val="11"/>
      <color indexed="57"/>
      <name val="Tahoma"/>
      <charset val="134"/>
    </font>
    <font>
      <sz val="11"/>
      <color indexed="17"/>
      <name val="Tahoma"/>
      <charset val="134"/>
    </font>
    <font>
      <i/>
      <sz val="11"/>
      <color indexed="23"/>
      <name val="Tahoma"/>
      <charset val="134"/>
    </font>
    <font>
      <b/>
      <sz val="18"/>
      <color indexed="6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indexed="52"/>
      <name val="Tahoma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20"/>
      <name val="Tahoma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b/>
      <sz val="12"/>
      <color indexed="9"/>
      <name val="新細明體"/>
      <charset val="136"/>
    </font>
    <font>
      <b/>
      <sz val="11"/>
      <color indexed="63"/>
      <name val="Tahoma"/>
      <charset val="134"/>
    </font>
    <font>
      <b/>
      <sz val="13"/>
      <color theme="3"/>
      <name val="宋体"/>
      <charset val="134"/>
      <scheme val="minor"/>
    </font>
    <font>
      <sz val="12"/>
      <color indexed="10"/>
      <name val="新細明體"/>
      <charset val="136"/>
    </font>
    <font>
      <sz val="11"/>
      <color rgb="FFFF0000"/>
      <name val="宋体"/>
      <charset val="0"/>
      <scheme val="minor"/>
    </font>
    <font>
      <u/>
      <sz val="12"/>
      <color indexed="12"/>
      <name val="宋体"/>
      <charset val="134"/>
    </font>
    <font>
      <sz val="12"/>
      <color indexed="62"/>
      <name val="新細明體"/>
      <charset val="136"/>
    </font>
    <font>
      <b/>
      <sz val="13"/>
      <color indexed="56"/>
      <name val="新細明體"/>
      <charset val="136"/>
    </font>
    <font>
      <b/>
      <sz val="11"/>
      <color rgb="FFFFFFFF"/>
      <name val="宋体"/>
      <charset val="0"/>
      <scheme val="minor"/>
    </font>
    <font>
      <sz val="12"/>
      <color indexed="52"/>
      <name val="新細明體"/>
      <charset val="136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2"/>
      <color indexed="23"/>
      <name val="新細明體"/>
      <charset val="136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2"/>
      <color indexed="63"/>
      <name val="新細明體"/>
      <charset val="136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2"/>
      <color indexed="60"/>
      <name val="新細明體"/>
      <charset val="136"/>
    </font>
    <font>
      <b/>
      <sz val="15"/>
      <color theme="3"/>
      <name val="宋体"/>
      <charset val="134"/>
      <scheme val="minor"/>
    </font>
    <font>
      <b/>
      <sz val="12"/>
      <color indexed="8"/>
      <name val="新細明體"/>
      <charset val="136"/>
    </font>
    <font>
      <b/>
      <sz val="16"/>
      <name val="宋体"/>
      <charset val="134"/>
    </font>
    <font>
      <b/>
      <sz val="10"/>
      <color theme="1"/>
      <name val="Arial"/>
      <charset val="134"/>
    </font>
    <font>
      <sz val="10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868">
    <xf numFmtId="0" fontId="0" fillId="0" borderId="0"/>
    <xf numFmtId="0" fontId="19" fillId="1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43" fillId="14" borderId="29" applyNumberFormat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3" fillId="14" borderId="29" applyNumberFormat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8" fillId="25" borderId="26" applyNumberFormat="0" applyAlignment="0" applyProtection="0">
      <alignment vertical="center"/>
    </xf>
    <xf numFmtId="0" fontId="55" fillId="25" borderId="26" applyNumberFormat="0" applyAlignment="0" applyProtection="0">
      <alignment vertical="center"/>
    </xf>
    <xf numFmtId="0" fontId="55" fillId="25" borderId="26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61" fillId="30" borderId="29" applyNumberFormat="0" applyAlignment="0" applyProtection="0">
      <alignment vertical="center"/>
    </xf>
    <xf numFmtId="0" fontId="61" fillId="30" borderId="29" applyNumberFormat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3" fillId="14" borderId="29" applyNumberFormat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5" fillId="25" borderId="26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5" borderId="26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5" borderId="26" applyNumberFormat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30" fillId="0" borderId="0"/>
    <xf numFmtId="0" fontId="65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3" fillId="14" borderId="2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30" fillId="0" borderId="0"/>
    <xf numFmtId="0" fontId="14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0" borderId="0"/>
    <xf numFmtId="0" fontId="3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9" fillId="30" borderId="21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0" fillId="0" borderId="0"/>
    <xf numFmtId="0" fontId="25" fillId="1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83" fillId="6" borderId="21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9" fillId="30" borderId="21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0" fillId="0" borderId="0"/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0" fillId="0" borderId="0"/>
    <xf numFmtId="0" fontId="25" fillId="21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70" fillId="0" borderId="34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6" fillId="46" borderId="35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4" fillId="36" borderId="33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6" fillId="47" borderId="36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77" fillId="0" borderId="28" applyNumberFormat="0" applyFill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81" fillId="34" borderId="33" applyNumberFormat="0" applyAlignment="0" applyProtection="0">
      <alignment vertical="center"/>
    </xf>
    <xf numFmtId="0" fontId="31" fillId="28" borderId="27" applyNumberFormat="0" applyFont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55" fillId="25" borderId="26" applyNumberForma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61" fillId="30" borderId="29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31" fillId="28" borderId="27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61" fillId="30" borderId="29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69" fillId="30" borderId="21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31" fillId="28" borderId="27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0" borderId="0"/>
    <xf numFmtId="0" fontId="14" fillId="0" borderId="1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51" fillId="0" borderId="31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0" fillId="28" borderId="27" applyNumberFormat="0" applyFont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2" fillId="34" borderId="32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0" fillId="28" borderId="27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3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67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1" fillId="28" borderId="27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69" fillId="30" borderId="2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  <xf numFmtId="0" fontId="74" fillId="14" borderId="29" applyNumberForma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30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88" fillId="0" borderId="2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40" fillId="14" borderId="29" applyNumberFormat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5" fillId="6" borderId="29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0" fillId="0" borderId="0"/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1" fillId="6" borderId="29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0" borderId="0"/>
    <xf numFmtId="0" fontId="17" fillId="6" borderId="21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23" fillId="1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25" borderId="2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16" fillId="17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</cellStyleXfs>
  <cellXfs count="75">
    <xf numFmtId="0" fontId="0" fillId="0" borderId="0" xfId="0"/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0" xfId="773" applyFont="1" applyAlignment="1" applyProtection="1">
      <alignment vertical="center"/>
    </xf>
    <xf numFmtId="0" fontId="4" fillId="0" borderId="0" xfId="773" applyFont="1" applyAlignment="1" applyProtection="1">
      <alignment vertical="center"/>
    </xf>
    <xf numFmtId="0" fontId="5" fillId="0" borderId="0" xfId="773" applyFont="1" applyAlignment="1" applyProtection="1">
      <alignment vertical="center"/>
    </xf>
    <xf numFmtId="0" fontId="0" fillId="0" borderId="0" xfId="0" applyFill="1"/>
    <xf numFmtId="0" fontId="4" fillId="0" borderId="0" xfId="818" applyFont="1" applyProtection="1"/>
    <xf numFmtId="0" fontId="0" fillId="0" borderId="0" xfId="773" applyFont="1" applyFill="1" applyAlignment="1" applyProtection="1">
      <alignment horizontal="center" vertical="center"/>
    </xf>
    <xf numFmtId="0" fontId="0" fillId="0" borderId="0" xfId="773" applyFont="1" applyProtection="1"/>
    <xf numFmtId="0" fontId="6" fillId="0" borderId="0" xfId="773" applyFont="1" applyAlignment="1" applyProtection="1">
      <alignment horizontal="center" vertical="center"/>
    </xf>
    <xf numFmtId="0" fontId="4" fillId="0" borderId="0" xfId="800" applyFont="1" applyFill="1" applyAlignment="1" applyProtection="1">
      <alignment vertical="center"/>
    </xf>
    <xf numFmtId="0" fontId="4" fillId="0" borderId="0" xfId="800" applyFont="1" applyAlignment="1" applyProtection="1">
      <alignment vertical="center"/>
    </xf>
    <xf numFmtId="0" fontId="4" fillId="0" borderId="2" xfId="773" applyFont="1" applyBorder="1" applyAlignment="1" applyProtection="1">
      <alignment horizontal="center" vertical="center" wrapText="1"/>
    </xf>
    <xf numFmtId="0" fontId="4" fillId="0" borderId="3" xfId="773" applyFont="1" applyBorder="1" applyAlignment="1" applyProtection="1">
      <alignment horizontal="center" vertical="center" wrapText="1"/>
    </xf>
    <xf numFmtId="0" fontId="4" fillId="0" borderId="4" xfId="773" applyFont="1" applyBorder="1" applyAlignment="1" applyProtection="1">
      <alignment horizontal="center" vertical="center"/>
    </xf>
    <xf numFmtId="0" fontId="4" fillId="0" borderId="5" xfId="773" applyFont="1" applyBorder="1" applyAlignment="1" applyProtection="1">
      <alignment horizontal="center" vertical="center" wrapText="1"/>
    </xf>
    <xf numFmtId="0" fontId="4" fillId="0" borderId="6" xfId="773" applyFont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4" fillId="0" borderId="12" xfId="773" applyFont="1" applyBorder="1" applyAlignment="1" applyProtection="1">
      <alignment horizontal="center" vertical="center" wrapText="1"/>
    </xf>
    <xf numFmtId="0" fontId="4" fillId="0" borderId="13" xfId="773" applyFont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0" fontId="4" fillId="0" borderId="1" xfId="773" applyFont="1" applyFill="1" applyBorder="1" applyAlignment="1" applyProtection="1">
      <alignment horizontal="center" vertical="center"/>
    </xf>
    <xf numFmtId="0" fontId="5" fillId="0" borderId="1" xfId="773" applyFont="1" applyFill="1" applyBorder="1" applyAlignment="1" applyProtection="1">
      <alignment vertical="center" wrapText="1"/>
    </xf>
    <xf numFmtId="2" fontId="4" fillId="3" borderId="1" xfId="773" applyNumberFormat="1" applyFont="1" applyFill="1" applyBorder="1" applyAlignment="1" applyProtection="1">
      <alignment horizontal="right" vertical="center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11" fillId="2" borderId="1" xfId="773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2" fillId="4" borderId="14" xfId="0" applyFont="1" applyFill="1" applyBorder="1" applyAlignment="1" applyProtection="1">
      <alignment horizontal="center" vertical="center" wrapText="1"/>
      <protection locked="0"/>
    </xf>
    <xf numFmtId="0" fontId="2" fillId="5" borderId="14" xfId="0" applyFont="1" applyFill="1" applyBorder="1" applyAlignment="1" applyProtection="1">
      <alignment horizontal="center" vertical="center" wrapText="1"/>
      <protection locked="0"/>
    </xf>
    <xf numFmtId="2" fontId="4" fillId="0" borderId="1" xfId="773" applyNumberFormat="1" applyFont="1" applyFill="1" applyBorder="1" applyAlignment="1" applyProtection="1">
      <alignment horizontal="right" vertical="center"/>
    </xf>
    <xf numFmtId="0" fontId="12" fillId="0" borderId="4" xfId="773" applyFont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8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left" vertical="center" wrapText="1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2" fontId="4" fillId="6" borderId="1" xfId="773" applyNumberFormat="1" applyFont="1" applyFill="1" applyBorder="1" applyAlignment="1" applyProtection="1">
      <alignment horizontal="right" vertical="center"/>
    </xf>
    <xf numFmtId="0" fontId="4" fillId="0" borderId="0" xfId="818" applyFont="1" applyAlignment="1" applyProtection="1">
      <alignment vertical="center"/>
    </xf>
    <xf numFmtId="2" fontId="4" fillId="7" borderId="1" xfId="773" applyNumberFormat="1" applyFont="1" applyFill="1" applyBorder="1" applyAlignment="1" applyProtection="1">
      <alignment horizontal="right" vertical="center"/>
    </xf>
    <xf numFmtId="0" fontId="0" fillId="3" borderId="1" xfId="773" applyFont="1" applyFill="1" applyBorder="1" applyAlignment="1" applyProtection="1">
      <alignment horizontal="center" vertical="center"/>
    </xf>
    <xf numFmtId="2" fontId="4" fillId="0" borderId="0" xfId="773" applyNumberFormat="1" applyFont="1" applyFill="1" applyAlignment="1" applyProtection="1">
      <alignment horizontal="right" vertical="center"/>
    </xf>
    <xf numFmtId="0" fontId="0" fillId="0" borderId="0" xfId="773" applyFont="1" applyFill="1" applyProtection="1"/>
  </cellXfs>
  <cellStyles count="868">
    <cellStyle name="常规" xfId="0" builtinId="0"/>
    <cellStyle name="强调文字颜色 1_G4B-3（a）场外衍生工具交易对手信用风险计算表(权重法)" xfId="1"/>
    <cellStyle name="20% - 强调文字颜色 3 2 2" xfId="2"/>
    <cellStyle name="强调文字颜色 1 6" xfId="3"/>
    <cellStyle name="强调文字颜色 1 5" xfId="4"/>
    <cellStyle name="强调文字颜色 1 4" xfId="5"/>
    <cellStyle name="强调文字颜色 1 3_G4B-3（b）证券融资交易对手信用风险计算表(0621)" xfId="6"/>
    <cellStyle name="强调文字颜色 1 2" xfId="7"/>
    <cellStyle name="链接单元格 6" xfId="8"/>
    <cellStyle name="40% - 强调文字颜色 2_G4B-3（a）场外衍生工具交易对手信用风险计算表(权重法)" xfId="9"/>
    <cellStyle name="链接单元格 5" xfId="10"/>
    <cellStyle name="输入 7" xfId="11"/>
    <cellStyle name="链接单元格 3_G4B-2" xfId="12"/>
    <cellStyle name="20% - 强调文字颜色 2_G4B-3（a）场外衍生工具交易对手信用风险计算表(权重法)" xfId="13"/>
    <cellStyle name="链接单元格 3 5" xfId="14"/>
    <cellStyle name="链接单元格 3 4" xfId="15"/>
    <cellStyle name="链接单元格 3 3" xfId="16"/>
    <cellStyle name="链接单元格 3 2" xfId="17"/>
    <cellStyle name="强调文字颜色 4_G4B-3（a）场外衍生工具交易对手信用风险计算表(权重法)" xfId="18"/>
    <cellStyle name="链接单元格 3" xfId="19"/>
    <cellStyle name="标题 4 2 5" xfId="20"/>
    <cellStyle name="输入 5" xfId="21"/>
    <cellStyle name="链接单元格 2_G4B-2" xfId="22"/>
    <cellStyle name="链接单元格 2 6" xfId="23"/>
    <cellStyle name="链接单元格 2 4" xfId="24"/>
    <cellStyle name="链接单元格 2 3" xfId="25"/>
    <cellStyle name="链接单元格 2 2" xfId="26"/>
    <cellStyle name="警告文字" xfId="27"/>
    <cellStyle name="差 2 4" xfId="28"/>
    <cellStyle name="警告文本 2_G4B-4 资产证券化业务风险加权资产表" xfId="29"/>
    <cellStyle name="解释性文本 4" xfId="30"/>
    <cellStyle name="解释性文本 3 5" xfId="31"/>
    <cellStyle name="解释性文本 3 3" xfId="32"/>
    <cellStyle name="解释性文本 3 2" xfId="33"/>
    <cellStyle name="解释性文本 2_G4B-4 资产证券化业务风险加权资产表" xfId="34"/>
    <cellStyle name="60% - 强调文字颜色 6 7" xfId="35"/>
    <cellStyle name="20% - 强调文字颜色 1 2 6" xfId="36"/>
    <cellStyle name="解释性文本 2 5" xfId="37"/>
    <cellStyle name="解释性文本 2 3" xfId="38"/>
    <cellStyle name="解释性文本 2 2" xfId="39"/>
    <cellStyle name="檢查儲存格" xfId="40"/>
    <cellStyle name="检查单元格 7" xfId="41"/>
    <cellStyle name="检查单元格 5" xfId="42"/>
    <cellStyle name="强调文字颜色 2 3 5" xfId="43"/>
    <cellStyle name="检查单元格 3 5" xfId="44"/>
    <cellStyle name="好 3 3" xfId="45"/>
    <cellStyle name="解释性文本 2 4" xfId="46"/>
    <cellStyle name="检查单元格 2_G4B-3（b）证券融资交易对手信用风险计算表(0621)" xfId="47"/>
    <cellStyle name="标题 8" xfId="48"/>
    <cellStyle name="计算 5" xfId="49"/>
    <cellStyle name="计算 4" xfId="50"/>
    <cellStyle name="计算 3 2" xfId="51"/>
    <cellStyle name="计算 3" xfId="52"/>
    <cellStyle name="计算 2 6" xfId="53"/>
    <cellStyle name="计算 2 5" xfId="54"/>
    <cellStyle name="计算 2 3" xfId="55"/>
    <cellStyle name="解释性文本 2 6" xfId="56"/>
    <cellStyle name="计算 2" xfId="57"/>
    <cellStyle name="解释性文本 2" xfId="58"/>
    <cellStyle name="汇总 6" xfId="59"/>
    <cellStyle name="汇总 5" xfId="60"/>
    <cellStyle name="输入 3 5" xfId="61"/>
    <cellStyle name="汇总 4" xfId="62"/>
    <cellStyle name="输入 3 4" xfId="63"/>
    <cellStyle name="汇总 3_G4B-2" xfId="64"/>
    <cellStyle name="汇总 2_G4B-2" xfId="65"/>
    <cellStyle name="20% - 强调文字颜色 4 2_G4B-3（b）证券融资交易对手信用风险计算表(0621)" xfId="66"/>
    <cellStyle name="壞_G4B-4 资产证券化业务风险加权资产表" xfId="67"/>
    <cellStyle name="差 5" xfId="68"/>
    <cellStyle name="适中 3 4" xfId="69"/>
    <cellStyle name="壞_G4B-3（a）场外衍生工具交易对手信用风险计算表(权重法)" xfId="70"/>
    <cellStyle name="好_资产证券化监管报表_G4B-4 资产证券化业务风险加权资产表" xfId="71"/>
    <cellStyle name="好_资产证券化监管报表_G4B-3交易对手信用风险汇总表" xfId="72"/>
    <cellStyle name="差 2_G4B-3（b）证券融资交易对手信用风险计算表(0621)" xfId="73"/>
    <cellStyle name="好_资产证券化监管报表_G4B-3（b）证券融资交易对手信用风险计算表(0621)" xfId="74"/>
    <cellStyle name="好_G4B-4 资产证券化业务风险加权资产表" xfId="75"/>
    <cellStyle name="链接单元格 4" xfId="76"/>
    <cellStyle name="标题 4 2 6" xfId="77"/>
    <cellStyle name="输入 6" xfId="78"/>
    <cellStyle name="好_G4B-3（b）证券融资交易对手信用风险计算表(0621)" xfId="79"/>
    <cellStyle name="20% - 强调文字颜色 6 4" xfId="80"/>
    <cellStyle name="好_G4B-3（a）场外衍生工具交易对手信用风险计算表(权重法)" xfId="81"/>
    <cellStyle name="40% - 强调文字颜色 5 2_G4B-3（b）证券融资交易对手信用风险计算表(0621)" xfId="82"/>
    <cellStyle name="强调文字颜色 3 2" xfId="83"/>
    <cellStyle name="好 7" xfId="84"/>
    <cellStyle name="好 5" xfId="85"/>
    <cellStyle name="好 4" xfId="86"/>
    <cellStyle name="好 3" xfId="87"/>
    <cellStyle name="40% - 强调文字颜色 3_G4B-3（a）场外衍生工具交易对手信用风险计算表(权重法)" xfId="88"/>
    <cellStyle name="輔色4" xfId="89"/>
    <cellStyle name="20% - 强调文字颜色 2 2 5" xfId="90"/>
    <cellStyle name="輔色3" xfId="91"/>
    <cellStyle name="20% - 强调文字颜色 2 2 4" xfId="92"/>
    <cellStyle name="輔色1" xfId="93"/>
    <cellStyle name="20% - 强调文字颜色 2 2 2" xfId="94"/>
    <cellStyle name="常规 3 5" xfId="95"/>
    <cellStyle name="常规 3 4" xfId="96"/>
    <cellStyle name="常规 3 3" xfId="97"/>
    <cellStyle name="常规 3 2" xfId="98"/>
    <cellStyle name="常规 3" xfId="99"/>
    <cellStyle name="常规 2_G4B-3（a）场外衍生工具交易对手信用风险计算表(权重法)" xfId="100"/>
    <cellStyle name="40% - 强调文字颜色 3 6" xfId="101"/>
    <cellStyle name="60% - 强调文字颜色 1_G4B-3（a）场外衍生工具交易对手信用风险计算表(权重法)" xfId="102"/>
    <cellStyle name="检查单元格 4" xfId="103"/>
    <cellStyle name="强调文字颜色 2 3 4" xfId="104"/>
    <cellStyle name="常规 2 7" xfId="105"/>
    <cellStyle name="检查单元格 3" xfId="106"/>
    <cellStyle name="强调文字颜色 2 3 3" xfId="107"/>
    <cellStyle name="常规 2 6" xfId="108"/>
    <cellStyle name="检查单元格 2" xfId="109"/>
    <cellStyle name="差 3_G4B-3（b）证券融资交易对手信用风险计算表(0621)" xfId="110"/>
    <cellStyle name="强调文字颜色 2 3 2" xfId="111"/>
    <cellStyle name="常规 2 5" xfId="112"/>
    <cellStyle name="常规 2 2_G4B-4 资产证券化业务风险加权资产表" xfId="113"/>
    <cellStyle name="常规 2 2 5" xfId="114"/>
    <cellStyle name="常规 2" xfId="115"/>
    <cellStyle name="差_G4B-4 资产证券化业务风险加权资产表" xfId="116"/>
    <cellStyle name="差_G4B-3交易对手信用风险汇总表" xfId="117"/>
    <cellStyle name="差 3 2" xfId="118"/>
    <cellStyle name="差 3" xfId="119"/>
    <cellStyle name="适中 3 2" xfId="120"/>
    <cellStyle name="链接单元格 7" xfId="121"/>
    <cellStyle name="差 2 2" xfId="122"/>
    <cellStyle name="40% - 輔色6" xfId="123"/>
    <cellStyle name="差 2" xfId="124"/>
    <cellStyle name="好 2_G4B-3（b）证券融资交易对手信用风险计算表(0621)" xfId="125"/>
    <cellStyle name="差_G4B-3（a）场外衍生工具交易对手信用风险计算表(权重法)" xfId="126"/>
    <cellStyle name="標題_G4B-3（a）场外衍生工具交易对手信用风险计算表(权重法)" xfId="127"/>
    <cellStyle name="强调文字颜色 1 3" xfId="128"/>
    <cellStyle name="标题 9" xfId="129"/>
    <cellStyle name="标题 7" xfId="130"/>
    <cellStyle name="标题 5_G4B-4 资产证券化业务风险加权资产表" xfId="131"/>
    <cellStyle name="20% - 强调文字颜色 3 2" xfId="132"/>
    <cellStyle name="标题 5 6" xfId="133"/>
    <cellStyle name="标题 5 5" xfId="134"/>
    <cellStyle name="标题 5 4" xfId="135"/>
    <cellStyle name="标题 5 3" xfId="136"/>
    <cellStyle name="标题 5 2" xfId="137"/>
    <cellStyle name="标题 6 5" xfId="138"/>
    <cellStyle name="40% - 强调文字颜色 1 7" xfId="139"/>
    <cellStyle name="标题 5" xfId="140"/>
    <cellStyle name="标题 4 3 3" xfId="141"/>
    <cellStyle name="标题 4 2_G4B-4 资产证券化业务风险加权资产表" xfId="142"/>
    <cellStyle name="40% - 强调文字颜色 1 3 4" xfId="143"/>
    <cellStyle name="标题 4 2 4" xfId="144"/>
    <cellStyle name="链接单元格 2" xfId="145"/>
    <cellStyle name="输入 4" xfId="146"/>
    <cellStyle name="标题 4 2 2" xfId="147"/>
    <cellStyle name="输入 2" xfId="148"/>
    <cellStyle name="常规 2 3" xfId="149"/>
    <cellStyle name="标题 3 3_G4B-2" xfId="150"/>
    <cellStyle name="标题 3 3 3" xfId="151"/>
    <cellStyle name="60% - 强调文字颜色 2 2_G4B-3（b）证券融资交易对手信用风险计算表(0621)" xfId="152"/>
    <cellStyle name="标题 3 3 2" xfId="153"/>
    <cellStyle name="40% - 强调文字颜色 5 3_G4B-3（b）证券融资交易对手信用风险计算表(0621)" xfId="154"/>
    <cellStyle name="警告文本 3 5" xfId="155"/>
    <cellStyle name="强调文字颜色 2 2 3" xfId="156"/>
    <cellStyle name="计算 3 4" xfId="157"/>
    <cellStyle name="20% - 强调文字颜色 1 3" xfId="158"/>
    <cellStyle name="40% - 輔色2" xfId="159"/>
    <cellStyle name="20% - 强调文字颜色 1 3 4" xfId="160"/>
    <cellStyle name="适中 2 6" xfId="161"/>
    <cellStyle name="40% - 强调文字颜色 1 2_G4B-3（b）证券融资交易对手信用风险计算表(0621)" xfId="162"/>
    <cellStyle name="40% - 强调文字颜色 2 2 5" xfId="163"/>
    <cellStyle name="40% - 强调文字颜色 4" xfId="164" builtinId="43"/>
    <cellStyle name="40% - 强调文字颜色 6_G4B-3（a）场外衍生工具交易对手信用风险计算表(权重法)" xfId="165"/>
    <cellStyle name="40% - 强调文字颜色 4 5" xfId="166"/>
    <cellStyle name="40% - 强调文字颜色 2 3_G4B-3（b）证券融资交易对手信用风险计算表(0621)" xfId="167"/>
    <cellStyle name="40% - 强调文字颜色 3 3 2" xfId="168"/>
    <cellStyle name="40% - 强调文字颜色 6 7" xfId="169"/>
    <cellStyle name="40% - 强调文字颜色 3 3 3" xfId="170"/>
    <cellStyle name="强调文字颜色 1 2 6" xfId="171"/>
    <cellStyle name="40% - 强调文字颜色 3 3" xfId="172"/>
    <cellStyle name="强调文字颜色 3 3_G4B-3（b）证券融资交易对手信用风险计算表(0621)" xfId="173"/>
    <cellStyle name="40% - 强调文字颜色 3 3 4" xfId="174"/>
    <cellStyle name="40% - 强调文字颜色 3 3 5" xfId="175"/>
    <cellStyle name="40% - 强调文字颜色 3 3_G4B-3（b）证券融资交易对手信用风险计算表(0621)" xfId="176"/>
    <cellStyle name="40% - 强调文字颜色 3 4" xfId="177"/>
    <cellStyle name="40% - 强调文字颜色 3 5" xfId="178"/>
    <cellStyle name="标题 1 5" xfId="179"/>
    <cellStyle name="40% - 輔色5" xfId="180"/>
    <cellStyle name="40% - 强调文字颜色 4 3 3" xfId="181"/>
    <cellStyle name="40% - 强调文字颜色 3 2 3" xfId="182"/>
    <cellStyle name="差 3 4" xfId="183"/>
    <cellStyle name="40% - 强调文字颜色 4 6" xfId="184"/>
    <cellStyle name="标题 2 7" xfId="185"/>
    <cellStyle name="標題 4" xfId="186"/>
    <cellStyle name="40% - 强调文字颜色 4_G4B-3（a）场外衍生工具交易对手信用风险计算表(权重法)" xfId="187"/>
    <cellStyle name="常规 2 2 2" xfId="188"/>
    <cellStyle name="好 3 4" xfId="189"/>
    <cellStyle name="百分比 6" xfId="190"/>
    <cellStyle name="好 2 6" xfId="191"/>
    <cellStyle name="60% - 强调文字颜色 1 7" xfId="192"/>
    <cellStyle name="40% - 强调文字颜色 5 2 3" xfId="193"/>
    <cellStyle name="20% - 强调文字颜色 1 4" xfId="194"/>
    <cellStyle name="计算 3 5" xfId="195"/>
    <cellStyle name="强调文字颜色 2 2 4" xfId="196"/>
    <cellStyle name="差_G4B-3（b）证券融资交易对手信用风险计算表(0621)" xfId="197"/>
    <cellStyle name="好_资产证券化监管报表" xfId="198"/>
    <cellStyle name="40% - 强调文字颜色 3 2 6" xfId="199"/>
    <cellStyle name="20% - 强调文字颜色 4 6" xfId="200"/>
    <cellStyle name="千位分隔 4" xfId="201"/>
    <cellStyle name="40% - 强调文字颜色 4 2 3" xfId="202"/>
    <cellStyle name="标题 1 7" xfId="203"/>
    <cellStyle name="20% - 强调文字颜色 1 5" xfId="204"/>
    <cellStyle name="强调文字颜色 2 2 5" xfId="205"/>
    <cellStyle name="40% - 强调文字颜色 4 2 4" xfId="206"/>
    <cellStyle name="20% - 輔色2" xfId="207"/>
    <cellStyle name="40% - 强调文字颜色 5 2 5" xfId="208"/>
    <cellStyle name="40% - 强调文字颜色 6 3 4" xfId="209"/>
    <cellStyle name="60% - 强调文字颜色 1 2 5" xfId="210"/>
    <cellStyle name="20% - 强调文字颜色 4 3" xfId="211"/>
    <cellStyle name="60% - 强调文字颜色 1 4" xfId="212"/>
    <cellStyle name="40% - 强调文字颜色 4 3_G4B-3（b）证券融资交易对手信用风险计算表(0621)" xfId="213"/>
    <cellStyle name="强调文字颜色 4 3 2" xfId="214"/>
    <cellStyle name="20% - 强调文字颜色 5 7" xfId="215"/>
    <cellStyle name="40% - 强调文字颜色 3 2 2" xfId="216"/>
    <cellStyle name="差 3 3" xfId="217"/>
    <cellStyle name="40% - 强调文字颜色 3 2" xfId="218"/>
    <cellStyle name="40% - 强调文字颜色 5 3 4" xfId="219"/>
    <cellStyle name="适中 3" xfId="220"/>
    <cellStyle name="输出 4" xfId="221"/>
    <cellStyle name="警告文本 2" xfId="222"/>
    <cellStyle name="60% - 强调文字颜色 1 6" xfId="223"/>
    <cellStyle name="40% - 强调文字颜色 5 2 2" xfId="224"/>
    <cellStyle name="20% - 强调文字颜色 1 3_G4B-3（b）证券融资交易对手信用风险计算表(0621)" xfId="225"/>
    <cellStyle name="强调文字颜色 5 6" xfId="226"/>
    <cellStyle name="20% - 强调文字颜色 4 5" xfId="227"/>
    <cellStyle name="千位分隔 3" xfId="228"/>
    <cellStyle name="标题 1 6" xfId="229"/>
    <cellStyle name="40% - 强调文字颜色 4 2 2" xfId="230"/>
    <cellStyle name="40% - 强调文字颜色 5 5" xfId="231"/>
    <cellStyle name="检查单元格 3 2" xfId="232"/>
    <cellStyle name="20% - 强调文字颜色 5 2" xfId="233"/>
    <cellStyle name="40% - 强调文字颜色 6 2 3" xfId="234"/>
    <cellStyle name="60% - 强调文字颜色 5 2_G4B-3（b）证券融资交易对手信用风险计算表(0621)" xfId="235"/>
    <cellStyle name="60% - 强调文字颜色 2 3 3" xfId="236"/>
    <cellStyle name="20% - 强调文字颜色 5 2 3" xfId="237"/>
    <cellStyle name="好_资产证券化监管报表_G4B-3（a）场外衍生工具交易对手信用风险计算表(权重法)" xfId="238"/>
    <cellStyle name="40% - 强调文字颜色 6 2 4" xfId="239"/>
    <cellStyle name="警告文本 3 2" xfId="240"/>
    <cellStyle name="60% - 强调文字颜色 2 3 5" xfId="241"/>
    <cellStyle name="20% - 强调文字颜色 5 2 5" xfId="242"/>
    <cellStyle name="40% - 强调文字颜色 6 2 5" xfId="243"/>
    <cellStyle name="40% - 强调文字颜色 6 2 6" xfId="244"/>
    <cellStyle name="强调文字颜色 3_G4B-3（a）场外衍生工具交易对手信用风险计算表(权重法)" xfId="245"/>
    <cellStyle name="20% - 强调文字颜色 5 3" xfId="246"/>
    <cellStyle name="60% - 强调文字颜色 2 4" xfId="247"/>
    <cellStyle name="强调文字颜色 3 2 6" xfId="248"/>
    <cellStyle name="标题 1 3 3" xfId="249"/>
    <cellStyle name="标题 1 3 5" xfId="250"/>
    <cellStyle name="60% - 强调文字颜色 1 2 3" xfId="251"/>
    <cellStyle name="60% - 强调文字颜色 1 2 4" xfId="252"/>
    <cellStyle name="常规 2 2 6" xfId="253"/>
    <cellStyle name="40% - 强调文字颜色 6 3_G4B-3（b）证券融资交易对手信用风险计算表(0621)" xfId="254"/>
    <cellStyle name="20% - 强调文字颜色 5 4" xfId="255"/>
    <cellStyle name="60% - 强调文字颜色 2 5" xfId="256"/>
    <cellStyle name="千位分隔 6" xfId="257"/>
    <cellStyle name="60% - 强调文字颜色 6_G4B-3（a）场外衍生工具交易对手信用风险计算表(权重法)" xfId="258"/>
    <cellStyle name="40% - 强调文字颜色 4 2 5" xfId="259"/>
    <cellStyle name="40% - 强调文字颜色 2 2 4" xfId="260"/>
    <cellStyle name="60% - 强调文字颜色 2 3_G4B-3（b）证券融资交易对手信用风险计算表(0621)" xfId="261"/>
    <cellStyle name="强调文字颜色 3 3 4" xfId="262"/>
    <cellStyle name="60% - 强调文字颜色 3 2" xfId="263"/>
    <cellStyle name="40% - 强调文字颜色 1_G4B-3（a）场外衍生工具交易对手信用风险计算表(权重法)" xfId="264"/>
    <cellStyle name="20% - 强调文字颜色 5 5" xfId="265"/>
    <cellStyle name="60% - 强调文字颜色 2 6" xfId="266"/>
    <cellStyle name="40% - 輔色4" xfId="267"/>
    <cellStyle name="標題 3" xfId="268"/>
    <cellStyle name="标题 2 6" xfId="269"/>
    <cellStyle name="40% - 强调文字颜色 4 3 2" xfId="270"/>
    <cellStyle name="40% - 强调文字颜色 4 2 6" xfId="271"/>
    <cellStyle name="40% - 强调文字颜色 6 6" xfId="272"/>
    <cellStyle name="警告文本 2 4" xfId="273"/>
    <cellStyle name="20% - 强调文字颜色 1 3 5" xfId="274"/>
    <cellStyle name="40% - 輔色3" xfId="275"/>
    <cellStyle name="20% - 强调文字颜色 5 6" xfId="276"/>
    <cellStyle name="60% - 强调文字颜色 2 7" xfId="277"/>
    <cellStyle name="60% - 强调文字颜色 2 3" xfId="278"/>
    <cellStyle name="强调文字颜色 3 2 5" xfId="279"/>
    <cellStyle name="标题 1 3 2" xfId="280"/>
    <cellStyle name="60% - 輔色1" xfId="281"/>
    <cellStyle name="注释 3 4" xfId="282"/>
    <cellStyle name="60% - 輔色2" xfId="283"/>
    <cellStyle name="60% - 輔色3" xfId="284"/>
    <cellStyle name="60% - 强调文字颜色 1 3 2" xfId="285"/>
    <cellStyle name="20% - 强调文字颜色 4 2 3" xfId="286"/>
    <cellStyle name="60% - 輔色4" xfId="287"/>
    <cellStyle name="40% - 强调文字颜色 1 3_G4B-3（b）证券融资交易对手信用风险计算表(0621)" xfId="288"/>
    <cellStyle name="60% - 强调文字颜色 1 3 3" xfId="289"/>
    <cellStyle name="20% - 强调文字颜色 4 2 4" xfId="290"/>
    <cellStyle name="60% - 强调文字颜色 1 3 4" xfId="291"/>
    <cellStyle name="解释性文本" xfId="292" builtinId="53"/>
    <cellStyle name="40% - 强调文字颜色 5 2 4" xfId="293"/>
    <cellStyle name="千位分隔 5" xfId="294"/>
    <cellStyle name="20% - 强调文字颜色 4 7" xfId="295"/>
    <cellStyle name="20% - 輔色1" xfId="296"/>
    <cellStyle name="20% - 强调文字颜色 4 2 5" xfId="297"/>
    <cellStyle name="60% - 强调文字颜色 1 3 5" xfId="298"/>
    <cellStyle name="适中 2_G4B-3（b）证券融资交易对手信用风险计算表(0621)" xfId="299"/>
    <cellStyle name="强调文字颜色 6 2 5" xfId="300"/>
    <cellStyle name="标题 1 2_G4B-2" xfId="301"/>
    <cellStyle name="标题 4 3 2" xfId="302"/>
    <cellStyle name="输出 2 2" xfId="303"/>
    <cellStyle name="输出 2 6" xfId="304"/>
    <cellStyle name="40% - 强调文字颜色 4 3 5" xfId="305"/>
    <cellStyle name="货币[0]" xfId="306" builtinId="7"/>
    <cellStyle name="注释 3 3" xfId="307"/>
    <cellStyle name="输入 2 2" xfId="308"/>
    <cellStyle name="标题 3 3 4" xfId="309"/>
    <cellStyle name="60% - 强调文字颜色 3 2 2" xfId="310"/>
    <cellStyle name="输入 2 3" xfId="311"/>
    <cellStyle name="60% - 强调文字颜色 1 2 6" xfId="312"/>
    <cellStyle name="輸出" xfId="313"/>
    <cellStyle name="强调文字颜色 3 3" xfId="314"/>
    <cellStyle name="注释 2 4" xfId="315"/>
    <cellStyle name="40% - 强调文字颜色 3 2 5" xfId="316"/>
    <cellStyle name="注释 2 5" xfId="317"/>
    <cellStyle name="输出 2 3" xfId="318"/>
    <cellStyle name="注释 2 6" xfId="319"/>
    <cellStyle name="强调文字颜色 4 2 2" xfId="320"/>
    <cellStyle name="检查单元格 2 2" xfId="321"/>
    <cellStyle name="适中 4" xfId="322"/>
    <cellStyle name="40% - 强调文字颜色 5 3 5" xfId="323"/>
    <cellStyle name="输出 5" xfId="324"/>
    <cellStyle name="60% - 强调文字颜色 3_G4B-3（a）场外衍生工具交易对手信用风险计算表(权重法)" xfId="325"/>
    <cellStyle name="链接单元格 2 5" xfId="326"/>
    <cellStyle name="强调文字颜色 5 3_G4B-3（b）证券融资交易对手信用风险计算表(0621)" xfId="327"/>
    <cellStyle name="常规 2 2 3" xfId="328"/>
    <cellStyle name="好 3 5" xfId="329"/>
    <cellStyle name="好 2 5" xfId="330"/>
    <cellStyle name="百分比 5" xfId="331"/>
    <cellStyle name="差 2 6" xfId="332"/>
    <cellStyle name="输出 2 4" xfId="333"/>
    <cellStyle name="强调文字颜色 6 7" xfId="334"/>
    <cellStyle name="20% - 强调文字颜色 1 3 3" xfId="335"/>
    <cellStyle name="40% - 輔色1" xfId="336"/>
    <cellStyle name="输出 3_G4B-3（b）证券融资交易对手信用风险计算表(0621)" xfId="337"/>
    <cellStyle name="注释 2_G4B-3（b）证券融资交易对手信用风险计算表(0621)" xfId="338"/>
    <cellStyle name="60% - 强调文字颜色 5 7" xfId="339"/>
    <cellStyle name="强调文字颜色 6 5" xfId="340"/>
    <cellStyle name="40% - 强调文字颜色 6" xfId="341" builtinId="51"/>
    <cellStyle name="强调文字颜色 1 3 5" xfId="342"/>
    <cellStyle name="20% - 强调文字颜色 6" xfId="343" builtinId="50"/>
    <cellStyle name="强调文字颜色 2 7" xfId="344"/>
    <cellStyle name="40% - 强调文字颜色 1 2" xfId="345"/>
    <cellStyle name="注释 3 5" xfId="346"/>
    <cellStyle name="强调文字颜色 6" xfId="347" builtinId="49"/>
    <cellStyle name="强调文字颜色 3 3 5" xfId="348"/>
    <cellStyle name="60% - 强调文字颜色 3 3" xfId="349"/>
    <cellStyle name="40% - 强调文字颜色 5" xfId="350" builtinId="47"/>
    <cellStyle name="强调文字颜色 5" xfId="351" builtinId="45"/>
    <cellStyle name="输入 2 4" xfId="352"/>
    <cellStyle name="20% - 强调文字颜色 5_G4B-3（a）场外衍生工具交易对手信用风险计算表(权重法)" xfId="353"/>
    <cellStyle name="差 7" xfId="354"/>
    <cellStyle name="60% - 强调文字颜色 3 3 3" xfId="355"/>
    <cellStyle name="40% - 强调文字颜色 5 6" xfId="356"/>
    <cellStyle name="强调文字颜色 5_G4B-3（a）场外衍生工具交易对手信用风险计算表(权重法)" xfId="357"/>
    <cellStyle name="检查单元格 3 3" xfId="358"/>
    <cellStyle name="40% - 强调文字颜色 5 3 3" xfId="359"/>
    <cellStyle name="输出 3" xfId="360"/>
    <cellStyle name="适中 2" xfId="361"/>
    <cellStyle name="注释 3" xfId="362"/>
    <cellStyle name="20% - 强调文字颜色 6 5" xfId="363"/>
    <cellStyle name="60% - 强调文字颜色 3 6" xfId="364"/>
    <cellStyle name="输入 2_G4B-3（b）证券融资交易对手信用风险计算表(0621)" xfId="365"/>
    <cellStyle name="40% - 强调文字颜色 6 2 2" xfId="366"/>
    <cellStyle name="样式 1" xfId="367"/>
    <cellStyle name="40% - 强调文字颜色 2 3 3" xfId="368"/>
    <cellStyle name="注释 2 2" xfId="369"/>
    <cellStyle name="标题 2 3 4" xfId="370"/>
    <cellStyle name="60% - 强调文字颜色 2 2 2" xfId="371"/>
    <cellStyle name="输出 2 5" xfId="372"/>
    <cellStyle name="注释 3 2" xfId="373"/>
    <cellStyle name="强调文字颜色 3 3 3" xfId="374"/>
    <cellStyle name="注释 2" xfId="375"/>
    <cellStyle name="60% - 强调文字颜色 3 5" xfId="376"/>
    <cellStyle name="强调文字颜色 4 5" xfId="377"/>
    <cellStyle name="强调文字颜色 2" xfId="378" builtinId="33"/>
    <cellStyle name="标题 2" xfId="379" builtinId="17"/>
    <cellStyle name="20% - 强调文字颜色 5 2 2" xfId="380"/>
    <cellStyle name="60% - 强调文字颜色 2 3 2" xfId="381"/>
    <cellStyle name="注释" xfId="382" builtinId="10"/>
    <cellStyle name="60% - 强调文字颜色 4 3_G4B-3（b）证券融资交易对手信用风险计算表(0621)" xfId="383"/>
    <cellStyle name="标题 4 2" xfId="384"/>
    <cellStyle name="输入" xfId="385" builtinId="20"/>
    <cellStyle name="40% - 强调文字颜色 2 6" xfId="386"/>
    <cellStyle name="检查单元格" xfId="387" builtinId="23"/>
    <cellStyle name="强调文字颜色 2 3" xfId="388"/>
    <cellStyle name="强调文字颜色 5 2 5" xfId="389"/>
    <cellStyle name="强调文字颜色 4 4" xfId="390"/>
    <cellStyle name="20% - 强调文字颜色 5 2 4" xfId="391"/>
    <cellStyle name="60% - 强调文字颜色 2 3 4" xfId="392"/>
    <cellStyle name="强调文字颜色 2 2 6" xfId="393"/>
    <cellStyle name="20% - 强调文字颜色 1 6" xfId="394"/>
    <cellStyle name="連結的儲存格" xfId="395"/>
    <cellStyle name="差" xfId="396" builtinId="27"/>
    <cellStyle name="40% - 强调文字颜色 6 2" xfId="397"/>
    <cellStyle name="60% - 强调文字颜色 5 2 3" xfId="398"/>
    <cellStyle name="40% - 强调文字颜色 3 7" xfId="399"/>
    <cellStyle name="强调文字颜色 3 3 2" xfId="400"/>
    <cellStyle name="强调文字颜色 2_G4B-3（a）场外衍生工具交易对手信用风险计算表(权重法)" xfId="401"/>
    <cellStyle name="20% - 强调文字颜色 6 2" xfId="402"/>
    <cellStyle name="强调文字颜色 5 2 6" xfId="403"/>
    <cellStyle name="20% - 强调文字颜色 2 3 4" xfId="404"/>
    <cellStyle name="20% - 强调文字颜色 4" xfId="405" builtinId="42"/>
    <cellStyle name="强调文字颜色 2 5" xfId="406"/>
    <cellStyle name="千位分隔 2" xfId="407"/>
    <cellStyle name="20% - 强调文字颜色 4 4" xfId="408"/>
    <cellStyle name="60% - 强调文字颜色 1 5" xfId="409"/>
    <cellStyle name="计算" xfId="410" builtinId="22"/>
    <cellStyle name="注释 5" xfId="411"/>
    <cellStyle name="注释 2 3" xfId="412"/>
    <cellStyle name="60% - 强调文字颜色 3 4" xfId="413"/>
    <cellStyle name="20% - 强调文字颜色 6 3" xfId="414"/>
    <cellStyle name="40% - 强调文字颜色 5 3 2" xfId="415"/>
    <cellStyle name="输出 2" xfId="416"/>
    <cellStyle name="60% - 强调文字颜色 1 3_G4B-3（b）证券融资交易对手信用风险计算表(0621)" xfId="417"/>
    <cellStyle name="输出 3 2" xfId="418"/>
    <cellStyle name="适中 2 2" xfId="419"/>
    <cellStyle name="壞_G4B-3交易对手信用风险汇总表" xfId="420"/>
    <cellStyle name="差 2 3" xfId="421"/>
    <cellStyle name="千位分隔[0]" xfId="422" builtinId="6"/>
    <cellStyle name="标题 4 3" xfId="423"/>
    <cellStyle name="强调文字颜色 4" xfId="424" builtinId="41"/>
    <cellStyle name="强调文字颜色 4 7" xfId="425"/>
    <cellStyle name="强调文字颜色 5 3 5" xfId="426"/>
    <cellStyle name="20% - 强调文字颜色 3 2_G4B-3（b）证券融资交易对手信用风险计算表(0621)" xfId="427"/>
    <cellStyle name="适中 3 3" xfId="428"/>
    <cellStyle name="差 4" xfId="429"/>
    <cellStyle name="40% - 强调文字颜色 3" xfId="430" builtinId="39"/>
    <cellStyle name="强调文字颜色 3 6" xfId="431"/>
    <cellStyle name="链接单元格" xfId="432" builtinId="24"/>
    <cellStyle name="检查单元格 6" xfId="433"/>
    <cellStyle name="60% - 强调文字颜色 1" xfId="434" builtinId="32"/>
    <cellStyle name="计算 6" xfId="435"/>
    <cellStyle name="强调文字颜色 4 2 3" xfId="436"/>
    <cellStyle name="60% - 强调文字颜色 1 2 2" xfId="437"/>
    <cellStyle name="输入 2 6" xfId="438"/>
    <cellStyle name="20% - 强调文字颜色 2 3_G4B-3（b）证券融资交易对手信用风险计算表(0621)" xfId="439"/>
    <cellStyle name="解释性文本 3" xfId="440"/>
    <cellStyle name="60% - 强调文字颜色 3" xfId="441" builtinId="40"/>
    <cellStyle name="标题" xfId="442" builtinId="15"/>
    <cellStyle name="40% - 强调文字颜色 2 2_G4B-3（b）证券融资交易对手信用风险计算表(0621)" xfId="443"/>
    <cellStyle name="标题 6" xfId="444"/>
    <cellStyle name="注释 4" xfId="445"/>
    <cellStyle name="60% - 强调文字颜色 3 7" xfId="446"/>
    <cellStyle name="标题 3" xfId="447" builtinId="18"/>
    <cellStyle name="40% - 强调文字颜色 1 5" xfId="448"/>
    <cellStyle name="标题 6 3" xfId="449"/>
    <cellStyle name="强调文字颜色 1 2_G4B-3（b）证券融资交易对手信用风险计算表(0621)" xfId="450"/>
    <cellStyle name="汇总 7" xfId="451"/>
    <cellStyle name="强调文字颜色 4 6" xfId="452"/>
    <cellStyle name="强调文字颜色 3" xfId="453" builtinId="37"/>
    <cellStyle name="强调文字颜色 5 3 2" xfId="454"/>
    <cellStyle name="适中" xfId="455" builtinId="28"/>
    <cellStyle name="强调文字颜色 5 3 3" xfId="456"/>
    <cellStyle name="计算 7" xfId="457"/>
    <cellStyle name="适中 2 5" xfId="458"/>
    <cellStyle name="输出 3 5" xfId="459"/>
    <cellStyle name="40% - 强调文字颜色 2" xfId="460" builtinId="35"/>
    <cellStyle name="适中 5" xfId="461"/>
    <cellStyle name="检查单元格 2 3" xfId="462"/>
    <cellStyle name="输出 6" xfId="463"/>
    <cellStyle name="强调文字颜色 3 2_G4B-3（b）证券融资交易对手信用风险计算表(0621)" xfId="464"/>
    <cellStyle name="标题 3 3 5" xfId="465"/>
    <cellStyle name="60% - 强调文字颜色 3 2 3" xfId="466"/>
    <cellStyle name="60% - 强调文字颜色 1 2_G4B-3（b）证券融资交易对手信用风险计算表(0621)" xfId="467"/>
    <cellStyle name="强调文字颜色 6 3 5" xfId="468"/>
    <cellStyle name="适中 3_G4B-3（b）证券融资交易对手信用风险计算表(0621)" xfId="469"/>
    <cellStyle name="适中 2 3" xfId="470"/>
    <cellStyle name="输出 3 3" xfId="471"/>
    <cellStyle name="强调文字颜色 6 3_G4B-3（b）证券融资交易对手信用风险计算表(0621)" xfId="472"/>
    <cellStyle name="40% - 强调文字颜色 1" xfId="473" builtinId="31"/>
    <cellStyle name="中等" xfId="474"/>
    <cellStyle name="Hyperlink" xfId="475"/>
    <cellStyle name="强调文字颜色 6 3" xfId="476"/>
    <cellStyle name="强调文字颜色 3 2 2" xfId="477"/>
    <cellStyle name="强调文字颜色 6 3 4" xfId="478"/>
    <cellStyle name="强调文字颜色 6 2 2" xfId="479"/>
    <cellStyle name="强调文字颜色 6 2" xfId="480"/>
    <cellStyle name="强调文字颜色 6 3 3" xfId="481"/>
    <cellStyle name="60% - 强调文字颜色 3 3 2" xfId="482"/>
    <cellStyle name="适中 3 5" xfId="483"/>
    <cellStyle name="差 6" xfId="484"/>
    <cellStyle name="警告文本 3" xfId="485"/>
    <cellStyle name="20% - 强调文字颜色 6 2 2" xfId="486"/>
    <cellStyle name="40% - 强调文字颜色 5 4" xfId="487"/>
    <cellStyle name="20% - 强调文字颜色 2" xfId="488" builtinId="34"/>
    <cellStyle name="20% - 强调文字颜色 2 3 2" xfId="489"/>
    <cellStyle name="强调文字颜色 5 7" xfId="490"/>
    <cellStyle name="强调文字颜色 2 2_G4B-3（b）证券融资交易对手信用风险计算表(0621)" xfId="491"/>
    <cellStyle name="强调文字颜色 4 3 5" xfId="492"/>
    <cellStyle name="40% - 强调文字颜色 5 2" xfId="493"/>
    <cellStyle name="60% - 强调文字颜色 1 3" xfId="494"/>
    <cellStyle name="强调文字颜色 5 5" xfId="495"/>
    <cellStyle name="强调文字颜色 6 2 6" xfId="496"/>
    <cellStyle name="60% - 强调文字颜色 3 2 5" xfId="497"/>
    <cellStyle name="60% - 强调文字颜色 1 2" xfId="498"/>
    <cellStyle name="强调文字颜色 5 4" xfId="499"/>
    <cellStyle name="60% - 强调文字颜色 3 2 4" xfId="500"/>
    <cellStyle name="检查单元格 3_G4B-3（b）证券融资交易对手信用风险计算表(0621)" xfId="501"/>
    <cellStyle name="强调文字颜色 5 3" xfId="502"/>
    <cellStyle name="强调文字颜色 6 2 4" xfId="503"/>
    <cellStyle name="强调文字颜色 5 2_G4B-3（b）证券融资交易对手信用风险计算表(0621)" xfId="504"/>
    <cellStyle name="强调文字颜色 6 6" xfId="505"/>
    <cellStyle name="20% - 强调文字颜色 1" xfId="506" builtinId="30"/>
    <cellStyle name="强调文字颜色 2 2" xfId="507"/>
    <cellStyle name="千位分隔" xfId="508" builtinId="3"/>
    <cellStyle name="强调文字颜色 5 2 4" xfId="509"/>
    <cellStyle name="强调文字颜色 5 2 3" xfId="510"/>
    <cellStyle name="强调文字颜色 5 2 2" xfId="511"/>
    <cellStyle name="20% - 强调文字颜色 6 2_G4B-3（b）证券融资交易对手信用风险计算表(0621)" xfId="512"/>
    <cellStyle name="强调文字颜色 4 2_G4B-3（b）证券融资交易对手信用风险计算表(0621)" xfId="513"/>
    <cellStyle name="强调文字颜色 5 2" xfId="514"/>
    <cellStyle name="标题 4" xfId="515" builtinId="19"/>
    <cellStyle name="40% - 强调文字颜色 1 6" xfId="516"/>
    <cellStyle name="标题 6 4" xfId="517"/>
    <cellStyle name="强调文字颜色 4 3 4" xfId="518"/>
    <cellStyle name="强调文字颜色 4 3 3" xfId="519"/>
    <cellStyle name="40% - 强调文字颜色 6 3 2" xfId="520"/>
    <cellStyle name="强调文字颜色 4 2 4" xfId="521"/>
    <cellStyle name="输入 2 5" xfId="522"/>
    <cellStyle name="注释 6" xfId="523"/>
    <cellStyle name="强调文字颜色 4 2" xfId="524"/>
    <cellStyle name="强调文字颜色 3 5" xfId="525"/>
    <cellStyle name="常规 2 2" xfId="526"/>
    <cellStyle name="标题 3 2_G4B-2" xfId="527"/>
    <cellStyle name="40% - 强调文字颜色 2 2 6" xfId="528"/>
    <cellStyle name="强调文字颜色 3 2 3" xfId="529"/>
    <cellStyle name="标题 4 2 3" xfId="530"/>
    <cellStyle name="输入 3" xfId="531"/>
    <cellStyle name="汇总" xfId="532" builtinId="25"/>
    <cellStyle name="强调文字颜色 1 3 4" xfId="533"/>
    <cellStyle name="20% - 强调文字颜色 6 3 5" xfId="534"/>
    <cellStyle name="强调文字颜色 2 4" xfId="535"/>
    <cellStyle name="20% - 强调文字颜色 2 3 3" xfId="536"/>
    <cellStyle name="20% - 强调文字颜色 3" xfId="537" builtinId="38"/>
    <cellStyle name="40% - 强调文字颜色 3 2_G4B-3（b）证券融资交易对手信用风险计算表(0621)" xfId="538"/>
    <cellStyle name="20% - 强调文字颜色 4 2" xfId="539"/>
    <cellStyle name="40% - 强调文字颜色 6 2_G4B-3（b）证券融资交易对手信用风险计算表(0621)" xfId="540"/>
    <cellStyle name="40% - 强调文字颜色 4 4" xfId="541"/>
    <cellStyle name="汇总 3 5" xfId="542"/>
    <cellStyle name="60% - 强调文字颜色 6 5" xfId="543"/>
    <cellStyle name="20% - 强调文字颜色 1 2 4" xfId="544"/>
    <cellStyle name="汇总 3 3" xfId="545"/>
    <cellStyle name="60% - 强调文字颜色 6 2" xfId="546"/>
    <cellStyle name="汇总 3 2" xfId="547"/>
    <cellStyle name="60% - 强调文字颜色 6 3" xfId="548"/>
    <cellStyle name="20% - 强调文字颜色 1 2 2" xfId="549"/>
    <cellStyle name="20% - 强调文字颜色 1 2" xfId="550"/>
    <cellStyle name="计算 3 3" xfId="551"/>
    <cellStyle name="强调文字颜色 2 2 2" xfId="552"/>
    <cellStyle name="40% - 强调文字颜色 1 2 4" xfId="553"/>
    <cellStyle name="强调文字颜色 1 3 2" xfId="554"/>
    <cellStyle name="20% - 强调文字颜色 6 3 3" xfId="555"/>
    <cellStyle name="20% - 强调文字颜色 1 3 2" xfId="556"/>
    <cellStyle name="備註" xfId="557"/>
    <cellStyle name="差 2 5" xfId="558"/>
    <cellStyle name="20% - 强调文字颜色 5" xfId="559" builtinId="46"/>
    <cellStyle name="說明文字" xfId="560"/>
    <cellStyle name="20% - 强调文字颜色 2 3 5" xfId="561"/>
    <cellStyle name="20% - 强调文字颜色 6 3_G4B-3（b）证券融资交易对手信用风险计算表(0621)" xfId="562"/>
    <cellStyle name="强调文字颜色 3 7" xfId="563"/>
    <cellStyle name="20% - 强调文字颜色 1 7" xfId="564"/>
    <cellStyle name="40% - 强调文字颜色 4 2_G4B-3（b）证券融资交易对手信用风险计算表(0621)" xfId="565"/>
    <cellStyle name="20% - 輔色3" xfId="566"/>
    <cellStyle name="40% - 强调文字颜色 5 2 6" xfId="567"/>
    <cellStyle name="输出" xfId="568" builtinId="21"/>
    <cellStyle name="40% - 强调文字颜色 5 3" xfId="569"/>
    <cellStyle name="40% - 强调文字颜色 5_G4B-3（a）场外衍生工具交易对手信用风险计算表(权重法)" xfId="570"/>
    <cellStyle name="20% - 强调文字颜色 3 5" xfId="571"/>
    <cellStyle name="注释 3_G4B-3（b）证券融资交易对手信用风险计算表(0621)" xfId="572"/>
    <cellStyle name="20% - 强调文字颜色 3 3 4" xfId="573"/>
    <cellStyle name="20% - 强调文字颜色 1 2 3" xfId="574"/>
    <cellStyle name="60% - 强调文字颜色 6 4" xfId="575"/>
    <cellStyle name="汇总 3 4" xfId="576"/>
    <cellStyle name="60% - 强调文字颜色 2 2 3" xfId="577"/>
    <cellStyle name="标题 2 3 5" xfId="578"/>
    <cellStyle name="40% - 强调文字颜色 4 2" xfId="579"/>
    <cellStyle name="强调文字颜色 4 2 5" xfId="580"/>
    <cellStyle name="标题 2 3 2" xfId="581"/>
    <cellStyle name="40% - 强调文字颜色 5 7" xfId="582"/>
    <cellStyle name="40% - 强调文字颜色 1 3 2" xfId="583"/>
    <cellStyle name="标题 3 2 6" xfId="584"/>
    <cellStyle name="好_G4B-3交易对手信用风险汇总表" xfId="585"/>
    <cellStyle name="60% - 强调文字颜色 2 2 4" xfId="586"/>
    <cellStyle name="20% - 强调文字颜色 3 3_G4B-3（b）证券融资交易对手信用风险计算表(0621)" xfId="587"/>
    <cellStyle name="常规 2 4" xfId="588"/>
    <cellStyle name="20% - 强调文字颜色 4 3 4" xfId="589"/>
    <cellStyle name="?鹎%U龡&amp;H?_x0008__x001c__x001c_?_x0007__x0001__x0001_" xfId="590"/>
    <cellStyle name="常规 2 2 4" xfId="591"/>
    <cellStyle name="警告文本 2 2" xfId="592"/>
    <cellStyle name="60% - 强调文字颜色 2 2 5" xfId="593"/>
    <cellStyle name="40% - 强调文字颜色 4 3 4" xfId="594"/>
    <cellStyle name="千位[0]_股东贷款" xfId="595"/>
    <cellStyle name="注释 7" xfId="596"/>
    <cellStyle name="强调文字颜色 4 3" xfId="597"/>
    <cellStyle name="20% - 强调文字颜色 4 3_G4B-3（b）证券融资交易对手信用风险计算表(0621)" xfId="598"/>
    <cellStyle name="好 2 2" xfId="599"/>
    <cellStyle name="适中 6" xfId="600"/>
    <cellStyle name="输出 7" xfId="601"/>
    <cellStyle name="百分比 2" xfId="602"/>
    <cellStyle name="检查单元格 2 4" xfId="603"/>
    <cellStyle name="货币" xfId="604" builtinId="4"/>
    <cellStyle name="40% - 强调文字颜色 4 7" xfId="605"/>
    <cellStyle name="40% - 强调文字颜色 1 2 2" xfId="606"/>
    <cellStyle name="警告文本 2 3" xfId="607"/>
    <cellStyle name="60% - 强调文字颜色 2 2 6" xfId="608"/>
    <cellStyle name="标题 3 3" xfId="609"/>
    <cellStyle name="强调文字颜色 6 2_G4B-3（b）证券融资交易对手信用风险计算表(0621)" xfId="610"/>
    <cellStyle name="40% - 强调文字颜色 2 3 2" xfId="611"/>
    <cellStyle name="20% - 輔色4" xfId="612"/>
    <cellStyle name="标题 2 3 3" xfId="613"/>
    <cellStyle name="强调文字颜色 4 2 6" xfId="614"/>
    <cellStyle name="40% - 强调文字颜色 4 3" xfId="615"/>
    <cellStyle name="已访问的超链接" xfId="616" builtinId="9"/>
    <cellStyle name="40% - 强调文字颜色 6 3 3" xfId="617"/>
    <cellStyle name="40% - 强调文字颜色 3 2 4" xfId="618"/>
    <cellStyle name="差 3 5" xfId="619"/>
    <cellStyle name="20% - 强调文字颜色 6 7" xfId="620"/>
    <cellStyle name="40% - 强调文字颜色 2 2 3" xfId="621"/>
    <cellStyle name="60% - 强调文字颜色 3 3_G4B-3（b）证券融资交易对手信用风险计算表(0621)" xfId="622"/>
    <cellStyle name="20% - 强调文字颜色 2 2" xfId="623"/>
    <cellStyle name="60% - 强调文字颜色 3 2 6" xfId="624"/>
    <cellStyle name="40% - 强调文字颜色 2 2" xfId="625"/>
    <cellStyle name="60% - 强调文字颜色 2_G4B-3（a）场外衍生工具交易对手信用风险计算表(权重法)" xfId="626"/>
    <cellStyle name="好 6" xfId="627"/>
    <cellStyle name="20% - 强调文字颜色 5 3_G4B-3（b）证券融资交易对手信用风险计算表(0621)" xfId="628"/>
    <cellStyle name="20% - 强调文字颜色 6_G4B-3（a）场外衍生工具交易对手信用风险计算表(权重法)" xfId="629"/>
    <cellStyle name="强调文字颜色 1" xfId="630" builtinId="29"/>
    <cellStyle name="40% - 强调文字颜色 6 3 5" xfId="631"/>
    <cellStyle name="60% - 强调文字颜色 3 3 4" xfId="632"/>
    <cellStyle name="60% - 强调文字颜色 6 3_G4B-3（b）证券融资交易对手信用风险计算表(0621)" xfId="633"/>
    <cellStyle name="60% - 强调文字颜色 2" xfId="634" builtinId="36"/>
    <cellStyle name="輸入" xfId="635"/>
    <cellStyle name="60% - 强调文字颜色 5 3 3" xfId="636"/>
    <cellStyle name="解释性文本 6" xfId="637"/>
    <cellStyle name="强调文字颜色 6 2 3" xfId="638"/>
    <cellStyle name="20% - 强调文字颜色 4_G4B-3（a）场外衍生工具交易对手信用风险计算表(权重法)" xfId="639"/>
    <cellStyle name="40% - 强调文字颜色 6 4" xfId="640"/>
    <cellStyle name="60% - 强调文字颜色 5 2 5" xfId="641"/>
    <cellStyle name="标题 1 3 4" xfId="642"/>
    <cellStyle name="" xfId="643"/>
    <cellStyle name="40% - 强调文字颜色 1 3" xfId="644"/>
    <cellStyle name="标题 10" xfId="645"/>
    <cellStyle name="检查单元格 3 4" xfId="646"/>
    <cellStyle name="好 3 2" xfId="647"/>
    <cellStyle name="警告文本 3 3" xfId="648"/>
    <cellStyle name="标题 6 2" xfId="649"/>
    <cellStyle name="40% - 强调文字颜色 1 4" xfId="650"/>
    <cellStyle name="警告文本 3 4" xfId="651"/>
    <cellStyle name="20% - 强调文字颜色 2 7" xfId="652"/>
    <cellStyle name="计算 2_G4B-3（b）证券融资交易对手信用风险计算表(0621)" xfId="653"/>
    <cellStyle name="强调文字颜色 6 3 2" xfId="654"/>
    <cellStyle name="20% - 强调文字颜色 6 6" xfId="655"/>
    <cellStyle name="40% - 强调文字颜色 2 2 2" xfId="656"/>
    <cellStyle name="输入 3_G4B-3（b）证券融资交易对手信用风险计算表(0621)" xfId="657"/>
    <cellStyle name="20% - 强调文字颜色 3 7" xfId="658"/>
    <cellStyle name="20% - 强调文字颜色 3 3 2" xfId="659"/>
    <cellStyle name="20% - 强调文字颜色 2 3" xfId="660"/>
    <cellStyle name="40% - 强调文字颜色 2 3" xfId="661"/>
    <cellStyle name="40% - 强调文字颜色 2 4" xfId="662"/>
    <cellStyle name="警告文本 6" xfId="663"/>
    <cellStyle name="强调文字颜色 1 2 4" xfId="664"/>
    <cellStyle name="20% - 强调文字颜色 6 2 5" xfId="665"/>
    <cellStyle name="好" xfId="666" builtinId="26"/>
    <cellStyle name="60% - 强调文字颜色 3 3 5" xfId="667"/>
    <cellStyle name="60% - 强调文字颜色 4_G4B-3（a）场外衍生工具交易对手信用风险计算表(权重法)" xfId="668"/>
    <cellStyle name="20% - 强调文字颜色 3 3" xfId="669"/>
    <cellStyle name="20% - 强调文字颜色 2 4" xfId="670"/>
    <cellStyle name="20% - 强调文字颜色 2 5" xfId="671"/>
    <cellStyle name="20% - 强调文字颜色 1 2_G4B-3（b）证券融资交易对手信用风险计算表(0621)" xfId="672"/>
    <cellStyle name="20% - 强调文字颜色 3 2 3" xfId="673"/>
    <cellStyle name="20% - 强调文字颜色 3 2 4" xfId="674"/>
    <cellStyle name="20% - 强调文字颜色 3 2 5" xfId="675"/>
    <cellStyle name="合計" xfId="676"/>
    <cellStyle name="强调文字颜色 3 2 4" xfId="677"/>
    <cellStyle name="60% - 强调文字颜色 2 2" xfId="678"/>
    <cellStyle name="20% - 强调文字颜色 3 2 6" xfId="679"/>
    <cellStyle name="20% - 强调文字颜色 3 3 3" xfId="680"/>
    <cellStyle name="20% - 强调文字颜色 3 3 5" xfId="681"/>
    <cellStyle name="20% - 强调文字颜色 3 4" xfId="682"/>
    <cellStyle name="20% - 强调文字颜色 3 6" xfId="683"/>
    <cellStyle name="壞_G4B-3（b）证券融资交易对手信用风险计算表(0621)" xfId="684"/>
    <cellStyle name="20% - 輔色5" xfId="685"/>
    <cellStyle name="20% - 强调文字颜色 6 2 3" xfId="686"/>
    <cellStyle name="警告文本 4" xfId="687"/>
    <cellStyle name="强调文字颜色 1 2 2" xfId="688"/>
    <cellStyle name="20% - 强调文字颜色 4 3 3" xfId="689"/>
    <cellStyle name="20% - 强调文字颜色 4 3 5" xfId="690"/>
    <cellStyle name="标题 1" xfId="691" builtinId="16"/>
    <cellStyle name="60% - 强调文字颜色 5_G4B-3（a）场外衍生工具交易对手信用风险计算表(权重法)" xfId="692"/>
    <cellStyle name="计算 2 2" xfId="693"/>
    <cellStyle name="20% - 强调文字颜色 2 6" xfId="694"/>
    <cellStyle name="40% - 强调文字颜色 2 7" xfId="695"/>
    <cellStyle name="20% - 輔色6" xfId="696"/>
    <cellStyle name="警告文本 5" xfId="697"/>
    <cellStyle name="20% - 强调文字颜色 6 2 4" xfId="698"/>
    <cellStyle name="强调文字颜色 1 2 3" xfId="699"/>
    <cellStyle name="40% - 强调文字颜色 1 3 3" xfId="700"/>
    <cellStyle name="汇总 2" xfId="701"/>
    <cellStyle name="输入 3 2" xfId="702"/>
    <cellStyle name="汇总 3" xfId="703"/>
    <cellStyle name="输入 3 3" xfId="704"/>
    <cellStyle name="20% - 强调文字颜色 3_G4B-3（a）场外衍生工具交易对手信用风险计算表(权重法)" xfId="705"/>
    <cellStyle name="40% - 强调文字颜色 1 2 6" xfId="706"/>
    <cellStyle name="40% - 强调文字颜色 1 3 5" xfId="707"/>
    <cellStyle name="20% - 强调文字颜色 5 2 6" xfId="708"/>
    <cellStyle name="超链接" xfId="709" builtinId="8"/>
    <cellStyle name="20% - 强调文字颜色 5 3 2" xfId="710"/>
    <cellStyle name="强调文字颜色 1 7" xfId="711"/>
    <cellStyle name="60% - 强调文字颜色 3 2_G4B-3（b）证券融资交易对手信用风险计算表(0621)" xfId="712"/>
    <cellStyle name="20% - 强调文字颜色 5 3 3" xfId="713"/>
    <cellStyle name="20% - 强调文字颜色 5 3 4" xfId="714"/>
    <cellStyle name="20% - 强调文字颜色 5 3 5" xfId="715"/>
    <cellStyle name="检查单元格 2 6" xfId="716"/>
    <cellStyle name="好 2 4" xfId="717"/>
    <cellStyle name="警告文本" xfId="718" builtinId="11"/>
    <cellStyle name="百分比 4" xfId="719"/>
    <cellStyle name="20% - 强调文字颜色 2 2_G4B-3（b）证券融资交易对手信用风险计算表(0621)" xfId="720"/>
    <cellStyle name="百分比" xfId="721" builtinId="5"/>
    <cellStyle name="好 2" xfId="722"/>
    <cellStyle name="60% - 强调文字颜色 4 7" xfId="723"/>
    <cellStyle name="40% - 强调文字颜色 2 3 4" xfId="724"/>
    <cellStyle name="40% - 强调文字颜色 2 3 5" xfId="725"/>
    <cellStyle name="强调文字颜色 1 2 5" xfId="726"/>
    <cellStyle name="警告文本 7" xfId="727"/>
    <cellStyle name="20% - 强调文字颜色 6 2 6" xfId="728"/>
    <cellStyle name="40% - 强调文字颜色 1 2 3" xfId="729"/>
    <cellStyle name="20% - 强调文字颜色 6 3 2" xfId="730"/>
    <cellStyle name="40% - 强调文字颜色 1 2 5" xfId="731"/>
    <cellStyle name="壞" xfId="732"/>
    <cellStyle name="强调文字颜色 1 3 3" xfId="733"/>
    <cellStyle name="20% - 强调文字颜色 6 3 4" xfId="734"/>
    <cellStyle name="40% - 强调文字颜色 2 5" xfId="735"/>
    <cellStyle name="60% - 强调文字颜色 4" xfId="736" builtinId="44"/>
    <cellStyle name="60% - 强调文字颜色 4 2" xfId="737"/>
    <cellStyle name="60% - 强调文字颜色 4 2 2" xfId="738"/>
    <cellStyle name="标题 4 3 4" xfId="739"/>
    <cellStyle name="标题 4 3 5" xfId="740"/>
    <cellStyle name="强调文字颜色 6 4" xfId="741"/>
    <cellStyle name="60% - 强调文字颜色 4 2_G4B-3（b）证券融资交易对手信用风险计算表(0621)" xfId="742"/>
    <cellStyle name="计算 2 4" xfId="743"/>
    <cellStyle name="标题 1 3_G4B-2" xfId="744"/>
    <cellStyle name="60% - 强调文字颜色 5" xfId="745" builtinId="48"/>
    <cellStyle name="60% - 强调文字颜色 4 2 3" xfId="746"/>
    <cellStyle name="60% - 强调文字颜色 4 3" xfId="747"/>
    <cellStyle name="60% - 强调文字颜色 6" xfId="748" builtinId="52"/>
    <cellStyle name="60% - 强调文字颜色 4 2 4" xfId="749"/>
    <cellStyle name="60% - 强调文字颜色 4 4" xfId="750"/>
    <cellStyle name="60% - 强调文字颜色 4 2 5" xfId="751"/>
    <cellStyle name="60% - 强调文字颜色 4 5" xfId="752"/>
    <cellStyle name="60% - 强调文字颜色 4 2 6" xfId="753"/>
    <cellStyle name="60% - 强调文字颜色 4 6" xfId="754"/>
    <cellStyle name="60% - 强调文字颜色 4 3 2" xfId="755"/>
    <cellStyle name="60% - 强调文字颜色 5 2" xfId="756"/>
    <cellStyle name="计算 3_G4B-3（b）证券融资交易对手信用风险计算表(0621)" xfId="757"/>
    <cellStyle name="汇总 2 2" xfId="758"/>
    <cellStyle name="20% - 强调文字颜色 4 2 6" xfId="759"/>
    <cellStyle name="60% - 强调文字颜色 5 2 2" xfId="760"/>
    <cellStyle name="40% - 强调文字颜色 6 3" xfId="761"/>
    <cellStyle name="60% - 强调文字颜色 5 2 4" xfId="762"/>
    <cellStyle name="40% - 强调文字颜色 6 5" xfId="763"/>
    <cellStyle name="60% - 强调文字颜色 5 2 6" xfId="764"/>
    <cellStyle name="_ET_STYLE_NoName_00_" xfId="765"/>
    <cellStyle name="60% - 强调文字颜色 4 3 3" xfId="766"/>
    <cellStyle name="60% - 强调文字颜色 5 3" xfId="767"/>
    <cellStyle name="汇总 2 3" xfId="768"/>
    <cellStyle name="60% - 强调文字颜色 5 3 2" xfId="769"/>
    <cellStyle name="解释性文本 5" xfId="770"/>
    <cellStyle name="60% - 强调文字颜色 5 3 4" xfId="771"/>
    <cellStyle name="解释性文本 7" xfId="772"/>
    <cellStyle name="常规_表内风险资产" xfId="773"/>
    <cellStyle name="60% - 强调文字颜色 5 3 5" xfId="774"/>
    <cellStyle name="60% - 强调文字颜色 5 3_G4B-3（b）证券融资交易对手信用风险计算表(0621)" xfId="775"/>
    <cellStyle name="标题 1 2" xfId="776"/>
    <cellStyle name="60% - 强调文字颜色 4 3 4" xfId="777"/>
    <cellStyle name="60% - 强调文字颜色 5 4" xfId="778"/>
    <cellStyle name="20% - 强调文字颜色 5 2_G4B-3（b）证券融资交易对手信用风险计算表(0621)" xfId="779"/>
    <cellStyle name="汇总 2 4" xfId="780"/>
    <cellStyle name="60% - 强调文字颜色 4 3 5" xfId="781"/>
    <cellStyle name="60% - 强调文字颜色 5 5" xfId="782"/>
    <cellStyle name="汇总 2 5" xfId="783"/>
    <cellStyle name="60% - 强调文字颜色 5 6" xfId="784"/>
    <cellStyle name="汇总 2 6" xfId="785"/>
    <cellStyle name="60% - 强调文字颜色 6 2 2" xfId="786"/>
    <cellStyle name="标题 3 4" xfId="787"/>
    <cellStyle name="20% - 强调文字颜色 1_G4B-3（a）场外衍生工具交易对手信用风险计算表(权重法)" xfId="788"/>
    <cellStyle name="60% - 强调文字颜色 6 2 3" xfId="789"/>
    <cellStyle name="标题 3 5" xfId="790"/>
    <cellStyle name="60% - 强调文字颜色 6 2 4" xfId="791"/>
    <cellStyle name="标题 3 6" xfId="792"/>
    <cellStyle name="60% - 强调文字颜色 6 2 5" xfId="793"/>
    <cellStyle name="20% - 强调文字颜色 4 2 2" xfId="794"/>
    <cellStyle name="标题 3 7" xfId="795"/>
    <cellStyle name="60% - 强调文字颜色 6 2 6" xfId="796"/>
    <cellStyle name="計算方式" xfId="797"/>
    <cellStyle name="适中 2 4" xfId="798"/>
    <cellStyle name="强调文字颜色 2 3_G4B-3（b）证券融资交易对手信用风险计算表(0621)" xfId="799"/>
    <cellStyle name="常规_G4B-1 表内信用风险加权资产计算表（权重法）" xfId="800"/>
    <cellStyle name="输出 3 4" xfId="801"/>
    <cellStyle name="60% - 强调文字颜色 6 2_G4B-3（b）证券融资交易对手信用风险计算表(0621)" xfId="802"/>
    <cellStyle name="解释性文本 3 4" xfId="803"/>
    <cellStyle name="60% - 强调文字颜色 6 3 2" xfId="804"/>
    <cellStyle name="标题 4 4" xfId="805"/>
    <cellStyle name="60% - 强调文字颜色 6 3 3" xfId="806"/>
    <cellStyle name="标题 4 5" xfId="807"/>
    <cellStyle name="60% - 强调文字颜色 6 3 4" xfId="808"/>
    <cellStyle name="标题 4 6" xfId="809"/>
    <cellStyle name="60% - 强调文字颜色 6 3 5" xfId="810"/>
    <cellStyle name="标题 4 7" xfId="811"/>
    <cellStyle name="20% - 强调文字颜色 4 3 2" xfId="812"/>
    <cellStyle name="20% - 强调文字颜色 1 2 5" xfId="813"/>
    <cellStyle name="60% - 强调文字颜色 6 6" xfId="814"/>
    <cellStyle name="强调文字颜色 2 6" xfId="815"/>
    <cellStyle name="Followed Hyperlink" xfId="816"/>
    <cellStyle name="Normal_--------------±-￡---------￡-_S11" xfId="817"/>
    <cellStyle name="Normal_G10revised-20050118" xfId="818"/>
    <cellStyle name="适中 7" xfId="819"/>
    <cellStyle name="好 2 3" xfId="820"/>
    <cellStyle name="百分比 3" xfId="821"/>
    <cellStyle name="强调文字颜色 6_G4B-3（a）场外衍生工具交易对手信用风险计算表(权重法)" xfId="822"/>
    <cellStyle name="检查单元格 2 5" xfId="823"/>
    <cellStyle name="60% - 輔色5" xfId="824"/>
    <cellStyle name="标题 1 2 2" xfId="825"/>
    <cellStyle name="常规 4" xfId="826"/>
    <cellStyle name="60% - 輔色6" xfId="827"/>
    <cellStyle name="标题 1 2 3" xfId="828"/>
    <cellStyle name="常规 5" xfId="829"/>
    <cellStyle name="標題" xfId="830"/>
    <cellStyle name="标题 1 2 4" xfId="831"/>
    <cellStyle name="常规 6" xfId="832"/>
    <cellStyle name="标题 1 2 5" xfId="833"/>
    <cellStyle name="常规 7" xfId="834"/>
    <cellStyle name="标题 1 2 6" xfId="835"/>
    <cellStyle name="标题 1 3" xfId="836"/>
    <cellStyle name="标题 1 4" xfId="837"/>
    <cellStyle name="标题 2 2" xfId="838"/>
    <cellStyle name="千位_股东贷款" xfId="839"/>
    <cellStyle name="强调文字颜色 3 4" xfId="840"/>
    <cellStyle name="标题 2 2 2" xfId="841"/>
    <cellStyle name="标题 2 2 3" xfId="842"/>
    <cellStyle name="标题 2 2 4" xfId="843"/>
    <cellStyle name="标题 2 2 5" xfId="844"/>
    <cellStyle name="标题 2 2 6" xfId="845"/>
    <cellStyle name="输出 2_G4B-3（b）证券融资交易对手信用风险计算表(0621)" xfId="846"/>
    <cellStyle name="标题 2 2_G4B-4 资产证券化业务风险加权资产表" xfId="847"/>
    <cellStyle name="20% - 强调文字颜色 2 2 3" xfId="848"/>
    <cellStyle name="輔色2" xfId="849"/>
    <cellStyle name="强调文字颜色 4 3_G4B-3（b）证券融资交易对手信用风险计算表(0621)" xfId="850"/>
    <cellStyle name="标题 2 3" xfId="851"/>
    <cellStyle name="標題 1" xfId="852"/>
    <cellStyle name="标题 2 4" xfId="853"/>
    <cellStyle name="標題 2" xfId="854"/>
    <cellStyle name="标题 2 5" xfId="855"/>
    <cellStyle name="标题 3 2" xfId="856"/>
    <cellStyle name="警告文本 2 5" xfId="857"/>
    <cellStyle name="标题 3 2 2" xfId="858"/>
    <cellStyle name="20% - 强调文字颜色 2 2 6" xfId="859"/>
    <cellStyle name="輔色5" xfId="860"/>
    <cellStyle name="警告文本 2 6" xfId="861"/>
    <cellStyle name="标题 3 2 3" xfId="862"/>
    <cellStyle name="輔色6" xfId="863"/>
    <cellStyle name="标题 3 2 4" xfId="864"/>
    <cellStyle name="好 3_G4B-3（b）证券融资交易对手信用风险计算表(0621)" xfId="865"/>
    <cellStyle name="强调文字颜色 5 3 4" xfId="866"/>
    <cellStyle name="标题 3 2 5" xfId="867"/>
  </cellStyles>
  <dxfs count="3">
    <dxf>
      <fill>
        <patternFill patternType="solid">
          <bgColor theme="0"/>
        </patternFill>
      </fill>
    </dxf>
    <dxf>
      <font>
        <color rgb="FFAA322F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FFFF"/>
      <color rgb="004472C4"/>
      <color rgb="00C0C0C0"/>
      <color rgb="00FFC000"/>
      <color rgb="0092D050"/>
      <color rgb="0000B0F0"/>
      <color rgb="00000000"/>
      <color rgb="00CC99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S107"/>
  <sheetViews>
    <sheetView showGridLines="0" tabSelected="1" view="pageBreakPreview" zoomScale="85" zoomScaleNormal="100" workbookViewId="0">
      <pane xSplit="2" ySplit="8" topLeftCell="C9" activePane="bottomRight" state="frozen"/>
      <selection/>
      <selection pane="topRight"/>
      <selection pane="bottomLeft"/>
      <selection pane="bottomRight" activeCell="A1" sqref="A1:S1"/>
    </sheetView>
  </sheetViews>
  <sheetFormatPr defaultColWidth="9" defaultRowHeight="14.25"/>
  <cols>
    <col min="1" max="1" width="5.16666666666667" style="10" customWidth="1"/>
    <col min="2" max="2" width="33.1666666666667" style="11" customWidth="1"/>
    <col min="3" max="3" width="14.5" style="11" customWidth="1"/>
    <col min="4" max="7" width="16.6666666666667" style="11" customWidth="1"/>
    <col min="8" max="8" width="17" style="11" customWidth="1"/>
    <col min="9" max="11" width="16.6666666666667" style="11" customWidth="1"/>
    <col min="12" max="12" width="14.5" style="11" customWidth="1"/>
    <col min="13" max="13" width="16.6666666666667" style="11" customWidth="1"/>
    <col min="14" max="15" width="16" style="11" customWidth="1"/>
    <col min="16" max="16" width="17.6666666666667" style="11" customWidth="1"/>
    <col min="17" max="17" width="19.3333333333333" style="11" customWidth="1"/>
    <col min="18" max="18" width="15.6666666666667" style="11" customWidth="1"/>
    <col min="19" max="19" width="16.3333333333333" style="11" customWidth="1"/>
    <col min="20" max="245" width="9" style="11"/>
    <col min="250" max="16384" width="9" style="11"/>
  </cols>
  <sheetData>
    <row r="1" s="5" customFormat="1" ht="38" customHeight="1" spans="1: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6" customFormat="1" ht="20" customHeight="1" spans="1:19">
      <c r="A2" s="13" t="s">
        <v>1</v>
      </c>
      <c r="B2" s="14"/>
      <c r="N2" s="6" t="s">
        <v>2</v>
      </c>
      <c r="S2" s="6" t="s">
        <v>3</v>
      </c>
    </row>
    <row r="3" s="7" customFormat="1" ht="20" customHeight="1" spans="1:19">
      <c r="A3" s="15" t="s">
        <v>4</v>
      </c>
      <c r="B3" s="16"/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44" t="s">
        <v>12</v>
      </c>
      <c r="K3" s="44" t="s">
        <v>13</v>
      </c>
      <c r="L3" s="44" t="s">
        <v>14</v>
      </c>
      <c r="M3" s="44" t="s">
        <v>15</v>
      </c>
      <c r="N3" s="44" t="s">
        <v>16</v>
      </c>
      <c r="O3" s="44" t="s">
        <v>17</v>
      </c>
      <c r="P3" s="44" t="s">
        <v>18</v>
      </c>
      <c r="Q3" s="44" t="s">
        <v>19</v>
      </c>
      <c r="R3" s="44" t="s">
        <v>20</v>
      </c>
      <c r="S3" s="44" t="s">
        <v>21</v>
      </c>
    </row>
    <row r="4" s="6" customFormat="1" ht="20" customHeight="1" spans="1:19">
      <c r="A4" s="18"/>
      <c r="B4" s="19"/>
      <c r="C4" s="20" t="s">
        <v>22</v>
      </c>
      <c r="D4" s="21"/>
      <c r="E4" s="21"/>
      <c r="F4" s="21"/>
      <c r="G4" s="21"/>
      <c r="H4" s="38" t="s">
        <v>23</v>
      </c>
      <c r="I4" s="45"/>
      <c r="J4" s="45"/>
      <c r="K4" s="45"/>
      <c r="L4" s="46" t="s">
        <v>24</v>
      </c>
      <c r="M4" s="54"/>
      <c r="N4" s="55" t="s">
        <v>25</v>
      </c>
      <c r="O4" s="55"/>
      <c r="P4" s="20" t="s">
        <v>26</v>
      </c>
      <c r="Q4" s="61"/>
      <c r="R4" s="62" t="s">
        <v>27</v>
      </c>
      <c r="S4" s="63"/>
    </row>
    <row r="5" s="6" customFormat="1" ht="20" customHeight="1" spans="1:19">
      <c r="A5" s="18"/>
      <c r="B5" s="19"/>
      <c r="C5" s="22"/>
      <c r="D5" s="23"/>
      <c r="E5" s="23"/>
      <c r="F5" s="23"/>
      <c r="G5" s="23"/>
      <c r="H5" s="39" t="s">
        <v>28</v>
      </c>
      <c r="I5" s="39"/>
      <c r="J5" s="39" t="s">
        <v>29</v>
      </c>
      <c r="K5" s="39"/>
      <c r="L5" s="47"/>
      <c r="M5" s="56"/>
      <c r="N5" s="55"/>
      <c r="O5" s="55"/>
      <c r="P5" s="57"/>
      <c r="Q5" s="64"/>
      <c r="R5" s="65"/>
      <c r="S5" s="66"/>
    </row>
    <row r="6" s="6" customFormat="1" ht="20" customHeight="1" spans="1:19">
      <c r="A6" s="18"/>
      <c r="B6" s="19"/>
      <c r="C6" s="24" t="s">
        <v>30</v>
      </c>
      <c r="D6" s="25" t="s">
        <v>31</v>
      </c>
      <c r="E6" s="24" t="s">
        <v>32</v>
      </c>
      <c r="F6" s="24" t="s">
        <v>33</v>
      </c>
      <c r="G6" s="24" t="s">
        <v>34</v>
      </c>
      <c r="H6" s="40" t="s">
        <v>35</v>
      </c>
      <c r="I6" s="24" t="s">
        <v>36</v>
      </c>
      <c r="J6" s="48" t="s">
        <v>35</v>
      </c>
      <c r="K6" s="48" t="s">
        <v>36</v>
      </c>
      <c r="L6" s="49" t="s">
        <v>35</v>
      </c>
      <c r="M6" s="49" t="s">
        <v>36</v>
      </c>
      <c r="N6" s="30" t="s">
        <v>35</v>
      </c>
      <c r="O6" s="58" t="s">
        <v>36</v>
      </c>
      <c r="P6" s="59" t="s">
        <v>37</v>
      </c>
      <c r="Q6" s="59" t="s">
        <v>38</v>
      </c>
      <c r="R6" s="59" t="s">
        <v>39</v>
      </c>
      <c r="S6" s="59" t="s">
        <v>40</v>
      </c>
    </row>
    <row r="7" s="6" customFormat="1" ht="20" customHeight="1" spans="1:19">
      <c r="A7" s="18"/>
      <c r="B7" s="19"/>
      <c r="C7" s="26"/>
      <c r="D7" s="27"/>
      <c r="E7" s="26"/>
      <c r="F7" s="26"/>
      <c r="G7" s="26"/>
      <c r="H7" s="40"/>
      <c r="I7" s="26"/>
      <c r="J7" s="50"/>
      <c r="K7" s="50"/>
      <c r="L7" s="51"/>
      <c r="M7" s="51"/>
      <c r="N7" s="59"/>
      <c r="O7" s="58"/>
      <c r="P7" s="59"/>
      <c r="Q7" s="59"/>
      <c r="R7" s="59"/>
      <c r="S7" s="59"/>
    </row>
    <row r="8" s="6" customFormat="1" ht="24" customHeight="1" spans="1:19">
      <c r="A8" s="28"/>
      <c r="B8" s="29"/>
      <c r="C8" s="30"/>
      <c r="D8" s="31"/>
      <c r="E8" s="30"/>
      <c r="F8" s="30"/>
      <c r="G8" s="30"/>
      <c r="H8" s="40"/>
      <c r="I8" s="30"/>
      <c r="J8" s="52"/>
      <c r="K8" s="52"/>
      <c r="L8" s="53"/>
      <c r="M8" s="53"/>
      <c r="N8" s="59"/>
      <c r="O8" s="60"/>
      <c r="P8" s="59"/>
      <c r="Q8" s="59"/>
      <c r="R8" s="59"/>
      <c r="S8" s="59"/>
    </row>
    <row r="9" s="6" customFormat="1" ht="24" customHeight="1" spans="1:19">
      <c r="A9" s="32">
        <v>1</v>
      </c>
      <c r="B9" s="33" t="s">
        <v>41</v>
      </c>
      <c r="C9" s="34">
        <f>SUM(C10,C26,C31,C36,C41,C46,C51)</f>
        <v>0</v>
      </c>
      <c r="D9" s="34">
        <f>SUM(D10,D26,D31,D36,D41,D46,D51)</f>
        <v>0</v>
      </c>
      <c r="E9" s="41"/>
      <c r="F9" s="41"/>
      <c r="G9" s="34">
        <f t="shared" ref="G9:K9" si="0">SUM(G10,G26,G31,G36,G41,G46,G51)</f>
        <v>0</v>
      </c>
      <c r="H9" s="34">
        <f t="shared" si="0"/>
        <v>0</v>
      </c>
      <c r="I9" s="34">
        <f t="shared" si="0"/>
        <v>0</v>
      </c>
      <c r="J9" s="34">
        <f t="shared" si="0"/>
        <v>0</v>
      </c>
      <c r="K9" s="34">
        <f t="shared" si="0"/>
        <v>0</v>
      </c>
      <c r="L9" s="34">
        <f t="shared" ref="L9:S9" si="1">SUM(L10,L26,L31,L36,L41,L46,L51)</f>
        <v>0</v>
      </c>
      <c r="M9" s="34">
        <f t="shared" si="1"/>
        <v>0</v>
      </c>
      <c r="N9" s="34">
        <f t="shared" si="1"/>
        <v>0</v>
      </c>
      <c r="O9" s="34">
        <f t="shared" si="1"/>
        <v>0</v>
      </c>
      <c r="P9" s="34">
        <f t="shared" si="1"/>
        <v>0</v>
      </c>
      <c r="Q9" s="34">
        <f t="shared" si="1"/>
        <v>0</v>
      </c>
      <c r="R9" s="34">
        <f t="shared" si="1"/>
        <v>0</v>
      </c>
      <c r="S9" s="34">
        <f t="shared" si="1"/>
        <v>0</v>
      </c>
    </row>
    <row r="10" s="6" customFormat="1" ht="22" customHeight="1" spans="1:19">
      <c r="A10" s="32">
        <v>2</v>
      </c>
      <c r="B10" s="35" t="s">
        <v>42</v>
      </c>
      <c r="C10" s="34">
        <f>SUM(C11,C16,C21)</f>
        <v>0</v>
      </c>
      <c r="D10" s="34">
        <f>SUM(D11,D16,D21)</f>
        <v>0</v>
      </c>
      <c r="E10" s="41"/>
      <c r="F10" s="41"/>
      <c r="G10" s="34">
        <f t="shared" ref="G10:K10" si="2">SUM(G11,G16,G21)</f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  <c r="L10" s="34">
        <f t="shared" ref="L10:S10" si="3">SUM(L11,L16,L21)</f>
        <v>0</v>
      </c>
      <c r="M10" s="34">
        <f t="shared" si="3"/>
        <v>0</v>
      </c>
      <c r="N10" s="34">
        <f t="shared" si="3"/>
        <v>0</v>
      </c>
      <c r="O10" s="34">
        <f t="shared" si="3"/>
        <v>0</v>
      </c>
      <c r="P10" s="34">
        <f t="shared" si="3"/>
        <v>0</v>
      </c>
      <c r="Q10" s="34">
        <f t="shared" si="3"/>
        <v>0</v>
      </c>
      <c r="R10" s="34">
        <f t="shared" si="3"/>
        <v>0</v>
      </c>
      <c r="S10" s="34">
        <f t="shared" si="3"/>
        <v>0</v>
      </c>
    </row>
    <row r="11" s="6" customFormat="1" ht="22" customHeight="1" spans="1:19">
      <c r="A11" s="32">
        <v>3</v>
      </c>
      <c r="B11" s="35" t="s">
        <v>43</v>
      </c>
      <c r="C11" s="34">
        <f>SUM(C12:C15)</f>
        <v>0</v>
      </c>
      <c r="D11" s="34">
        <f>SUM(D12:D15)</f>
        <v>0</v>
      </c>
      <c r="E11" s="41"/>
      <c r="F11" s="41"/>
      <c r="G11" s="34">
        <f t="shared" ref="G11:K11" si="4">SUM(G12:G15)</f>
        <v>0</v>
      </c>
      <c r="H11" s="34">
        <f t="shared" si="4"/>
        <v>0</v>
      </c>
      <c r="I11" s="34">
        <f t="shared" si="4"/>
        <v>0</v>
      </c>
      <c r="J11" s="34">
        <f t="shared" si="4"/>
        <v>0</v>
      </c>
      <c r="K11" s="34">
        <f t="shared" si="4"/>
        <v>0</v>
      </c>
      <c r="L11" s="34">
        <f t="shared" ref="L11:S11" si="5">SUM(L12:L15)</f>
        <v>0</v>
      </c>
      <c r="M11" s="34">
        <f t="shared" si="5"/>
        <v>0</v>
      </c>
      <c r="N11" s="34">
        <f t="shared" si="5"/>
        <v>0</v>
      </c>
      <c r="O11" s="34">
        <f t="shared" si="5"/>
        <v>0</v>
      </c>
      <c r="P11" s="34">
        <f t="shared" si="5"/>
        <v>0</v>
      </c>
      <c r="Q11" s="34">
        <f t="shared" si="5"/>
        <v>0</v>
      </c>
      <c r="R11" s="34">
        <f t="shared" si="5"/>
        <v>0</v>
      </c>
      <c r="S11" s="34">
        <f t="shared" si="5"/>
        <v>0</v>
      </c>
    </row>
    <row r="12" s="6" customFormat="1" ht="22" customHeight="1" spans="1:19">
      <c r="A12" s="32">
        <v>4</v>
      </c>
      <c r="B12" s="35" t="s">
        <v>44</v>
      </c>
      <c r="C12" s="36"/>
      <c r="D12" s="36"/>
      <c r="E12" s="42" t="e">
        <f>C12/D12</f>
        <v>#DIV/0!</v>
      </c>
      <c r="F12" s="43"/>
      <c r="G12" s="34">
        <f>F12*D12</f>
        <v>0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4">
        <f t="shared" ref="R12:R20" si="6">SUM(I12,K12,M12,O12,P12:Q12)</f>
        <v>0</v>
      </c>
      <c r="S12" s="43"/>
    </row>
    <row r="13" s="6" customFormat="1" ht="22" customHeight="1" spans="1:19">
      <c r="A13" s="32">
        <v>5</v>
      </c>
      <c r="B13" s="35" t="s">
        <v>45</v>
      </c>
      <c r="C13" s="36"/>
      <c r="D13" s="36"/>
      <c r="E13" s="42" t="e">
        <f t="shared" ref="E13:E15" si="7">C13/D13</f>
        <v>#DIV/0!</v>
      </c>
      <c r="F13" s="43"/>
      <c r="G13" s="34">
        <f>F13*D13</f>
        <v>0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4">
        <f t="shared" si="6"/>
        <v>0</v>
      </c>
      <c r="S13" s="43"/>
    </row>
    <row r="14" s="6" customFormat="1" ht="22" customHeight="1" spans="1:19">
      <c r="A14" s="32">
        <v>6</v>
      </c>
      <c r="B14" s="35" t="s">
        <v>46</v>
      </c>
      <c r="C14" s="36"/>
      <c r="D14" s="36"/>
      <c r="E14" s="42" t="e">
        <f t="shared" si="7"/>
        <v>#DIV/0!</v>
      </c>
      <c r="F14" s="43"/>
      <c r="G14" s="34">
        <f>F14*D14</f>
        <v>0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4">
        <f t="shared" si="6"/>
        <v>0</v>
      </c>
      <c r="S14" s="43"/>
    </row>
    <row r="15" s="6" customFormat="1" ht="22" customHeight="1" spans="1:19">
      <c r="A15" s="32">
        <v>7</v>
      </c>
      <c r="B15" s="35" t="s">
        <v>47</v>
      </c>
      <c r="C15" s="36"/>
      <c r="D15" s="36"/>
      <c r="E15" s="42" t="e">
        <f t="shared" si="7"/>
        <v>#DIV/0!</v>
      </c>
      <c r="F15" s="43"/>
      <c r="G15" s="34">
        <f>F15*D15</f>
        <v>0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4">
        <f t="shared" si="6"/>
        <v>0</v>
      </c>
      <c r="S15" s="43"/>
    </row>
    <row r="16" s="6" customFormat="1" ht="22" customHeight="1" spans="1:19">
      <c r="A16" s="32">
        <v>8</v>
      </c>
      <c r="B16" s="35" t="s">
        <v>48</v>
      </c>
      <c r="C16" s="34">
        <f>SUM(C17:C20)</f>
        <v>0</v>
      </c>
      <c r="D16" s="34">
        <f>SUM(D17:D20)</f>
        <v>0</v>
      </c>
      <c r="E16" s="41"/>
      <c r="F16" s="41"/>
      <c r="G16" s="34">
        <f t="shared" ref="G16:K16" si="8">SUM(G17:G20)</f>
        <v>0</v>
      </c>
      <c r="H16" s="34">
        <f t="shared" si="8"/>
        <v>0</v>
      </c>
      <c r="I16" s="34">
        <f t="shared" si="8"/>
        <v>0</v>
      </c>
      <c r="J16" s="34">
        <f t="shared" si="8"/>
        <v>0</v>
      </c>
      <c r="K16" s="34">
        <f t="shared" si="8"/>
        <v>0</v>
      </c>
      <c r="L16" s="34">
        <f t="shared" ref="L16:S16" si="9">SUM(L17:L20)</f>
        <v>0</v>
      </c>
      <c r="M16" s="34">
        <f t="shared" si="9"/>
        <v>0</v>
      </c>
      <c r="N16" s="34">
        <f t="shared" si="9"/>
        <v>0</v>
      </c>
      <c r="O16" s="34">
        <f t="shared" si="9"/>
        <v>0</v>
      </c>
      <c r="P16" s="34">
        <f t="shared" si="9"/>
        <v>0</v>
      </c>
      <c r="Q16" s="34">
        <f t="shared" si="9"/>
        <v>0</v>
      </c>
      <c r="R16" s="34">
        <f t="shared" si="9"/>
        <v>0</v>
      </c>
      <c r="S16" s="34">
        <f t="shared" si="9"/>
        <v>0</v>
      </c>
    </row>
    <row r="17" s="6" customFormat="1" ht="22" customHeight="1" spans="1:19">
      <c r="A17" s="32">
        <v>9</v>
      </c>
      <c r="B17" s="35" t="s">
        <v>49</v>
      </c>
      <c r="C17" s="36"/>
      <c r="D17" s="36"/>
      <c r="E17" s="42" t="e">
        <f t="shared" ref="E17:E20" si="10">C17/D17</f>
        <v>#DIV/0!</v>
      </c>
      <c r="F17" s="43"/>
      <c r="G17" s="34">
        <f t="shared" ref="G17:G20" si="11">F17*D17</f>
        <v>0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4">
        <f t="shared" si="6"/>
        <v>0</v>
      </c>
      <c r="S17" s="43"/>
    </row>
    <row r="18" s="6" customFormat="1" ht="22" customHeight="1" spans="1:19">
      <c r="A18" s="32">
        <v>10</v>
      </c>
      <c r="B18" s="35" t="s">
        <v>50</v>
      </c>
      <c r="C18" s="36"/>
      <c r="D18" s="36"/>
      <c r="E18" s="42" t="e">
        <f t="shared" si="10"/>
        <v>#DIV/0!</v>
      </c>
      <c r="F18" s="43"/>
      <c r="G18" s="34">
        <f t="shared" si="11"/>
        <v>0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4">
        <f t="shared" si="6"/>
        <v>0</v>
      </c>
      <c r="S18" s="43"/>
    </row>
    <row r="19" s="6" customFormat="1" ht="22" customHeight="1" spans="1:19">
      <c r="A19" s="32">
        <v>11</v>
      </c>
      <c r="B19" s="35" t="s">
        <v>46</v>
      </c>
      <c r="C19" s="36"/>
      <c r="D19" s="36"/>
      <c r="E19" s="42" t="e">
        <f t="shared" si="10"/>
        <v>#DIV/0!</v>
      </c>
      <c r="F19" s="43"/>
      <c r="G19" s="34">
        <f t="shared" si="11"/>
        <v>0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4">
        <f t="shared" si="6"/>
        <v>0</v>
      </c>
      <c r="S19" s="43"/>
    </row>
    <row r="20" s="6" customFormat="1" ht="22" customHeight="1" spans="1:19">
      <c r="A20" s="32">
        <v>12</v>
      </c>
      <c r="B20" s="35" t="s">
        <v>51</v>
      </c>
      <c r="C20" s="36"/>
      <c r="D20" s="36"/>
      <c r="E20" s="42" t="e">
        <f t="shared" si="10"/>
        <v>#DIV/0!</v>
      </c>
      <c r="F20" s="43"/>
      <c r="G20" s="34">
        <f t="shared" si="11"/>
        <v>0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4">
        <f t="shared" si="6"/>
        <v>0</v>
      </c>
      <c r="S20" s="43"/>
    </row>
    <row r="21" s="6" customFormat="1" ht="22" customHeight="1" spans="1:19">
      <c r="A21" s="32">
        <v>13</v>
      </c>
      <c r="B21" s="35" t="s">
        <v>52</v>
      </c>
      <c r="C21" s="34">
        <f>SUM(C22:C25)</f>
        <v>0</v>
      </c>
      <c r="D21" s="34">
        <f>SUM(D22:D25)</f>
        <v>0</v>
      </c>
      <c r="E21" s="41"/>
      <c r="F21" s="41"/>
      <c r="G21" s="34">
        <f t="shared" ref="G21:K21" si="12">SUM(G22:G25)</f>
        <v>0</v>
      </c>
      <c r="H21" s="34">
        <f t="shared" si="12"/>
        <v>0</v>
      </c>
      <c r="I21" s="34">
        <f t="shared" si="12"/>
        <v>0</v>
      </c>
      <c r="J21" s="34">
        <f t="shared" si="12"/>
        <v>0</v>
      </c>
      <c r="K21" s="34">
        <f t="shared" si="12"/>
        <v>0</v>
      </c>
      <c r="L21" s="34">
        <f t="shared" ref="L21:S21" si="13">SUM(L22:L25)</f>
        <v>0</v>
      </c>
      <c r="M21" s="34">
        <f t="shared" si="13"/>
        <v>0</v>
      </c>
      <c r="N21" s="34">
        <f t="shared" si="13"/>
        <v>0</v>
      </c>
      <c r="O21" s="34">
        <f t="shared" si="13"/>
        <v>0</v>
      </c>
      <c r="P21" s="34">
        <f t="shared" si="13"/>
        <v>0</v>
      </c>
      <c r="Q21" s="34">
        <f t="shared" si="13"/>
        <v>0</v>
      </c>
      <c r="R21" s="34">
        <f t="shared" si="13"/>
        <v>0</v>
      </c>
      <c r="S21" s="34">
        <f t="shared" si="13"/>
        <v>0</v>
      </c>
    </row>
    <row r="22" s="6" customFormat="1" ht="22" customHeight="1" spans="1:19">
      <c r="A22" s="32">
        <v>14</v>
      </c>
      <c r="B22" s="35" t="s">
        <v>53</v>
      </c>
      <c r="C22" s="36"/>
      <c r="D22" s="36"/>
      <c r="E22" s="42" t="e">
        <f t="shared" ref="E22:E25" si="14">C22/D22</f>
        <v>#DIV/0!</v>
      </c>
      <c r="F22" s="43"/>
      <c r="G22" s="34">
        <f t="shared" ref="G22:G25" si="15">F22*D22</f>
        <v>0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4">
        <f t="shared" ref="R22:R25" si="16">SUM(I22,K22,M22,O22,P22:Q22)</f>
        <v>0</v>
      </c>
      <c r="S22" s="43"/>
    </row>
    <row r="23" s="6" customFormat="1" ht="22" customHeight="1" spans="1:19">
      <c r="A23" s="32">
        <v>15</v>
      </c>
      <c r="B23" s="35" t="s">
        <v>54</v>
      </c>
      <c r="C23" s="36"/>
      <c r="D23" s="36"/>
      <c r="E23" s="42" t="e">
        <f t="shared" si="14"/>
        <v>#DIV/0!</v>
      </c>
      <c r="F23" s="43"/>
      <c r="G23" s="34">
        <f t="shared" si="15"/>
        <v>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4">
        <f t="shared" si="16"/>
        <v>0</v>
      </c>
      <c r="S23" s="43"/>
    </row>
    <row r="24" s="6" customFormat="1" ht="22" customHeight="1" spans="1:19">
      <c r="A24" s="32">
        <v>16</v>
      </c>
      <c r="B24" s="35" t="s">
        <v>46</v>
      </c>
      <c r="C24" s="36"/>
      <c r="D24" s="36"/>
      <c r="E24" s="42" t="e">
        <f t="shared" si="14"/>
        <v>#DIV/0!</v>
      </c>
      <c r="F24" s="43"/>
      <c r="G24" s="34">
        <f t="shared" si="15"/>
        <v>0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4">
        <f t="shared" si="16"/>
        <v>0</v>
      </c>
      <c r="S24" s="43"/>
    </row>
    <row r="25" s="6" customFormat="1" ht="22" customHeight="1" spans="1:19">
      <c r="A25" s="32">
        <v>17</v>
      </c>
      <c r="B25" s="35" t="s">
        <v>55</v>
      </c>
      <c r="C25" s="36"/>
      <c r="D25" s="36"/>
      <c r="E25" s="42" t="e">
        <f t="shared" si="14"/>
        <v>#DIV/0!</v>
      </c>
      <c r="F25" s="43"/>
      <c r="G25" s="34">
        <f t="shared" si="15"/>
        <v>0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4">
        <f t="shared" si="16"/>
        <v>0</v>
      </c>
      <c r="S25" s="43"/>
    </row>
    <row r="26" s="6" customFormat="1" ht="22" customHeight="1" spans="1:19">
      <c r="A26" s="32">
        <v>18</v>
      </c>
      <c r="B26" s="37" t="s">
        <v>56</v>
      </c>
      <c r="C26" s="34">
        <f>SUM(C27:C30)</f>
        <v>0</v>
      </c>
      <c r="D26" s="34">
        <f>SUM(D27:D30)</f>
        <v>0</v>
      </c>
      <c r="E26" s="41"/>
      <c r="F26" s="41"/>
      <c r="G26" s="34">
        <f t="shared" ref="G26:K26" si="17">SUM(G27:G30)</f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ref="L26:S26" si="18">SUM(L27:L30)</f>
        <v>0</v>
      </c>
      <c r="M26" s="34">
        <f t="shared" si="18"/>
        <v>0</v>
      </c>
      <c r="N26" s="34">
        <f t="shared" si="18"/>
        <v>0</v>
      </c>
      <c r="O26" s="34">
        <f t="shared" si="18"/>
        <v>0</v>
      </c>
      <c r="P26" s="34">
        <f t="shared" si="18"/>
        <v>0</v>
      </c>
      <c r="Q26" s="34">
        <f t="shared" si="18"/>
        <v>0</v>
      </c>
      <c r="R26" s="34">
        <f t="shared" si="18"/>
        <v>0</v>
      </c>
      <c r="S26" s="34">
        <f t="shared" si="18"/>
        <v>0</v>
      </c>
    </row>
    <row r="27" s="6" customFormat="1" ht="22" customHeight="1" spans="1:19">
      <c r="A27" s="32">
        <v>19</v>
      </c>
      <c r="B27" s="35" t="s">
        <v>57</v>
      </c>
      <c r="C27" s="36"/>
      <c r="D27" s="36"/>
      <c r="E27" s="42" t="e">
        <f>C27/D27</f>
        <v>#DIV/0!</v>
      </c>
      <c r="F27" s="43"/>
      <c r="G27" s="34">
        <f>F27*D27</f>
        <v>0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4">
        <f t="shared" ref="R27:R30" si="19">SUM(I27,K27,M27,O27,P27:Q27)</f>
        <v>0</v>
      </c>
      <c r="S27" s="43"/>
    </row>
    <row r="28" s="6" customFormat="1" ht="22" customHeight="1" spans="1:19">
      <c r="A28" s="32">
        <v>20</v>
      </c>
      <c r="B28" s="35" t="s">
        <v>58</v>
      </c>
      <c r="C28" s="36"/>
      <c r="D28" s="36"/>
      <c r="E28" s="42" t="e">
        <f>C28/D28</f>
        <v>#DIV/0!</v>
      </c>
      <c r="F28" s="43"/>
      <c r="G28" s="34">
        <f>F28*D28</f>
        <v>0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4">
        <f t="shared" si="19"/>
        <v>0</v>
      </c>
      <c r="S28" s="43"/>
    </row>
    <row r="29" s="6" customFormat="1" ht="22" customHeight="1" spans="1:19">
      <c r="A29" s="32">
        <v>21</v>
      </c>
      <c r="B29" s="35" t="s">
        <v>59</v>
      </c>
      <c r="C29" s="36"/>
      <c r="D29" s="36"/>
      <c r="E29" s="42" t="e">
        <f>C29/D29</f>
        <v>#DIV/0!</v>
      </c>
      <c r="F29" s="43"/>
      <c r="G29" s="34">
        <f>F29*D29</f>
        <v>0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4">
        <f t="shared" si="19"/>
        <v>0</v>
      </c>
      <c r="S29" s="43"/>
    </row>
    <row r="30" s="6" customFormat="1" ht="22" customHeight="1" spans="1:19">
      <c r="A30" s="32">
        <v>22</v>
      </c>
      <c r="B30" s="35" t="s">
        <v>60</v>
      </c>
      <c r="C30" s="36"/>
      <c r="D30" s="36"/>
      <c r="E30" s="42" t="e">
        <f>C30/D30</f>
        <v>#DIV/0!</v>
      </c>
      <c r="F30" s="43"/>
      <c r="G30" s="34">
        <f>F30*D30</f>
        <v>0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4">
        <f t="shared" si="19"/>
        <v>0</v>
      </c>
      <c r="S30" s="43"/>
    </row>
    <row r="31" s="6" customFormat="1" ht="22" customHeight="1" spans="1:19">
      <c r="A31" s="32">
        <v>23</v>
      </c>
      <c r="B31" s="37" t="s">
        <v>61</v>
      </c>
      <c r="C31" s="34">
        <f>SUM(C32:C35)</f>
        <v>0</v>
      </c>
      <c r="D31" s="34">
        <f>SUM(D32:D35)</f>
        <v>0</v>
      </c>
      <c r="E31" s="41"/>
      <c r="F31" s="41"/>
      <c r="G31" s="34">
        <f t="shared" ref="G31:K31" si="20">SUM(G32:G35)</f>
        <v>0</v>
      </c>
      <c r="H31" s="34">
        <f t="shared" si="20"/>
        <v>0</v>
      </c>
      <c r="I31" s="34">
        <f t="shared" si="20"/>
        <v>0</v>
      </c>
      <c r="J31" s="34">
        <f t="shared" si="20"/>
        <v>0</v>
      </c>
      <c r="K31" s="34">
        <f t="shared" si="20"/>
        <v>0</v>
      </c>
      <c r="L31" s="34">
        <f t="shared" ref="L31:S31" si="21">SUM(L32:L35)</f>
        <v>0</v>
      </c>
      <c r="M31" s="34">
        <f t="shared" si="21"/>
        <v>0</v>
      </c>
      <c r="N31" s="34">
        <f t="shared" si="21"/>
        <v>0</v>
      </c>
      <c r="O31" s="34">
        <f t="shared" si="21"/>
        <v>0</v>
      </c>
      <c r="P31" s="34">
        <f t="shared" si="21"/>
        <v>0</v>
      </c>
      <c r="Q31" s="34">
        <f t="shared" si="21"/>
        <v>0</v>
      </c>
      <c r="R31" s="34">
        <f t="shared" si="21"/>
        <v>0</v>
      </c>
      <c r="S31" s="34">
        <f t="shared" si="21"/>
        <v>0</v>
      </c>
    </row>
    <row r="32" s="6" customFormat="1" ht="22" customHeight="1" spans="1:19">
      <c r="A32" s="32">
        <v>24</v>
      </c>
      <c r="B32" s="35" t="s">
        <v>62</v>
      </c>
      <c r="C32" s="36"/>
      <c r="D32" s="36"/>
      <c r="E32" s="42" t="e">
        <f t="shared" ref="E32:E35" si="22">C32/D32</f>
        <v>#DIV/0!</v>
      </c>
      <c r="F32" s="43"/>
      <c r="G32" s="34">
        <f t="shared" ref="G32:G35" si="23">F32*D32</f>
        <v>0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4">
        <f t="shared" ref="R32:R35" si="24">SUM(I32,K32,M32,O32,P32:Q32)</f>
        <v>0</v>
      </c>
      <c r="S32" s="43"/>
    </row>
    <row r="33" s="6" customFormat="1" ht="22" customHeight="1" spans="1:19">
      <c r="A33" s="32">
        <v>25</v>
      </c>
      <c r="B33" s="35" t="s">
        <v>63</v>
      </c>
      <c r="C33" s="36"/>
      <c r="D33" s="36"/>
      <c r="E33" s="42" t="e">
        <f t="shared" si="22"/>
        <v>#DIV/0!</v>
      </c>
      <c r="F33" s="43"/>
      <c r="G33" s="34">
        <f t="shared" si="23"/>
        <v>0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4">
        <f t="shared" si="24"/>
        <v>0</v>
      </c>
      <c r="S33" s="43"/>
    </row>
    <row r="34" s="6" customFormat="1" ht="22" customHeight="1" spans="1:19">
      <c r="A34" s="32">
        <v>26</v>
      </c>
      <c r="B34" s="35" t="s">
        <v>59</v>
      </c>
      <c r="C34" s="36"/>
      <c r="D34" s="36"/>
      <c r="E34" s="42" t="e">
        <f t="shared" si="22"/>
        <v>#DIV/0!</v>
      </c>
      <c r="F34" s="43"/>
      <c r="G34" s="34">
        <f t="shared" si="23"/>
        <v>0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4">
        <f t="shared" si="24"/>
        <v>0</v>
      </c>
      <c r="S34" s="43"/>
    </row>
    <row r="35" s="6" customFormat="1" ht="22" customHeight="1" spans="1:19">
      <c r="A35" s="32">
        <v>27</v>
      </c>
      <c r="B35" s="35" t="s">
        <v>64</v>
      </c>
      <c r="C35" s="36"/>
      <c r="D35" s="36"/>
      <c r="E35" s="42" t="e">
        <f t="shared" si="22"/>
        <v>#DIV/0!</v>
      </c>
      <c r="F35" s="43"/>
      <c r="G35" s="34">
        <f t="shared" si="23"/>
        <v>0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4">
        <f t="shared" si="24"/>
        <v>0</v>
      </c>
      <c r="S35" s="43"/>
    </row>
    <row r="36" s="6" customFormat="1" ht="22" customHeight="1" spans="1:19">
      <c r="A36" s="32">
        <v>28</v>
      </c>
      <c r="B36" s="37" t="s">
        <v>65</v>
      </c>
      <c r="C36" s="34">
        <f>SUM(C37:C40)</f>
        <v>0</v>
      </c>
      <c r="D36" s="34">
        <f>SUM(D37:D40)</f>
        <v>0</v>
      </c>
      <c r="E36" s="41"/>
      <c r="F36" s="41"/>
      <c r="G36" s="34">
        <f t="shared" ref="G36:K36" si="25">SUM(G37:G40)</f>
        <v>0</v>
      </c>
      <c r="H36" s="34">
        <f t="shared" si="25"/>
        <v>0</v>
      </c>
      <c r="I36" s="34">
        <f t="shared" si="25"/>
        <v>0</v>
      </c>
      <c r="J36" s="34">
        <f t="shared" si="25"/>
        <v>0</v>
      </c>
      <c r="K36" s="34">
        <f t="shared" si="25"/>
        <v>0</v>
      </c>
      <c r="L36" s="34">
        <f t="shared" ref="L36:S36" si="26">SUM(L37:L40)</f>
        <v>0</v>
      </c>
      <c r="M36" s="34">
        <f t="shared" si="26"/>
        <v>0</v>
      </c>
      <c r="N36" s="34">
        <f t="shared" si="26"/>
        <v>0</v>
      </c>
      <c r="O36" s="34">
        <f t="shared" si="26"/>
        <v>0</v>
      </c>
      <c r="P36" s="34">
        <f t="shared" si="26"/>
        <v>0</v>
      </c>
      <c r="Q36" s="34">
        <f t="shared" si="26"/>
        <v>0</v>
      </c>
      <c r="R36" s="34">
        <f t="shared" si="26"/>
        <v>0</v>
      </c>
      <c r="S36" s="34">
        <f t="shared" si="26"/>
        <v>0</v>
      </c>
    </row>
    <row r="37" s="6" customFormat="1" ht="22" customHeight="1" spans="1:19">
      <c r="A37" s="32">
        <v>29</v>
      </c>
      <c r="B37" s="35" t="s">
        <v>66</v>
      </c>
      <c r="C37" s="36"/>
      <c r="D37" s="36"/>
      <c r="E37" s="42" t="e">
        <f t="shared" ref="E37:E40" si="27">C37/D37</f>
        <v>#DIV/0!</v>
      </c>
      <c r="F37" s="43"/>
      <c r="G37" s="34">
        <f t="shared" ref="G37:G40" si="28">F37*D37</f>
        <v>0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4">
        <f t="shared" ref="R37:R40" si="29">SUM(I37,K37,M37,O37,P37:Q37)</f>
        <v>0</v>
      </c>
      <c r="S37" s="43"/>
    </row>
    <row r="38" s="6" customFormat="1" ht="22" customHeight="1" spans="1:19">
      <c r="A38" s="32">
        <v>30</v>
      </c>
      <c r="B38" s="35" t="s">
        <v>67</v>
      </c>
      <c r="C38" s="36"/>
      <c r="D38" s="36"/>
      <c r="E38" s="42" t="e">
        <f t="shared" si="27"/>
        <v>#DIV/0!</v>
      </c>
      <c r="F38" s="43"/>
      <c r="G38" s="34">
        <f t="shared" si="28"/>
        <v>0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4">
        <f t="shared" si="29"/>
        <v>0</v>
      </c>
      <c r="S38" s="43"/>
    </row>
    <row r="39" s="6" customFormat="1" ht="22" customHeight="1" spans="1:19">
      <c r="A39" s="32">
        <v>31</v>
      </c>
      <c r="B39" s="35" t="s">
        <v>59</v>
      </c>
      <c r="C39" s="36"/>
      <c r="D39" s="36"/>
      <c r="E39" s="42" t="e">
        <f t="shared" si="27"/>
        <v>#DIV/0!</v>
      </c>
      <c r="F39" s="43"/>
      <c r="G39" s="34">
        <f t="shared" si="28"/>
        <v>0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4">
        <f t="shared" si="29"/>
        <v>0</v>
      </c>
      <c r="S39" s="43"/>
    </row>
    <row r="40" s="6" customFormat="1" ht="22" customHeight="1" spans="1:19">
      <c r="A40" s="32">
        <v>32</v>
      </c>
      <c r="B40" s="35" t="s">
        <v>68</v>
      </c>
      <c r="C40" s="36"/>
      <c r="D40" s="36"/>
      <c r="E40" s="42" t="e">
        <f t="shared" si="27"/>
        <v>#DIV/0!</v>
      </c>
      <c r="F40" s="43"/>
      <c r="G40" s="34">
        <f t="shared" si="28"/>
        <v>0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4">
        <f t="shared" si="29"/>
        <v>0</v>
      </c>
      <c r="S40" s="43"/>
    </row>
    <row r="41" s="6" customFormat="1" ht="22" customHeight="1" spans="1:19">
      <c r="A41" s="32">
        <v>33</v>
      </c>
      <c r="B41" s="35" t="s">
        <v>69</v>
      </c>
      <c r="C41" s="34">
        <f>SUM(C42:C45)</f>
        <v>0</v>
      </c>
      <c r="D41" s="34">
        <f>SUM(D42:D45)</f>
        <v>0</v>
      </c>
      <c r="E41" s="41"/>
      <c r="F41" s="41"/>
      <c r="G41" s="34">
        <f t="shared" ref="G41:K41" si="30">SUM(G42:G45)</f>
        <v>0</v>
      </c>
      <c r="H41" s="34">
        <f t="shared" si="30"/>
        <v>0</v>
      </c>
      <c r="I41" s="34">
        <f t="shared" si="30"/>
        <v>0</v>
      </c>
      <c r="J41" s="34">
        <f t="shared" si="30"/>
        <v>0</v>
      </c>
      <c r="K41" s="34">
        <f t="shared" si="30"/>
        <v>0</v>
      </c>
      <c r="L41" s="34">
        <f t="shared" ref="L41:S41" si="31">SUM(L42:L45)</f>
        <v>0</v>
      </c>
      <c r="M41" s="34">
        <f t="shared" si="31"/>
        <v>0</v>
      </c>
      <c r="N41" s="34">
        <f t="shared" si="31"/>
        <v>0</v>
      </c>
      <c r="O41" s="34">
        <f t="shared" si="31"/>
        <v>0</v>
      </c>
      <c r="P41" s="34">
        <f t="shared" si="31"/>
        <v>0</v>
      </c>
      <c r="Q41" s="34">
        <f t="shared" si="31"/>
        <v>0</v>
      </c>
      <c r="R41" s="34">
        <f t="shared" si="31"/>
        <v>0</v>
      </c>
      <c r="S41" s="34">
        <f t="shared" si="31"/>
        <v>0</v>
      </c>
    </row>
    <row r="42" s="6" customFormat="1" ht="22" customHeight="1" spans="1:19">
      <c r="A42" s="32">
        <v>34</v>
      </c>
      <c r="B42" s="35" t="s">
        <v>70</v>
      </c>
      <c r="C42" s="36"/>
      <c r="D42" s="36"/>
      <c r="E42" s="42" t="e">
        <f t="shared" ref="E42:E45" si="32">C42/D42</f>
        <v>#DIV/0!</v>
      </c>
      <c r="F42" s="43"/>
      <c r="G42" s="34">
        <f t="shared" ref="G42:G45" si="33">F42*D42</f>
        <v>0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4">
        <f t="shared" ref="R42:R45" si="34">SUM(I42,K42,M42,O42,P42:Q42)</f>
        <v>0</v>
      </c>
      <c r="S42" s="43"/>
    </row>
    <row r="43" s="6" customFormat="1" ht="22" customHeight="1" spans="1:19">
      <c r="A43" s="32">
        <v>35</v>
      </c>
      <c r="B43" s="35" t="s">
        <v>71</v>
      </c>
      <c r="C43" s="36"/>
      <c r="D43" s="36"/>
      <c r="E43" s="42" t="e">
        <f t="shared" si="32"/>
        <v>#DIV/0!</v>
      </c>
      <c r="F43" s="43"/>
      <c r="G43" s="34">
        <f t="shared" si="33"/>
        <v>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4">
        <f t="shared" si="34"/>
        <v>0</v>
      </c>
      <c r="S43" s="43"/>
    </row>
    <row r="44" s="6" customFormat="1" ht="22" customHeight="1" spans="1:19">
      <c r="A44" s="32">
        <v>36</v>
      </c>
      <c r="B44" s="35" t="s">
        <v>59</v>
      </c>
      <c r="C44" s="36"/>
      <c r="D44" s="36"/>
      <c r="E44" s="42" t="e">
        <f t="shared" si="32"/>
        <v>#DIV/0!</v>
      </c>
      <c r="F44" s="43"/>
      <c r="G44" s="34">
        <f t="shared" si="33"/>
        <v>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4">
        <f t="shared" si="34"/>
        <v>0</v>
      </c>
      <c r="S44" s="43"/>
    </row>
    <row r="45" s="6" customFormat="1" ht="22" customHeight="1" spans="1:19">
      <c r="A45" s="32">
        <v>37</v>
      </c>
      <c r="B45" s="35" t="s">
        <v>72</v>
      </c>
      <c r="C45" s="36"/>
      <c r="D45" s="36"/>
      <c r="E45" s="42" t="e">
        <f t="shared" si="32"/>
        <v>#DIV/0!</v>
      </c>
      <c r="F45" s="43"/>
      <c r="G45" s="34">
        <f t="shared" si="33"/>
        <v>0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4">
        <f t="shared" si="34"/>
        <v>0</v>
      </c>
      <c r="S45" s="43"/>
    </row>
    <row r="46" s="6" customFormat="1" ht="22" customHeight="1" spans="1:19">
      <c r="A46" s="32">
        <v>38</v>
      </c>
      <c r="B46" s="37" t="s">
        <v>73</v>
      </c>
      <c r="C46" s="34">
        <f>SUM(C47:C50)</f>
        <v>0</v>
      </c>
      <c r="D46" s="34">
        <f>SUM(D47:D50)</f>
        <v>0</v>
      </c>
      <c r="E46" s="41"/>
      <c r="F46" s="41"/>
      <c r="G46" s="34">
        <f t="shared" ref="G46:K46" si="35">SUM(G47:G50)</f>
        <v>0</v>
      </c>
      <c r="H46" s="34">
        <f t="shared" si="35"/>
        <v>0</v>
      </c>
      <c r="I46" s="34">
        <f t="shared" si="35"/>
        <v>0</v>
      </c>
      <c r="J46" s="34">
        <f t="shared" si="35"/>
        <v>0</v>
      </c>
      <c r="K46" s="34">
        <f t="shared" si="35"/>
        <v>0</v>
      </c>
      <c r="L46" s="34">
        <f t="shared" ref="L46:S46" si="36">SUM(L47:L50)</f>
        <v>0</v>
      </c>
      <c r="M46" s="34">
        <f t="shared" si="36"/>
        <v>0</v>
      </c>
      <c r="N46" s="34">
        <f t="shared" si="36"/>
        <v>0</v>
      </c>
      <c r="O46" s="34">
        <f t="shared" si="36"/>
        <v>0</v>
      </c>
      <c r="P46" s="34">
        <f t="shared" si="36"/>
        <v>0</v>
      </c>
      <c r="Q46" s="34">
        <f t="shared" si="36"/>
        <v>0</v>
      </c>
      <c r="R46" s="34">
        <f t="shared" si="36"/>
        <v>0</v>
      </c>
      <c r="S46" s="34">
        <f t="shared" si="36"/>
        <v>0</v>
      </c>
    </row>
    <row r="47" s="6" customFormat="1" ht="22" customHeight="1" spans="1:19">
      <c r="A47" s="32">
        <v>39</v>
      </c>
      <c r="B47" s="35" t="s">
        <v>74</v>
      </c>
      <c r="C47" s="36"/>
      <c r="D47" s="36"/>
      <c r="E47" s="42" t="e">
        <f t="shared" ref="E47:E50" si="37">C47/D47</f>
        <v>#DIV/0!</v>
      </c>
      <c r="F47" s="43"/>
      <c r="G47" s="34">
        <f t="shared" ref="G47:G50" si="38">F47*D47</f>
        <v>0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4">
        <f t="shared" ref="R47:R50" si="39">SUM(I47,K47,M47,O47,P47:Q47)</f>
        <v>0</v>
      </c>
      <c r="S47" s="43"/>
    </row>
    <row r="48" s="6" customFormat="1" ht="22" customHeight="1" spans="1:19">
      <c r="A48" s="32">
        <v>40</v>
      </c>
      <c r="B48" s="35" t="s">
        <v>75</v>
      </c>
      <c r="C48" s="36"/>
      <c r="D48" s="36"/>
      <c r="E48" s="42" t="e">
        <f t="shared" si="37"/>
        <v>#DIV/0!</v>
      </c>
      <c r="F48" s="43"/>
      <c r="G48" s="34">
        <f t="shared" si="38"/>
        <v>0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4">
        <f t="shared" si="39"/>
        <v>0</v>
      </c>
      <c r="S48" s="43"/>
    </row>
    <row r="49" s="6" customFormat="1" ht="22" customHeight="1" spans="1:19">
      <c r="A49" s="32">
        <v>41</v>
      </c>
      <c r="B49" s="35" t="s">
        <v>59</v>
      </c>
      <c r="C49" s="36"/>
      <c r="D49" s="36"/>
      <c r="E49" s="42" t="e">
        <f t="shared" si="37"/>
        <v>#DIV/0!</v>
      </c>
      <c r="F49" s="43"/>
      <c r="G49" s="34">
        <f t="shared" si="38"/>
        <v>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4">
        <f t="shared" si="39"/>
        <v>0</v>
      </c>
      <c r="S49" s="43"/>
    </row>
    <row r="50" s="6" customFormat="1" ht="22" customHeight="1" spans="1:19">
      <c r="A50" s="32">
        <v>42</v>
      </c>
      <c r="B50" s="35" t="s">
        <v>76</v>
      </c>
      <c r="C50" s="36"/>
      <c r="D50" s="36"/>
      <c r="E50" s="42" t="e">
        <f t="shared" si="37"/>
        <v>#DIV/0!</v>
      </c>
      <c r="F50" s="43"/>
      <c r="G50" s="34">
        <f t="shared" si="38"/>
        <v>0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4">
        <f t="shared" si="39"/>
        <v>0</v>
      </c>
      <c r="S50" s="43"/>
    </row>
    <row r="51" s="6" customFormat="1" ht="22" customHeight="1" spans="1:19">
      <c r="A51" s="32">
        <v>43</v>
      </c>
      <c r="B51" s="35" t="s">
        <v>77</v>
      </c>
      <c r="C51" s="34">
        <f>SUM(C52:C55)</f>
        <v>0</v>
      </c>
      <c r="D51" s="34">
        <f>SUM(D52:D55)</f>
        <v>0</v>
      </c>
      <c r="E51" s="41"/>
      <c r="F51" s="41"/>
      <c r="G51" s="34">
        <f t="shared" ref="G51:K51" si="40">SUM(G52:G55)</f>
        <v>0</v>
      </c>
      <c r="H51" s="34">
        <f t="shared" si="40"/>
        <v>0</v>
      </c>
      <c r="I51" s="34">
        <f t="shared" si="40"/>
        <v>0</v>
      </c>
      <c r="J51" s="34">
        <f t="shared" si="40"/>
        <v>0</v>
      </c>
      <c r="K51" s="34">
        <f t="shared" si="40"/>
        <v>0</v>
      </c>
      <c r="L51" s="34">
        <f t="shared" ref="L51:S51" si="41">SUM(L52:L55)</f>
        <v>0</v>
      </c>
      <c r="M51" s="34">
        <f t="shared" si="41"/>
        <v>0</v>
      </c>
      <c r="N51" s="34">
        <f t="shared" si="41"/>
        <v>0</v>
      </c>
      <c r="O51" s="34">
        <f t="shared" si="41"/>
        <v>0</v>
      </c>
      <c r="P51" s="34">
        <f t="shared" si="41"/>
        <v>0</v>
      </c>
      <c r="Q51" s="34">
        <f t="shared" si="41"/>
        <v>0</v>
      </c>
      <c r="R51" s="34">
        <f t="shared" si="41"/>
        <v>0</v>
      </c>
      <c r="S51" s="34">
        <f t="shared" si="41"/>
        <v>0</v>
      </c>
    </row>
    <row r="52" s="6" customFormat="1" ht="22" customHeight="1" spans="1:19">
      <c r="A52" s="32">
        <v>44</v>
      </c>
      <c r="B52" s="35" t="s">
        <v>78</v>
      </c>
      <c r="C52" s="36"/>
      <c r="D52" s="36"/>
      <c r="E52" s="42" t="e">
        <f t="shared" ref="E52:E55" si="42">C52/D52</f>
        <v>#DIV/0!</v>
      </c>
      <c r="F52" s="43"/>
      <c r="G52" s="34">
        <f t="shared" ref="G52:G55" si="43">F52*D52</f>
        <v>0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4">
        <f t="shared" ref="R52:R55" si="44">SUM(I52,K52,M52,O52,P52:Q52)</f>
        <v>0</v>
      </c>
      <c r="S52" s="43"/>
    </row>
    <row r="53" s="6" customFormat="1" ht="22" customHeight="1" spans="1:19">
      <c r="A53" s="32">
        <v>45</v>
      </c>
      <c r="B53" s="35" t="s">
        <v>79</v>
      </c>
      <c r="C53" s="36"/>
      <c r="D53" s="36"/>
      <c r="E53" s="42" t="e">
        <f t="shared" si="42"/>
        <v>#DIV/0!</v>
      </c>
      <c r="F53" s="43"/>
      <c r="G53" s="34">
        <f t="shared" si="43"/>
        <v>0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4">
        <f t="shared" si="44"/>
        <v>0</v>
      </c>
      <c r="S53" s="43"/>
    </row>
    <row r="54" s="6" customFormat="1" ht="22" customHeight="1" spans="1:19">
      <c r="A54" s="32">
        <v>46</v>
      </c>
      <c r="B54" s="35" t="s">
        <v>59</v>
      </c>
      <c r="C54" s="36"/>
      <c r="D54" s="36"/>
      <c r="E54" s="42" t="e">
        <f t="shared" si="42"/>
        <v>#DIV/0!</v>
      </c>
      <c r="F54" s="43"/>
      <c r="G54" s="34">
        <f t="shared" si="43"/>
        <v>0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4">
        <f t="shared" si="44"/>
        <v>0</v>
      </c>
      <c r="S54" s="43"/>
    </row>
    <row r="55" s="6" customFormat="1" ht="22" customHeight="1" spans="1:19">
      <c r="A55" s="32">
        <v>47</v>
      </c>
      <c r="B55" s="35" t="s">
        <v>80</v>
      </c>
      <c r="C55" s="36"/>
      <c r="D55" s="36"/>
      <c r="E55" s="42" t="e">
        <f t="shared" si="42"/>
        <v>#DIV/0!</v>
      </c>
      <c r="F55" s="43"/>
      <c r="G55" s="34">
        <f t="shared" si="43"/>
        <v>0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4">
        <f t="shared" si="44"/>
        <v>0</v>
      </c>
      <c r="S55" s="43"/>
    </row>
    <row r="56" s="6" customFormat="1" ht="22" customHeight="1" spans="1:19">
      <c r="A56" s="32">
        <v>48</v>
      </c>
      <c r="B56" s="33" t="s">
        <v>81</v>
      </c>
      <c r="C56" s="34">
        <f>SUM(C57,C73,C78,C83,C88,C93,C98)</f>
        <v>0</v>
      </c>
      <c r="D56" s="34">
        <f>SUM(D57,D73,D78,D83,D88,D93,D98)</f>
        <v>0</v>
      </c>
      <c r="E56" s="41"/>
      <c r="F56" s="41"/>
      <c r="G56" s="34">
        <f t="shared" ref="G56:K56" si="45">SUM(G57,G73,G78,G83,G88,G93,G98)</f>
        <v>0</v>
      </c>
      <c r="H56" s="34">
        <f t="shared" si="45"/>
        <v>0</v>
      </c>
      <c r="I56" s="34">
        <f t="shared" si="45"/>
        <v>0</v>
      </c>
      <c r="J56" s="34">
        <f t="shared" si="45"/>
        <v>0</v>
      </c>
      <c r="K56" s="34">
        <f t="shared" si="45"/>
        <v>0</v>
      </c>
      <c r="L56" s="34">
        <f t="shared" ref="L56:S56" si="46">SUM(L57,L73,L78,L83,L88,L93,L98)</f>
        <v>0</v>
      </c>
      <c r="M56" s="34">
        <f t="shared" si="46"/>
        <v>0</v>
      </c>
      <c r="N56" s="34">
        <f t="shared" si="46"/>
        <v>0</v>
      </c>
      <c r="O56" s="34">
        <f t="shared" si="46"/>
        <v>0</v>
      </c>
      <c r="P56" s="34">
        <f t="shared" si="46"/>
        <v>0</v>
      </c>
      <c r="Q56" s="34">
        <f t="shared" si="46"/>
        <v>0</v>
      </c>
      <c r="R56" s="34">
        <f t="shared" si="46"/>
        <v>0</v>
      </c>
      <c r="S56" s="34">
        <f t="shared" si="46"/>
        <v>0</v>
      </c>
    </row>
    <row r="57" s="6" customFormat="1" ht="22" customHeight="1" spans="1:19">
      <c r="A57" s="32">
        <v>49</v>
      </c>
      <c r="B57" s="35" t="s">
        <v>82</v>
      </c>
      <c r="C57" s="34">
        <f>SUM(C58,C63,C68)</f>
        <v>0</v>
      </c>
      <c r="D57" s="34">
        <f>SUM(D58,D63,D68)</f>
        <v>0</v>
      </c>
      <c r="E57" s="41"/>
      <c r="F57" s="41"/>
      <c r="G57" s="34">
        <f t="shared" ref="G57:K57" si="47">SUM(G58,G63,G68)</f>
        <v>0</v>
      </c>
      <c r="H57" s="34">
        <f t="shared" si="47"/>
        <v>0</v>
      </c>
      <c r="I57" s="34">
        <f t="shared" si="47"/>
        <v>0</v>
      </c>
      <c r="J57" s="34">
        <f t="shared" si="47"/>
        <v>0</v>
      </c>
      <c r="K57" s="34">
        <f t="shared" si="47"/>
        <v>0</v>
      </c>
      <c r="L57" s="34">
        <f t="shared" ref="L57:S57" si="48">SUM(L58,L63,L68)</f>
        <v>0</v>
      </c>
      <c r="M57" s="34">
        <f t="shared" si="48"/>
        <v>0</v>
      </c>
      <c r="N57" s="34">
        <f t="shared" si="48"/>
        <v>0</v>
      </c>
      <c r="O57" s="34">
        <f t="shared" si="48"/>
        <v>0</v>
      </c>
      <c r="P57" s="34">
        <f t="shared" si="48"/>
        <v>0</v>
      </c>
      <c r="Q57" s="34">
        <f t="shared" si="48"/>
        <v>0</v>
      </c>
      <c r="R57" s="34">
        <f t="shared" si="48"/>
        <v>0</v>
      </c>
      <c r="S57" s="34">
        <f t="shared" si="48"/>
        <v>0</v>
      </c>
    </row>
    <row r="58" s="6" customFormat="1" ht="22" customHeight="1" spans="1:19">
      <c r="A58" s="32">
        <v>50</v>
      </c>
      <c r="B58" s="35" t="s">
        <v>83</v>
      </c>
      <c r="C58" s="34">
        <f>SUM(C59:C62)</f>
        <v>0</v>
      </c>
      <c r="D58" s="34">
        <f>SUM(D59:D62)</f>
        <v>0</v>
      </c>
      <c r="E58" s="41"/>
      <c r="F58" s="41"/>
      <c r="G58" s="34">
        <f t="shared" ref="G58:K58" si="49">SUM(G59:G62)</f>
        <v>0</v>
      </c>
      <c r="H58" s="34">
        <f t="shared" si="49"/>
        <v>0</v>
      </c>
      <c r="I58" s="34">
        <f t="shared" si="49"/>
        <v>0</v>
      </c>
      <c r="J58" s="34">
        <f t="shared" si="49"/>
        <v>0</v>
      </c>
      <c r="K58" s="34">
        <f t="shared" si="49"/>
        <v>0</v>
      </c>
      <c r="L58" s="34">
        <f t="shared" ref="L58:S58" si="50">SUM(L59:L62)</f>
        <v>0</v>
      </c>
      <c r="M58" s="34">
        <f t="shared" si="50"/>
        <v>0</v>
      </c>
      <c r="N58" s="34">
        <f t="shared" si="50"/>
        <v>0</v>
      </c>
      <c r="O58" s="34">
        <f t="shared" si="50"/>
        <v>0</v>
      </c>
      <c r="P58" s="34">
        <f t="shared" si="50"/>
        <v>0</v>
      </c>
      <c r="Q58" s="34">
        <f t="shared" si="50"/>
        <v>0</v>
      </c>
      <c r="R58" s="34">
        <f t="shared" si="50"/>
        <v>0</v>
      </c>
      <c r="S58" s="34">
        <f t="shared" si="50"/>
        <v>0</v>
      </c>
    </row>
    <row r="59" s="6" customFormat="1" ht="22" customHeight="1" spans="1:19">
      <c r="A59" s="32">
        <v>51</v>
      </c>
      <c r="B59" s="35" t="s">
        <v>84</v>
      </c>
      <c r="C59" s="36"/>
      <c r="D59" s="36"/>
      <c r="E59" s="42" t="e">
        <f t="shared" ref="E59:E62" si="51">C59/D59</f>
        <v>#DIV/0!</v>
      </c>
      <c r="F59" s="43"/>
      <c r="G59" s="34">
        <f t="shared" ref="G59:G62" si="52">F59*D59</f>
        <v>0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4">
        <f t="shared" ref="R59:R62" si="53">SUM(I59,K59,M59,O59,P59:Q59)</f>
        <v>0</v>
      </c>
      <c r="S59" s="43"/>
    </row>
    <row r="60" s="6" customFormat="1" ht="22" customHeight="1" spans="1:19">
      <c r="A60" s="32">
        <v>52</v>
      </c>
      <c r="B60" s="35" t="s">
        <v>85</v>
      </c>
      <c r="C60" s="36"/>
      <c r="D60" s="36"/>
      <c r="E60" s="42" t="e">
        <f t="shared" si="51"/>
        <v>#DIV/0!</v>
      </c>
      <c r="F60" s="43"/>
      <c r="G60" s="34">
        <f t="shared" si="52"/>
        <v>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4">
        <f t="shared" si="53"/>
        <v>0</v>
      </c>
      <c r="S60" s="43"/>
    </row>
    <row r="61" s="6" customFormat="1" ht="22" customHeight="1" spans="1:19">
      <c r="A61" s="32">
        <v>53</v>
      </c>
      <c r="B61" s="35" t="s">
        <v>46</v>
      </c>
      <c r="C61" s="36"/>
      <c r="D61" s="36"/>
      <c r="E61" s="42" t="e">
        <f t="shared" si="51"/>
        <v>#DIV/0!</v>
      </c>
      <c r="F61" s="43"/>
      <c r="G61" s="34">
        <f t="shared" si="52"/>
        <v>0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4">
        <f t="shared" si="53"/>
        <v>0</v>
      </c>
      <c r="S61" s="43"/>
    </row>
    <row r="62" s="6" customFormat="1" ht="22" customHeight="1" spans="1:19">
      <c r="A62" s="32">
        <v>54</v>
      </c>
      <c r="B62" s="35" t="s">
        <v>86</v>
      </c>
      <c r="C62" s="36"/>
      <c r="D62" s="36"/>
      <c r="E62" s="42" t="e">
        <f t="shared" si="51"/>
        <v>#DIV/0!</v>
      </c>
      <c r="F62" s="43"/>
      <c r="G62" s="34">
        <f t="shared" si="52"/>
        <v>0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4">
        <f t="shared" si="53"/>
        <v>0</v>
      </c>
      <c r="S62" s="43"/>
    </row>
    <row r="63" s="6" customFormat="1" ht="22" customHeight="1" spans="1:19">
      <c r="A63" s="32">
        <v>55</v>
      </c>
      <c r="B63" s="35" t="s">
        <v>87</v>
      </c>
      <c r="C63" s="34">
        <f>SUM(C64:C67)</f>
        <v>0</v>
      </c>
      <c r="D63" s="34">
        <f>SUM(D64:D67)</f>
        <v>0</v>
      </c>
      <c r="E63" s="41"/>
      <c r="F63" s="41"/>
      <c r="G63" s="34">
        <f t="shared" ref="G63:K63" si="54">SUM(G64:G67)</f>
        <v>0</v>
      </c>
      <c r="H63" s="34">
        <f t="shared" si="54"/>
        <v>0</v>
      </c>
      <c r="I63" s="34">
        <f t="shared" si="54"/>
        <v>0</v>
      </c>
      <c r="J63" s="34">
        <f t="shared" si="54"/>
        <v>0</v>
      </c>
      <c r="K63" s="34">
        <f t="shared" si="54"/>
        <v>0</v>
      </c>
      <c r="L63" s="34">
        <f t="shared" ref="L63:S63" si="55">SUM(L64:L67)</f>
        <v>0</v>
      </c>
      <c r="M63" s="34">
        <f t="shared" si="55"/>
        <v>0</v>
      </c>
      <c r="N63" s="34">
        <f t="shared" si="55"/>
        <v>0</v>
      </c>
      <c r="O63" s="34">
        <f t="shared" si="55"/>
        <v>0</v>
      </c>
      <c r="P63" s="34">
        <f t="shared" si="55"/>
        <v>0</v>
      </c>
      <c r="Q63" s="34">
        <f t="shared" si="55"/>
        <v>0</v>
      </c>
      <c r="R63" s="34">
        <f t="shared" si="55"/>
        <v>0</v>
      </c>
      <c r="S63" s="34">
        <f t="shared" si="55"/>
        <v>0</v>
      </c>
    </row>
    <row r="64" s="6" customFormat="1" ht="22" customHeight="1" spans="1:19">
      <c r="A64" s="32">
        <v>56</v>
      </c>
      <c r="B64" s="35" t="s">
        <v>88</v>
      </c>
      <c r="C64" s="36"/>
      <c r="D64" s="36"/>
      <c r="E64" s="42" t="e">
        <f t="shared" ref="E64:E67" si="56">C64/D64</f>
        <v>#DIV/0!</v>
      </c>
      <c r="F64" s="43"/>
      <c r="G64" s="34">
        <f t="shared" ref="G64:G67" si="57">F64*D64</f>
        <v>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4">
        <f t="shared" ref="R64:R67" si="58">SUM(I64,K64,M64,O64,P64:Q64)</f>
        <v>0</v>
      </c>
      <c r="S64" s="43"/>
    </row>
    <row r="65" s="6" customFormat="1" ht="22" customHeight="1" spans="1:19">
      <c r="A65" s="32">
        <v>57</v>
      </c>
      <c r="B65" s="35" t="s">
        <v>89</v>
      </c>
      <c r="C65" s="36"/>
      <c r="D65" s="36"/>
      <c r="E65" s="42" t="e">
        <f t="shared" si="56"/>
        <v>#DIV/0!</v>
      </c>
      <c r="F65" s="43"/>
      <c r="G65" s="34">
        <f t="shared" si="57"/>
        <v>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4">
        <f t="shared" si="58"/>
        <v>0</v>
      </c>
      <c r="S65" s="43"/>
    </row>
    <row r="66" s="6" customFormat="1" ht="22" customHeight="1" spans="1:19">
      <c r="A66" s="32">
        <v>58</v>
      </c>
      <c r="B66" s="35" t="s">
        <v>46</v>
      </c>
      <c r="C66" s="36"/>
      <c r="D66" s="36"/>
      <c r="E66" s="42" t="e">
        <f t="shared" si="56"/>
        <v>#DIV/0!</v>
      </c>
      <c r="F66" s="43"/>
      <c r="G66" s="34">
        <f t="shared" si="57"/>
        <v>0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4">
        <f t="shared" si="58"/>
        <v>0</v>
      </c>
      <c r="S66" s="43"/>
    </row>
    <row r="67" s="6" customFormat="1" ht="22" customHeight="1" spans="1:19">
      <c r="A67" s="32">
        <v>59</v>
      </c>
      <c r="B67" s="35" t="s">
        <v>90</v>
      </c>
      <c r="C67" s="36"/>
      <c r="D67" s="36"/>
      <c r="E67" s="42" t="e">
        <f t="shared" si="56"/>
        <v>#DIV/0!</v>
      </c>
      <c r="F67" s="43"/>
      <c r="G67" s="34">
        <f t="shared" si="57"/>
        <v>0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4">
        <f t="shared" si="58"/>
        <v>0</v>
      </c>
      <c r="S67" s="43"/>
    </row>
    <row r="68" s="6" customFormat="1" ht="22" customHeight="1" spans="1:19">
      <c r="A68" s="32">
        <v>60</v>
      </c>
      <c r="B68" s="35" t="s">
        <v>91</v>
      </c>
      <c r="C68" s="34">
        <f>SUM(C69:C72)</f>
        <v>0</v>
      </c>
      <c r="D68" s="34">
        <f>SUM(D69:D72)</f>
        <v>0</v>
      </c>
      <c r="E68" s="41"/>
      <c r="F68" s="41"/>
      <c r="G68" s="34">
        <f t="shared" ref="G68:K68" si="59">SUM(G69:G72)</f>
        <v>0</v>
      </c>
      <c r="H68" s="34">
        <f t="shared" si="59"/>
        <v>0</v>
      </c>
      <c r="I68" s="34">
        <f t="shared" si="59"/>
        <v>0</v>
      </c>
      <c r="J68" s="34">
        <f t="shared" si="59"/>
        <v>0</v>
      </c>
      <c r="K68" s="34">
        <f t="shared" si="59"/>
        <v>0</v>
      </c>
      <c r="L68" s="34">
        <f t="shared" ref="L68:S68" si="60">SUM(L69:L72)</f>
        <v>0</v>
      </c>
      <c r="M68" s="34">
        <f t="shared" si="60"/>
        <v>0</v>
      </c>
      <c r="N68" s="34">
        <f t="shared" si="60"/>
        <v>0</v>
      </c>
      <c r="O68" s="34">
        <f t="shared" si="60"/>
        <v>0</v>
      </c>
      <c r="P68" s="34">
        <f t="shared" si="60"/>
        <v>0</v>
      </c>
      <c r="Q68" s="34">
        <f t="shared" si="60"/>
        <v>0</v>
      </c>
      <c r="R68" s="34">
        <f t="shared" si="60"/>
        <v>0</v>
      </c>
      <c r="S68" s="34">
        <f t="shared" si="60"/>
        <v>0</v>
      </c>
    </row>
    <row r="69" s="6" customFormat="1" ht="22" customHeight="1" spans="1:19">
      <c r="A69" s="32">
        <v>61</v>
      </c>
      <c r="B69" s="35" t="s">
        <v>92</v>
      </c>
      <c r="C69" s="36"/>
      <c r="D69" s="36"/>
      <c r="E69" s="42" t="e">
        <f t="shared" ref="E69:E72" si="61">C69/D69</f>
        <v>#DIV/0!</v>
      </c>
      <c r="F69" s="43"/>
      <c r="G69" s="34">
        <f t="shared" ref="G69:G72" si="62">F69*D69</f>
        <v>0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4">
        <f t="shared" ref="R69:R72" si="63">SUM(I69,K69,M69,O69,P69:Q69)</f>
        <v>0</v>
      </c>
      <c r="S69" s="43"/>
    </row>
    <row r="70" s="6" customFormat="1" ht="22" customHeight="1" spans="1:19">
      <c r="A70" s="32">
        <v>62</v>
      </c>
      <c r="B70" s="35" t="s">
        <v>93</v>
      </c>
      <c r="C70" s="36"/>
      <c r="D70" s="36"/>
      <c r="E70" s="42" t="e">
        <f t="shared" si="61"/>
        <v>#DIV/0!</v>
      </c>
      <c r="F70" s="43"/>
      <c r="G70" s="34">
        <f t="shared" si="62"/>
        <v>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4">
        <f t="shared" si="63"/>
        <v>0</v>
      </c>
      <c r="S70" s="43"/>
    </row>
    <row r="71" s="6" customFormat="1" ht="22" customHeight="1" spans="1:19">
      <c r="A71" s="32">
        <v>63</v>
      </c>
      <c r="B71" s="35" t="s">
        <v>46</v>
      </c>
      <c r="C71" s="36"/>
      <c r="D71" s="36"/>
      <c r="E71" s="42" t="e">
        <f t="shared" si="61"/>
        <v>#DIV/0!</v>
      </c>
      <c r="F71" s="43"/>
      <c r="G71" s="34">
        <f t="shared" si="62"/>
        <v>0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4">
        <f t="shared" si="63"/>
        <v>0</v>
      </c>
      <c r="S71" s="43"/>
    </row>
    <row r="72" s="6" customFormat="1" ht="22" customHeight="1" spans="1:19">
      <c r="A72" s="32">
        <v>64</v>
      </c>
      <c r="B72" s="35" t="s">
        <v>94</v>
      </c>
      <c r="C72" s="36"/>
      <c r="D72" s="36"/>
      <c r="E72" s="42" t="e">
        <f t="shared" si="61"/>
        <v>#DIV/0!</v>
      </c>
      <c r="F72" s="43"/>
      <c r="G72" s="34">
        <f t="shared" si="62"/>
        <v>0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4">
        <f t="shared" si="63"/>
        <v>0</v>
      </c>
      <c r="S72" s="43"/>
    </row>
    <row r="73" s="6" customFormat="1" ht="22" customHeight="1" spans="1:19">
      <c r="A73" s="32">
        <v>65</v>
      </c>
      <c r="B73" s="37" t="s">
        <v>95</v>
      </c>
      <c r="C73" s="34">
        <f>SUM(C74:C77)</f>
        <v>0</v>
      </c>
      <c r="D73" s="34">
        <f>SUM(D74:D77)</f>
        <v>0</v>
      </c>
      <c r="E73" s="41"/>
      <c r="F73" s="41"/>
      <c r="G73" s="34">
        <f t="shared" ref="G73:K73" si="64">SUM(G74:G77)</f>
        <v>0</v>
      </c>
      <c r="H73" s="34">
        <f t="shared" si="64"/>
        <v>0</v>
      </c>
      <c r="I73" s="34">
        <f t="shared" si="64"/>
        <v>0</v>
      </c>
      <c r="J73" s="34">
        <f t="shared" si="64"/>
        <v>0</v>
      </c>
      <c r="K73" s="34">
        <f t="shared" si="64"/>
        <v>0</v>
      </c>
      <c r="L73" s="34">
        <f t="shared" ref="L73:S73" si="65">SUM(L74:L77)</f>
        <v>0</v>
      </c>
      <c r="M73" s="34">
        <f t="shared" si="65"/>
        <v>0</v>
      </c>
      <c r="N73" s="34">
        <f t="shared" si="65"/>
        <v>0</v>
      </c>
      <c r="O73" s="34">
        <f t="shared" si="65"/>
        <v>0</v>
      </c>
      <c r="P73" s="34">
        <f t="shared" si="65"/>
        <v>0</v>
      </c>
      <c r="Q73" s="34">
        <f t="shared" si="65"/>
        <v>0</v>
      </c>
      <c r="R73" s="34">
        <f t="shared" si="65"/>
        <v>0</v>
      </c>
      <c r="S73" s="34">
        <f t="shared" si="65"/>
        <v>0</v>
      </c>
    </row>
    <row r="74" s="6" customFormat="1" ht="22" customHeight="1" spans="1:19">
      <c r="A74" s="32">
        <v>66</v>
      </c>
      <c r="B74" s="35" t="s">
        <v>96</v>
      </c>
      <c r="C74" s="36"/>
      <c r="D74" s="36"/>
      <c r="E74" s="42" t="e">
        <f t="shared" ref="E74:E77" si="66">C74/D74</f>
        <v>#DIV/0!</v>
      </c>
      <c r="F74" s="43"/>
      <c r="G74" s="34">
        <f t="shared" ref="G74:G77" si="67">F74*D74</f>
        <v>0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4">
        <f t="shared" ref="R74:R77" si="68">SUM(I74,K74,M74,O74,P74:Q74)</f>
        <v>0</v>
      </c>
      <c r="S74" s="43"/>
    </row>
    <row r="75" s="6" customFormat="1" ht="22" customHeight="1" spans="1:19">
      <c r="A75" s="32">
        <v>67</v>
      </c>
      <c r="B75" s="35" t="s">
        <v>97</v>
      </c>
      <c r="C75" s="36"/>
      <c r="D75" s="36"/>
      <c r="E75" s="42" t="e">
        <f t="shared" si="66"/>
        <v>#DIV/0!</v>
      </c>
      <c r="F75" s="43"/>
      <c r="G75" s="34">
        <f t="shared" si="67"/>
        <v>0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4">
        <f t="shared" si="68"/>
        <v>0</v>
      </c>
      <c r="S75" s="43"/>
    </row>
    <row r="76" s="6" customFormat="1" ht="22" customHeight="1" spans="1:19">
      <c r="A76" s="32">
        <v>68</v>
      </c>
      <c r="B76" s="35" t="s">
        <v>59</v>
      </c>
      <c r="C76" s="36"/>
      <c r="D76" s="36"/>
      <c r="E76" s="42" t="e">
        <f t="shared" si="66"/>
        <v>#DIV/0!</v>
      </c>
      <c r="F76" s="43"/>
      <c r="G76" s="34">
        <f t="shared" si="67"/>
        <v>0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4">
        <f t="shared" si="68"/>
        <v>0</v>
      </c>
      <c r="S76" s="43"/>
    </row>
    <row r="77" s="6" customFormat="1" ht="22" customHeight="1" spans="1:19">
      <c r="A77" s="32">
        <v>69</v>
      </c>
      <c r="B77" s="35" t="s">
        <v>98</v>
      </c>
      <c r="C77" s="36"/>
      <c r="D77" s="36"/>
      <c r="E77" s="42" t="e">
        <f t="shared" si="66"/>
        <v>#DIV/0!</v>
      </c>
      <c r="F77" s="43"/>
      <c r="G77" s="34">
        <f t="shared" si="67"/>
        <v>0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4">
        <f t="shared" si="68"/>
        <v>0</v>
      </c>
      <c r="S77" s="43"/>
    </row>
    <row r="78" s="6" customFormat="1" ht="22" customHeight="1" spans="1:19">
      <c r="A78" s="32">
        <v>70</v>
      </c>
      <c r="B78" s="37" t="s">
        <v>99</v>
      </c>
      <c r="C78" s="34">
        <f>SUM(C79:C82)</f>
        <v>0</v>
      </c>
      <c r="D78" s="34">
        <f>SUM(D79:D82)</f>
        <v>0</v>
      </c>
      <c r="E78" s="41"/>
      <c r="F78" s="41"/>
      <c r="G78" s="34">
        <f t="shared" ref="G78:K78" si="69">SUM(G79:G82)</f>
        <v>0</v>
      </c>
      <c r="H78" s="34">
        <f t="shared" si="69"/>
        <v>0</v>
      </c>
      <c r="I78" s="34">
        <f t="shared" si="69"/>
        <v>0</v>
      </c>
      <c r="J78" s="34">
        <f t="shared" si="69"/>
        <v>0</v>
      </c>
      <c r="K78" s="34">
        <f t="shared" si="69"/>
        <v>0</v>
      </c>
      <c r="L78" s="34">
        <f t="shared" ref="L78:S78" si="70">SUM(L79:L82)</f>
        <v>0</v>
      </c>
      <c r="M78" s="34">
        <f t="shared" si="70"/>
        <v>0</v>
      </c>
      <c r="N78" s="34">
        <f t="shared" si="70"/>
        <v>0</v>
      </c>
      <c r="O78" s="34">
        <f t="shared" si="70"/>
        <v>0</v>
      </c>
      <c r="P78" s="34">
        <f t="shared" si="70"/>
        <v>0</v>
      </c>
      <c r="Q78" s="34">
        <f t="shared" si="70"/>
        <v>0</v>
      </c>
      <c r="R78" s="34">
        <f t="shared" si="70"/>
        <v>0</v>
      </c>
      <c r="S78" s="34">
        <f t="shared" si="70"/>
        <v>0</v>
      </c>
    </row>
    <row r="79" s="6" customFormat="1" ht="22" customHeight="1" spans="1:19">
      <c r="A79" s="32">
        <v>71</v>
      </c>
      <c r="B79" s="35" t="s">
        <v>100</v>
      </c>
      <c r="C79" s="36"/>
      <c r="D79" s="36"/>
      <c r="E79" s="42" t="e">
        <f t="shared" ref="E79:E82" si="71">C79/D79</f>
        <v>#DIV/0!</v>
      </c>
      <c r="F79" s="43"/>
      <c r="G79" s="34">
        <f t="shared" ref="G79:G82" si="72">F79*D79</f>
        <v>0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4">
        <f t="shared" ref="R79:R82" si="73">SUM(I79,K79,M79,O79,P79:Q79)</f>
        <v>0</v>
      </c>
      <c r="S79" s="43"/>
    </row>
    <row r="80" s="6" customFormat="1" ht="22" customHeight="1" spans="1:19">
      <c r="A80" s="32">
        <v>72</v>
      </c>
      <c r="B80" s="35" t="s">
        <v>101</v>
      </c>
      <c r="C80" s="36"/>
      <c r="D80" s="36"/>
      <c r="E80" s="42" t="e">
        <f t="shared" si="71"/>
        <v>#DIV/0!</v>
      </c>
      <c r="F80" s="43"/>
      <c r="G80" s="34">
        <f t="shared" si="72"/>
        <v>0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4">
        <f t="shared" si="73"/>
        <v>0</v>
      </c>
      <c r="S80" s="43"/>
    </row>
    <row r="81" s="6" customFormat="1" ht="22" customHeight="1" spans="1:19">
      <c r="A81" s="32">
        <v>73</v>
      </c>
      <c r="B81" s="35" t="s">
        <v>59</v>
      </c>
      <c r="C81" s="36"/>
      <c r="D81" s="36"/>
      <c r="E81" s="42" t="e">
        <f t="shared" si="71"/>
        <v>#DIV/0!</v>
      </c>
      <c r="F81" s="43"/>
      <c r="G81" s="34">
        <f t="shared" si="72"/>
        <v>0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4">
        <f t="shared" si="73"/>
        <v>0</v>
      </c>
      <c r="S81" s="43"/>
    </row>
    <row r="82" s="6" customFormat="1" ht="22" customHeight="1" spans="1:19">
      <c r="A82" s="32">
        <v>74</v>
      </c>
      <c r="B82" s="35" t="s">
        <v>102</v>
      </c>
      <c r="C82" s="36"/>
      <c r="D82" s="36"/>
      <c r="E82" s="42" t="e">
        <f t="shared" si="71"/>
        <v>#DIV/0!</v>
      </c>
      <c r="F82" s="43"/>
      <c r="G82" s="34">
        <f t="shared" si="72"/>
        <v>0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4">
        <f t="shared" si="73"/>
        <v>0</v>
      </c>
      <c r="S82" s="43"/>
    </row>
    <row r="83" s="6" customFormat="1" ht="22" customHeight="1" spans="1:19">
      <c r="A83" s="32">
        <v>75</v>
      </c>
      <c r="B83" s="37" t="s">
        <v>103</v>
      </c>
      <c r="C83" s="34">
        <f>SUM(C84:C87)</f>
        <v>0</v>
      </c>
      <c r="D83" s="34">
        <f>SUM(D84:D87)</f>
        <v>0</v>
      </c>
      <c r="E83" s="41"/>
      <c r="F83" s="41"/>
      <c r="G83" s="34">
        <f t="shared" ref="G83:K83" si="74">SUM(G84:G87)</f>
        <v>0</v>
      </c>
      <c r="H83" s="34">
        <f t="shared" si="74"/>
        <v>0</v>
      </c>
      <c r="I83" s="34">
        <f t="shared" si="74"/>
        <v>0</v>
      </c>
      <c r="J83" s="34">
        <f t="shared" si="74"/>
        <v>0</v>
      </c>
      <c r="K83" s="34">
        <f t="shared" si="74"/>
        <v>0</v>
      </c>
      <c r="L83" s="34">
        <f t="shared" ref="L83:S83" si="75">SUM(L84:L87)</f>
        <v>0</v>
      </c>
      <c r="M83" s="34">
        <f t="shared" si="75"/>
        <v>0</v>
      </c>
      <c r="N83" s="34">
        <f t="shared" si="75"/>
        <v>0</v>
      </c>
      <c r="O83" s="34">
        <f t="shared" si="75"/>
        <v>0</v>
      </c>
      <c r="P83" s="34">
        <f t="shared" si="75"/>
        <v>0</v>
      </c>
      <c r="Q83" s="34">
        <f t="shared" si="75"/>
        <v>0</v>
      </c>
      <c r="R83" s="34">
        <f t="shared" si="75"/>
        <v>0</v>
      </c>
      <c r="S83" s="34">
        <f t="shared" si="75"/>
        <v>0</v>
      </c>
    </row>
    <row r="84" s="6" customFormat="1" ht="22" customHeight="1" spans="1:19">
      <c r="A84" s="32">
        <v>76</v>
      </c>
      <c r="B84" s="35" t="s">
        <v>104</v>
      </c>
      <c r="C84" s="36"/>
      <c r="D84" s="36"/>
      <c r="E84" s="42" t="e">
        <f t="shared" ref="E84:E87" si="76">C84/D84</f>
        <v>#DIV/0!</v>
      </c>
      <c r="F84" s="43"/>
      <c r="G84" s="34">
        <f t="shared" ref="G84:G87" si="77">F84*D84</f>
        <v>0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4">
        <f t="shared" ref="R84:R87" si="78">SUM(I84,K84,M84,O84,P84:Q84)</f>
        <v>0</v>
      </c>
      <c r="S84" s="43"/>
    </row>
    <row r="85" s="6" customFormat="1" ht="22" customHeight="1" spans="1:19">
      <c r="A85" s="32">
        <v>77</v>
      </c>
      <c r="B85" s="35" t="s">
        <v>105</v>
      </c>
      <c r="C85" s="36"/>
      <c r="D85" s="36"/>
      <c r="E85" s="42" t="e">
        <f t="shared" si="76"/>
        <v>#DIV/0!</v>
      </c>
      <c r="F85" s="43"/>
      <c r="G85" s="34">
        <f t="shared" si="77"/>
        <v>0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4">
        <f t="shared" si="78"/>
        <v>0</v>
      </c>
      <c r="S85" s="43"/>
    </row>
    <row r="86" s="6" customFormat="1" ht="22" customHeight="1" spans="1:19">
      <c r="A86" s="32">
        <v>78</v>
      </c>
      <c r="B86" s="35" t="s">
        <v>59</v>
      </c>
      <c r="C86" s="36"/>
      <c r="D86" s="36"/>
      <c r="E86" s="42" t="e">
        <f t="shared" si="76"/>
        <v>#DIV/0!</v>
      </c>
      <c r="F86" s="43"/>
      <c r="G86" s="34">
        <f t="shared" si="77"/>
        <v>0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4">
        <f t="shared" si="78"/>
        <v>0</v>
      </c>
      <c r="S86" s="43"/>
    </row>
    <row r="87" s="6" customFormat="1" ht="22" customHeight="1" spans="1:19">
      <c r="A87" s="32">
        <v>79</v>
      </c>
      <c r="B87" s="35" t="s">
        <v>106</v>
      </c>
      <c r="C87" s="36"/>
      <c r="D87" s="36"/>
      <c r="E87" s="42" t="e">
        <f t="shared" si="76"/>
        <v>#DIV/0!</v>
      </c>
      <c r="F87" s="43"/>
      <c r="G87" s="34">
        <f t="shared" si="77"/>
        <v>0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4">
        <f t="shared" si="78"/>
        <v>0</v>
      </c>
      <c r="S87" s="43"/>
    </row>
    <row r="88" s="6" customFormat="1" ht="22" customHeight="1" spans="1:19">
      <c r="A88" s="32">
        <v>80</v>
      </c>
      <c r="B88" s="35" t="s">
        <v>107</v>
      </c>
      <c r="C88" s="34">
        <f>SUM(C89:C92)</f>
        <v>0</v>
      </c>
      <c r="D88" s="34">
        <f>SUM(D89:D92)</f>
        <v>0</v>
      </c>
      <c r="E88" s="41"/>
      <c r="F88" s="41"/>
      <c r="G88" s="34">
        <f t="shared" ref="G88:K88" si="79">SUM(G89:G92)</f>
        <v>0</v>
      </c>
      <c r="H88" s="34">
        <f t="shared" si="79"/>
        <v>0</v>
      </c>
      <c r="I88" s="34">
        <f t="shared" si="79"/>
        <v>0</v>
      </c>
      <c r="J88" s="34">
        <f t="shared" si="79"/>
        <v>0</v>
      </c>
      <c r="K88" s="34">
        <f t="shared" si="79"/>
        <v>0</v>
      </c>
      <c r="L88" s="34">
        <f t="shared" ref="L88:S88" si="80">SUM(L89:L92)</f>
        <v>0</v>
      </c>
      <c r="M88" s="34">
        <f t="shared" si="80"/>
        <v>0</v>
      </c>
      <c r="N88" s="34">
        <f t="shared" si="80"/>
        <v>0</v>
      </c>
      <c r="O88" s="34">
        <f t="shared" si="80"/>
        <v>0</v>
      </c>
      <c r="P88" s="34">
        <f t="shared" si="80"/>
        <v>0</v>
      </c>
      <c r="Q88" s="34">
        <f t="shared" si="80"/>
        <v>0</v>
      </c>
      <c r="R88" s="34">
        <f t="shared" si="80"/>
        <v>0</v>
      </c>
      <c r="S88" s="34">
        <f t="shared" si="80"/>
        <v>0</v>
      </c>
    </row>
    <row r="89" s="6" customFormat="1" ht="22" customHeight="1" spans="1:19">
      <c r="A89" s="32">
        <v>81</v>
      </c>
      <c r="B89" s="35" t="s">
        <v>108</v>
      </c>
      <c r="C89" s="36"/>
      <c r="D89" s="36"/>
      <c r="E89" s="42" t="e">
        <f t="shared" ref="E89:E92" si="81">C89/D89</f>
        <v>#DIV/0!</v>
      </c>
      <c r="F89" s="43"/>
      <c r="G89" s="34">
        <f t="shared" ref="G89:G92" si="82">F89*D89</f>
        <v>0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4">
        <f t="shared" ref="R89:R92" si="83">SUM(I89,K89,M89,O89,P89:Q89)</f>
        <v>0</v>
      </c>
      <c r="S89" s="43"/>
    </row>
    <row r="90" s="6" customFormat="1" ht="22" customHeight="1" spans="1:19">
      <c r="A90" s="32">
        <v>82</v>
      </c>
      <c r="B90" s="35" t="s">
        <v>109</v>
      </c>
      <c r="C90" s="36"/>
      <c r="D90" s="36"/>
      <c r="E90" s="42" t="e">
        <f t="shared" si="81"/>
        <v>#DIV/0!</v>
      </c>
      <c r="F90" s="43"/>
      <c r="G90" s="34">
        <f t="shared" si="82"/>
        <v>0</v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4">
        <f t="shared" si="83"/>
        <v>0</v>
      </c>
      <c r="S90" s="43"/>
    </row>
    <row r="91" s="6" customFormat="1" ht="22" customHeight="1" spans="1:19">
      <c r="A91" s="32">
        <v>83</v>
      </c>
      <c r="B91" s="35" t="s">
        <v>59</v>
      </c>
      <c r="C91" s="36"/>
      <c r="D91" s="36"/>
      <c r="E91" s="42" t="e">
        <f t="shared" si="81"/>
        <v>#DIV/0!</v>
      </c>
      <c r="F91" s="43"/>
      <c r="G91" s="34">
        <f t="shared" si="82"/>
        <v>0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4">
        <f t="shared" si="83"/>
        <v>0</v>
      </c>
      <c r="S91" s="43"/>
    </row>
    <row r="92" s="6" customFormat="1" ht="22" customHeight="1" spans="1:19">
      <c r="A92" s="32">
        <v>84</v>
      </c>
      <c r="B92" s="35" t="s">
        <v>110</v>
      </c>
      <c r="C92" s="36"/>
      <c r="D92" s="36"/>
      <c r="E92" s="42" t="e">
        <f t="shared" si="81"/>
        <v>#DIV/0!</v>
      </c>
      <c r="F92" s="43"/>
      <c r="G92" s="34">
        <f t="shared" si="82"/>
        <v>0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4">
        <f t="shared" si="83"/>
        <v>0</v>
      </c>
      <c r="S92" s="43"/>
    </row>
    <row r="93" s="6" customFormat="1" ht="22" customHeight="1" spans="1:19">
      <c r="A93" s="32">
        <v>85</v>
      </c>
      <c r="B93" s="37" t="s">
        <v>111</v>
      </c>
      <c r="C93" s="34">
        <f>SUM(C94:C97)</f>
        <v>0</v>
      </c>
      <c r="D93" s="34">
        <f>SUM(D94:D97)</f>
        <v>0</v>
      </c>
      <c r="E93" s="41"/>
      <c r="F93" s="41"/>
      <c r="G93" s="34">
        <f t="shared" ref="G93:K93" si="84">SUM(G94:G97)</f>
        <v>0</v>
      </c>
      <c r="H93" s="34">
        <f t="shared" si="84"/>
        <v>0</v>
      </c>
      <c r="I93" s="34">
        <f t="shared" si="84"/>
        <v>0</v>
      </c>
      <c r="J93" s="34">
        <f t="shared" si="84"/>
        <v>0</v>
      </c>
      <c r="K93" s="34">
        <f t="shared" si="84"/>
        <v>0</v>
      </c>
      <c r="L93" s="34">
        <f t="shared" ref="L93:S93" si="85">SUM(L94:L97)</f>
        <v>0</v>
      </c>
      <c r="M93" s="34">
        <f t="shared" si="85"/>
        <v>0</v>
      </c>
      <c r="N93" s="34">
        <f t="shared" si="85"/>
        <v>0</v>
      </c>
      <c r="O93" s="34">
        <f t="shared" si="85"/>
        <v>0</v>
      </c>
      <c r="P93" s="34">
        <f t="shared" si="85"/>
        <v>0</v>
      </c>
      <c r="Q93" s="34">
        <f t="shared" si="85"/>
        <v>0</v>
      </c>
      <c r="R93" s="34">
        <f t="shared" si="85"/>
        <v>0</v>
      </c>
      <c r="S93" s="34">
        <f t="shared" si="85"/>
        <v>0</v>
      </c>
    </row>
    <row r="94" s="6" customFormat="1" ht="22" customHeight="1" spans="1:19">
      <c r="A94" s="32">
        <v>86</v>
      </c>
      <c r="B94" s="35" t="s">
        <v>112</v>
      </c>
      <c r="C94" s="36"/>
      <c r="D94" s="36"/>
      <c r="E94" s="42" t="e">
        <f t="shared" ref="E94:E97" si="86">C94/D94</f>
        <v>#DIV/0!</v>
      </c>
      <c r="F94" s="43"/>
      <c r="G94" s="34">
        <f t="shared" ref="G94:G97" si="87">F94*D94</f>
        <v>0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4">
        <f t="shared" ref="R94:R97" si="88">SUM(I94,K94,M94,O94,P94:Q94)</f>
        <v>0</v>
      </c>
      <c r="S94" s="43"/>
    </row>
    <row r="95" s="6" customFormat="1" ht="22" customHeight="1" spans="1:19">
      <c r="A95" s="32">
        <v>87</v>
      </c>
      <c r="B95" s="35" t="s">
        <v>113</v>
      </c>
      <c r="C95" s="36"/>
      <c r="D95" s="36"/>
      <c r="E95" s="42" t="e">
        <f t="shared" si="86"/>
        <v>#DIV/0!</v>
      </c>
      <c r="F95" s="43"/>
      <c r="G95" s="34">
        <f t="shared" si="87"/>
        <v>0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4">
        <f t="shared" si="88"/>
        <v>0</v>
      </c>
      <c r="S95" s="43"/>
    </row>
    <row r="96" s="6" customFormat="1" ht="22" customHeight="1" spans="1:19">
      <c r="A96" s="32">
        <v>88</v>
      </c>
      <c r="B96" s="35" t="s">
        <v>59</v>
      </c>
      <c r="C96" s="36"/>
      <c r="D96" s="36"/>
      <c r="E96" s="42" t="e">
        <f t="shared" si="86"/>
        <v>#DIV/0!</v>
      </c>
      <c r="F96" s="43"/>
      <c r="G96" s="34">
        <f t="shared" si="87"/>
        <v>0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4">
        <f t="shared" si="88"/>
        <v>0</v>
      </c>
      <c r="S96" s="43"/>
    </row>
    <row r="97" s="6" customFormat="1" ht="22" customHeight="1" spans="1:19">
      <c r="A97" s="32">
        <v>89</v>
      </c>
      <c r="B97" s="35" t="s">
        <v>114</v>
      </c>
      <c r="C97" s="36"/>
      <c r="D97" s="36"/>
      <c r="E97" s="42" t="e">
        <f t="shared" si="86"/>
        <v>#DIV/0!</v>
      </c>
      <c r="F97" s="43"/>
      <c r="G97" s="34">
        <f t="shared" si="87"/>
        <v>0</v>
      </c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4">
        <f t="shared" si="88"/>
        <v>0</v>
      </c>
      <c r="S97" s="43"/>
    </row>
    <row r="98" ht="25" customHeight="1" spans="1:19">
      <c r="A98" s="32">
        <v>90</v>
      </c>
      <c r="B98" s="35" t="s">
        <v>115</v>
      </c>
      <c r="C98" s="34">
        <f>SUM(C99:C102)</f>
        <v>0</v>
      </c>
      <c r="D98" s="34">
        <f>SUM(D99:D102)</f>
        <v>0</v>
      </c>
      <c r="E98" s="41"/>
      <c r="F98" s="41"/>
      <c r="G98" s="34">
        <f t="shared" ref="G98:K98" si="89">SUM(G99:G102)</f>
        <v>0</v>
      </c>
      <c r="H98" s="34">
        <f t="shared" si="89"/>
        <v>0</v>
      </c>
      <c r="I98" s="34">
        <f t="shared" si="89"/>
        <v>0</v>
      </c>
      <c r="J98" s="34">
        <f t="shared" si="89"/>
        <v>0</v>
      </c>
      <c r="K98" s="34">
        <f t="shared" si="89"/>
        <v>0</v>
      </c>
      <c r="L98" s="34">
        <f t="shared" ref="L98:S98" si="90">SUM(L99:L102)</f>
        <v>0</v>
      </c>
      <c r="M98" s="34">
        <f t="shared" si="90"/>
        <v>0</v>
      </c>
      <c r="N98" s="34">
        <f t="shared" si="90"/>
        <v>0</v>
      </c>
      <c r="O98" s="34">
        <f t="shared" si="90"/>
        <v>0</v>
      </c>
      <c r="P98" s="34">
        <f t="shared" si="90"/>
        <v>0</v>
      </c>
      <c r="Q98" s="34">
        <f t="shared" si="90"/>
        <v>0</v>
      </c>
      <c r="R98" s="34">
        <f t="shared" si="90"/>
        <v>0</v>
      </c>
      <c r="S98" s="34">
        <f t="shared" si="90"/>
        <v>0</v>
      </c>
    </row>
    <row r="99" s="6" customFormat="1" ht="22" customHeight="1" spans="1:19">
      <c r="A99" s="32">
        <v>91</v>
      </c>
      <c r="B99" s="35" t="s">
        <v>116</v>
      </c>
      <c r="C99" s="36"/>
      <c r="D99" s="36"/>
      <c r="E99" s="42" t="e">
        <f t="shared" ref="E99:E102" si="91">C99/D99</f>
        <v>#DIV/0!</v>
      </c>
      <c r="F99" s="43"/>
      <c r="G99" s="34">
        <f t="shared" ref="G99:G102" si="92">F99*D99</f>
        <v>0</v>
      </c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4">
        <f t="shared" ref="R99:R102" si="93">SUM(I99,K99,M99,O99,P99:Q99)</f>
        <v>0</v>
      </c>
      <c r="S99" s="43"/>
    </row>
    <row r="100" s="6" customFormat="1" ht="22" customHeight="1" spans="1:19">
      <c r="A100" s="32">
        <v>92</v>
      </c>
      <c r="B100" s="35" t="s">
        <v>117</v>
      </c>
      <c r="C100" s="36"/>
      <c r="D100" s="36"/>
      <c r="E100" s="42" t="e">
        <f t="shared" si="91"/>
        <v>#DIV/0!</v>
      </c>
      <c r="F100" s="43"/>
      <c r="G100" s="34">
        <f t="shared" si="92"/>
        <v>0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4">
        <f t="shared" si="93"/>
        <v>0</v>
      </c>
      <c r="S100" s="43"/>
    </row>
    <row r="101" s="6" customFormat="1" ht="22" customHeight="1" spans="1:19">
      <c r="A101" s="32">
        <v>93</v>
      </c>
      <c r="B101" s="35" t="s">
        <v>59</v>
      </c>
      <c r="C101" s="36"/>
      <c r="D101" s="36"/>
      <c r="E101" s="42" t="e">
        <f t="shared" si="91"/>
        <v>#DIV/0!</v>
      </c>
      <c r="F101" s="43"/>
      <c r="G101" s="34">
        <f t="shared" si="92"/>
        <v>0</v>
      </c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4">
        <f t="shared" si="93"/>
        <v>0</v>
      </c>
      <c r="S101" s="43"/>
    </row>
    <row r="102" s="6" customFormat="1" ht="22" customHeight="1" spans="1:19">
      <c r="A102" s="32">
        <v>94</v>
      </c>
      <c r="B102" s="35" t="s">
        <v>118</v>
      </c>
      <c r="C102" s="36"/>
      <c r="D102" s="36"/>
      <c r="E102" s="42" t="e">
        <f t="shared" si="91"/>
        <v>#DIV/0!</v>
      </c>
      <c r="F102" s="43"/>
      <c r="G102" s="34">
        <f t="shared" si="92"/>
        <v>0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4">
        <f t="shared" si="93"/>
        <v>0</v>
      </c>
      <c r="S102" s="43"/>
    </row>
    <row r="103" s="6" customFormat="1" ht="22" customHeight="1" spans="1:19">
      <c r="A103" s="32">
        <v>95</v>
      </c>
      <c r="B103" s="33" t="s">
        <v>119</v>
      </c>
      <c r="C103" s="34">
        <f>C9+C56</f>
        <v>0</v>
      </c>
      <c r="D103" s="34">
        <f>D9+D56</f>
        <v>0</v>
      </c>
      <c r="E103" s="41"/>
      <c r="F103" s="41"/>
      <c r="G103" s="34">
        <f t="shared" ref="G103:K103" si="94">G9+G56</f>
        <v>0</v>
      </c>
      <c r="H103" s="34">
        <f t="shared" si="94"/>
        <v>0</v>
      </c>
      <c r="I103" s="34">
        <f t="shared" si="94"/>
        <v>0</v>
      </c>
      <c r="J103" s="34">
        <f t="shared" si="94"/>
        <v>0</v>
      </c>
      <c r="K103" s="34">
        <f t="shared" si="94"/>
        <v>0</v>
      </c>
      <c r="L103" s="34">
        <f t="shared" ref="L103:S103" si="95">L9+L56</f>
        <v>0</v>
      </c>
      <c r="M103" s="34">
        <f t="shared" si="95"/>
        <v>0</v>
      </c>
      <c r="N103" s="34">
        <f t="shared" si="95"/>
        <v>0</v>
      </c>
      <c r="O103" s="34">
        <f t="shared" si="95"/>
        <v>0</v>
      </c>
      <c r="P103" s="34">
        <f t="shared" si="95"/>
        <v>0</v>
      </c>
      <c r="Q103" s="34">
        <f t="shared" si="95"/>
        <v>0</v>
      </c>
      <c r="R103" s="34">
        <f t="shared" si="95"/>
        <v>0</v>
      </c>
      <c r="S103" s="34">
        <f t="shared" si="95"/>
        <v>0</v>
      </c>
    </row>
    <row r="104" s="8" customFormat="1" ht="25" customHeight="1" spans="1:253">
      <c r="A104" s="10"/>
      <c r="B104" s="67"/>
      <c r="C104" s="68"/>
      <c r="D104" s="68"/>
      <c r="E104" s="73"/>
      <c r="F104" s="73"/>
      <c r="G104" s="73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73"/>
      <c r="S104" s="73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  <c r="CD104" s="74"/>
      <c r="CE104" s="74"/>
      <c r="CF104" s="74"/>
      <c r="CG104" s="74"/>
      <c r="CH104" s="74"/>
      <c r="CI104" s="74"/>
      <c r="CJ104" s="74"/>
      <c r="CK104" s="74"/>
      <c r="CL104" s="74"/>
      <c r="CM104" s="74"/>
      <c r="CN104" s="74"/>
      <c r="CO104" s="74"/>
      <c r="CP104" s="74"/>
      <c r="CQ104" s="74"/>
      <c r="CR104" s="74"/>
      <c r="CS104" s="74"/>
      <c r="CT104" s="74"/>
      <c r="CU104" s="74"/>
      <c r="CV104" s="74"/>
      <c r="CW104" s="74"/>
      <c r="CX104" s="74"/>
      <c r="CY104" s="74"/>
      <c r="CZ104" s="74"/>
      <c r="DA104" s="74"/>
      <c r="DB104" s="74"/>
      <c r="DC104" s="74"/>
      <c r="DD104" s="74"/>
      <c r="DE104" s="74"/>
      <c r="DF104" s="74"/>
      <c r="DG104" s="74"/>
      <c r="DH104" s="74"/>
      <c r="DI104" s="74"/>
      <c r="DJ104" s="74"/>
      <c r="DK104" s="74"/>
      <c r="DL104" s="74"/>
      <c r="DM104" s="74"/>
      <c r="DN104" s="74"/>
      <c r="DO104" s="74"/>
      <c r="DP104" s="74"/>
      <c r="DQ104" s="74"/>
      <c r="DR104" s="74"/>
      <c r="DS104" s="74"/>
      <c r="DT104" s="74"/>
      <c r="DU104" s="74"/>
      <c r="DV104" s="74"/>
      <c r="DW104" s="74"/>
      <c r="DX104" s="74"/>
      <c r="DY104" s="74"/>
      <c r="DZ104" s="74"/>
      <c r="EA104" s="74"/>
      <c r="EB104" s="74"/>
      <c r="EC104" s="74"/>
      <c r="ED104" s="74"/>
      <c r="EE104" s="74"/>
      <c r="EF104" s="74"/>
      <c r="EG104" s="74"/>
      <c r="EH104" s="74"/>
      <c r="EI104" s="74"/>
      <c r="EJ104" s="74"/>
      <c r="EK104" s="74"/>
      <c r="EL104" s="74"/>
      <c r="EM104" s="74"/>
      <c r="EN104" s="74"/>
      <c r="EO104" s="74"/>
      <c r="EP104" s="74"/>
      <c r="EQ104" s="74"/>
      <c r="ER104" s="74"/>
      <c r="ES104" s="74"/>
      <c r="ET104" s="74"/>
      <c r="EU104" s="74"/>
      <c r="EV104" s="74"/>
      <c r="EW104" s="74"/>
      <c r="EX104" s="74"/>
      <c r="EY104" s="74"/>
      <c r="EZ104" s="74"/>
      <c r="FA104" s="74"/>
      <c r="FB104" s="74"/>
      <c r="FC104" s="74"/>
      <c r="FD104" s="74"/>
      <c r="FE104" s="74"/>
      <c r="FF104" s="74"/>
      <c r="FG104" s="74"/>
      <c r="FH104" s="74"/>
      <c r="FI104" s="74"/>
      <c r="FJ104" s="74"/>
      <c r="FK104" s="74"/>
      <c r="FL104" s="74"/>
      <c r="FM104" s="74"/>
      <c r="FN104" s="74"/>
      <c r="FO104" s="74"/>
      <c r="FP104" s="74"/>
      <c r="FQ104" s="74"/>
      <c r="FR104" s="74"/>
      <c r="FS104" s="74"/>
      <c r="FT104" s="74"/>
      <c r="FU104" s="74"/>
      <c r="FV104" s="74"/>
      <c r="FW104" s="74"/>
      <c r="FX104" s="74"/>
      <c r="FY104" s="74"/>
      <c r="FZ104" s="74"/>
      <c r="GA104" s="74"/>
      <c r="GB104" s="74"/>
      <c r="GC104" s="74"/>
      <c r="GD104" s="74"/>
      <c r="GE104" s="74"/>
      <c r="GF104" s="74"/>
      <c r="GG104" s="74"/>
      <c r="GH104" s="74"/>
      <c r="GI104" s="74"/>
      <c r="GJ104" s="74"/>
      <c r="GK104" s="74"/>
      <c r="GL104" s="74"/>
      <c r="GM104" s="74"/>
      <c r="GN104" s="74"/>
      <c r="GO104" s="74"/>
      <c r="GP104" s="74"/>
      <c r="GQ104" s="74"/>
      <c r="GR104" s="74"/>
      <c r="GS104" s="74"/>
      <c r="GT104" s="74"/>
      <c r="GU104" s="74"/>
      <c r="GV104" s="74"/>
      <c r="GW104" s="74"/>
      <c r="GX104" s="74"/>
      <c r="GY104" s="74"/>
      <c r="GZ104" s="74"/>
      <c r="HA104" s="74"/>
      <c r="HB104" s="74"/>
      <c r="HC104" s="74"/>
      <c r="HD104" s="74"/>
      <c r="HE104" s="74"/>
      <c r="HF104" s="74"/>
      <c r="HG104" s="74"/>
      <c r="HH104" s="74"/>
      <c r="HI104" s="74"/>
      <c r="HJ104" s="74"/>
      <c r="HK104" s="74"/>
      <c r="HL104" s="74"/>
      <c r="HM104" s="74"/>
      <c r="HN104" s="74"/>
      <c r="HO104" s="74"/>
      <c r="HP104" s="74"/>
      <c r="HQ104" s="74"/>
      <c r="HR104" s="74"/>
      <c r="HS104" s="74"/>
      <c r="HT104" s="74"/>
      <c r="HU104" s="74"/>
      <c r="HV104" s="74"/>
      <c r="HW104" s="74"/>
      <c r="HX104" s="74"/>
      <c r="HY104" s="74"/>
      <c r="HZ104" s="74"/>
      <c r="IA104" s="74"/>
      <c r="IB104" s="74"/>
      <c r="IC104" s="74"/>
      <c r="ID104" s="74"/>
      <c r="IE104" s="74"/>
      <c r="IF104" s="74"/>
      <c r="IG104" s="74"/>
      <c r="IH104" s="74"/>
      <c r="II104" s="74"/>
      <c r="IJ104" s="74"/>
      <c r="IK104" s="74"/>
      <c r="IP104" s="74"/>
      <c r="IQ104" s="74"/>
      <c r="IR104" s="74"/>
      <c r="IS104" s="74"/>
    </row>
    <row r="105" s="9" customFormat="1" ht="20" customHeight="1" spans="1:2">
      <c r="A105" s="69"/>
      <c r="B105" s="70" t="s">
        <v>120</v>
      </c>
    </row>
    <row r="106" s="9" customFormat="1" ht="20" customHeight="1" spans="1:2">
      <c r="A106" s="71"/>
      <c r="B106" s="70" t="s">
        <v>121</v>
      </c>
    </row>
    <row r="107" ht="18.75" customHeight="1" spans="1:2">
      <c r="A107" s="72"/>
      <c r="B107" s="70" t="s">
        <v>122</v>
      </c>
    </row>
  </sheetData>
  <sheetProtection formatColumns="0" formatRows="0"/>
  <protectedRanges>
    <protectedRange sqref="N103:S103 N10:S10 M10 M103 I57 L57:S57 I98 L98:S98 I93 L93:S93 I88 L88:S88 I83 L83:S83 I78 L78:S78 I73 L73:S73 I51 L51:S51 I46 L46:S46 I41 L41:S41 I36 L36:S36 I31 L31:S31 I26 L26:S26 I10 L10 H103:I103 L103 J103:K103 K10 K26 K31 K36 K41 K46 K51 K73 K78 K83 K88 K93 K98 K57" name="区域2"/>
    <protectedRange sqref="C10:D10 D103 G103 G10:H10 C98 C103 C26:D26 G26:H26 C31:D31 G31:H31 C36:D36 G36:H36 C41:D41 G41:H41 C46:D46 G46:H46 C51:D51 G51:H51 C73:D73 G73:H73 C78:D78 G78:H78 C83:D83 G83:H83 C88:D88 G88:H88 C93:D93 G93:H93 C98:D98 G98:H98 C11 C16 C21 C57:D57 G57:H57 C58 C63 C68 J10 J26 J31 J36 J41 J46 J51 J73 J78 J83 J88 J93 J98 J57" name="区域2_1"/>
  </protectedRanges>
  <mergeCells count="27">
    <mergeCell ref="A1:S1"/>
    <mergeCell ref="H4:K4"/>
    <mergeCell ref="H5:I5"/>
    <mergeCell ref="J5:K5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A3:B8"/>
    <mergeCell ref="C4:G5"/>
    <mergeCell ref="L4:M5"/>
    <mergeCell ref="N4:O5"/>
    <mergeCell ref="P4:Q5"/>
    <mergeCell ref="R4:S5"/>
  </mergeCells>
  <conditionalFormatting sqref="C4">
    <cfRule type="cellIs" dxfId="0" priority="4" stopIfTrue="1" operator="equal">
      <formula>"Pass"</formula>
    </cfRule>
    <cfRule type="cellIs" dxfId="1" priority="5" stopIfTrue="1" operator="equal">
      <formula>"please check"</formula>
    </cfRule>
    <cfRule type="cellIs" dxfId="2" priority="6" stopIfTrue="1" operator="equal">
      <formula>"Fail"</formula>
    </cfRule>
  </conditionalFormatting>
  <conditionalFormatting sqref="L4">
    <cfRule type="cellIs" dxfId="0" priority="1" stopIfTrue="1" operator="equal">
      <formula>"Pass"</formula>
    </cfRule>
    <cfRule type="cellIs" dxfId="1" priority="2" stopIfTrue="1" operator="equal">
      <formula>"please check"</formula>
    </cfRule>
    <cfRule type="cellIs" dxfId="2" priority="3" stopIfTrue="1" operator="equal">
      <formula>"Fail"</formula>
    </cfRule>
  </conditionalFormatting>
  <dataValidations count="1">
    <dataValidation type="decimal" operator="between" allowBlank="1" showInputMessage="1" showErrorMessage="1" sqref="C103:D103 G103:I103 J103:K103 L103:S103">
      <formula1>-9999999999</formula1>
      <formula2>9999999999</formula2>
    </dataValidation>
  </dataValidations>
  <printOptions horizontalCentered="1"/>
  <pageMargins left="0.16" right="0.2" top="0.16" bottom="0.39" header="0.2" footer="0.16"/>
  <pageSetup paperSize="8" scale="57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"/>
  <sheetViews>
    <sheetView workbookViewId="0">
      <selection activeCell="E17" sqref="E17"/>
    </sheetView>
  </sheetViews>
  <sheetFormatPr defaultColWidth="9.16666666666667" defaultRowHeight="14.25"/>
  <cols>
    <col min="1" max="1" width="29.8333333333333" customWidth="1"/>
    <col min="2" max="2" width="30.3333333333333" customWidth="1"/>
  </cols>
  <sheetData>
    <row r="1" spans="1:1">
      <c r="A1" s="1" t="s">
        <v>123</v>
      </c>
    </row>
    <row r="2" spans="1:1">
      <c r="A2" s="1" t="s">
        <v>124</v>
      </c>
    </row>
    <row r="3" spans="1:1">
      <c r="A3" s="1" t="s">
        <v>125</v>
      </c>
    </row>
    <row r="4" spans="1:1">
      <c r="A4" s="2" t="s">
        <v>126</v>
      </c>
    </row>
    <row r="5" spans="1:1">
      <c r="A5" s="3" t="s">
        <v>127</v>
      </c>
    </row>
    <row r="6" spans="1:1">
      <c r="A6" s="2" t="s">
        <v>128</v>
      </c>
    </row>
    <row r="7" spans="1:1">
      <c r="A7" s="4" t="s">
        <v>129</v>
      </c>
    </row>
    <row r="8" spans="1:1">
      <c r="A8" s="3" t="s">
        <v>130</v>
      </c>
    </row>
    <row r="9" spans="1:1">
      <c r="A9" s="4" t="s">
        <v>131</v>
      </c>
    </row>
    <row r="11" spans="1:1">
      <c r="A11" t="s">
        <v>132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>
    <arrUserId title="区域2" rangeCreator="" othersAccessPermission="edit"/>
    <arrUserId title="区域2_1" rangeCreator="" othersAccessPermission="edit"/>
  </rangeList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G4B-5(a)（第一档）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杨光</dc:creator>
  <cp:lastModifiedBy>陈静</cp:lastModifiedBy>
  <dcterms:created xsi:type="dcterms:W3CDTF">2013-09-30T17:14:00Z</dcterms:created>
  <dcterms:modified xsi:type="dcterms:W3CDTF">2024-12-12T17:18:05Z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EC822BBABF5342BA94B7ECDC6C282BAC_13</vt:lpwstr>
  </property>
  <property fmtid="{D5CDD505-2E9C-101B-9397-08002B2CF9AE}" pid="4" name="EM_Doc_Temp_ID">
    <vt:lpwstr>a5615dd0</vt:lpwstr>
  </property>
</Properties>
</file>