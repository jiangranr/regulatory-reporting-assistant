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25"/>
  </bookViews>
  <sheets>
    <sheet name="G4B_2（第一档）" sheetId="6" r:id="rId1"/>
    <sheet name="RW&amp;CCF" sheetId="5" state="hidden" r:id="rId2"/>
  </sheets>
  <definedNames>
    <definedName name="_xlnm._FilterDatabase" localSheetId="0" hidden="1">'G4B_2（第一档）'!$A$5:$IT$589</definedName>
  </definedNames>
  <calcPr calcId="144525"/>
</workbook>
</file>

<file path=xl/sharedStrings.xml><?xml version="1.0" encoding="utf-8"?>
<sst xmlns="http://schemas.openxmlformats.org/spreadsheetml/2006/main" count="812" uniqueCount="796">
  <si>
    <r>
      <rPr>
        <b/>
        <sz val="16"/>
        <color theme="1"/>
        <rFont val="Times New Roman"/>
        <charset val="134"/>
      </rPr>
      <t>G4B_</t>
    </r>
    <r>
      <rPr>
        <b/>
        <sz val="16"/>
        <color theme="1"/>
        <rFont val="宋体"/>
        <charset val="134"/>
      </rPr>
      <t>Ⅱ</t>
    </r>
    <r>
      <rPr>
        <b/>
        <sz val="16"/>
        <color theme="1"/>
        <rFont val="Times New Roman"/>
        <charset val="134"/>
      </rPr>
      <t xml:space="preserve"> </t>
    </r>
    <r>
      <rPr>
        <b/>
        <sz val="16"/>
        <color theme="1"/>
        <rFont val="宋体"/>
        <charset val="134"/>
      </rPr>
      <t>表外信用风险加权资产计算表</t>
    </r>
    <r>
      <rPr>
        <b/>
        <sz val="16"/>
        <color theme="1"/>
        <rFont val="Times New Roman"/>
        <charset val="134"/>
      </rPr>
      <t>-</t>
    </r>
    <r>
      <rPr>
        <b/>
        <sz val="16"/>
        <color theme="1"/>
        <rFont val="宋体"/>
        <charset val="134"/>
      </rPr>
      <t>权重法</t>
    </r>
    <r>
      <rPr>
        <b/>
        <sz val="16"/>
        <color theme="1"/>
        <rFont val="Times New Roman"/>
        <charset val="134"/>
      </rPr>
      <t>(</t>
    </r>
    <r>
      <rPr>
        <b/>
        <sz val="16"/>
        <color theme="1"/>
        <rFont val="宋体"/>
        <charset val="134"/>
      </rPr>
      <t>第一档银行</t>
    </r>
    <r>
      <rPr>
        <b/>
        <sz val="16"/>
        <color theme="1"/>
        <rFont val="Times New Roman"/>
        <charset val="134"/>
      </rPr>
      <t>)(</t>
    </r>
    <r>
      <rPr>
        <b/>
        <sz val="16"/>
        <color theme="1"/>
        <rFont val="宋体"/>
        <charset val="134"/>
      </rPr>
      <t>新规</t>
    </r>
    <r>
      <rPr>
        <b/>
        <sz val="16"/>
        <color theme="1"/>
        <rFont val="Times New Roman"/>
        <charset val="134"/>
      </rPr>
      <t>)</t>
    </r>
  </si>
  <si>
    <t xml:space="preserve">填报机构：                              </t>
  </si>
  <si>
    <t xml:space="preserve">              </t>
  </si>
  <si>
    <t xml:space="preserve">报表日期： 年  月  日    </t>
  </si>
  <si>
    <t>单位：万元</t>
  </si>
  <si>
    <t>项　　　　目</t>
  </si>
  <si>
    <t>A</t>
  </si>
  <si>
    <t>B</t>
  </si>
  <si>
    <t>C</t>
  </si>
  <si>
    <t>D</t>
  </si>
  <si>
    <t>E</t>
  </si>
  <si>
    <t>F</t>
  </si>
  <si>
    <t>G</t>
  </si>
  <si>
    <t>转换前资产</t>
  </si>
  <si>
    <t>转换系数</t>
  </si>
  <si>
    <t>转换后资产</t>
  </si>
  <si>
    <t>减值准备</t>
  </si>
  <si>
    <t>转换后风险暴露</t>
  </si>
  <si>
    <t>风险权重</t>
  </si>
  <si>
    <t>风险加权资产</t>
  </si>
  <si>
    <t>1.等同于贷款的授信业务</t>
  </si>
  <si>
    <t xml:space="preserve">  1.1银行承兑汇票</t>
  </si>
  <si>
    <t xml:space="preserve">    1.1.1风险权重为0%</t>
  </si>
  <si>
    <t xml:space="preserve">    1.1.2风险权重为10%</t>
  </si>
  <si>
    <t xml:space="preserve">    1.1.3风险权重为15%</t>
  </si>
  <si>
    <t xml:space="preserve">    1.1.4风险权重为20%</t>
  </si>
  <si>
    <t xml:space="preserve">    1.1.5风险权重为25%</t>
  </si>
  <si>
    <t xml:space="preserve">    1.1.6风险权重为30%</t>
  </si>
  <si>
    <t xml:space="preserve">    1.1.7风险权重为35%</t>
  </si>
  <si>
    <t xml:space="preserve">    1.1.8风险权重为40%</t>
  </si>
  <si>
    <t xml:space="preserve">    1.1.9风险权重为45%</t>
  </si>
  <si>
    <t xml:space="preserve">    1.1.10风险权重为50%</t>
  </si>
  <si>
    <t xml:space="preserve">    1.1.11风险权重为60%</t>
  </si>
  <si>
    <t xml:space="preserve">    1.1.12风险权重为65%</t>
  </si>
  <si>
    <t xml:space="preserve">    1.1.13风险权重为75%</t>
  </si>
  <si>
    <t xml:space="preserve">    1.1.14风险权重为85%</t>
  </si>
  <si>
    <t xml:space="preserve">    1.1.15风险权重为90%</t>
  </si>
  <si>
    <t xml:space="preserve">    1.1.16风险权重为100%</t>
  </si>
  <si>
    <t xml:space="preserve">    1.1.17风险权重为105%</t>
  </si>
  <si>
    <t xml:space="preserve">    1.1.18风险权重为110%</t>
  </si>
  <si>
    <t xml:space="preserve">    1.1.19风险权重为130%</t>
  </si>
  <si>
    <t xml:space="preserve">    1.1.20风险权重为150%</t>
  </si>
  <si>
    <t xml:space="preserve">    1.1.21其他</t>
  </si>
  <si>
    <t xml:space="preserve">  1.2融资性保函</t>
  </si>
  <si>
    <t xml:space="preserve">    1.2.1风险权重为0%</t>
  </si>
  <si>
    <t xml:space="preserve">    1.2.2风险权重为10%</t>
  </si>
  <si>
    <t xml:space="preserve">    1.2.3风险权重为15%</t>
  </si>
  <si>
    <t xml:space="preserve">    1.2.4风险权重为20%</t>
  </si>
  <si>
    <t xml:space="preserve">    1.2.5风险权重为25%</t>
  </si>
  <si>
    <t xml:space="preserve">    1.2.6风险权重为30%</t>
  </si>
  <si>
    <t xml:space="preserve">    1.2.7风险权重为35%</t>
  </si>
  <si>
    <t xml:space="preserve">    1.2.8风险权重为40%</t>
  </si>
  <si>
    <t xml:space="preserve">    1.2.9风险权重为45%</t>
  </si>
  <si>
    <t xml:space="preserve">    1.2.10风险权重为50%</t>
  </si>
  <si>
    <t xml:space="preserve">    1.2.11风险权重为60%</t>
  </si>
  <si>
    <t xml:space="preserve">    1.2.12风险权重为65%</t>
  </si>
  <si>
    <t xml:space="preserve">    1.2.13风险权重为75%</t>
  </si>
  <si>
    <t xml:space="preserve">    1.2.14风险权重为85%</t>
  </si>
  <si>
    <t xml:space="preserve">    1.2.15风险权重为90%</t>
  </si>
  <si>
    <t xml:space="preserve">    1.2.16风险权重为100%</t>
  </si>
  <si>
    <t xml:space="preserve">    1.2.17风险权重为105%</t>
  </si>
  <si>
    <t xml:space="preserve">    1.2.18风险权重为110%</t>
  </si>
  <si>
    <t xml:space="preserve">    1.2.19风险权重为130%</t>
  </si>
  <si>
    <t xml:space="preserve">    1.2.20风险权重为150%</t>
  </si>
  <si>
    <t xml:space="preserve">    1.2.21其他</t>
  </si>
  <si>
    <t xml:space="preserve">  1.3其他等同于贷款的授信业务</t>
  </si>
  <si>
    <t xml:space="preserve">    1.3.1风险权重为0%</t>
  </si>
  <si>
    <t xml:space="preserve">    1.3.2风险权重为10%</t>
  </si>
  <si>
    <t xml:space="preserve">    1.3.3风险权重为15%</t>
  </si>
  <si>
    <t xml:space="preserve">    1.3.4风险权重为20%</t>
  </si>
  <si>
    <t xml:space="preserve">    1.3.5风险权重为25%</t>
  </si>
  <si>
    <t xml:space="preserve">    1.3.6风险权重为30%</t>
  </si>
  <si>
    <t xml:space="preserve">    1.3.7风险权重为35%</t>
  </si>
  <si>
    <t xml:space="preserve">    1.3.8风险权重为40%</t>
  </si>
  <si>
    <t xml:space="preserve">    1.3.9风险权重为45%</t>
  </si>
  <si>
    <t xml:space="preserve">    1.3.10风险权重为50%</t>
  </si>
  <si>
    <t xml:space="preserve">    1.3.11风险权重为60%</t>
  </si>
  <si>
    <t xml:space="preserve">    1.3.12风险权重为65%</t>
  </si>
  <si>
    <t xml:space="preserve">    1.3.13风险权重为75%</t>
  </si>
  <si>
    <t xml:space="preserve">    1.3.14风险权重为85%</t>
  </si>
  <si>
    <t xml:space="preserve">    1.3.15风险权重为90%</t>
  </si>
  <si>
    <t xml:space="preserve">    1.3.16风险权重为100%</t>
  </si>
  <si>
    <t xml:space="preserve">    1.3.17风险权重为105%</t>
  </si>
  <si>
    <t xml:space="preserve">    1.3.18风险权重为110%</t>
  </si>
  <si>
    <t xml:space="preserve">    1.3.19风险权重为130%</t>
  </si>
  <si>
    <t xml:space="preserve">    1.3.20风险权重为150%</t>
  </si>
  <si>
    <t xml:space="preserve">    1.3.21其他</t>
  </si>
  <si>
    <t>2.与交易相关的或有项目</t>
  </si>
  <si>
    <t xml:space="preserve">  2.1非融资性保函</t>
  </si>
  <si>
    <t xml:space="preserve">    2.1.1风险权重为0%</t>
  </si>
  <si>
    <t xml:space="preserve">    2.1.2风险权重为10%</t>
  </si>
  <si>
    <t xml:space="preserve">    2.1.3风险权重为15%</t>
  </si>
  <si>
    <t xml:space="preserve">    2.1.4风险权重为20%</t>
  </si>
  <si>
    <t xml:space="preserve">    2.1.5风险权重为25%</t>
  </si>
  <si>
    <t xml:space="preserve">    2.1.6风险权重为30%</t>
  </si>
  <si>
    <t xml:space="preserve">    2.1.7风险权重为35%</t>
  </si>
  <si>
    <t xml:space="preserve">    2.1.8风险权重为40%</t>
  </si>
  <si>
    <t xml:space="preserve">    2.1.9风险权重为45%</t>
  </si>
  <si>
    <t xml:space="preserve">    2.1.10风险权重为50%</t>
  </si>
  <si>
    <t xml:space="preserve">    2.1.11风险权重为60%</t>
  </si>
  <si>
    <t xml:space="preserve">    2.1.12风险权重为65%</t>
  </si>
  <si>
    <t xml:space="preserve">    2.1.13风险权重为75%</t>
  </si>
  <si>
    <t xml:space="preserve">    2.1.14风险权重为85%</t>
  </si>
  <si>
    <t xml:space="preserve">    2.1.15风险权重为90%</t>
  </si>
  <si>
    <t xml:space="preserve">    2.1.16风险权重为100%</t>
  </si>
  <si>
    <t xml:space="preserve">    2.1.17风险权重为105%</t>
  </si>
  <si>
    <t xml:space="preserve">    2.1.18风险权重为110%</t>
  </si>
  <si>
    <t xml:space="preserve">    2.1.19风险权重为130%</t>
  </si>
  <si>
    <t xml:space="preserve">    2.1.20风险权重为150%</t>
  </si>
  <si>
    <t xml:space="preserve">    2.1.21其他</t>
  </si>
  <si>
    <t xml:space="preserve">  2.2其他与交易相关的或有项目</t>
  </si>
  <si>
    <t xml:space="preserve">    2.2.1风险权重为0%</t>
  </si>
  <si>
    <t xml:space="preserve">    2.2.2风险权重为10%</t>
  </si>
  <si>
    <t xml:space="preserve">    2.2.3风险权重为15%</t>
  </si>
  <si>
    <t xml:space="preserve">    2.2.4风险权重为20%</t>
  </si>
  <si>
    <t xml:space="preserve">    2.2.5风险权重为25%</t>
  </si>
  <si>
    <t xml:space="preserve">    2.2.6风险权重为30%</t>
  </si>
  <si>
    <t xml:space="preserve">    2.2.7风险权重为35%</t>
  </si>
  <si>
    <t xml:space="preserve">    2.2.8风险权重为40%</t>
  </si>
  <si>
    <t xml:space="preserve">    2.2.9风险权重为45%</t>
  </si>
  <si>
    <t xml:space="preserve">    2.2.10风险权重为50%</t>
  </si>
  <si>
    <t xml:space="preserve">    2.2.11风险权重为60%</t>
  </si>
  <si>
    <t xml:space="preserve">    2.2.12风险权重为65%</t>
  </si>
  <si>
    <t xml:space="preserve">    2.2.13风险权重为75%</t>
  </si>
  <si>
    <t xml:space="preserve">    2.2.14风险权重为85%</t>
  </si>
  <si>
    <t xml:space="preserve">    2.2.15风险权重为90%</t>
  </si>
  <si>
    <t xml:space="preserve">    2.2.16风险权重为100%</t>
  </si>
  <si>
    <t xml:space="preserve">    2.2.17风险权重为105%</t>
  </si>
  <si>
    <t xml:space="preserve">    2.2.18风险权重为110%</t>
  </si>
  <si>
    <t xml:space="preserve">    2.2.19风险权重为130%</t>
  </si>
  <si>
    <t xml:space="preserve">    2.2.20风险权重为150%</t>
  </si>
  <si>
    <t xml:space="preserve">    2.2.21其他</t>
  </si>
  <si>
    <t>3.与贸易相关的短期或有项目</t>
  </si>
  <si>
    <t xml:space="preserve">  3.1一年以内的跟单国内信用证</t>
  </si>
  <si>
    <t xml:space="preserve">  3.1.1一年以内的跟单国内货物贸易信用证</t>
  </si>
  <si>
    <t xml:space="preserve">    3.1.1.1风险权重为0%</t>
  </si>
  <si>
    <t xml:space="preserve">    3.1.1.2风险权重为10%</t>
  </si>
  <si>
    <t xml:space="preserve">    3.1.1.3风险权重为15%</t>
  </si>
  <si>
    <t xml:space="preserve">    3.1.1.4风险权重为20%</t>
  </si>
  <si>
    <t xml:space="preserve">    3.1.1.5风险权重为25%</t>
  </si>
  <si>
    <t xml:space="preserve">    3.1.1.6风险权重为30%</t>
  </si>
  <si>
    <t xml:space="preserve">    3.1.1.7风险权重为35%</t>
  </si>
  <si>
    <t xml:space="preserve">    3.1.1.8风险权重为40%</t>
  </si>
  <si>
    <t xml:space="preserve">    3.1.1.9风险权重为45%</t>
  </si>
  <si>
    <t xml:space="preserve">    3.1.1.10风险权重为50%</t>
  </si>
  <si>
    <t xml:space="preserve">    3.1.1.11风险权重为60%</t>
  </si>
  <si>
    <t xml:space="preserve">    3.1.1.12风险权重为65%</t>
  </si>
  <si>
    <t xml:space="preserve">    3.1.1.13风险权重为75%</t>
  </si>
  <si>
    <t xml:space="preserve">    3.1.1.14风险权重为85%</t>
  </si>
  <si>
    <t xml:space="preserve">    3.1.1.15风险权重为90%</t>
  </si>
  <si>
    <t xml:space="preserve">    3.1.1.16风险权重为100%</t>
  </si>
  <si>
    <t xml:space="preserve">    3.1.1.17风险权重为105%</t>
  </si>
  <si>
    <t xml:space="preserve">    3.1.1.18风险权重为110%</t>
  </si>
  <si>
    <t xml:space="preserve">    3.1.1.19风险权重为130%</t>
  </si>
  <si>
    <t xml:space="preserve">    3.1.1.20风险权重为150%</t>
  </si>
  <si>
    <t xml:space="preserve">    3.1.1.21其他</t>
  </si>
  <si>
    <t xml:space="preserve">  3.1.2一年以内的跟单国内服务贸易信用证</t>
  </si>
  <si>
    <t xml:space="preserve">    3.1.2.1风险权重为0%</t>
  </si>
  <si>
    <t xml:space="preserve">    3.1.2.2风险权重为10%</t>
  </si>
  <si>
    <t xml:space="preserve">    3.1.2.3风险权重为15%</t>
  </si>
  <si>
    <t xml:space="preserve">    3.1.2.4风险权重为20%</t>
  </si>
  <si>
    <t xml:space="preserve">    3.1.2.5风险权重为25%</t>
  </si>
  <si>
    <t xml:space="preserve">    3.1.2.6风险权重为30%</t>
  </si>
  <si>
    <t xml:space="preserve">    3.1.2.7风险权重为35%</t>
  </si>
  <si>
    <t xml:space="preserve">    3.1.2.8风险权重为40%</t>
  </si>
  <si>
    <t xml:space="preserve">    3.1.2.9风险权重为45%</t>
  </si>
  <si>
    <t xml:space="preserve">    3.1.2.10风险权重为50%</t>
  </si>
  <si>
    <t xml:space="preserve">    3.1.2.11风险权重为60%</t>
  </si>
  <si>
    <t xml:space="preserve">    3.1.2.12风险权重为65%</t>
  </si>
  <si>
    <t xml:space="preserve">    3.1.2.13风险权重为75%</t>
  </si>
  <si>
    <t xml:space="preserve">    3.1.2.14风险权重为85%</t>
  </si>
  <si>
    <t xml:space="preserve">    3.1.2.15风险权重为90%</t>
  </si>
  <si>
    <t xml:space="preserve">    3.1.2.16风险权重为100%</t>
  </si>
  <si>
    <t xml:space="preserve">    3.1.2.17风险权重为105%</t>
  </si>
  <si>
    <t xml:space="preserve">    3.1.2.18风险权重为110%</t>
  </si>
  <si>
    <t xml:space="preserve">    3.1.2.19风险权重为130%</t>
  </si>
  <si>
    <t xml:space="preserve">    3.1.2.20风险权重为150%</t>
  </si>
  <si>
    <t xml:space="preserve">    3.1.2.21其他</t>
  </si>
  <si>
    <t xml:space="preserve">  3.2一年以内的跟单国际信用证</t>
  </si>
  <si>
    <t xml:space="preserve">    3.2.1风险权重为0%</t>
  </si>
  <si>
    <t xml:space="preserve">    3.2.2风险权重为10%</t>
  </si>
  <si>
    <t xml:space="preserve">    3.2.3风险权重为15%</t>
  </si>
  <si>
    <t xml:space="preserve">    3.2.4风险权重为20%</t>
  </si>
  <si>
    <t xml:space="preserve">    3.2.5风险权重为25%</t>
  </si>
  <si>
    <t xml:space="preserve">    3.2.6风险权重为30%</t>
  </si>
  <si>
    <t xml:space="preserve">    3.2.7风险权重为35%</t>
  </si>
  <si>
    <t xml:space="preserve">    3.2.8风险权重为40%</t>
  </si>
  <si>
    <t xml:space="preserve">    3.2.9风险权重为45%</t>
  </si>
  <si>
    <t xml:space="preserve">    3.2.10风险权重为50%</t>
  </si>
  <si>
    <t xml:space="preserve">    3.2.11风险权重为60%</t>
  </si>
  <si>
    <t xml:space="preserve">    3.2.12风险权重为65%</t>
  </si>
  <si>
    <t xml:space="preserve">    3.2.13风险权重为75%</t>
  </si>
  <si>
    <t xml:space="preserve">    3.2.14风险权重为85%</t>
  </si>
  <si>
    <t xml:space="preserve">    3.2.15风险权重为90%</t>
  </si>
  <si>
    <t xml:space="preserve">    3.2.16风险权重为100%</t>
  </si>
  <si>
    <t xml:space="preserve">    3.2.17风险权重为105%</t>
  </si>
  <si>
    <t xml:space="preserve">    3.2.18风险权重为110%</t>
  </si>
  <si>
    <t xml:space="preserve">    3.2.19风险权重为130%</t>
  </si>
  <si>
    <t xml:space="preserve">    3.2.20风险权重为150%</t>
  </si>
  <si>
    <t xml:space="preserve">    3.2.21其他</t>
  </si>
  <si>
    <t xml:space="preserve">  3.3其他与贸易相关的短期或有项目</t>
  </si>
  <si>
    <t xml:space="preserve">    3.3.1风险权重为0%</t>
  </si>
  <si>
    <t xml:space="preserve">    3.3.2风险权重为10%</t>
  </si>
  <si>
    <t xml:space="preserve">    3.3.3风险权重为15%</t>
  </si>
  <si>
    <t xml:space="preserve">    3.3.4风险权重为20%</t>
  </si>
  <si>
    <t xml:space="preserve">    3.3.5风险权重为25%</t>
  </si>
  <si>
    <t xml:space="preserve">    3.3.6风险权重为30%</t>
  </si>
  <si>
    <t xml:space="preserve">    3.3.7风险权重为35%</t>
  </si>
  <si>
    <t xml:space="preserve">    3.3.8风险权重为40%</t>
  </si>
  <si>
    <t xml:space="preserve">    3.3.9风险权重为45%</t>
  </si>
  <si>
    <t xml:space="preserve">    3.3.10风险权重为50%</t>
  </si>
  <si>
    <t xml:space="preserve">    3.3.11风险权重为60%</t>
  </si>
  <si>
    <t xml:space="preserve">    3.3.12风险权重为65%</t>
  </si>
  <si>
    <t xml:space="preserve">    3.3.13风险权重为75%</t>
  </si>
  <si>
    <t xml:space="preserve">    3.3.14风险权重为85%</t>
  </si>
  <si>
    <t xml:space="preserve">    3.3.15风险权重为90%</t>
  </si>
  <si>
    <t xml:space="preserve">    3.3.16风险权重为100%</t>
  </si>
  <si>
    <t xml:space="preserve">    3.3.17风险权重为105%</t>
  </si>
  <si>
    <t xml:space="preserve">    3.3.18风险权重为110%</t>
  </si>
  <si>
    <t xml:space="preserve">    3.3.19风险权重为130%</t>
  </si>
  <si>
    <t xml:space="preserve">    3.3.20风险权重为150%</t>
  </si>
  <si>
    <t xml:space="preserve">    3.3.21其他</t>
  </si>
  <si>
    <t>4.承诺</t>
  </si>
  <si>
    <t xml:space="preserve">  4.1可免于计量表外风险加权资产的可随时无条件撤销的贷款承诺</t>
  </si>
  <si>
    <t xml:space="preserve">  4.2可随时无条件撤销的贷款承诺</t>
  </si>
  <si>
    <t xml:space="preserve">    4.2.1风险权重为0%</t>
  </si>
  <si>
    <t xml:space="preserve">    4.2.2风险权重为10%</t>
  </si>
  <si>
    <t xml:space="preserve">    4.2.3风险权重为15%</t>
  </si>
  <si>
    <t xml:space="preserve">    4.2.4风险权重为20%</t>
  </si>
  <si>
    <t xml:space="preserve">    4.2.5风险权重为25%</t>
  </si>
  <si>
    <t xml:space="preserve">    4.2.6风险权重为30%</t>
  </si>
  <si>
    <t xml:space="preserve">    4.2.7风险权重为35%</t>
  </si>
  <si>
    <t xml:space="preserve">    4.2.8风险权重为40%</t>
  </si>
  <si>
    <t xml:space="preserve">    4.2.9风险权重为45%</t>
  </si>
  <si>
    <t xml:space="preserve">    4.2.10风险权重为50%</t>
  </si>
  <si>
    <t xml:space="preserve">    4.2.11风险权重为60%</t>
  </si>
  <si>
    <t xml:space="preserve">    4.2.12风险权重为65%</t>
  </si>
  <si>
    <t xml:space="preserve">    4.2.13风险权重为75%</t>
  </si>
  <si>
    <t xml:space="preserve">    4.2.14风险权重为85%</t>
  </si>
  <si>
    <t xml:space="preserve">    4.2.15风险权重为90%</t>
  </si>
  <si>
    <t xml:space="preserve">    4.2.16风险权重为100%</t>
  </si>
  <si>
    <t xml:space="preserve">    4.2.17风险权重为105%</t>
  </si>
  <si>
    <t xml:space="preserve">    4.2.18风险权重为110%</t>
  </si>
  <si>
    <t xml:space="preserve">    4.2.19风险权重为130%</t>
  </si>
  <si>
    <t xml:space="preserve">    4.2.20风险权重为150%</t>
  </si>
  <si>
    <t xml:space="preserve">    4.2.21其他</t>
  </si>
  <si>
    <t xml:space="preserve">  4.3其他贷款承诺</t>
  </si>
  <si>
    <t xml:space="preserve">    4.3.1风险权重为0%</t>
  </si>
  <si>
    <t xml:space="preserve">    4.3.2风险权重为10%</t>
  </si>
  <si>
    <t xml:space="preserve">    4.3.3风险权重为15%</t>
  </si>
  <si>
    <t xml:space="preserve">    4.3.4风险权重为20%</t>
  </si>
  <si>
    <t xml:space="preserve">    4.3.5风险权重为25%</t>
  </si>
  <si>
    <t xml:space="preserve">    4.3.6风险权重为30%</t>
  </si>
  <si>
    <t xml:space="preserve">    4.3.7风险权重为35%</t>
  </si>
  <si>
    <t xml:space="preserve">    4.3.8风险权重为40%</t>
  </si>
  <si>
    <t xml:space="preserve">    4.3.9风险权重为45%</t>
  </si>
  <si>
    <t xml:space="preserve">    4.3.10风险权重为50%</t>
  </si>
  <si>
    <t xml:space="preserve">    4.3.11风险权重为60%</t>
  </si>
  <si>
    <t xml:space="preserve">    4.3.12风险权重为65%</t>
  </si>
  <si>
    <t xml:space="preserve">    4.3.13风险权重为75%</t>
  </si>
  <si>
    <t xml:space="preserve">    4.3.14风险权重为85%</t>
  </si>
  <si>
    <t xml:space="preserve">    4.3.15风险权重为90%</t>
  </si>
  <si>
    <t xml:space="preserve">    4.3.16风险权重为100%</t>
  </si>
  <si>
    <t xml:space="preserve">    4.3.17风险权重为105%</t>
  </si>
  <si>
    <t xml:space="preserve">    4.3.18风险权重为110%</t>
  </si>
  <si>
    <t xml:space="preserve">    4.3.19风险权重为130%</t>
  </si>
  <si>
    <t xml:space="preserve">    4.3.20风险权重为150%</t>
  </si>
  <si>
    <t xml:space="preserve">    4.3.21其他</t>
  </si>
  <si>
    <t xml:space="preserve">  4.4未使用的信用卡授信额度</t>
  </si>
  <si>
    <t xml:space="preserve">    4.4.1符合标准的未使用额度</t>
  </si>
  <si>
    <t xml:space="preserve">      4.4.1.1风险权重为0%</t>
  </si>
  <si>
    <t xml:space="preserve">      4.4.1.2风险权重为10%</t>
  </si>
  <si>
    <t xml:space="preserve">      4.4.1.3风险权重为15%</t>
  </si>
  <si>
    <t xml:space="preserve">      4.4.1.4风险权重为20%</t>
  </si>
  <si>
    <t xml:space="preserve">      4.4.1.5风险权重为25%</t>
  </si>
  <si>
    <t xml:space="preserve">      4.4.1.6风险权重为30%</t>
  </si>
  <si>
    <t xml:space="preserve">      4.4.1.7风险权重为35%</t>
  </si>
  <si>
    <t xml:space="preserve">      4.4.1.8风险权重为40%</t>
  </si>
  <si>
    <t xml:space="preserve">      4.4.1.9风险权重为45%</t>
  </si>
  <si>
    <t xml:space="preserve">      4.4.1.10风险权重为50%</t>
  </si>
  <si>
    <t xml:space="preserve">      4.4.1.11风险权重为60%</t>
  </si>
  <si>
    <t xml:space="preserve">      4.4.1.12风险权重为65%</t>
  </si>
  <si>
    <t xml:space="preserve">      4.4.1.13风险权重为75%</t>
  </si>
  <si>
    <t xml:space="preserve">      4.4.1.14风险权重为85%</t>
  </si>
  <si>
    <t xml:space="preserve">      4.4.1.15风险权重为90%</t>
  </si>
  <si>
    <t xml:space="preserve">      4.4.1.16风险权重为100%</t>
  </si>
  <si>
    <t xml:space="preserve">      4.4.1.17风险权重为105%</t>
  </si>
  <si>
    <t xml:space="preserve">      4.4.1.18风险权重为110%</t>
  </si>
  <si>
    <t xml:space="preserve">      4.4.1.19风险权重为130%</t>
  </si>
  <si>
    <t xml:space="preserve">      4.4.1.20风险权重为150%</t>
  </si>
  <si>
    <t xml:space="preserve">      4.4.1.21其他</t>
  </si>
  <si>
    <t xml:space="preserve">    4.4.2一般未使用额度</t>
  </si>
  <si>
    <t xml:space="preserve">      4.4.2.1风险权重为0%</t>
  </si>
  <si>
    <t xml:space="preserve">      4.4.2.2风险权重为10%</t>
  </si>
  <si>
    <t xml:space="preserve">      4.4.2.3风险权重为15%</t>
  </si>
  <si>
    <t xml:space="preserve">      4.4.2.4风险权重为20%</t>
  </si>
  <si>
    <t xml:space="preserve">      4.4.2.5风险权重为25%</t>
  </si>
  <si>
    <t xml:space="preserve">      4.4.2.6风险权重为30%</t>
  </si>
  <si>
    <t xml:space="preserve">      4.4.2.7风险权重为35%</t>
  </si>
  <si>
    <t xml:space="preserve">      4.4.2.8风险权重为40%</t>
  </si>
  <si>
    <t xml:space="preserve">      4.4.2.9风险权重为45%</t>
  </si>
  <si>
    <t xml:space="preserve">      4.4.2.10风险权重为50%</t>
  </si>
  <si>
    <t xml:space="preserve">      4.4.2.11风险权重为60%</t>
  </si>
  <si>
    <t xml:space="preserve">      4.4.2.12风险权重为65%</t>
  </si>
  <si>
    <t xml:space="preserve">      4.4.2.13风险权重为75%</t>
  </si>
  <si>
    <t xml:space="preserve">      4.4.2.14风险权重为85%</t>
  </si>
  <si>
    <t xml:space="preserve">      4.4.2.15风险权重为90%</t>
  </si>
  <si>
    <t xml:space="preserve">      4.4.2.16风险权重为100%</t>
  </si>
  <si>
    <t xml:space="preserve">      4.4.2.17风险权重为105%</t>
  </si>
  <si>
    <t xml:space="preserve">      4.4.2.18风险权重为110%</t>
  </si>
  <si>
    <t xml:space="preserve">      4.4.2.19风险权重为130%</t>
  </si>
  <si>
    <t xml:space="preserve">      4.4.2.20风险权重为150%</t>
  </si>
  <si>
    <t xml:space="preserve">      4.4.2.21其他</t>
  </si>
  <si>
    <t xml:space="preserve">  4.5票据发行便利</t>
  </si>
  <si>
    <t xml:space="preserve">    4.5.1风险权重为0%</t>
  </si>
  <si>
    <t xml:space="preserve">    4.5.2风险权重为10%</t>
  </si>
  <si>
    <t xml:space="preserve">    4.5.3风险权重为15%</t>
  </si>
  <si>
    <t xml:space="preserve">    4.5.4风险权重为20%</t>
  </si>
  <si>
    <t xml:space="preserve">    4.5.5风险权重为25%</t>
  </si>
  <si>
    <t xml:space="preserve">    4.5.6风险权重为30%</t>
  </si>
  <si>
    <t xml:space="preserve">    4.5.7风险权重为35%</t>
  </si>
  <si>
    <t xml:space="preserve">    4.5.8风险权重为40%</t>
  </si>
  <si>
    <t xml:space="preserve">    4.5.9风险权重为45%</t>
  </si>
  <si>
    <t xml:space="preserve">    4.5.10风险权重为50%</t>
  </si>
  <si>
    <t xml:space="preserve">    4.5.11风险权重为60%</t>
  </si>
  <si>
    <t xml:space="preserve">    4.5.12风险权重为65%</t>
  </si>
  <si>
    <t xml:space="preserve">    4.5.13风险权重为75%</t>
  </si>
  <si>
    <t xml:space="preserve">    4.5.14风险权重为85%</t>
  </si>
  <si>
    <t xml:space="preserve">    4.5.15风险权重为90%</t>
  </si>
  <si>
    <t xml:space="preserve">    4.5.16风险权重为100%</t>
  </si>
  <si>
    <t xml:space="preserve">    4.5.17风险权重为105%</t>
  </si>
  <si>
    <t xml:space="preserve">    4.5.18风险权重为110%</t>
  </si>
  <si>
    <t xml:space="preserve">    4.5.19风险权重为130%</t>
  </si>
  <si>
    <t xml:space="preserve">    4.5.20风险权重为150%</t>
  </si>
  <si>
    <t xml:space="preserve">    4.5.21其他</t>
  </si>
  <si>
    <t xml:space="preserve">  4.6循环认购便利</t>
  </si>
  <si>
    <t xml:space="preserve">    4.6.1风险权重为0%</t>
  </si>
  <si>
    <t xml:space="preserve">    4.6.2风险权重为10%</t>
  </si>
  <si>
    <t xml:space="preserve">    4.6.3风险权重为15%</t>
  </si>
  <si>
    <t xml:space="preserve">    4.6.4风险权重为20%</t>
  </si>
  <si>
    <t xml:space="preserve">    4.6.5风险权重为25%</t>
  </si>
  <si>
    <t xml:space="preserve">    4.6.6风险权重为30%</t>
  </si>
  <si>
    <t xml:space="preserve">    4.6.7风险权重为35%</t>
  </si>
  <si>
    <t xml:space="preserve">    4.6.8风险权重为40%</t>
  </si>
  <si>
    <t xml:space="preserve">    4.6.9风险权重为45%</t>
  </si>
  <si>
    <t xml:space="preserve">    4.6.10风险权重为50%</t>
  </si>
  <si>
    <t xml:space="preserve">    4.6.11风险权重为60%</t>
  </si>
  <si>
    <t xml:space="preserve">    4.6.12风险权重为65%</t>
  </si>
  <si>
    <t xml:space="preserve">    4.6.13风险权重为75%</t>
  </si>
  <si>
    <t xml:space="preserve">    4.6.14风险权重为85%</t>
  </si>
  <si>
    <t xml:space="preserve">    4.6.15风险权重为90%</t>
  </si>
  <si>
    <t xml:space="preserve">    4.6.16风险权重为100%</t>
  </si>
  <si>
    <t xml:space="preserve">    4.6.17风险权重为105%</t>
  </si>
  <si>
    <t xml:space="preserve">    4.6.18风险权重为110%</t>
  </si>
  <si>
    <t xml:space="preserve">    4.6.19风险权重为130%</t>
  </si>
  <si>
    <t xml:space="preserve">    4.6.20风险权重为150%</t>
  </si>
  <si>
    <t xml:space="preserve">    4.6.21其他</t>
  </si>
  <si>
    <t xml:space="preserve">  4.7其他承诺</t>
  </si>
  <si>
    <t xml:space="preserve">    4.7.1风险权重为0%</t>
  </si>
  <si>
    <t xml:space="preserve">    4.7.2风险权重为10%</t>
  </si>
  <si>
    <t xml:space="preserve">    4.7.3风险权重为15%</t>
  </si>
  <si>
    <t xml:space="preserve">    4.7.4风险权重为20%</t>
  </si>
  <si>
    <t xml:space="preserve">    4.7.5风险权重为25%</t>
  </si>
  <si>
    <t xml:space="preserve">    4.7.6风险权重为30%</t>
  </si>
  <si>
    <t xml:space="preserve">    4.7.7风险权重为35%</t>
  </si>
  <si>
    <t xml:space="preserve">    4.7.8风险权重为40%</t>
  </si>
  <si>
    <t xml:space="preserve">    4.7.9风险权重为45%</t>
  </si>
  <si>
    <t xml:space="preserve">    4.7.10风险权重为50%</t>
  </si>
  <si>
    <t xml:space="preserve">    4.7.11风险权重为60%</t>
  </si>
  <si>
    <t xml:space="preserve">    4.7.12风险权重为65%</t>
  </si>
  <si>
    <t xml:space="preserve">    4.7.13风险权重为75%</t>
  </si>
  <si>
    <t xml:space="preserve">    4.7.14风险权重为85%</t>
  </si>
  <si>
    <t xml:space="preserve">    4.7.15风险权重为90%</t>
  </si>
  <si>
    <t xml:space="preserve">    4.7.16风险权重为100%</t>
  </si>
  <si>
    <t xml:space="preserve">    4.7.17风险权重为105%</t>
  </si>
  <si>
    <t xml:space="preserve">    4.7.18风险权重为110%</t>
  </si>
  <si>
    <t xml:space="preserve">    4.7.19风险权重为130%</t>
  </si>
  <si>
    <t xml:space="preserve">    4.7.20风险权重为150%</t>
  </si>
  <si>
    <t xml:space="preserve">    4.7.21其他</t>
  </si>
  <si>
    <t>5.信用风险仍在银行的资产销售与购买协议</t>
  </si>
  <si>
    <t xml:space="preserve">  5.1资产回购协议</t>
  </si>
  <si>
    <t xml:space="preserve">    5.1.1风险权重为0%</t>
  </si>
  <si>
    <t xml:space="preserve">    5.1.2风险权重为10%</t>
  </si>
  <si>
    <t xml:space="preserve">    5.1.3风险权重为15%</t>
  </si>
  <si>
    <t xml:space="preserve">    5.1.4风险权重为20%</t>
  </si>
  <si>
    <t xml:space="preserve">    5.1.5风险权重为25%</t>
  </si>
  <si>
    <t xml:space="preserve">    5.1.6风险权重为30%</t>
  </si>
  <si>
    <t xml:space="preserve">    5.1.7风险权重为35%</t>
  </si>
  <si>
    <t xml:space="preserve">    5.1.8风险权重为40%</t>
  </si>
  <si>
    <t xml:space="preserve">    5.1.9风险权重为45%</t>
  </si>
  <si>
    <t xml:space="preserve">    5.1.10风险权重为50%</t>
  </si>
  <si>
    <t xml:space="preserve">    5.1.11风险权重为60%</t>
  </si>
  <si>
    <t xml:space="preserve">    5.1.12风险权重为65%</t>
  </si>
  <si>
    <t xml:space="preserve">    5.1.13风险权重为75%</t>
  </si>
  <si>
    <t xml:space="preserve">    5.1.14风险权重为85%</t>
  </si>
  <si>
    <t xml:space="preserve">    5.1.15风险权重为90%</t>
  </si>
  <si>
    <t xml:space="preserve">    5.1.16风险权重为100%</t>
  </si>
  <si>
    <t xml:space="preserve">    5.1.17风险权重为105%</t>
  </si>
  <si>
    <t xml:space="preserve">    5.1.18风险权重为110%</t>
  </si>
  <si>
    <t xml:space="preserve">    5.1.19风险权重为130%</t>
  </si>
  <si>
    <t xml:space="preserve">    5.1.20风险权重为150%</t>
  </si>
  <si>
    <t xml:space="preserve">    5.1.21风险权重为250%</t>
  </si>
  <si>
    <t xml:space="preserve">    5.1.22风险权重为400%</t>
  </si>
  <si>
    <t xml:space="preserve">    5.1.23风险权重为1250%</t>
  </si>
  <si>
    <t xml:space="preserve">    5.1.24其他</t>
  </si>
  <si>
    <t xml:space="preserve">  5.2有追索权的资产销售</t>
  </si>
  <si>
    <t xml:space="preserve">    5.2.1主协议下银票转贴现</t>
  </si>
  <si>
    <t xml:space="preserve">      5.2.1.1风险权重为0%</t>
  </si>
  <si>
    <t xml:space="preserve">      5.2.1.2风险权重为10%</t>
  </si>
  <si>
    <t xml:space="preserve">      5.2.1.3风险权重为15%</t>
  </si>
  <si>
    <t xml:space="preserve">      5.2.1.4风险权重为20%</t>
  </si>
  <si>
    <t xml:space="preserve">      5.2.1.5风险权重为25%</t>
  </si>
  <si>
    <t xml:space="preserve">      5.2.1.6风险权重为30%</t>
  </si>
  <si>
    <t xml:space="preserve">      5.2.1.7风险权重为35%</t>
  </si>
  <si>
    <t xml:space="preserve">      5.2.1.8风险权重为40%</t>
  </si>
  <si>
    <t xml:space="preserve">      5.2.1.9风险权重为45%</t>
  </si>
  <si>
    <t xml:space="preserve">      5.2.1.10风险权重为50%</t>
  </si>
  <si>
    <t xml:space="preserve">      5.2.1.11风险权重为60%</t>
  </si>
  <si>
    <t xml:space="preserve">      5.2.1.12风险权重为65%</t>
  </si>
  <si>
    <t xml:space="preserve">      5.2.1.13风险权重为75%</t>
  </si>
  <si>
    <t xml:space="preserve">      5.2.1.14风险权重为85%</t>
  </si>
  <si>
    <t xml:space="preserve">      5.2.1.15风险权重为90%</t>
  </si>
  <si>
    <t xml:space="preserve">      5.2.1.16风险权重为100%</t>
  </si>
  <si>
    <t xml:space="preserve">      5.2.1.17风险权重为105%</t>
  </si>
  <si>
    <t xml:space="preserve">      5.2.1.18风险权重为110%</t>
  </si>
  <si>
    <t xml:space="preserve">      5.2.1.19风险权重为130%</t>
  </si>
  <si>
    <t xml:space="preserve">      5.2.1.20风险权重为150%</t>
  </si>
  <si>
    <t xml:space="preserve">      5.2.1.21风险权重为250%</t>
  </si>
  <si>
    <t xml:space="preserve">      5.2.1.22风险权重为400%</t>
  </si>
  <si>
    <t xml:space="preserve">      5.2.1.23风险权重为1250%</t>
  </si>
  <si>
    <t xml:space="preserve">      5.2.1.24其他</t>
  </si>
  <si>
    <t xml:space="preserve">    5.2.2其他有追索权的资产销售</t>
  </si>
  <si>
    <t xml:space="preserve">      5.2.2.1风险权重为0%</t>
  </si>
  <si>
    <t xml:space="preserve">      5.2.2.2风险权重为10%</t>
  </si>
  <si>
    <t xml:space="preserve">      5.2.2.3风险权重为15%</t>
  </si>
  <si>
    <t xml:space="preserve">      5.2.2.4风险权重为20%</t>
  </si>
  <si>
    <t xml:space="preserve">      5.2.2.5风险权重为25%</t>
  </si>
  <si>
    <t xml:space="preserve">      5.2.2.6风险权重为30%</t>
  </si>
  <si>
    <t xml:space="preserve">      5.2.2.7风险权重为35%</t>
  </si>
  <si>
    <t xml:space="preserve">      5.2.2.8风险权重为40%</t>
  </si>
  <si>
    <t xml:space="preserve">      5.2.2.9风险权重为45%</t>
  </si>
  <si>
    <t xml:space="preserve">      5.2.2.10风险权重为50%</t>
  </si>
  <si>
    <t xml:space="preserve">      5.2.2.11风险权重为60%</t>
  </si>
  <si>
    <t xml:space="preserve">      5.2.2.12风险权重为65%</t>
  </si>
  <si>
    <t xml:space="preserve">      5.2.2.13风险权重为75%</t>
  </si>
  <si>
    <t xml:space="preserve">      5.2.2.14风险权重为85%</t>
  </si>
  <si>
    <t xml:space="preserve">      5.2.2.15风险权重为90%</t>
  </si>
  <si>
    <t xml:space="preserve">      5.2.2.16风险权重为100%</t>
  </si>
  <si>
    <t xml:space="preserve">      5.2.2.17风险权重为105%</t>
  </si>
  <si>
    <t xml:space="preserve">      5.2.2.18风险权重为110%</t>
  </si>
  <si>
    <t xml:space="preserve">      5.2.2.19风险权重为130%</t>
  </si>
  <si>
    <t xml:space="preserve">      5.2.2.20风险权重为150%</t>
  </si>
  <si>
    <t xml:space="preserve">      5.2.2.21风险权重为250%</t>
  </si>
  <si>
    <t xml:space="preserve">      5.2.2.22风险权重为400%</t>
  </si>
  <si>
    <t xml:space="preserve">      5.2.2.23风险权重为1250%</t>
  </si>
  <si>
    <t xml:space="preserve">      5.2.2.24其他</t>
  </si>
  <si>
    <t xml:space="preserve"> 6.远期资产购买</t>
  </si>
  <si>
    <t xml:space="preserve">  6.1风险权重为0%</t>
  </si>
  <si>
    <t xml:space="preserve">  6.2风险权重为10%</t>
  </si>
  <si>
    <t xml:space="preserve">  6.3风险权重为15%</t>
  </si>
  <si>
    <t xml:space="preserve">  6.4风险权重为20%</t>
  </si>
  <si>
    <t xml:space="preserve">  6.5风险权重为25%</t>
  </si>
  <si>
    <t xml:space="preserve">  6.6风险权重为30%</t>
  </si>
  <si>
    <t xml:space="preserve">  6.7风险权重为35%</t>
  </si>
  <si>
    <t xml:space="preserve">  6.8风险权重为40%</t>
  </si>
  <si>
    <t xml:space="preserve">  6.9风险权重为45%</t>
  </si>
  <si>
    <t xml:space="preserve">  6.10风险权重为50%</t>
  </si>
  <si>
    <t xml:space="preserve">  6.11风险权重为60%</t>
  </si>
  <si>
    <t xml:space="preserve">  6.12风险权重为65%</t>
  </si>
  <si>
    <t xml:space="preserve">  6.13风险权重为75%</t>
  </si>
  <si>
    <t xml:space="preserve">  6.14风险权重为85%</t>
  </si>
  <si>
    <t xml:space="preserve">  6.15风险权重为90%</t>
  </si>
  <si>
    <t xml:space="preserve">  6.16风险权重为100%</t>
  </si>
  <si>
    <t xml:space="preserve">  6.17风险权重为105%</t>
  </si>
  <si>
    <t xml:space="preserve">  6.18风险权重为110%</t>
  </si>
  <si>
    <t xml:space="preserve">  6.19风险权重为130%</t>
  </si>
  <si>
    <t xml:space="preserve">  6.20风险权重为150%</t>
  </si>
  <si>
    <t xml:space="preserve">  6.21风险权重为250%</t>
  </si>
  <si>
    <t xml:space="preserve">  6.22风险权重为400%</t>
  </si>
  <si>
    <t xml:space="preserve">  6.23风险权重为1250%</t>
  </si>
  <si>
    <t xml:space="preserve">  6.24其他</t>
  </si>
  <si>
    <t>7.远期定期存款</t>
  </si>
  <si>
    <t xml:space="preserve">  7.1风险权重为0%</t>
  </si>
  <si>
    <t xml:space="preserve">  7.2风险权重为10%</t>
  </si>
  <si>
    <t xml:space="preserve">  7.3风险权重为15%</t>
  </si>
  <si>
    <t xml:space="preserve">  7.4风险权重为20%</t>
  </si>
  <si>
    <t xml:space="preserve">  7.5风险权重为25%</t>
  </si>
  <si>
    <t xml:space="preserve">  7.6风险权重为30%</t>
  </si>
  <si>
    <t xml:space="preserve">  7.7风险权重为35%</t>
  </si>
  <si>
    <t xml:space="preserve">  7.8风险权重为40%</t>
  </si>
  <si>
    <t xml:space="preserve">  7.9风险权重为45%</t>
  </si>
  <si>
    <t xml:space="preserve">  7.10风险权重为50%</t>
  </si>
  <si>
    <t xml:space="preserve">  7.11风险权重为60%</t>
  </si>
  <si>
    <t xml:space="preserve">  7.12风险权重为65%</t>
  </si>
  <si>
    <t xml:space="preserve">  7.13风险权重为75%</t>
  </si>
  <si>
    <t xml:space="preserve">  7.14风险权重为85%</t>
  </si>
  <si>
    <t xml:space="preserve">  7.15风险权重为90%</t>
  </si>
  <si>
    <t xml:space="preserve">  7.16风险权重为100%</t>
  </si>
  <si>
    <t xml:space="preserve">  7.17风险权重为105%</t>
  </si>
  <si>
    <t xml:space="preserve">  7.18风险权重为110%</t>
  </si>
  <si>
    <t xml:space="preserve">  7.19风险权重为130%</t>
  </si>
  <si>
    <t xml:space="preserve">  7.20风险权重为150%</t>
  </si>
  <si>
    <t xml:space="preserve">  7.21其他</t>
  </si>
  <si>
    <t>8.部分交款的股票及证券</t>
  </si>
  <si>
    <t xml:space="preserve">  8.1风险权重为0%</t>
  </si>
  <si>
    <t xml:space="preserve">  8.2风险权重为10%</t>
  </si>
  <si>
    <t xml:space="preserve">  8.3风险权重为15%</t>
  </si>
  <si>
    <t xml:space="preserve">  8.4风险权重为20%</t>
  </si>
  <si>
    <t xml:space="preserve">  8.5风险权重为25%</t>
  </si>
  <si>
    <t xml:space="preserve">  8.6风险权重为30%</t>
  </si>
  <si>
    <t xml:space="preserve">  8.7风险权重为35%</t>
  </si>
  <si>
    <t xml:space="preserve">  8.8风险权重为40%</t>
  </si>
  <si>
    <t xml:space="preserve">  8.9风险权重为45%</t>
  </si>
  <si>
    <t xml:space="preserve">  8.10风险权重为50%</t>
  </si>
  <si>
    <t xml:space="preserve">  8.11风险权重为60%</t>
  </si>
  <si>
    <t xml:space="preserve">  8.12风险权重为65%</t>
  </si>
  <si>
    <t xml:space="preserve">  8.13风险权重为75%</t>
  </si>
  <si>
    <t xml:space="preserve">  8.14风险权重为85%</t>
  </si>
  <si>
    <t xml:space="preserve">  8.15风险权重为90%</t>
  </si>
  <si>
    <t xml:space="preserve">  8.16风险权重为100%</t>
  </si>
  <si>
    <t xml:space="preserve">  8.17风险权重为105%</t>
  </si>
  <si>
    <t xml:space="preserve">  8.18风险权重为110%</t>
  </si>
  <si>
    <t xml:space="preserve">  8.19风险权重为130%</t>
  </si>
  <si>
    <t xml:space="preserve">  8.20风险权重为150%</t>
  </si>
  <si>
    <t xml:space="preserve">  8.21风险权重为250%</t>
  </si>
  <si>
    <t xml:space="preserve">  8.22风险权重为400%</t>
  </si>
  <si>
    <t xml:space="preserve">  8.23风险权重为1250%</t>
  </si>
  <si>
    <t xml:space="preserve">  8.24其他</t>
  </si>
  <si>
    <t>9.银行借出的证券或用作抵押物的证券</t>
  </si>
  <si>
    <t xml:space="preserve">  9.1风险权重为0%</t>
  </si>
  <si>
    <t xml:space="preserve">  9.2风险权重为10%</t>
  </si>
  <si>
    <t xml:space="preserve">  9.3风险权重为15%</t>
  </si>
  <si>
    <t xml:space="preserve">  9.4风险权重为20%</t>
  </si>
  <si>
    <t xml:space="preserve">  9.5风险权重为25%</t>
  </si>
  <si>
    <t xml:space="preserve">  9.6风险权重为30%</t>
  </si>
  <si>
    <t xml:space="preserve">  9.7风险权重为35%</t>
  </si>
  <si>
    <t xml:space="preserve">  9.8风险权重为40%</t>
  </si>
  <si>
    <t xml:space="preserve">  9.9风险权重为45%</t>
  </si>
  <si>
    <t xml:space="preserve">  9.10风险权重为50%</t>
  </si>
  <si>
    <t xml:space="preserve">  9.11风险权重为60%</t>
  </si>
  <si>
    <t xml:space="preserve">  9.12风险权重为65%</t>
  </si>
  <si>
    <t xml:space="preserve">  9.13风险权重为75%</t>
  </si>
  <si>
    <t xml:space="preserve">  9.14风险权重为85%</t>
  </si>
  <si>
    <t xml:space="preserve">  9.15风险权重为90%</t>
  </si>
  <si>
    <t xml:space="preserve">  9.16风险权重为100%</t>
  </si>
  <si>
    <t xml:space="preserve">  9.17风险权重为105%</t>
  </si>
  <si>
    <t xml:space="preserve">  9.18风险权重为110%</t>
  </si>
  <si>
    <t xml:space="preserve">  9.19风险权重为130%</t>
  </si>
  <si>
    <t xml:space="preserve">  9.20风险权重为150%</t>
  </si>
  <si>
    <t xml:space="preserve">  9.21风险权重为250%</t>
  </si>
  <si>
    <t xml:space="preserve">  9.22风险权重为400%</t>
  </si>
  <si>
    <t xml:space="preserve">  9.23风险权重为1250%</t>
  </si>
  <si>
    <t xml:space="preserve">  9.24其他</t>
  </si>
  <si>
    <t>10.其他表外项目</t>
  </si>
  <si>
    <t xml:space="preserve">  10.1一年期以上的跟单信用证</t>
  </si>
  <si>
    <t xml:space="preserve">    10.1.1风险权重为0%</t>
  </si>
  <si>
    <t xml:space="preserve">    10.1.2风险权重为10%</t>
  </si>
  <si>
    <t xml:space="preserve">    10.1.3风险权重为15%</t>
  </si>
  <si>
    <t xml:space="preserve">    10.1.4风险权重为20%</t>
  </si>
  <si>
    <t xml:space="preserve">    10.1.5风险权重为25%</t>
  </si>
  <si>
    <t xml:space="preserve">    10.1.6风险权重为30%</t>
  </si>
  <si>
    <t xml:space="preserve">    10.1.7风险权重为35%</t>
  </si>
  <si>
    <t xml:space="preserve">    10.1.8风险权重为40%</t>
  </si>
  <si>
    <t xml:space="preserve">    10.1.9风险权重为45%</t>
  </si>
  <si>
    <t xml:space="preserve">    10.1.10风险权重为50%</t>
  </si>
  <si>
    <t xml:space="preserve">    10.1.11风险权重为60%</t>
  </si>
  <si>
    <t xml:space="preserve">    10.1.12风险权重为65%</t>
  </si>
  <si>
    <t xml:space="preserve">    10.1.13风险权重为75%</t>
  </si>
  <si>
    <t xml:space="preserve">    10.1.14风险权重为85%</t>
  </si>
  <si>
    <t xml:space="preserve">    10.1.15风险权重为90%</t>
  </si>
  <si>
    <t xml:space="preserve">    10.1.16风险权重为100%</t>
  </si>
  <si>
    <t xml:space="preserve">    10.1.17风险权重为105%</t>
  </si>
  <si>
    <t xml:space="preserve">    10.1.18风险权重为110%</t>
  </si>
  <si>
    <t xml:space="preserve">    10.1.19风险权重为130%</t>
  </si>
  <si>
    <t xml:space="preserve">    10.1.20风险权重为150%</t>
  </si>
  <si>
    <t xml:space="preserve">    10.1.21其他</t>
  </si>
  <si>
    <t xml:space="preserve">  10.2其他</t>
  </si>
  <si>
    <t xml:space="preserve">    10.2.1风险权重为0%</t>
  </si>
  <si>
    <t xml:space="preserve">    10.2.2风险权重为10%</t>
  </si>
  <si>
    <t xml:space="preserve">    10.2.3风险权重为15%</t>
  </si>
  <si>
    <t xml:space="preserve">    10.2.4风险权重为20%</t>
  </si>
  <si>
    <t xml:space="preserve">    10.2.5风险权重为25%</t>
  </si>
  <si>
    <t xml:space="preserve">    10.2.6风险权重为30%</t>
  </si>
  <si>
    <t xml:space="preserve">    10.2.7风险权重为35%</t>
  </si>
  <si>
    <t xml:space="preserve">    10.2.8风险权重为40%</t>
  </si>
  <si>
    <t xml:space="preserve">    10.2.9风险权重为45%</t>
  </si>
  <si>
    <t xml:space="preserve">    10.2.10风险权重为50%</t>
  </si>
  <si>
    <t xml:space="preserve">    10.2.11风险权重为60%</t>
  </si>
  <si>
    <t xml:space="preserve">    10.2.12风险权重为65%</t>
  </si>
  <si>
    <t xml:space="preserve">    10.2.13风险权重为75%</t>
  </si>
  <si>
    <t xml:space="preserve">    10.2.14风险权重为85%</t>
  </si>
  <si>
    <t xml:space="preserve">    10.2.15风险权重为90%</t>
  </si>
  <si>
    <t xml:space="preserve">    10.2.16风险权重为100%</t>
  </si>
  <si>
    <t xml:space="preserve">    10.2.17风险权重为105%</t>
  </si>
  <si>
    <t xml:space="preserve">    10.2.18风险权重为110%</t>
  </si>
  <si>
    <t xml:space="preserve">    10.2.19风险权重为130%</t>
  </si>
  <si>
    <t xml:space="preserve">    10.2.20风险权重为150%</t>
  </si>
  <si>
    <t xml:space="preserve">    10.2.21其他</t>
  </si>
  <si>
    <t>11.资产证券化表外项目</t>
  </si>
  <si>
    <t>12.资产管理产品</t>
  </si>
  <si>
    <t>13.表外信用风险加权资产合计</t>
  </si>
  <si>
    <t>填表人：</t>
  </si>
  <si>
    <t>复核人：</t>
  </si>
  <si>
    <t>负责人：</t>
  </si>
  <si>
    <t>蓝色底为含公式区域</t>
  </si>
  <si>
    <t>无数据部分</t>
  </si>
  <si>
    <t>版本号：</t>
  </si>
  <si>
    <t>项目</t>
  </si>
  <si>
    <t>权重</t>
  </si>
  <si>
    <t>信用转换系数</t>
  </si>
  <si>
    <t>主要风险暴露</t>
  </si>
  <si>
    <t>1.现金类资产</t>
  </si>
  <si>
    <t>主权</t>
  </si>
  <si>
    <t>1.1现金</t>
  </si>
  <si>
    <t>2.承诺</t>
  </si>
  <si>
    <t>公共部门实体</t>
  </si>
  <si>
    <t>1.2黄金</t>
  </si>
  <si>
    <t>2.1可随时无条件撤销的贷款承诺</t>
  </si>
  <si>
    <t>A+商业银行</t>
  </si>
  <si>
    <t>1.3存放中国人民银行款项</t>
  </si>
  <si>
    <t>2.2其他贷款承诺</t>
  </si>
  <si>
    <t>A级商业银行</t>
  </si>
  <si>
    <t>2.对主权的风险暴露</t>
  </si>
  <si>
    <t>2.3未使用的个人循环贷款授信额度、信用卡授信额度</t>
  </si>
  <si>
    <t>合格交易者的信用卡</t>
  </si>
  <si>
    <t>2.1对我国中央政府的风险暴露</t>
  </si>
  <si>
    <t>2.3.1一般未使用额度</t>
  </si>
  <si>
    <t>B级短期商业银行</t>
  </si>
  <si>
    <t>2.2对中国人民银行的风险暴露</t>
  </si>
  <si>
    <t>2.3.2符合标准的未使用额度</t>
  </si>
  <si>
    <t>个人，B级商业银行，小微</t>
  </si>
  <si>
    <t>居住用房地产风险暴露-LTV60-80</t>
  </si>
  <si>
    <t>2.3对评级AA-（含）以上的国家或地区的中央政府和中央银行的风险暴露</t>
  </si>
  <si>
    <t>2.4票据发行便利</t>
  </si>
  <si>
    <t>中小企业</t>
  </si>
  <si>
    <t>商用房地产风险暴露-LTV60以下</t>
  </si>
  <si>
    <t>2.4对评级AA-以下，A-（含）以上的国家或地区的中央政府和中央银行的风险暴露</t>
  </si>
  <si>
    <t>2.5循环认购便利</t>
  </si>
  <si>
    <t>一般公司，房产开发</t>
  </si>
  <si>
    <t>小微、投资级企业</t>
  </si>
  <si>
    <t>2.5对评级A-以下，BBB-（含）以上的国家或地区的中央政府和中央银行的风险暴露</t>
  </si>
  <si>
    <t>2.6其他承诺</t>
  </si>
  <si>
    <t>次级债，C级商业银行</t>
  </si>
  <si>
    <t>2.6对评级BBB-以下，B-（含）以上的国家或地区的中央政府和中央银行的风险暴露</t>
  </si>
  <si>
    <t>3.银行借出的证券或用作抵押物的证券</t>
  </si>
  <si>
    <t>其他股权</t>
  </si>
  <si>
    <t>一般公司</t>
  </si>
  <si>
    <t>2.7对评级B-以下的国家或地区的中央政府和中央银行的风险暴露</t>
  </si>
  <si>
    <t>4.与贸易直接相关的短期或有项目</t>
  </si>
  <si>
    <t>非上市股权</t>
  </si>
  <si>
    <t>次级债</t>
  </si>
  <si>
    <t>2.8对未评级的国家或地区的中央政府和中央银行的风险暴露</t>
  </si>
  <si>
    <t>4.1 国内信用证</t>
  </si>
  <si>
    <t>资管产品1250%方法</t>
  </si>
  <si>
    <t>2.9对国际清算银行、国际货币基金组织、欧洲中央银行、欧盟、欧洲稳定机制和欧洲金融稳定机制等的风险暴露</t>
  </si>
  <si>
    <t>4.2 其他与贸易直接相关的短期或有项目</t>
  </si>
  <si>
    <t>居住房依赖LTV60-80</t>
  </si>
  <si>
    <t>3.对我国公共部门实体的风险暴露</t>
  </si>
  <si>
    <t>5.与交易直接相关的或有项目</t>
  </si>
  <si>
    <t>商用房不依赖LTV60以下</t>
  </si>
  <si>
    <t>3.1视同我国主权的公共部门实体风险暴露</t>
  </si>
  <si>
    <t>6.信用风险仍在银行的资产销售与购买协议</t>
  </si>
  <si>
    <t>居住房不依赖LTV80-90</t>
  </si>
  <si>
    <t>3.1.1对我国中央政府投资的金融资产管理公司为收购国有银行不良贷款而定向发行的债券</t>
  </si>
  <si>
    <t>7.远期资产购买、远期定期存款、部分交款的股票及证券</t>
  </si>
  <si>
    <t>商用房依赖LTV60-80</t>
  </si>
  <si>
    <t>3.1.2对省级（直辖市、自治区）及计划单列市人民政府的风险暴露</t>
  </si>
  <si>
    <t>8.其他表外项目</t>
  </si>
  <si>
    <t>居住房依赖LTV&gt;90</t>
  </si>
  <si>
    <r>
      <rPr>
        <sz val="12"/>
        <rFont val="宋体"/>
        <charset val="134"/>
      </rPr>
      <t>3.1.2.1</t>
    </r>
    <r>
      <rPr>
        <sz val="12"/>
        <rFont val="宋体"/>
        <charset val="134"/>
      </rPr>
      <t>一般债券</t>
    </r>
  </si>
  <si>
    <t>商用房依赖LTV&gt;80</t>
  </si>
  <si>
    <t>3.1.2.2专项债券</t>
  </si>
  <si>
    <t>对合格资产担保债券</t>
  </si>
  <si>
    <r>
      <rPr>
        <sz val="12"/>
        <rFont val="宋体"/>
        <charset val="134"/>
      </rPr>
      <t>3.1.3</t>
    </r>
    <r>
      <rPr>
        <sz val="12"/>
        <color indexed="8"/>
        <rFont val="宋体"/>
        <charset val="134"/>
      </rPr>
      <t>对除财政部和中国人民银行外，其他收入主要源于中央财政的公共部门实体的风险暴露</t>
    </r>
  </si>
  <si>
    <r>
      <rPr>
        <sz val="12"/>
        <rFont val="宋体"/>
        <charset val="134"/>
      </rPr>
      <t>3.1.4</t>
    </r>
    <r>
      <rPr>
        <sz val="12"/>
        <color indexed="8"/>
        <rFont val="宋体"/>
        <charset val="134"/>
      </rPr>
      <t>对其他经国务院认定可视同我国主权的公共部门实体</t>
    </r>
    <r>
      <rPr>
        <sz val="12"/>
        <rFont val="宋体"/>
        <charset val="134"/>
      </rPr>
      <t>的</t>
    </r>
    <r>
      <rPr>
        <sz val="12"/>
        <color indexed="8"/>
        <rFont val="宋体"/>
        <charset val="134"/>
      </rPr>
      <t>风险暴露</t>
    </r>
  </si>
  <si>
    <t>另行规定</t>
  </si>
  <si>
    <t>3.2 对经银保监会认定的我国一般公共部门实体风险暴露</t>
  </si>
  <si>
    <t>运营前阶段的项目融资</t>
  </si>
  <si>
    <t>4.对我国开发性金融机构和政策性银行的风险暴露（不包括次级债权）</t>
  </si>
  <si>
    <t>5.对在其他国家或地区注册的公共部门实体的风险暴露</t>
  </si>
  <si>
    <t>5.1对评级AA-（含）以上国家或地区注册的公共部门实体的风险暴露</t>
  </si>
  <si>
    <t>5.2对评级AA-以下，A-（含）以上国家或地区注册的公共部门实体的风险暴露</t>
  </si>
  <si>
    <t>5.3对评级A-以下，B-(含)以上国家或地区注册的公共部门实体的风险暴露</t>
  </si>
  <si>
    <t>5.4对评级B-以下国家或地区注册的公共部门实体的风险暴露</t>
  </si>
  <si>
    <t>5.5对未评级的国家或地区注册的公共部门实体的风险暴露</t>
  </si>
  <si>
    <t>6.对多边开发银行的风险暴露</t>
  </si>
  <si>
    <t>6.1对合格多边开发银行的风险暴露</t>
  </si>
  <si>
    <t>6.2对评级AA-（含）以上的其他多边开发银行的风险暴露</t>
  </si>
  <si>
    <t>6.3对评级AA-以下，A-（含）以上的其他多边开发银行的风险暴露</t>
  </si>
  <si>
    <t>6.4对评级A-以下，BBB-（含）以上的其他多边开发银行的风险暴露</t>
  </si>
  <si>
    <t>6.5对评级BBB-以下，B-（含）以上的其他多边开发银行的风险暴露</t>
  </si>
  <si>
    <t>6.6对评级B-以下的其他多边开发银行的风险暴露</t>
  </si>
  <si>
    <t>6.7对未评级的其他多边开发银行的风险暴露</t>
  </si>
  <si>
    <t>7.对境内外金融机构的风险暴露</t>
  </si>
  <si>
    <t>7.1对境内外其他商业银行的风险暴露（不含次级债权）</t>
  </si>
  <si>
    <t>7.1.1对A+级商业银行的风险暴露</t>
  </si>
  <si>
    <t>7.1.1.1对A+级商业银行原始期限三个月（含）以内，或因跨境货物贸易而产生的原始期限六个月（含）以内的风险暴露</t>
  </si>
  <si>
    <t>7.1.1.2对A+级商业银行的其他风险暴露</t>
  </si>
  <si>
    <t>7.1.2对A级商业银行的风险暴露</t>
  </si>
  <si>
    <t>7.1.2.1对A级商业银行原始期限三个月（含）以内，或因跨境货物贸易而产生的原始期限六个月（含）以内的风险暴露</t>
  </si>
  <si>
    <t>7.1.2.2对A级商业银行的其他风险暴露</t>
  </si>
  <si>
    <t>7.1.3对B级商业银行的风险暴露</t>
  </si>
  <si>
    <t>7.1.3.1对B级商业银行原始期限三个月（含）以内，或因跨境货物贸易而产生的原始期限六个月（含）以内的风险暴露</t>
  </si>
  <si>
    <t>7.1.3.2对B级商业银行的其他风险暴露</t>
  </si>
  <si>
    <t>7.1.4对C级商业银行的风险暴露</t>
  </si>
  <si>
    <r>
      <rPr>
        <sz val="12"/>
        <rFont val="宋体"/>
        <charset val="134"/>
      </rPr>
      <t>7.</t>
    </r>
    <r>
      <rPr>
        <sz val="12"/>
        <rFont val="宋体"/>
        <charset val="134"/>
      </rPr>
      <t>2</t>
    </r>
    <r>
      <rPr>
        <sz val="12"/>
        <rFont val="宋体"/>
        <charset val="134"/>
      </rPr>
      <t>对其他金融机构的风险暴露（不含次级债权）</t>
    </r>
  </si>
  <si>
    <t>7.2.1对投资级其他金融机构的风险暴露</t>
  </si>
  <si>
    <r>
      <rPr>
        <sz val="12"/>
        <rFont val="宋体"/>
        <charset val="134"/>
      </rPr>
      <t>7.</t>
    </r>
    <r>
      <rPr>
        <sz val="12"/>
        <rFont val="宋体"/>
        <charset val="134"/>
      </rPr>
      <t>2</t>
    </r>
    <r>
      <rPr>
        <sz val="12"/>
        <rFont val="宋体"/>
        <charset val="134"/>
      </rPr>
      <t>.2对一般其他金融机构的风险暴露</t>
    </r>
  </si>
  <si>
    <t>8.对公司的风险暴露</t>
  </si>
  <si>
    <t>8.1对一般公司的风险暴露</t>
  </si>
  <si>
    <t>8.1.1对投资级公司的风险暴露</t>
  </si>
  <si>
    <t>8.1.2对中小企业的风险暴露</t>
  </si>
  <si>
    <t>8.1.3对小微企业的风险暴露</t>
  </si>
  <si>
    <r>
      <rPr>
        <sz val="12"/>
        <rFont val="宋体"/>
        <charset val="134"/>
      </rPr>
      <t>8.</t>
    </r>
    <r>
      <rPr>
        <sz val="12"/>
        <rFont val="宋体"/>
        <charset val="134"/>
      </rPr>
      <t>1.</t>
    </r>
    <r>
      <rPr>
        <sz val="12"/>
        <rFont val="宋体"/>
        <charset val="134"/>
      </rPr>
      <t>4对其他一般公司的风险暴露</t>
    </r>
  </si>
  <si>
    <t>8.2对专业贷款的风险暴露</t>
  </si>
  <si>
    <t>8.2.1对项目融资的风险暴露</t>
  </si>
  <si>
    <t>8.2.1.1运营前阶段的项目融资</t>
  </si>
  <si>
    <t>8.2.1.2运营阶段的项目融资</t>
  </si>
  <si>
    <t>8.2.2对物品融资的风险暴露</t>
  </si>
  <si>
    <t>8.2.3对商品融资的风险暴露</t>
  </si>
  <si>
    <t>9．对个人的风险暴露</t>
  </si>
  <si>
    <t>9.1对个人的风险暴露（以记账本位币计价）</t>
  </si>
  <si>
    <t>9.1.1对监管零售个人风险暴露（以记账本位币计价）</t>
  </si>
  <si>
    <t>9.1.1.1对合格交易者的信用卡个人循环风险暴露（以记账本位币计价）</t>
  </si>
  <si>
    <t>9.1.1.2对其他监管零售个人风险暴露（以记账本位币计价）</t>
  </si>
  <si>
    <t>9.1.2对其他个人风险暴露（以记账本位币计价）</t>
  </si>
  <si>
    <t>9.2对个人的风险暴露（以非记账本位币计价）</t>
  </si>
  <si>
    <t>10.房地产开发风险暴露</t>
  </si>
  <si>
    <t>10.1对符合审慎要求的房地产开发风险暴露</t>
  </si>
  <si>
    <t>10.2对其他房地产开发风险暴露</t>
  </si>
  <si>
    <t>11.居住用房地产风险暴露</t>
  </si>
  <si>
    <t>11.1还款不实质依赖于房地产所产生的现金流的居住用房地产风险暴露</t>
  </si>
  <si>
    <t>11.1.1符合审慎要求的居住用房地产风险暴露</t>
  </si>
  <si>
    <t>11.1.1.1贷款价值比在60%（含）以下</t>
  </si>
  <si>
    <t>11.1.1.3贷款价值比在60%至80%（含）</t>
  </si>
  <si>
    <t>11.1.1.4贷款价值比在80%至90%（含）</t>
  </si>
  <si>
    <t>11.1.1.5贷款价值比在90%至100%（含）</t>
  </si>
  <si>
    <t>11.1.1.6贷款价值比在100%（不含）以上</t>
  </si>
  <si>
    <t>交易对手风险权重</t>
  </si>
  <si>
    <t>11.1.2不符合审慎要求的居住用房地产风险暴露</t>
  </si>
  <si>
    <t>11.2还款实质依赖于房地产所产生的现金流的居住用房地产风险暴露</t>
  </si>
  <si>
    <t>11.2.1符合审慎要求的居住用房地产风险暴露</t>
  </si>
  <si>
    <r>
      <rPr>
        <sz val="12"/>
        <rFont val="宋体"/>
        <charset val="134"/>
      </rPr>
      <t>11.2.1.1贷款价值比在</t>
    </r>
    <r>
      <rPr>
        <sz val="12"/>
        <rFont val="宋体"/>
        <charset val="134"/>
      </rPr>
      <t>6</t>
    </r>
    <r>
      <rPr>
        <sz val="12"/>
        <rFont val="宋体"/>
        <charset val="134"/>
      </rPr>
      <t>0%（含）以下</t>
    </r>
  </si>
  <si>
    <t>11.2.1.3贷款价值比在60%至80%（含）</t>
  </si>
  <si>
    <t>11.2.1.4 贷款价值比在80%至90%（含）</t>
  </si>
  <si>
    <t>11.2.1.5贷款价值比在90%（不含）以上</t>
  </si>
  <si>
    <t>11.2.2不符合审慎要求的居住用房地产风险暴露</t>
  </si>
  <si>
    <r>
      <rPr>
        <sz val="12"/>
        <rFont val="宋体"/>
        <charset val="134"/>
      </rPr>
      <t>11.3向个人发放的以</t>
    </r>
    <r>
      <rPr>
        <sz val="12"/>
        <rFont val="宋体"/>
        <charset val="134"/>
      </rPr>
      <t>非记账本位币</t>
    </r>
    <r>
      <rPr>
        <sz val="12"/>
        <rFont val="宋体"/>
        <charset val="134"/>
      </rPr>
      <t>计价的居住用房地产风险暴露</t>
    </r>
  </si>
  <si>
    <t>12.商用房地产风险暴露</t>
  </si>
  <si>
    <t>12.1还款不实质依赖于房地产所产生的现金流的商用房地产风险暴露</t>
  </si>
  <si>
    <t>12.1.1符合审慎要求的商用房地产风险暴露</t>
  </si>
  <si>
    <t>12.1.1.1贷款价值比在60%（含）以下</t>
  </si>
  <si>
    <t>12.1.1.2贷款价值比在60%（不含）以上</t>
  </si>
  <si>
    <t>12.1.2不符合审慎要求的商用房地产风险暴露</t>
  </si>
  <si>
    <t>12.2还款实质依赖于房地产所产生的现金流的商用房地产风险暴露</t>
  </si>
  <si>
    <t>12.2.1符合审慎要求的商用房地产风险暴露</t>
  </si>
  <si>
    <t>12.2.1.1贷款价值比在60%（含）以下</t>
  </si>
  <si>
    <t>12.2.1.2贷款价值比在60%至80%（含）</t>
  </si>
  <si>
    <t>Max(90%，交易对手风险权重)</t>
  </si>
  <si>
    <t>12.2.1.3贷款价值比在80%（不含）以上</t>
  </si>
  <si>
    <t>12.2.2不符合审慎要求的商用房地产风险暴露</t>
  </si>
  <si>
    <t>13.商业银行持有的不动产</t>
  </si>
  <si>
    <t>13.1商业银行自用不动产</t>
  </si>
  <si>
    <t>13.2商业银行非自用不动产</t>
  </si>
  <si>
    <t>13.2.1因行使抵押权等方式而持有并在法律规定处分期限内的非自用不动产</t>
  </si>
  <si>
    <t>13.2.2其他非自用不动产</t>
  </si>
  <si>
    <t>14.租赁资产余值</t>
  </si>
  <si>
    <t>15.股权</t>
  </si>
  <si>
    <t>15.1对大额工商企业股权投资超过限额部分</t>
  </si>
  <si>
    <t>15.2对投机性非上市公司股权投资</t>
  </si>
  <si>
    <t>15.3对获得国家重大补贴，并受到政府监督的股权投资</t>
  </si>
  <si>
    <t>15.4其他股权投资</t>
  </si>
  <si>
    <t>16.对次级债权（未扣除部分）</t>
  </si>
  <si>
    <r>
      <rPr>
        <sz val="12"/>
        <rFont val="宋体"/>
        <charset val="134"/>
      </rPr>
      <t>16.1对我国</t>
    </r>
    <r>
      <rPr>
        <sz val="12"/>
        <rFont val="宋体"/>
        <charset val="134"/>
      </rPr>
      <t>开发性金融机构和</t>
    </r>
    <r>
      <rPr>
        <sz val="12"/>
        <rFont val="宋体"/>
        <charset val="134"/>
      </rPr>
      <t>政策性银行的次级债权（未扣除部分）</t>
    </r>
  </si>
  <si>
    <t>16.2对我国商业银行的次级债权（未扣除部分）</t>
  </si>
  <si>
    <t>16.3对我国其他金融机构的次级债权（未扣除部分）</t>
  </si>
  <si>
    <t>16.4持有全球系统重要性银行发行的总损失吸收能力（TLAC）债务工具</t>
  </si>
  <si>
    <t>17.对合格资产担保债券的风险暴露</t>
  </si>
  <si>
    <r>
      <rPr>
        <sz val="12"/>
        <rFont val="宋体"/>
        <charset val="134"/>
      </rPr>
      <t>17.1</t>
    </r>
    <r>
      <rPr>
        <sz val="12"/>
        <color indexed="8"/>
        <rFont val="宋体"/>
        <charset val="134"/>
      </rPr>
      <t>具有外部信用评级的</t>
    </r>
    <r>
      <rPr>
        <sz val="12"/>
        <rFont val="宋体"/>
        <charset val="134"/>
      </rPr>
      <t>债券</t>
    </r>
  </si>
  <si>
    <t>17.1.1评级为AA-（含）以上</t>
  </si>
  <si>
    <t>17.1.2评级为AA-以下，BBB-（含）以上</t>
  </si>
  <si>
    <t>17.1.3评级为BBB-以下，B-（含）以上</t>
  </si>
  <si>
    <t>17.1.4评级为B-以下</t>
  </si>
  <si>
    <t>17.2不具有外部信用评级的债券</t>
  </si>
  <si>
    <r>
      <rPr>
        <sz val="12"/>
        <rFont val="宋体"/>
        <charset val="134"/>
      </rPr>
      <t>17.2.1</t>
    </r>
    <r>
      <rPr>
        <sz val="12"/>
        <color indexed="8"/>
        <rFont val="宋体"/>
        <charset val="134"/>
      </rPr>
      <t>债券发行银行</t>
    </r>
    <r>
      <rPr>
        <sz val="12"/>
        <rFont val="宋体"/>
        <charset val="134"/>
      </rPr>
      <t>风险级别</t>
    </r>
    <r>
      <rPr>
        <sz val="12"/>
        <color indexed="8"/>
        <rFont val="宋体"/>
        <charset val="134"/>
      </rPr>
      <t>为A+级</t>
    </r>
  </si>
  <si>
    <t>17.2.2债券发行银行风险级别为A级</t>
  </si>
  <si>
    <t>17.2.3债券发行银行风险级别为B级</t>
  </si>
  <si>
    <t>17.2.4债券发行银行风险级别为C级</t>
  </si>
  <si>
    <t>18.已违约风险暴露（不含股权投资）</t>
  </si>
  <si>
    <t>18.1以居住用房为抵押、还款不实质性依赖于房地产所产生的现金流的已违约风险暴露</t>
  </si>
  <si>
    <t>18.2对其他已违约风险暴露</t>
  </si>
  <si>
    <t>18.2.1减值准备低于资产账面价值的20%</t>
  </si>
  <si>
    <t>18.2.2减值准备不低于资产账面价值的20%</t>
  </si>
  <si>
    <t>19.其他</t>
  </si>
  <si>
    <t>19.1依赖于银行未来盈利的净递延税资产（未扣除部分）</t>
  </si>
  <si>
    <t>19.2其他表内资产</t>
  </si>
</sst>
</file>

<file path=xl/styles.xml><?xml version="1.0" encoding="utf-8"?>
<styleSheet xmlns="http://schemas.openxmlformats.org/spreadsheetml/2006/main">
  <numFmts count="7">
    <numFmt numFmtId="176" formatCode="0_);[Red]\(0\)"/>
    <numFmt numFmtId="177" formatCode="0.00_ "/>
    <numFmt numFmtId="42" formatCode="_ &quot;￥&quot;* #,##0_ ;_ &quot;￥&quot;* \-#,##0_ ;_ &quot;￥&quot;* &quot;-&quot;_ ;_ @_ "/>
    <numFmt numFmtId="178" formatCode="0.00_);[Red]\(0.00\)"/>
    <numFmt numFmtId="44" formatCode="_ &quot;￥&quot;* #,##0.00_ ;_ &quot;￥&quot;* \-#,##0.00_ ;_ &quot;￥&quot;* &quot;-&quot;??_ ;_ @_ "/>
    <numFmt numFmtId="43" formatCode="_ * #,##0.00_ ;_ * \-#,##0.00_ ;_ * &quot;-&quot;??_ ;_ @_ "/>
    <numFmt numFmtId="41" formatCode="_ * #,##0_ ;_ * \-#,##0_ ;_ * &quot;-&quot;_ ;_ @_ "/>
  </numFmts>
  <fonts count="32">
    <font>
      <sz val="12"/>
      <name val="宋体"/>
      <charset val="134"/>
    </font>
    <font>
      <b/>
      <sz val="12"/>
      <name val="宋体"/>
      <charset val="134"/>
    </font>
    <font>
      <sz val="10"/>
      <name val="宋体"/>
      <charset val="134"/>
    </font>
    <font>
      <sz val="12"/>
      <color theme="1"/>
      <name val="宋体"/>
      <charset val="134"/>
    </font>
    <font>
      <sz val="10"/>
      <color theme="1"/>
      <name val="宋体"/>
      <charset val="134"/>
    </font>
    <font>
      <b/>
      <sz val="16"/>
      <color theme="1"/>
      <name val="Times New Roman"/>
      <charset val="134"/>
    </font>
    <font>
      <sz val="10"/>
      <color theme="1"/>
      <name val="Times New Roman"/>
      <charset val="134"/>
    </font>
    <font>
      <sz val="10"/>
      <color theme="1"/>
      <name val="仿宋_GB2312"/>
      <charset val="134"/>
    </font>
    <font>
      <sz val="11"/>
      <color theme="0"/>
      <name val="宋体"/>
      <charset val="0"/>
      <scheme val="minor"/>
    </font>
    <font>
      <sz val="11"/>
      <color theme="1"/>
      <name val="宋体"/>
      <charset val="0"/>
      <scheme val="minor"/>
    </font>
    <font>
      <sz val="11"/>
      <color rgb="FF9C0006"/>
      <name val="宋体"/>
      <charset val="0"/>
      <scheme val="minor"/>
    </font>
    <font>
      <sz val="11"/>
      <color rgb="FF9C6500"/>
      <name val="宋体"/>
      <charset val="0"/>
      <scheme val="minor"/>
    </font>
    <font>
      <b/>
      <sz val="11"/>
      <color theme="3"/>
      <name val="宋体"/>
      <charset val="134"/>
      <scheme val="minor"/>
    </font>
    <font>
      <b/>
      <sz val="18"/>
      <color theme="3"/>
      <name val="宋体"/>
      <charset val="134"/>
      <scheme val="minor"/>
    </font>
    <font>
      <sz val="11"/>
      <color theme="1"/>
      <name val="宋体"/>
      <charset val="134"/>
      <scheme val="minor"/>
    </font>
    <font>
      <sz val="11"/>
      <color rgb="FFFA7D00"/>
      <name val="宋体"/>
      <charset val="0"/>
      <scheme val="minor"/>
    </font>
    <font>
      <b/>
      <sz val="11"/>
      <color rgb="FFFFFFFF"/>
      <name val="宋体"/>
      <charset val="0"/>
      <scheme val="minor"/>
    </font>
    <font>
      <b/>
      <sz val="11"/>
      <color theme="1"/>
      <name val="宋体"/>
      <charset val="0"/>
      <scheme val="minor"/>
    </font>
    <font>
      <b/>
      <sz val="13"/>
      <color theme="3"/>
      <name val="宋体"/>
      <charset val="134"/>
      <scheme val="minor"/>
    </font>
    <font>
      <sz val="12"/>
      <name val="Times New Roman"/>
      <charset val="134"/>
    </font>
    <font>
      <sz val="10"/>
      <name val="Arial"/>
      <charset val="0"/>
    </font>
    <font>
      <sz val="11"/>
      <color rgb="FF3F3F76"/>
      <name val="宋体"/>
      <charset val="0"/>
      <scheme val="minor"/>
    </font>
    <font>
      <i/>
      <sz val="11"/>
      <color rgb="FF7F7F7F"/>
      <name val="宋体"/>
      <charset val="0"/>
      <scheme val="minor"/>
    </font>
    <font>
      <u/>
      <sz val="11"/>
      <color rgb="FF0000FF"/>
      <name val="宋体"/>
      <charset val="0"/>
      <scheme val="minor"/>
    </font>
    <font>
      <sz val="11"/>
      <color rgb="FF006100"/>
      <name val="宋体"/>
      <charset val="0"/>
      <scheme val="minor"/>
    </font>
    <font>
      <b/>
      <sz val="11"/>
      <color rgb="FFFA7D00"/>
      <name val="宋体"/>
      <charset val="0"/>
      <scheme val="minor"/>
    </font>
    <font>
      <b/>
      <sz val="15"/>
      <color theme="3"/>
      <name val="宋体"/>
      <charset val="134"/>
      <scheme val="minor"/>
    </font>
    <font>
      <u/>
      <sz val="11"/>
      <color rgb="FF800080"/>
      <name val="宋体"/>
      <charset val="0"/>
      <scheme val="minor"/>
    </font>
    <font>
      <sz val="11"/>
      <color rgb="FFFF0000"/>
      <name val="宋体"/>
      <charset val="0"/>
      <scheme val="minor"/>
    </font>
    <font>
      <b/>
      <sz val="11"/>
      <color rgb="FF3F3F3F"/>
      <name val="宋体"/>
      <charset val="0"/>
      <scheme val="minor"/>
    </font>
    <font>
      <sz val="12"/>
      <color indexed="8"/>
      <name val="宋体"/>
      <charset val="134"/>
    </font>
    <font>
      <b/>
      <sz val="16"/>
      <color theme="1"/>
      <name val="宋体"/>
      <charset val="134"/>
    </font>
  </fonts>
  <fills count="37">
    <fill>
      <patternFill patternType="none"/>
    </fill>
    <fill>
      <patternFill patternType="gray125"/>
    </fill>
    <fill>
      <patternFill patternType="solid">
        <fgColor indexed="44"/>
        <bgColor indexed="64"/>
      </patternFill>
    </fill>
    <fill>
      <patternFill patternType="solid">
        <fgColor indexed="22"/>
        <bgColor indexed="64"/>
      </patternFill>
    </fill>
    <fill>
      <patternFill patternType="solid">
        <fgColor theme="0" tint="-0.249977111117893"/>
        <bgColor indexed="64"/>
      </patternFill>
    </fill>
    <fill>
      <patternFill patternType="solid">
        <fgColor indexed="55"/>
        <bgColor indexed="64"/>
      </patternFill>
    </fill>
    <fill>
      <patternFill patternType="solid">
        <fgColor theme="6"/>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rgb="FFFFC7CE"/>
        <bgColor indexed="64"/>
      </patternFill>
    </fill>
    <fill>
      <patternFill patternType="solid">
        <fgColor theme="4" tint="0.799981688894314"/>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rgb="FFFFFFCC"/>
        <bgColor indexed="64"/>
      </patternFill>
    </fill>
    <fill>
      <patternFill patternType="solid">
        <fgColor theme="6" tint="0.399975585192419"/>
        <bgColor indexed="64"/>
      </patternFill>
    </fill>
    <fill>
      <patternFill patternType="solid">
        <fgColor theme="4" tint="0.399975585192419"/>
        <bgColor indexed="64"/>
      </patternFill>
    </fill>
    <fill>
      <patternFill patternType="solid">
        <fgColor rgb="FFA5A5A5"/>
        <bgColor indexed="64"/>
      </patternFill>
    </fill>
    <fill>
      <patternFill patternType="solid">
        <fgColor theme="8"/>
        <bgColor indexed="64"/>
      </patternFill>
    </fill>
    <fill>
      <patternFill patternType="solid">
        <fgColor theme="8" tint="0.799981688894314"/>
        <bgColor indexed="64"/>
      </patternFill>
    </fill>
    <fill>
      <patternFill patternType="solid">
        <fgColor theme="9"/>
        <bgColor indexed="64"/>
      </patternFill>
    </fill>
    <fill>
      <patternFill patternType="solid">
        <fgColor theme="9" tint="0.799981688894314"/>
        <bgColor indexed="64"/>
      </patternFill>
    </fill>
    <fill>
      <patternFill patternType="solid">
        <fgColor rgb="FFFFCC9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rgb="FFC6EFCE"/>
        <bgColor indexed="64"/>
      </patternFill>
    </fill>
    <fill>
      <patternFill patternType="solid">
        <fgColor rgb="FFF2F2F2"/>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7"/>
        <bgColor indexed="64"/>
      </patternFill>
    </fill>
    <fill>
      <patternFill patternType="solid">
        <fgColor theme="6" tint="0.799981688894314"/>
        <bgColor indexed="64"/>
      </patternFill>
    </fill>
    <fill>
      <patternFill patternType="solid">
        <fgColor theme="6" tint="0.599993896298105"/>
        <bgColor indexed="64"/>
      </patternFill>
    </fill>
  </fills>
  <borders count="16">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22"/>
      </left>
      <right style="thin">
        <color indexed="22"/>
      </right>
      <top/>
      <bottom style="thin">
        <color indexed="2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53">
    <xf numFmtId="0" fontId="0" fillId="0" borderId="0"/>
    <xf numFmtId="0" fontId="0" fillId="0" borderId="0">
      <alignment vertical="center"/>
    </xf>
    <xf numFmtId="0" fontId="20" fillId="0" borderId="0">
      <alignment vertical="center"/>
    </xf>
    <xf numFmtId="0" fontId="19" fillId="0" borderId="0"/>
    <xf numFmtId="0" fontId="19" fillId="0" borderId="0"/>
    <xf numFmtId="0" fontId="9" fillId="23" borderId="0" applyNumberFormat="0" applyBorder="0" applyAlignment="0" applyProtection="0">
      <alignment vertical="center"/>
    </xf>
    <xf numFmtId="0" fontId="9" fillId="21" borderId="0" applyNumberFormat="0" applyBorder="0" applyAlignment="0" applyProtection="0">
      <alignment vertical="center"/>
    </xf>
    <xf numFmtId="0" fontId="8" fillId="20" borderId="0" applyNumberFormat="0" applyBorder="0" applyAlignment="0" applyProtection="0">
      <alignment vertical="center"/>
    </xf>
    <xf numFmtId="0" fontId="9" fillId="25" borderId="0" applyNumberFormat="0" applyBorder="0" applyAlignment="0" applyProtection="0">
      <alignment vertical="center"/>
    </xf>
    <xf numFmtId="0" fontId="9" fillId="19" borderId="0" applyNumberFormat="0" applyBorder="0" applyAlignment="0" applyProtection="0">
      <alignment vertical="center"/>
    </xf>
    <xf numFmtId="0" fontId="8" fillId="18" borderId="0" applyNumberFormat="0" applyBorder="0" applyAlignment="0" applyProtection="0">
      <alignment vertical="center"/>
    </xf>
    <xf numFmtId="0" fontId="9" fillId="27" borderId="0" applyNumberFormat="0" applyBorder="0" applyAlignment="0" applyProtection="0">
      <alignment vertical="center"/>
    </xf>
    <xf numFmtId="0" fontId="12" fillId="0" borderId="11" applyNumberFormat="0" applyFill="0" applyAlignment="0" applyProtection="0">
      <alignment vertical="center"/>
    </xf>
    <xf numFmtId="0" fontId="22" fillId="0" borderId="0" applyNumberFormat="0" applyFill="0" applyBorder="0" applyAlignment="0" applyProtection="0">
      <alignment vertical="center"/>
    </xf>
    <xf numFmtId="0" fontId="17" fillId="0" borderId="12" applyNumberFormat="0" applyFill="0" applyAlignment="0" applyProtection="0">
      <alignment vertical="center"/>
    </xf>
    <xf numFmtId="9" fontId="0" fillId="0" borderId="0" applyFont="0" applyFill="0" applyBorder="0" applyAlignment="0" applyProtection="0"/>
    <xf numFmtId="43" fontId="0" fillId="0" borderId="0" applyFont="0" applyFill="0" applyBorder="0" applyAlignment="0" applyProtection="0"/>
    <xf numFmtId="0" fontId="18" fillId="0" borderId="13" applyNumberFormat="0" applyFill="0" applyAlignment="0" applyProtection="0">
      <alignment vertical="center"/>
    </xf>
    <xf numFmtId="42" fontId="14" fillId="0" borderId="0" applyFont="0" applyFill="0" applyBorder="0" applyAlignment="0" applyProtection="0">
      <alignment vertical="center"/>
    </xf>
    <xf numFmtId="0" fontId="8" fillId="33" borderId="0" applyNumberFormat="0" applyBorder="0" applyAlignment="0" applyProtection="0">
      <alignment vertical="center"/>
    </xf>
    <xf numFmtId="0" fontId="28" fillId="0" borderId="0" applyNumberFormat="0" applyFill="0" applyBorder="0" applyAlignment="0" applyProtection="0">
      <alignment vertical="center"/>
    </xf>
    <xf numFmtId="0" fontId="9" fillId="31" borderId="0" applyNumberFormat="0" applyBorder="0" applyAlignment="0" applyProtection="0">
      <alignment vertical="center"/>
    </xf>
    <xf numFmtId="0" fontId="8" fillId="28" borderId="0" applyNumberFormat="0" applyBorder="0" applyAlignment="0" applyProtection="0">
      <alignment vertical="center"/>
    </xf>
    <xf numFmtId="0" fontId="26" fillId="0" borderId="13" applyNumberFormat="0" applyFill="0" applyAlignment="0" applyProtection="0">
      <alignment vertical="center"/>
    </xf>
    <xf numFmtId="0" fontId="23" fillId="0" borderId="0" applyNumberFormat="0" applyFill="0" applyBorder="0" applyAlignment="0" applyProtection="0">
      <alignment vertical="center"/>
    </xf>
    <xf numFmtId="0" fontId="9" fillId="35" borderId="0" applyNumberFormat="0" applyBorder="0" applyAlignment="0" applyProtection="0">
      <alignment vertical="center"/>
    </xf>
    <xf numFmtId="44" fontId="14" fillId="0" borderId="0" applyFont="0" applyFill="0" applyBorder="0" applyAlignment="0" applyProtection="0">
      <alignment vertical="center"/>
    </xf>
    <xf numFmtId="0" fontId="9" fillId="32" borderId="0" applyNumberFormat="0" applyBorder="0" applyAlignment="0" applyProtection="0">
      <alignment vertical="center"/>
    </xf>
    <xf numFmtId="0" fontId="25" fillId="30" borderId="14" applyNumberFormat="0" applyAlignment="0" applyProtection="0">
      <alignment vertical="center"/>
    </xf>
    <xf numFmtId="0" fontId="27" fillId="0" borderId="0" applyNumberFormat="0" applyFill="0" applyBorder="0" applyAlignment="0" applyProtection="0">
      <alignment vertical="center"/>
    </xf>
    <xf numFmtId="41" fontId="14" fillId="0" borderId="0" applyFont="0" applyFill="0" applyBorder="0" applyAlignment="0" applyProtection="0">
      <alignment vertical="center"/>
    </xf>
    <xf numFmtId="0" fontId="8" fillId="34" borderId="0" applyNumberFormat="0" applyBorder="0" applyAlignment="0" applyProtection="0">
      <alignment vertical="center"/>
    </xf>
    <xf numFmtId="0" fontId="9" fillId="36" borderId="0" applyNumberFormat="0" applyBorder="0" applyAlignment="0" applyProtection="0">
      <alignment vertical="center"/>
    </xf>
    <xf numFmtId="0" fontId="8" fillId="24" borderId="0" applyNumberFormat="0" applyBorder="0" applyAlignment="0" applyProtection="0">
      <alignment vertical="center"/>
    </xf>
    <xf numFmtId="0" fontId="21" fillId="22" borderId="14" applyNumberFormat="0" applyAlignment="0" applyProtection="0">
      <alignment vertical="center"/>
    </xf>
    <xf numFmtId="0" fontId="29" fillId="30" borderId="15" applyNumberFormat="0" applyAlignment="0" applyProtection="0">
      <alignment vertical="center"/>
    </xf>
    <xf numFmtId="0" fontId="16" fillId="17" borderId="10" applyNumberFormat="0" applyAlignment="0" applyProtection="0">
      <alignment vertical="center"/>
    </xf>
    <xf numFmtId="0" fontId="15" fillId="0" borderId="9" applyNumberFormat="0" applyFill="0" applyAlignment="0" applyProtection="0">
      <alignment vertical="center"/>
    </xf>
    <xf numFmtId="0" fontId="8" fillId="16" borderId="0" applyNumberFormat="0" applyBorder="0" applyAlignment="0" applyProtection="0">
      <alignment vertical="center"/>
    </xf>
    <xf numFmtId="0" fontId="8" fillId="15" borderId="0" applyNumberFormat="0" applyBorder="0" applyAlignment="0" applyProtection="0">
      <alignment vertical="center"/>
    </xf>
    <xf numFmtId="0" fontId="14" fillId="14" borderId="8" applyNumberFormat="0" applyFont="0" applyAlignment="0" applyProtection="0">
      <alignment vertical="center"/>
    </xf>
    <xf numFmtId="0" fontId="13" fillId="0" borderId="0" applyNumberFormat="0" applyFill="0" applyBorder="0" applyAlignment="0" applyProtection="0">
      <alignment vertical="center"/>
    </xf>
    <xf numFmtId="0" fontId="24" fillId="29" borderId="0" applyNumberFormat="0" applyBorder="0" applyAlignment="0" applyProtection="0">
      <alignment vertical="center"/>
    </xf>
    <xf numFmtId="0" fontId="12" fillId="0" borderId="0" applyNumberFormat="0" applyFill="0" applyBorder="0" applyAlignment="0" applyProtection="0">
      <alignment vertical="center"/>
    </xf>
    <xf numFmtId="0" fontId="8" fillId="12" borderId="0" applyNumberFormat="0" applyBorder="0" applyAlignment="0" applyProtection="0">
      <alignment vertical="center"/>
    </xf>
    <xf numFmtId="0" fontId="11" fillId="11" borderId="0" applyNumberFormat="0" applyBorder="0" applyAlignment="0" applyProtection="0">
      <alignment vertical="center"/>
    </xf>
    <xf numFmtId="0" fontId="9" fillId="10" borderId="0" applyNumberFormat="0" applyBorder="0" applyAlignment="0" applyProtection="0">
      <alignment vertical="center"/>
    </xf>
    <xf numFmtId="0" fontId="10" fillId="9" borderId="0" applyNumberFormat="0" applyBorder="0" applyAlignment="0" applyProtection="0">
      <alignment vertical="center"/>
    </xf>
    <xf numFmtId="0" fontId="8" fillId="26" borderId="0" applyNumberFormat="0" applyBorder="0" applyAlignment="0" applyProtection="0">
      <alignment vertical="center"/>
    </xf>
    <xf numFmtId="0" fontId="9" fillId="13" borderId="0" applyNumberFormat="0" applyBorder="0" applyAlignment="0" applyProtection="0">
      <alignment vertical="center"/>
    </xf>
    <xf numFmtId="0" fontId="8" fillId="8" borderId="0" applyNumberFormat="0" applyBorder="0" applyAlignment="0" applyProtection="0">
      <alignment vertical="center"/>
    </xf>
    <xf numFmtId="0" fontId="9" fillId="7" borderId="0" applyNumberFormat="0" applyBorder="0" applyAlignment="0" applyProtection="0">
      <alignment vertical="center"/>
    </xf>
    <xf numFmtId="0" fontId="8" fillId="6" borderId="0" applyNumberFormat="0" applyBorder="0" applyAlignment="0" applyProtection="0">
      <alignment vertical="center"/>
    </xf>
  </cellStyleXfs>
  <cellXfs count="61">
    <xf numFmtId="0" fontId="0" fillId="0" borderId="0" xfId="0"/>
    <xf numFmtId="0" fontId="0" fillId="0" borderId="1" xfId="0" applyBorder="1" applyAlignment="1">
      <alignment horizontal="center" wrapText="1"/>
    </xf>
    <xf numFmtId="0" fontId="0" fillId="0" borderId="2" xfId="0" applyBorder="1" applyAlignment="1">
      <alignment horizontal="center" wrapText="1"/>
    </xf>
    <xf numFmtId="0" fontId="1" fillId="0" borderId="3" xfId="0" applyFont="1" applyBorder="1" applyAlignment="1">
      <alignment horizontal="justify" wrapText="1"/>
    </xf>
    <xf numFmtId="0" fontId="0" fillId="0" borderId="4" xfId="0" applyBorder="1" applyAlignment="1">
      <alignment horizontal="right" wrapText="1"/>
    </xf>
    <xf numFmtId="0" fontId="0" fillId="0" borderId="3" xfId="0" applyBorder="1" applyAlignment="1">
      <alignment horizontal="justify" wrapText="1"/>
    </xf>
    <xf numFmtId="9" fontId="0" fillId="0" borderId="4" xfId="0" applyNumberFormat="1" applyBorder="1" applyAlignment="1">
      <alignment horizontal="center" wrapText="1"/>
    </xf>
    <xf numFmtId="0" fontId="0" fillId="0" borderId="4" xfId="0" applyBorder="1" applyAlignment="1">
      <alignment horizontal="center" wrapText="1"/>
    </xf>
    <xf numFmtId="0" fontId="2" fillId="0" borderId="5" xfId="3" applyFont="1" applyBorder="1" applyAlignment="1" applyProtection="1">
      <alignment horizontal="center" vertical="center" wrapText="1"/>
    </xf>
    <xf numFmtId="9" fontId="2" fillId="0" borderId="5" xfId="3" applyNumberFormat="1" applyFont="1" applyFill="1" applyBorder="1" applyAlignment="1" applyProtection="1">
      <alignment horizontal="center" vertical="center"/>
    </xf>
    <xf numFmtId="0" fontId="2" fillId="0" borderId="5" xfId="3" applyFont="1" applyBorder="1" applyAlignment="1" applyProtection="1">
      <alignment vertical="center"/>
    </xf>
    <xf numFmtId="0" fontId="2" fillId="0" borderId="5" xfId="3" applyFont="1" applyFill="1" applyBorder="1" applyAlignment="1" applyProtection="1">
      <alignment vertical="center"/>
    </xf>
    <xf numFmtId="0" fontId="2" fillId="0" borderId="0" xfId="3" applyFont="1" applyBorder="1" applyAlignment="1" applyProtection="1">
      <alignment vertical="center"/>
    </xf>
    <xf numFmtId="0" fontId="2" fillId="0" borderId="0" xfId="3" applyFont="1" applyFill="1" applyBorder="1" applyAlignment="1" applyProtection="1">
      <alignment vertical="center"/>
    </xf>
    <xf numFmtId="0" fontId="3" fillId="0" borderId="0" xfId="0" applyFont="1" applyAlignment="1" applyProtection="1">
      <alignment wrapText="1"/>
      <protection locked="0"/>
    </xf>
    <xf numFmtId="0" fontId="4" fillId="0" borderId="0" xfId="3" applyFont="1" applyBorder="1" applyAlignment="1" applyProtection="1">
      <alignment horizontal="center" vertical="center" wrapText="1"/>
      <protection locked="0"/>
    </xf>
    <xf numFmtId="0" fontId="4" fillId="0" borderId="0" xfId="3" applyFont="1" applyFill="1" applyBorder="1" applyAlignment="1" applyProtection="1">
      <alignment vertical="center"/>
      <protection locked="0"/>
    </xf>
    <xf numFmtId="0" fontId="4" fillId="0" borderId="0" xfId="3" applyFont="1" applyFill="1" applyAlignment="1" applyProtection="1">
      <alignment vertical="center"/>
      <protection locked="0"/>
    </xf>
    <xf numFmtId="0" fontId="3" fillId="0" borderId="0" xfId="0" applyFont="1" applyProtection="1">
      <protection locked="0"/>
    </xf>
    <xf numFmtId="0" fontId="4" fillId="0" borderId="0" xfId="4" applyFont="1" applyBorder="1" applyAlignment="1" applyProtection="1">
      <alignment vertical="center"/>
      <protection locked="0"/>
    </xf>
    <xf numFmtId="0" fontId="4" fillId="0" borderId="0" xfId="3" applyFont="1" applyBorder="1" applyAlignment="1" applyProtection="1">
      <alignment vertical="center"/>
      <protection locked="0"/>
    </xf>
    <xf numFmtId="0" fontId="4" fillId="0" borderId="0" xfId="3" applyFont="1" applyBorder="1" applyAlignment="1" applyProtection="1">
      <alignment vertical="center" wrapText="1"/>
      <protection locked="0"/>
    </xf>
    <xf numFmtId="0" fontId="5" fillId="0" borderId="0" xfId="3" applyFont="1" applyBorder="1" applyAlignment="1" applyProtection="1">
      <alignment horizontal="center" vertical="center"/>
      <protection locked="0"/>
    </xf>
    <xf numFmtId="0" fontId="4" fillId="0" borderId="0" xfId="0" applyFont="1" applyBorder="1" applyAlignment="1" applyProtection="1">
      <alignment horizontal="left" vertical="center"/>
      <protection locked="0"/>
    </xf>
    <xf numFmtId="0" fontId="4" fillId="0" borderId="0" xfId="0" applyFont="1" applyBorder="1" applyAlignment="1" applyProtection="1">
      <alignment vertical="center"/>
      <protection locked="0"/>
    </xf>
    <xf numFmtId="0" fontId="4" fillId="0" borderId="5" xfId="3" applyFont="1" applyBorder="1" applyAlignment="1" applyProtection="1">
      <alignment horizontal="center" vertical="center"/>
      <protection locked="0"/>
    </xf>
    <xf numFmtId="0" fontId="4" fillId="0" borderId="5" xfId="3" applyFont="1" applyBorder="1" applyAlignment="1" applyProtection="1">
      <alignment horizontal="centerContinuous" vertical="center"/>
      <protection locked="0"/>
    </xf>
    <xf numFmtId="0" fontId="4" fillId="0" borderId="5" xfId="3" applyFont="1" applyBorder="1" applyAlignment="1" applyProtection="1">
      <alignment horizontal="center" vertical="center" wrapText="1"/>
      <protection locked="0"/>
    </xf>
    <xf numFmtId="0" fontId="4" fillId="0" borderId="5" xfId="3" applyFont="1" applyBorder="1" applyAlignment="1" applyProtection="1">
      <alignment vertical="center" wrapText="1" shrinkToFit="1"/>
      <protection locked="0"/>
    </xf>
    <xf numFmtId="178" fontId="4" fillId="2" borderId="5" xfId="16" applyNumberFormat="1" applyFont="1" applyFill="1" applyBorder="1" applyAlignment="1" applyProtection="1">
      <alignment horizontal="right" vertical="center"/>
    </xf>
    <xf numFmtId="9" fontId="4" fillId="3" borderId="5" xfId="3" applyNumberFormat="1" applyFont="1" applyFill="1" applyBorder="1" applyAlignment="1" applyProtection="1">
      <alignment horizontal="center" vertical="center"/>
      <protection locked="0"/>
    </xf>
    <xf numFmtId="177" fontId="4" fillId="0" borderId="5" xfId="3" applyNumberFormat="1" applyFont="1" applyFill="1" applyBorder="1" applyAlignment="1" applyProtection="1">
      <alignment vertical="center" wrapText="1" shrinkToFit="1"/>
      <protection locked="0"/>
    </xf>
    <xf numFmtId="178" fontId="4" fillId="0" borderId="5" xfId="16" applyNumberFormat="1" applyFont="1" applyFill="1" applyBorder="1" applyAlignment="1" applyProtection="1">
      <alignment horizontal="right" vertical="center"/>
      <protection locked="0"/>
    </xf>
    <xf numFmtId="9" fontId="4" fillId="0" borderId="5" xfId="3" applyNumberFormat="1" applyFont="1" applyFill="1" applyBorder="1" applyAlignment="1" applyProtection="1">
      <alignment horizontal="center" vertical="center"/>
      <protection locked="0"/>
    </xf>
    <xf numFmtId="0" fontId="4" fillId="0" borderId="5" xfId="3" applyFont="1" applyBorder="1" applyAlignment="1" applyProtection="1">
      <alignment vertical="center" wrapText="1"/>
      <protection locked="0"/>
    </xf>
    <xf numFmtId="178" fontId="4" fillId="0" borderId="5" xfId="16" applyNumberFormat="1" applyFont="1" applyFill="1" applyBorder="1" applyAlignment="1" applyProtection="1">
      <alignment horizontal="right" vertical="center"/>
    </xf>
    <xf numFmtId="0" fontId="4" fillId="0" borderId="6" xfId="0" applyFont="1" applyBorder="1" applyAlignment="1" applyProtection="1">
      <alignment horizontal="left" vertical="center" wrapText="1"/>
      <protection locked="0"/>
    </xf>
    <xf numFmtId="177" fontId="4" fillId="3" borderId="5" xfId="3" applyNumberFormat="1" applyFont="1" applyFill="1" applyBorder="1" applyAlignment="1" applyProtection="1">
      <alignment horizontal="center" vertical="center"/>
      <protection locked="0"/>
    </xf>
    <xf numFmtId="177" fontId="4" fillId="2" borderId="5" xfId="3" applyNumberFormat="1" applyFont="1" applyFill="1" applyBorder="1" applyAlignment="1" applyProtection="1">
      <alignment horizontal="right" vertical="center"/>
    </xf>
    <xf numFmtId="9" fontId="4" fillId="4" borderId="5" xfId="3" applyNumberFormat="1" applyFont="1" applyFill="1" applyBorder="1" applyAlignment="1" applyProtection="1">
      <alignment horizontal="center" vertical="center"/>
      <protection locked="0"/>
    </xf>
    <xf numFmtId="0" fontId="4" fillId="0" borderId="0" xfId="0" applyFont="1" applyBorder="1" applyAlignment="1" applyProtection="1">
      <alignment horizontal="right" vertical="center" wrapText="1"/>
      <protection locked="0"/>
    </xf>
    <xf numFmtId="0" fontId="6" fillId="0" borderId="0" xfId="0" applyFont="1" applyBorder="1" applyAlignment="1" applyProtection="1">
      <alignment wrapText="1"/>
      <protection locked="0"/>
    </xf>
    <xf numFmtId="0" fontId="4" fillId="0" borderId="0" xfId="0" applyFont="1" applyBorder="1" applyAlignment="1" applyProtection="1">
      <alignment wrapText="1"/>
      <protection locked="0"/>
    </xf>
    <xf numFmtId="0" fontId="4" fillId="0" borderId="0" xfId="3" applyFont="1" applyBorder="1" applyAlignment="1" applyProtection="1">
      <alignment vertical="center"/>
    </xf>
    <xf numFmtId="9" fontId="4" fillId="3" borderId="5" xfId="15" applyNumberFormat="1" applyFont="1" applyFill="1" applyBorder="1" applyAlignment="1" applyProtection="1">
      <alignment horizontal="center" vertical="center"/>
      <protection locked="0"/>
    </xf>
    <xf numFmtId="9" fontId="4" fillId="0" borderId="5" xfId="15" applyNumberFormat="1" applyFont="1" applyFill="1" applyBorder="1" applyAlignment="1" applyProtection="1">
      <alignment horizontal="center" vertical="center"/>
      <protection locked="0"/>
    </xf>
    <xf numFmtId="9" fontId="4" fillId="4" borderId="5" xfId="15" applyNumberFormat="1" applyFont="1" applyFill="1" applyBorder="1" applyAlignment="1" applyProtection="1">
      <alignment horizontal="center" vertical="center"/>
      <protection locked="0"/>
    </xf>
    <xf numFmtId="9" fontId="4" fillId="0" borderId="5" xfId="3" applyNumberFormat="1" applyFont="1" applyBorder="1" applyAlignment="1" applyProtection="1">
      <alignment horizontal="center" vertical="center"/>
      <protection locked="0"/>
    </xf>
    <xf numFmtId="0" fontId="4" fillId="0" borderId="5" xfId="3" applyFont="1" applyFill="1" applyBorder="1" applyAlignment="1" applyProtection="1">
      <alignment horizontal="center" vertical="center"/>
      <protection locked="0"/>
    </xf>
    <xf numFmtId="0" fontId="4" fillId="0" borderId="5" xfId="3" applyFont="1" applyFill="1" applyBorder="1" applyAlignment="1" applyProtection="1">
      <alignment vertical="center" wrapText="1"/>
      <protection locked="0"/>
    </xf>
    <xf numFmtId="177" fontId="4" fillId="0" borderId="5" xfId="3" applyNumberFormat="1" applyFont="1" applyBorder="1" applyAlignment="1" applyProtection="1">
      <alignment vertical="center" wrapText="1" shrinkToFit="1"/>
      <protection locked="0"/>
    </xf>
    <xf numFmtId="0" fontId="4" fillId="0" borderId="7" xfId="4" applyFont="1" applyFill="1" applyBorder="1" applyAlignment="1" applyProtection="1">
      <alignment vertical="center"/>
      <protection locked="0"/>
    </xf>
    <xf numFmtId="0" fontId="4" fillId="0" borderId="7" xfId="4" applyFont="1" applyBorder="1" applyAlignment="1" applyProtection="1">
      <alignment vertical="center"/>
      <protection locked="0"/>
    </xf>
    <xf numFmtId="0" fontId="4" fillId="0" borderId="7" xfId="0" applyFont="1" applyBorder="1" applyAlignment="1" applyProtection="1">
      <alignment vertical="center"/>
      <protection locked="0"/>
    </xf>
    <xf numFmtId="0" fontId="4" fillId="2" borderId="0" xfId="0" applyFont="1" applyFill="1" applyAlignment="1" applyProtection="1">
      <alignment horizontal="center" vertical="center" wrapText="1"/>
      <protection locked="0"/>
    </xf>
    <xf numFmtId="0" fontId="4" fillId="0" borderId="0" xfId="0" applyFont="1" applyAlignment="1" applyProtection="1">
      <alignment vertical="center" wrapText="1"/>
      <protection locked="0"/>
    </xf>
    <xf numFmtId="0" fontId="4" fillId="5" borderId="0" xfId="0" applyFont="1" applyFill="1" applyAlignment="1" applyProtection="1">
      <alignment horizontal="center" vertical="center" wrapText="1"/>
      <protection locked="0"/>
    </xf>
    <xf numFmtId="176" fontId="7" fillId="0" borderId="0" xfId="1" applyNumberFormat="1" applyFont="1" applyProtection="1">
      <alignment vertical="center"/>
      <protection locked="0"/>
    </xf>
    <xf numFmtId="176" fontId="7" fillId="0" borderId="0" xfId="1" applyNumberFormat="1" applyFont="1" applyAlignment="1" applyProtection="1">
      <alignment horizontal="left" vertical="center"/>
      <protection locked="0"/>
    </xf>
    <xf numFmtId="9" fontId="4" fillId="3" borderId="5" xfId="3" applyNumberFormat="1" applyFont="1" applyFill="1" applyBorder="1" applyAlignment="1" applyProtection="1">
      <alignment horizontal="right" vertical="center"/>
      <protection locked="0"/>
    </xf>
    <xf numFmtId="178" fontId="4" fillId="3" borderId="5" xfId="16" applyNumberFormat="1" applyFont="1" applyFill="1" applyBorder="1" applyAlignment="1" applyProtection="1">
      <alignment horizontal="right" vertical="center"/>
      <protection locked="0"/>
    </xf>
  </cellXfs>
  <cellStyles count="53">
    <cellStyle name="常规" xfId="0" builtinId="0"/>
    <cellStyle name="常规_资本充足率汇总表-0223" xfId="1"/>
    <cellStyle name="常规_G01" xfId="2"/>
    <cellStyle name="常规_测算模板1" xfId="3"/>
    <cellStyle name="常规_G43" xfId="4"/>
    <cellStyle name="40% - 强调文字颜色 6" xfId="5" builtinId="51"/>
    <cellStyle name="20% - 强调文字颜色 6" xfId="6" builtinId="50"/>
    <cellStyle name="强调文字颜色 6" xfId="7" builtinId="49"/>
    <cellStyle name="40% - 强调文字颜色 5" xfId="8" builtinId="47"/>
    <cellStyle name="20% - 强调文字颜色 5" xfId="9" builtinId="46"/>
    <cellStyle name="强调文字颜色 5" xfId="10" builtinId="45"/>
    <cellStyle name="40% - 强调文字颜色 4" xfId="11" builtinId="43"/>
    <cellStyle name="标题 3" xfId="12" builtinId="18"/>
    <cellStyle name="解释性文本" xfId="13" builtinId="53"/>
    <cellStyle name="汇总" xfId="14" builtinId="25"/>
    <cellStyle name="百分比" xfId="15" builtinId="5"/>
    <cellStyle name="千位分隔" xfId="16" builtinId="3"/>
    <cellStyle name="标题 2" xfId="17" builtinId="17"/>
    <cellStyle name="货币[0]" xfId="18" builtinId="7"/>
    <cellStyle name="60% - 强调文字颜色 4" xfId="19" builtinId="44"/>
    <cellStyle name="警告文本" xfId="20" builtinId="11"/>
    <cellStyle name="20% - 强调文字颜色 2" xfId="21" builtinId="34"/>
    <cellStyle name="60% - 强调文字颜色 5" xfId="22" builtinId="48"/>
    <cellStyle name="标题 1" xfId="23" builtinId="16"/>
    <cellStyle name="超链接" xfId="24" builtinId="8"/>
    <cellStyle name="20% - 强调文字颜色 3" xfId="25" builtinId="38"/>
    <cellStyle name="货币" xfId="26" builtinId="4"/>
    <cellStyle name="20% - 强调文字颜色 4" xfId="27" builtinId="42"/>
    <cellStyle name="计算" xfId="28" builtinId="22"/>
    <cellStyle name="已访问的超链接" xfId="29" builtinId="9"/>
    <cellStyle name="千位分隔[0]" xfId="30" builtinId="6"/>
    <cellStyle name="强调文字颜色 4" xfId="31" builtinId="41"/>
    <cellStyle name="40% - 强调文字颜色 3" xfId="32" builtinId="39"/>
    <cellStyle name="60% - 强调文字颜色 6" xfId="33" builtinId="52"/>
    <cellStyle name="输入" xfId="34" builtinId="20"/>
    <cellStyle name="输出" xfId="35" builtinId="21"/>
    <cellStyle name="检查单元格" xfId="36" builtinId="23"/>
    <cellStyle name="链接单元格" xfId="37" builtinId="24"/>
    <cellStyle name="60% - 强调文字颜色 1" xfId="38" builtinId="32"/>
    <cellStyle name="60% - 强调文字颜色 3" xfId="39" builtinId="40"/>
    <cellStyle name="注释" xfId="40" builtinId="10"/>
    <cellStyle name="标题" xfId="41" builtinId="15"/>
    <cellStyle name="好" xfId="42" builtinId="26"/>
    <cellStyle name="标题 4" xfId="43" builtinId="19"/>
    <cellStyle name="强调文字颜色 1" xfId="44" builtinId="29"/>
    <cellStyle name="适中" xfId="45" builtinId="28"/>
    <cellStyle name="20% - 强调文字颜色 1" xfId="46" builtinId="30"/>
    <cellStyle name="差" xfId="47" builtinId="27"/>
    <cellStyle name="强调文字颜色 2" xfId="48" builtinId="33"/>
    <cellStyle name="40% - 强调文字颜色 1" xfId="49" builtinId="31"/>
    <cellStyle name="60% - 强调文字颜色 2" xfId="50" builtinId="36"/>
    <cellStyle name="40% - 强调文字颜色 2" xfId="51" builtinId="35"/>
    <cellStyle name="强调文字颜色 3" xfId="52" builtinId="37"/>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T590"/>
  <sheetViews>
    <sheetView tabSelected="1" zoomScale="107" zoomScaleNormal="107" topLeftCell="A572" workbookViewId="0">
      <selection activeCell="A590" sqref="A590:B590"/>
    </sheetView>
  </sheetViews>
  <sheetFormatPr defaultColWidth="9" defaultRowHeight="21" customHeight="1"/>
  <cols>
    <col min="1" max="1" width="5.16666666666667" style="20" customWidth="1"/>
    <col min="2" max="2" width="38.1666666666667" style="21" customWidth="1"/>
    <col min="3" max="3" width="10.6666666666667" style="20" customWidth="1"/>
    <col min="4" max="4" width="11" style="20" customWidth="1"/>
    <col min="5" max="9" width="10.6666666666667" style="20" customWidth="1"/>
    <col min="10" max="16384" width="9" style="20"/>
  </cols>
  <sheetData>
    <row r="1" customHeight="1" spans="1:9">
      <c r="A1" s="22" t="s">
        <v>0</v>
      </c>
      <c r="B1" s="22"/>
      <c r="C1" s="22"/>
      <c r="D1" s="22"/>
      <c r="E1" s="22"/>
      <c r="F1" s="22"/>
      <c r="G1" s="22"/>
      <c r="H1" s="22"/>
      <c r="I1" s="22"/>
    </row>
    <row r="2" s="14" customFormat="1" customHeight="1" spans="1:16">
      <c r="A2" s="23" t="s">
        <v>1</v>
      </c>
      <c r="B2" s="23"/>
      <c r="C2" s="24" t="s">
        <v>2</v>
      </c>
      <c r="D2" s="24"/>
      <c r="E2" s="24"/>
      <c r="F2" s="36" t="s">
        <v>3</v>
      </c>
      <c r="G2" s="36"/>
      <c r="H2" s="36"/>
      <c r="I2" s="40" t="s">
        <v>4</v>
      </c>
      <c r="J2" s="41"/>
      <c r="K2" s="41"/>
      <c r="L2" s="41"/>
      <c r="M2" s="41"/>
      <c r="N2" s="42"/>
      <c r="O2" s="41"/>
      <c r="P2" s="41"/>
    </row>
    <row r="3" customHeight="1" spans="1:9">
      <c r="A3" s="25" t="s">
        <v>5</v>
      </c>
      <c r="B3" s="25"/>
      <c r="C3" s="26" t="s">
        <v>6</v>
      </c>
      <c r="D3" s="26" t="s">
        <v>7</v>
      </c>
      <c r="E3" s="26" t="s">
        <v>8</v>
      </c>
      <c r="F3" s="26" t="s">
        <v>9</v>
      </c>
      <c r="G3" s="26" t="s">
        <v>10</v>
      </c>
      <c r="H3" s="26" t="s">
        <v>11</v>
      </c>
      <c r="I3" s="26" t="s">
        <v>12</v>
      </c>
    </row>
    <row r="4" s="15" customFormat="1" customHeight="1" spans="1:11">
      <c r="A4" s="25"/>
      <c r="B4" s="25"/>
      <c r="C4" s="27" t="s">
        <v>13</v>
      </c>
      <c r="D4" s="27" t="s">
        <v>14</v>
      </c>
      <c r="E4" s="27" t="s">
        <v>15</v>
      </c>
      <c r="F4" s="27" t="s">
        <v>16</v>
      </c>
      <c r="G4" s="27" t="s">
        <v>17</v>
      </c>
      <c r="H4" s="27" t="s">
        <v>18</v>
      </c>
      <c r="I4" s="27" t="s">
        <v>19</v>
      </c>
      <c r="K4" s="16"/>
    </row>
    <row r="5" s="15" customFormat="1" customHeight="1" spans="1:11">
      <c r="A5" s="25"/>
      <c r="B5" s="25"/>
      <c r="C5" s="27"/>
      <c r="D5" s="27"/>
      <c r="E5" s="27"/>
      <c r="F5" s="27"/>
      <c r="G5" s="27"/>
      <c r="H5" s="27"/>
      <c r="I5" s="27"/>
      <c r="K5" s="16"/>
    </row>
    <row r="6" customHeight="1" spans="1:254">
      <c r="A6" s="25">
        <v>1</v>
      </c>
      <c r="B6" s="28" t="s">
        <v>20</v>
      </c>
      <c r="C6" s="29">
        <f>C7+C29+C51</f>
        <v>0</v>
      </c>
      <c r="D6" s="30"/>
      <c r="E6" s="29">
        <f>E7+E29+E51</f>
        <v>0</v>
      </c>
      <c r="F6" s="29">
        <f>F7+F29+F51</f>
        <v>0</v>
      </c>
      <c r="G6" s="29">
        <f>G7+G29+G51</f>
        <v>0</v>
      </c>
      <c r="H6" s="37"/>
      <c r="I6" s="29">
        <f>I7+I29+I51</f>
        <v>0</v>
      </c>
      <c r="K6" s="16"/>
      <c r="IT6" s="43">
        <f>SUM(A6:IS6)</f>
        <v>1</v>
      </c>
    </row>
    <row r="7" customHeight="1" spans="1:11">
      <c r="A7" s="25">
        <v>2</v>
      </c>
      <c r="B7" s="28" t="s">
        <v>21</v>
      </c>
      <c r="C7" s="29">
        <f>SUM(C8:C28)</f>
        <v>0</v>
      </c>
      <c r="D7" s="30"/>
      <c r="E7" s="29">
        <f>SUM(E8:E28)</f>
        <v>0</v>
      </c>
      <c r="F7" s="29">
        <f>SUM(F8:F28)</f>
        <v>0</v>
      </c>
      <c r="G7" s="29">
        <f>SUM(G8:G28)</f>
        <v>0</v>
      </c>
      <c r="H7" s="37"/>
      <c r="I7" s="29">
        <f>SUM(I8:I28)</f>
        <v>0</v>
      </c>
      <c r="K7" s="16"/>
    </row>
    <row r="8" s="16" customFormat="1" customHeight="1" spans="1:9">
      <c r="A8" s="25">
        <v>3</v>
      </c>
      <c r="B8" s="31" t="s">
        <v>22</v>
      </c>
      <c r="C8" s="32"/>
      <c r="D8" s="33">
        <v>1</v>
      </c>
      <c r="E8" s="38">
        <f t="shared" ref="E8:E28" si="0">C8*D8</f>
        <v>0</v>
      </c>
      <c r="F8" s="32"/>
      <c r="G8" s="29">
        <f t="shared" ref="G8:G28" si="1">E8-F8</f>
        <v>0</v>
      </c>
      <c r="H8" s="33">
        <v>0</v>
      </c>
      <c r="I8" s="29">
        <f>G8*H8</f>
        <v>0</v>
      </c>
    </row>
    <row r="9" s="16" customFormat="1" customHeight="1" spans="1:9">
      <c r="A9" s="25">
        <v>4</v>
      </c>
      <c r="B9" s="31" t="s">
        <v>23</v>
      </c>
      <c r="C9" s="32"/>
      <c r="D9" s="33">
        <v>1</v>
      </c>
      <c r="E9" s="38">
        <f t="shared" si="0"/>
        <v>0</v>
      </c>
      <c r="F9" s="32"/>
      <c r="G9" s="29">
        <f t="shared" si="1"/>
        <v>0</v>
      </c>
      <c r="H9" s="33">
        <v>0.1</v>
      </c>
      <c r="I9" s="29">
        <f t="shared" ref="I9:I27" si="2">G9*H9</f>
        <v>0</v>
      </c>
    </row>
    <row r="10" s="16" customFormat="1" customHeight="1" spans="1:9">
      <c r="A10" s="25">
        <v>5</v>
      </c>
      <c r="B10" s="31" t="s">
        <v>24</v>
      </c>
      <c r="C10" s="32"/>
      <c r="D10" s="33">
        <v>1</v>
      </c>
      <c r="E10" s="38">
        <f t="shared" si="0"/>
        <v>0</v>
      </c>
      <c r="F10" s="32"/>
      <c r="G10" s="29">
        <f t="shared" si="1"/>
        <v>0</v>
      </c>
      <c r="H10" s="33">
        <v>0.15</v>
      </c>
      <c r="I10" s="29">
        <f t="shared" si="2"/>
        <v>0</v>
      </c>
    </row>
    <row r="11" s="16" customFormat="1" customHeight="1" spans="1:9">
      <c r="A11" s="25">
        <v>6</v>
      </c>
      <c r="B11" s="31" t="s">
        <v>25</v>
      </c>
      <c r="C11" s="32"/>
      <c r="D11" s="33">
        <v>1</v>
      </c>
      <c r="E11" s="38">
        <f t="shared" si="0"/>
        <v>0</v>
      </c>
      <c r="F11" s="32"/>
      <c r="G11" s="29">
        <f t="shared" si="1"/>
        <v>0</v>
      </c>
      <c r="H11" s="33">
        <v>0.2</v>
      </c>
      <c r="I11" s="29">
        <f t="shared" si="2"/>
        <v>0</v>
      </c>
    </row>
    <row r="12" s="16" customFormat="1" customHeight="1" spans="1:9">
      <c r="A12" s="25">
        <v>7</v>
      </c>
      <c r="B12" s="31" t="s">
        <v>26</v>
      </c>
      <c r="C12" s="32"/>
      <c r="D12" s="33">
        <v>1</v>
      </c>
      <c r="E12" s="38">
        <f t="shared" si="0"/>
        <v>0</v>
      </c>
      <c r="F12" s="32"/>
      <c r="G12" s="29">
        <f t="shared" si="1"/>
        <v>0</v>
      </c>
      <c r="H12" s="33">
        <v>0.25</v>
      </c>
      <c r="I12" s="29">
        <f t="shared" si="2"/>
        <v>0</v>
      </c>
    </row>
    <row r="13" s="16" customFormat="1" customHeight="1" spans="1:9">
      <c r="A13" s="25">
        <v>8</v>
      </c>
      <c r="B13" s="31" t="s">
        <v>27</v>
      </c>
      <c r="C13" s="32"/>
      <c r="D13" s="33">
        <v>1</v>
      </c>
      <c r="E13" s="38">
        <f t="shared" si="0"/>
        <v>0</v>
      </c>
      <c r="F13" s="32"/>
      <c r="G13" s="29">
        <f t="shared" si="1"/>
        <v>0</v>
      </c>
      <c r="H13" s="33">
        <v>0.3</v>
      </c>
      <c r="I13" s="29">
        <f t="shared" si="2"/>
        <v>0</v>
      </c>
    </row>
    <row r="14" s="16" customFormat="1" customHeight="1" spans="1:9">
      <c r="A14" s="25">
        <v>9</v>
      </c>
      <c r="B14" s="31" t="s">
        <v>28</v>
      </c>
      <c r="C14" s="32"/>
      <c r="D14" s="33">
        <v>1</v>
      </c>
      <c r="E14" s="38">
        <f t="shared" si="0"/>
        <v>0</v>
      </c>
      <c r="F14" s="32"/>
      <c r="G14" s="29">
        <f t="shared" si="1"/>
        <v>0</v>
      </c>
      <c r="H14" s="33">
        <v>0.35</v>
      </c>
      <c r="I14" s="29">
        <f t="shared" si="2"/>
        <v>0</v>
      </c>
    </row>
    <row r="15" s="16" customFormat="1" customHeight="1" spans="1:9">
      <c r="A15" s="25">
        <v>10</v>
      </c>
      <c r="B15" s="31" t="s">
        <v>29</v>
      </c>
      <c r="C15" s="32"/>
      <c r="D15" s="33">
        <v>1</v>
      </c>
      <c r="E15" s="38">
        <f t="shared" si="0"/>
        <v>0</v>
      </c>
      <c r="F15" s="32"/>
      <c r="G15" s="29">
        <f t="shared" si="1"/>
        <v>0</v>
      </c>
      <c r="H15" s="33">
        <v>0.4</v>
      </c>
      <c r="I15" s="29">
        <f t="shared" si="2"/>
        <v>0</v>
      </c>
    </row>
    <row r="16" s="16" customFormat="1" customHeight="1" spans="1:9">
      <c r="A16" s="25">
        <v>11</v>
      </c>
      <c r="B16" s="31" t="s">
        <v>30</v>
      </c>
      <c r="C16" s="32"/>
      <c r="D16" s="33">
        <v>1</v>
      </c>
      <c r="E16" s="38">
        <f t="shared" si="0"/>
        <v>0</v>
      </c>
      <c r="F16" s="32"/>
      <c r="G16" s="29">
        <f t="shared" si="1"/>
        <v>0</v>
      </c>
      <c r="H16" s="33">
        <v>0.45</v>
      </c>
      <c r="I16" s="29">
        <f t="shared" si="2"/>
        <v>0</v>
      </c>
    </row>
    <row r="17" s="16" customFormat="1" customHeight="1" spans="1:9">
      <c r="A17" s="25">
        <v>12</v>
      </c>
      <c r="B17" s="31" t="s">
        <v>31</v>
      </c>
      <c r="C17" s="32"/>
      <c r="D17" s="33">
        <v>1</v>
      </c>
      <c r="E17" s="38">
        <f t="shared" si="0"/>
        <v>0</v>
      </c>
      <c r="F17" s="32"/>
      <c r="G17" s="29">
        <f t="shared" si="1"/>
        <v>0</v>
      </c>
      <c r="H17" s="33">
        <v>0.5</v>
      </c>
      <c r="I17" s="29">
        <f t="shared" si="2"/>
        <v>0</v>
      </c>
    </row>
    <row r="18" s="16" customFormat="1" customHeight="1" spans="1:9">
      <c r="A18" s="25">
        <v>13</v>
      </c>
      <c r="B18" s="31" t="s">
        <v>32</v>
      </c>
      <c r="C18" s="32"/>
      <c r="D18" s="33">
        <v>1</v>
      </c>
      <c r="E18" s="38">
        <f t="shared" si="0"/>
        <v>0</v>
      </c>
      <c r="F18" s="32"/>
      <c r="G18" s="29">
        <f t="shared" si="1"/>
        <v>0</v>
      </c>
      <c r="H18" s="33">
        <v>0.6</v>
      </c>
      <c r="I18" s="29">
        <f t="shared" si="2"/>
        <v>0</v>
      </c>
    </row>
    <row r="19" s="16" customFormat="1" customHeight="1" spans="1:9">
      <c r="A19" s="25">
        <v>14</v>
      </c>
      <c r="B19" s="31" t="s">
        <v>33</v>
      </c>
      <c r="C19" s="32"/>
      <c r="D19" s="33">
        <v>1</v>
      </c>
      <c r="E19" s="38">
        <f t="shared" si="0"/>
        <v>0</v>
      </c>
      <c r="F19" s="32"/>
      <c r="G19" s="29">
        <f t="shared" si="1"/>
        <v>0</v>
      </c>
      <c r="H19" s="33">
        <v>0.65</v>
      </c>
      <c r="I19" s="29">
        <f t="shared" si="2"/>
        <v>0</v>
      </c>
    </row>
    <row r="20" s="16" customFormat="1" customHeight="1" spans="1:9">
      <c r="A20" s="25">
        <v>15</v>
      </c>
      <c r="B20" s="31" t="s">
        <v>34</v>
      </c>
      <c r="C20" s="32"/>
      <c r="D20" s="33">
        <v>1</v>
      </c>
      <c r="E20" s="38">
        <f t="shared" si="0"/>
        <v>0</v>
      </c>
      <c r="F20" s="32"/>
      <c r="G20" s="29">
        <f t="shared" si="1"/>
        <v>0</v>
      </c>
      <c r="H20" s="33">
        <v>0.75</v>
      </c>
      <c r="I20" s="29">
        <f t="shared" si="2"/>
        <v>0</v>
      </c>
    </row>
    <row r="21" s="16" customFormat="1" customHeight="1" spans="1:9">
      <c r="A21" s="25">
        <v>16</v>
      </c>
      <c r="B21" s="31" t="s">
        <v>35</v>
      </c>
      <c r="C21" s="32"/>
      <c r="D21" s="33">
        <v>1</v>
      </c>
      <c r="E21" s="38">
        <f t="shared" si="0"/>
        <v>0</v>
      </c>
      <c r="F21" s="32"/>
      <c r="G21" s="29">
        <f t="shared" si="1"/>
        <v>0</v>
      </c>
      <c r="H21" s="33">
        <v>0.85</v>
      </c>
      <c r="I21" s="29">
        <f t="shared" si="2"/>
        <v>0</v>
      </c>
    </row>
    <row r="22" s="16" customFormat="1" customHeight="1" spans="1:9">
      <c r="A22" s="25">
        <v>17</v>
      </c>
      <c r="B22" s="31" t="s">
        <v>36</v>
      </c>
      <c r="C22" s="32"/>
      <c r="D22" s="33">
        <v>1</v>
      </c>
      <c r="E22" s="38">
        <f t="shared" si="0"/>
        <v>0</v>
      </c>
      <c r="F22" s="32"/>
      <c r="G22" s="29">
        <f t="shared" si="1"/>
        <v>0</v>
      </c>
      <c r="H22" s="33">
        <v>0.9</v>
      </c>
      <c r="I22" s="29">
        <f t="shared" si="2"/>
        <v>0</v>
      </c>
    </row>
    <row r="23" s="16" customFormat="1" customHeight="1" spans="1:9">
      <c r="A23" s="25">
        <v>18</v>
      </c>
      <c r="B23" s="31" t="s">
        <v>37</v>
      </c>
      <c r="C23" s="32"/>
      <c r="D23" s="33">
        <v>1</v>
      </c>
      <c r="E23" s="38">
        <f t="shared" si="0"/>
        <v>0</v>
      </c>
      <c r="F23" s="32"/>
      <c r="G23" s="29">
        <f t="shared" si="1"/>
        <v>0</v>
      </c>
      <c r="H23" s="33">
        <v>1</v>
      </c>
      <c r="I23" s="29">
        <f t="shared" si="2"/>
        <v>0</v>
      </c>
    </row>
    <row r="24" s="16" customFormat="1" customHeight="1" spans="1:9">
      <c r="A24" s="25">
        <v>19</v>
      </c>
      <c r="B24" s="31" t="s">
        <v>38</v>
      </c>
      <c r="C24" s="32"/>
      <c r="D24" s="33">
        <v>1</v>
      </c>
      <c r="E24" s="38">
        <f t="shared" si="0"/>
        <v>0</v>
      </c>
      <c r="F24" s="32"/>
      <c r="G24" s="29">
        <f t="shared" si="1"/>
        <v>0</v>
      </c>
      <c r="H24" s="33">
        <v>1.05</v>
      </c>
      <c r="I24" s="29">
        <f t="shared" si="2"/>
        <v>0</v>
      </c>
    </row>
    <row r="25" s="16" customFormat="1" customHeight="1" spans="1:9">
      <c r="A25" s="25">
        <v>20</v>
      </c>
      <c r="B25" s="31" t="s">
        <v>39</v>
      </c>
      <c r="C25" s="32"/>
      <c r="D25" s="33">
        <v>1</v>
      </c>
      <c r="E25" s="38">
        <f t="shared" si="0"/>
        <v>0</v>
      </c>
      <c r="F25" s="32"/>
      <c r="G25" s="29">
        <f t="shared" si="1"/>
        <v>0</v>
      </c>
      <c r="H25" s="33">
        <v>1.1</v>
      </c>
      <c r="I25" s="29">
        <f t="shared" si="2"/>
        <v>0</v>
      </c>
    </row>
    <row r="26" s="16" customFormat="1" customHeight="1" spans="1:9">
      <c r="A26" s="25">
        <v>21</v>
      </c>
      <c r="B26" s="31" t="s">
        <v>40</v>
      </c>
      <c r="C26" s="32"/>
      <c r="D26" s="33">
        <v>1</v>
      </c>
      <c r="E26" s="38">
        <f t="shared" si="0"/>
        <v>0</v>
      </c>
      <c r="F26" s="32"/>
      <c r="G26" s="29">
        <f t="shared" si="1"/>
        <v>0</v>
      </c>
      <c r="H26" s="33">
        <v>1.3</v>
      </c>
      <c r="I26" s="29">
        <f t="shared" si="2"/>
        <v>0</v>
      </c>
    </row>
    <row r="27" s="16" customFormat="1" customHeight="1" spans="1:9">
      <c r="A27" s="25">
        <v>22</v>
      </c>
      <c r="B27" s="31" t="s">
        <v>41</v>
      </c>
      <c r="C27" s="32"/>
      <c r="D27" s="33">
        <v>1</v>
      </c>
      <c r="E27" s="38">
        <f t="shared" si="0"/>
        <v>0</v>
      </c>
      <c r="F27" s="32"/>
      <c r="G27" s="29">
        <f t="shared" si="1"/>
        <v>0</v>
      </c>
      <c r="H27" s="33">
        <v>1.5</v>
      </c>
      <c r="I27" s="29">
        <f t="shared" si="2"/>
        <v>0</v>
      </c>
    </row>
    <row r="28" s="17" customFormat="1" customHeight="1" spans="1:9">
      <c r="A28" s="25">
        <v>23</v>
      </c>
      <c r="B28" s="31" t="s">
        <v>42</v>
      </c>
      <c r="C28" s="32"/>
      <c r="D28" s="33">
        <v>1</v>
      </c>
      <c r="E28" s="38">
        <f t="shared" si="0"/>
        <v>0</v>
      </c>
      <c r="F28" s="32"/>
      <c r="G28" s="29">
        <f t="shared" si="1"/>
        <v>0</v>
      </c>
      <c r="H28" s="37"/>
      <c r="I28" s="32"/>
    </row>
    <row r="29" customHeight="1" spans="1:9">
      <c r="A29" s="25">
        <v>24</v>
      </c>
      <c r="B29" s="34" t="s">
        <v>43</v>
      </c>
      <c r="C29" s="29">
        <f>SUM(C30:C50)</f>
        <v>0</v>
      </c>
      <c r="D29" s="30"/>
      <c r="E29" s="29">
        <f>SUM(E30:E50)</f>
        <v>0</v>
      </c>
      <c r="F29" s="29">
        <f>SUM(F30:F50)</f>
        <v>0</v>
      </c>
      <c r="G29" s="29">
        <f>SUM(G30:G50)</f>
        <v>0</v>
      </c>
      <c r="H29" s="37"/>
      <c r="I29" s="29">
        <f>SUM(I30:I50)</f>
        <v>0</v>
      </c>
    </row>
    <row r="30" s="16" customFormat="1" customHeight="1" spans="1:9">
      <c r="A30" s="25">
        <v>25</v>
      </c>
      <c r="B30" s="31" t="s">
        <v>44</v>
      </c>
      <c r="C30" s="32"/>
      <c r="D30" s="33">
        <v>1</v>
      </c>
      <c r="E30" s="38">
        <f t="shared" ref="E30:E50" si="3">C30*D30</f>
        <v>0</v>
      </c>
      <c r="F30" s="32"/>
      <c r="G30" s="29">
        <f t="shared" ref="G30:G50" si="4">E30-F30</f>
        <v>0</v>
      </c>
      <c r="H30" s="33">
        <v>0</v>
      </c>
      <c r="I30" s="29">
        <f t="shared" ref="I30:I49" si="5">G30*H30</f>
        <v>0</v>
      </c>
    </row>
    <row r="31" s="16" customFormat="1" customHeight="1" spans="1:9">
      <c r="A31" s="25">
        <v>26</v>
      </c>
      <c r="B31" s="31" t="s">
        <v>45</v>
      </c>
      <c r="C31" s="32"/>
      <c r="D31" s="33">
        <v>1</v>
      </c>
      <c r="E31" s="38">
        <f t="shared" si="3"/>
        <v>0</v>
      </c>
      <c r="F31" s="32"/>
      <c r="G31" s="29">
        <f t="shared" si="4"/>
        <v>0</v>
      </c>
      <c r="H31" s="33">
        <v>0.1</v>
      </c>
      <c r="I31" s="29">
        <f t="shared" si="5"/>
        <v>0</v>
      </c>
    </row>
    <row r="32" s="16" customFormat="1" customHeight="1" spans="1:9">
      <c r="A32" s="25">
        <v>27</v>
      </c>
      <c r="B32" s="31" t="s">
        <v>46</v>
      </c>
      <c r="C32" s="32"/>
      <c r="D32" s="33">
        <v>1</v>
      </c>
      <c r="E32" s="38">
        <f t="shared" si="3"/>
        <v>0</v>
      </c>
      <c r="F32" s="32"/>
      <c r="G32" s="29">
        <f t="shared" si="4"/>
        <v>0</v>
      </c>
      <c r="H32" s="33">
        <v>0.15</v>
      </c>
      <c r="I32" s="29">
        <f t="shared" si="5"/>
        <v>0</v>
      </c>
    </row>
    <row r="33" s="16" customFormat="1" customHeight="1" spans="1:9">
      <c r="A33" s="25">
        <v>28</v>
      </c>
      <c r="B33" s="31" t="s">
        <v>47</v>
      </c>
      <c r="C33" s="32"/>
      <c r="D33" s="33">
        <v>1</v>
      </c>
      <c r="E33" s="38">
        <f t="shared" si="3"/>
        <v>0</v>
      </c>
      <c r="F33" s="32"/>
      <c r="G33" s="29">
        <f t="shared" si="4"/>
        <v>0</v>
      </c>
      <c r="H33" s="33">
        <v>0.2</v>
      </c>
      <c r="I33" s="29">
        <f t="shared" si="5"/>
        <v>0</v>
      </c>
    </row>
    <row r="34" s="16" customFormat="1" customHeight="1" spans="1:9">
      <c r="A34" s="25">
        <v>29</v>
      </c>
      <c r="B34" s="31" t="s">
        <v>48</v>
      </c>
      <c r="C34" s="32"/>
      <c r="D34" s="33">
        <v>1</v>
      </c>
      <c r="E34" s="38">
        <f t="shared" si="3"/>
        <v>0</v>
      </c>
      <c r="F34" s="32"/>
      <c r="G34" s="29">
        <f t="shared" si="4"/>
        <v>0</v>
      </c>
      <c r="H34" s="33">
        <v>0.25</v>
      </c>
      <c r="I34" s="29">
        <f t="shared" si="5"/>
        <v>0</v>
      </c>
    </row>
    <row r="35" s="16" customFormat="1" customHeight="1" spans="1:9">
      <c r="A35" s="25">
        <v>30</v>
      </c>
      <c r="B35" s="31" t="s">
        <v>49</v>
      </c>
      <c r="C35" s="32"/>
      <c r="D35" s="33">
        <v>1</v>
      </c>
      <c r="E35" s="38">
        <f t="shared" si="3"/>
        <v>0</v>
      </c>
      <c r="F35" s="32"/>
      <c r="G35" s="29">
        <f t="shared" si="4"/>
        <v>0</v>
      </c>
      <c r="H35" s="33">
        <v>0.3</v>
      </c>
      <c r="I35" s="29">
        <f t="shared" si="5"/>
        <v>0</v>
      </c>
    </row>
    <row r="36" s="16" customFormat="1" customHeight="1" spans="1:9">
      <c r="A36" s="25">
        <v>31</v>
      </c>
      <c r="B36" s="31" t="s">
        <v>50</v>
      </c>
      <c r="C36" s="32"/>
      <c r="D36" s="33">
        <v>1</v>
      </c>
      <c r="E36" s="38">
        <f t="shared" si="3"/>
        <v>0</v>
      </c>
      <c r="F36" s="32"/>
      <c r="G36" s="29">
        <f t="shared" si="4"/>
        <v>0</v>
      </c>
      <c r="H36" s="33">
        <v>0.35</v>
      </c>
      <c r="I36" s="29">
        <f t="shared" si="5"/>
        <v>0</v>
      </c>
    </row>
    <row r="37" s="16" customFormat="1" customHeight="1" spans="1:9">
      <c r="A37" s="25">
        <v>32</v>
      </c>
      <c r="B37" s="31" t="s">
        <v>51</v>
      </c>
      <c r="C37" s="32"/>
      <c r="D37" s="33">
        <v>1</v>
      </c>
      <c r="E37" s="38">
        <f t="shared" si="3"/>
        <v>0</v>
      </c>
      <c r="F37" s="32"/>
      <c r="G37" s="29">
        <f t="shared" si="4"/>
        <v>0</v>
      </c>
      <c r="H37" s="33">
        <v>0.4</v>
      </c>
      <c r="I37" s="29">
        <f t="shared" si="5"/>
        <v>0</v>
      </c>
    </row>
    <row r="38" s="16" customFormat="1" customHeight="1" spans="1:9">
      <c r="A38" s="25">
        <v>33</v>
      </c>
      <c r="B38" s="31" t="s">
        <v>52</v>
      </c>
      <c r="C38" s="32"/>
      <c r="D38" s="33">
        <v>1</v>
      </c>
      <c r="E38" s="38">
        <f t="shared" si="3"/>
        <v>0</v>
      </c>
      <c r="F38" s="32"/>
      <c r="G38" s="29">
        <f t="shared" si="4"/>
        <v>0</v>
      </c>
      <c r="H38" s="33">
        <v>0.45</v>
      </c>
      <c r="I38" s="29">
        <f t="shared" si="5"/>
        <v>0</v>
      </c>
    </row>
    <row r="39" s="16" customFormat="1" customHeight="1" spans="1:9">
      <c r="A39" s="25">
        <v>34</v>
      </c>
      <c r="B39" s="31" t="s">
        <v>53</v>
      </c>
      <c r="C39" s="32"/>
      <c r="D39" s="33">
        <v>1</v>
      </c>
      <c r="E39" s="38">
        <f t="shared" si="3"/>
        <v>0</v>
      </c>
      <c r="F39" s="32"/>
      <c r="G39" s="29">
        <f t="shared" si="4"/>
        <v>0</v>
      </c>
      <c r="H39" s="33">
        <v>0.5</v>
      </c>
      <c r="I39" s="29">
        <f t="shared" si="5"/>
        <v>0</v>
      </c>
    </row>
    <row r="40" s="16" customFormat="1" customHeight="1" spans="1:9">
      <c r="A40" s="25">
        <v>35</v>
      </c>
      <c r="B40" s="31" t="s">
        <v>54</v>
      </c>
      <c r="C40" s="32"/>
      <c r="D40" s="33">
        <v>1</v>
      </c>
      <c r="E40" s="38">
        <f t="shared" si="3"/>
        <v>0</v>
      </c>
      <c r="F40" s="32"/>
      <c r="G40" s="29">
        <f t="shared" si="4"/>
        <v>0</v>
      </c>
      <c r="H40" s="33">
        <v>0.6</v>
      </c>
      <c r="I40" s="29">
        <f t="shared" si="5"/>
        <v>0</v>
      </c>
    </row>
    <row r="41" s="16" customFormat="1" customHeight="1" spans="1:9">
      <c r="A41" s="25">
        <v>36</v>
      </c>
      <c r="B41" s="31" t="s">
        <v>55</v>
      </c>
      <c r="C41" s="32"/>
      <c r="D41" s="33">
        <v>1</v>
      </c>
      <c r="E41" s="38">
        <f t="shared" si="3"/>
        <v>0</v>
      </c>
      <c r="F41" s="32"/>
      <c r="G41" s="29">
        <f t="shared" si="4"/>
        <v>0</v>
      </c>
      <c r="H41" s="33">
        <v>0.65</v>
      </c>
      <c r="I41" s="29">
        <f t="shared" si="5"/>
        <v>0</v>
      </c>
    </row>
    <row r="42" s="16" customFormat="1" customHeight="1" spans="1:9">
      <c r="A42" s="25">
        <v>37</v>
      </c>
      <c r="B42" s="31" t="s">
        <v>56</v>
      </c>
      <c r="C42" s="32"/>
      <c r="D42" s="33">
        <v>1</v>
      </c>
      <c r="E42" s="38">
        <f t="shared" si="3"/>
        <v>0</v>
      </c>
      <c r="F42" s="32"/>
      <c r="G42" s="29">
        <f t="shared" si="4"/>
        <v>0</v>
      </c>
      <c r="H42" s="33">
        <v>0.75</v>
      </c>
      <c r="I42" s="29">
        <f t="shared" si="5"/>
        <v>0</v>
      </c>
    </row>
    <row r="43" s="16" customFormat="1" customHeight="1" spans="1:9">
      <c r="A43" s="25">
        <v>38</v>
      </c>
      <c r="B43" s="31" t="s">
        <v>57</v>
      </c>
      <c r="C43" s="32"/>
      <c r="D43" s="33">
        <v>1</v>
      </c>
      <c r="E43" s="38">
        <f t="shared" si="3"/>
        <v>0</v>
      </c>
      <c r="F43" s="32"/>
      <c r="G43" s="29">
        <f t="shared" si="4"/>
        <v>0</v>
      </c>
      <c r="H43" s="33">
        <v>0.85</v>
      </c>
      <c r="I43" s="29">
        <f t="shared" si="5"/>
        <v>0</v>
      </c>
    </row>
    <row r="44" s="16" customFormat="1" customHeight="1" spans="1:9">
      <c r="A44" s="25">
        <v>39</v>
      </c>
      <c r="B44" s="31" t="s">
        <v>58</v>
      </c>
      <c r="C44" s="32"/>
      <c r="D44" s="33">
        <v>1</v>
      </c>
      <c r="E44" s="38">
        <f t="shared" si="3"/>
        <v>0</v>
      </c>
      <c r="F44" s="32"/>
      <c r="G44" s="29">
        <f t="shared" si="4"/>
        <v>0</v>
      </c>
      <c r="H44" s="33">
        <v>0.9</v>
      </c>
      <c r="I44" s="29">
        <f t="shared" si="5"/>
        <v>0</v>
      </c>
    </row>
    <row r="45" s="16" customFormat="1" customHeight="1" spans="1:9">
      <c r="A45" s="25">
        <v>40</v>
      </c>
      <c r="B45" s="31" t="s">
        <v>59</v>
      </c>
      <c r="C45" s="32"/>
      <c r="D45" s="33">
        <v>1</v>
      </c>
      <c r="E45" s="38">
        <f t="shared" si="3"/>
        <v>0</v>
      </c>
      <c r="F45" s="32"/>
      <c r="G45" s="29">
        <f t="shared" si="4"/>
        <v>0</v>
      </c>
      <c r="H45" s="33">
        <v>1</v>
      </c>
      <c r="I45" s="29">
        <f t="shared" si="5"/>
        <v>0</v>
      </c>
    </row>
    <row r="46" s="16" customFormat="1" customHeight="1" spans="1:9">
      <c r="A46" s="25">
        <v>41</v>
      </c>
      <c r="B46" s="31" t="s">
        <v>60</v>
      </c>
      <c r="C46" s="32"/>
      <c r="D46" s="33">
        <v>1</v>
      </c>
      <c r="E46" s="38">
        <f t="shared" si="3"/>
        <v>0</v>
      </c>
      <c r="F46" s="32"/>
      <c r="G46" s="29">
        <f t="shared" si="4"/>
        <v>0</v>
      </c>
      <c r="H46" s="33">
        <v>1.05</v>
      </c>
      <c r="I46" s="29">
        <f t="shared" si="5"/>
        <v>0</v>
      </c>
    </row>
    <row r="47" s="16" customFormat="1" customHeight="1" spans="1:9">
      <c r="A47" s="25">
        <v>42</v>
      </c>
      <c r="B47" s="31" t="s">
        <v>61</v>
      </c>
      <c r="C47" s="32"/>
      <c r="D47" s="33">
        <v>1</v>
      </c>
      <c r="E47" s="38">
        <f t="shared" si="3"/>
        <v>0</v>
      </c>
      <c r="F47" s="32"/>
      <c r="G47" s="29">
        <f t="shared" si="4"/>
        <v>0</v>
      </c>
      <c r="H47" s="33">
        <v>1.1</v>
      </c>
      <c r="I47" s="29">
        <f t="shared" si="5"/>
        <v>0</v>
      </c>
    </row>
    <row r="48" s="16" customFormat="1" customHeight="1" spans="1:9">
      <c r="A48" s="25">
        <v>43</v>
      </c>
      <c r="B48" s="31" t="s">
        <v>62</v>
      </c>
      <c r="C48" s="32"/>
      <c r="D48" s="33">
        <v>1</v>
      </c>
      <c r="E48" s="38">
        <f t="shared" si="3"/>
        <v>0</v>
      </c>
      <c r="F48" s="32"/>
      <c r="G48" s="29">
        <f t="shared" si="4"/>
        <v>0</v>
      </c>
      <c r="H48" s="33">
        <v>1.3</v>
      </c>
      <c r="I48" s="29">
        <f t="shared" si="5"/>
        <v>0</v>
      </c>
    </row>
    <row r="49" s="16" customFormat="1" customHeight="1" spans="1:9">
      <c r="A49" s="25">
        <v>44</v>
      </c>
      <c r="B49" s="31" t="s">
        <v>63</v>
      </c>
      <c r="C49" s="32"/>
      <c r="D49" s="33">
        <v>1</v>
      </c>
      <c r="E49" s="38">
        <f t="shared" si="3"/>
        <v>0</v>
      </c>
      <c r="F49" s="32"/>
      <c r="G49" s="29">
        <f t="shared" si="4"/>
        <v>0</v>
      </c>
      <c r="H49" s="33">
        <v>1.5</v>
      </c>
      <c r="I49" s="29">
        <f t="shared" si="5"/>
        <v>0</v>
      </c>
    </row>
    <row r="50" s="16" customFormat="1" customHeight="1" spans="1:9">
      <c r="A50" s="25">
        <v>45</v>
      </c>
      <c r="B50" s="31" t="s">
        <v>64</v>
      </c>
      <c r="C50" s="32"/>
      <c r="D50" s="33">
        <v>1</v>
      </c>
      <c r="E50" s="38">
        <f t="shared" si="3"/>
        <v>0</v>
      </c>
      <c r="F50" s="32"/>
      <c r="G50" s="29">
        <f t="shared" si="4"/>
        <v>0</v>
      </c>
      <c r="H50" s="39"/>
      <c r="I50" s="32"/>
    </row>
    <row r="51" customHeight="1" spans="1:9">
      <c r="A51" s="25">
        <v>46</v>
      </c>
      <c r="B51" s="34" t="s">
        <v>65</v>
      </c>
      <c r="C51" s="29">
        <f>SUM(C52:C72)</f>
        <v>0</v>
      </c>
      <c r="D51" s="30"/>
      <c r="E51" s="29">
        <f>SUM(E62:E72)</f>
        <v>0</v>
      </c>
      <c r="F51" s="29">
        <f>SUM(F52:F72)</f>
        <v>0</v>
      </c>
      <c r="G51" s="29">
        <f>SUM(G62:G72)</f>
        <v>0</v>
      </c>
      <c r="H51" s="37"/>
      <c r="I51" s="29">
        <f>SUM(I52:I72)</f>
        <v>0</v>
      </c>
    </row>
    <row r="52" customHeight="1" spans="1:9">
      <c r="A52" s="25">
        <v>47</v>
      </c>
      <c r="B52" s="31" t="s">
        <v>66</v>
      </c>
      <c r="C52" s="35"/>
      <c r="D52" s="33">
        <v>1</v>
      </c>
      <c r="E52" s="38">
        <f t="shared" ref="E52:E64" si="6">C52*D52</f>
        <v>0</v>
      </c>
      <c r="F52" s="35"/>
      <c r="G52" s="29">
        <f t="shared" ref="G52:G63" si="7">E52-F52</f>
        <v>0</v>
      </c>
      <c r="H52" s="33">
        <v>0</v>
      </c>
      <c r="I52" s="29">
        <f t="shared" ref="I52:I66" si="8">G52*H52</f>
        <v>0</v>
      </c>
    </row>
    <row r="53" customHeight="1" spans="1:9">
      <c r="A53" s="25">
        <v>48</v>
      </c>
      <c r="B53" s="31" t="s">
        <v>67</v>
      </c>
      <c r="C53" s="35"/>
      <c r="D53" s="33">
        <v>1</v>
      </c>
      <c r="E53" s="38">
        <f t="shared" si="6"/>
        <v>0</v>
      </c>
      <c r="F53" s="35"/>
      <c r="G53" s="29">
        <f t="shared" si="7"/>
        <v>0</v>
      </c>
      <c r="H53" s="33">
        <v>0.1</v>
      </c>
      <c r="I53" s="29">
        <f t="shared" si="8"/>
        <v>0</v>
      </c>
    </row>
    <row r="54" customHeight="1" spans="1:9">
      <c r="A54" s="25">
        <v>49</v>
      </c>
      <c r="B54" s="31" t="s">
        <v>68</v>
      </c>
      <c r="C54" s="35"/>
      <c r="D54" s="33">
        <v>1</v>
      </c>
      <c r="E54" s="38">
        <f t="shared" si="6"/>
        <v>0</v>
      </c>
      <c r="F54" s="35"/>
      <c r="G54" s="29">
        <f t="shared" si="7"/>
        <v>0</v>
      </c>
      <c r="H54" s="33">
        <v>0.15</v>
      </c>
      <c r="I54" s="29">
        <f t="shared" si="8"/>
        <v>0</v>
      </c>
    </row>
    <row r="55" customHeight="1" spans="1:9">
      <c r="A55" s="25">
        <v>50</v>
      </c>
      <c r="B55" s="31" t="s">
        <v>69</v>
      </c>
      <c r="C55" s="35"/>
      <c r="D55" s="33">
        <v>1</v>
      </c>
      <c r="E55" s="38">
        <f t="shared" si="6"/>
        <v>0</v>
      </c>
      <c r="F55" s="35"/>
      <c r="G55" s="29">
        <f t="shared" si="7"/>
        <v>0</v>
      </c>
      <c r="H55" s="33">
        <v>0.2</v>
      </c>
      <c r="I55" s="29">
        <f t="shared" si="8"/>
        <v>0</v>
      </c>
    </row>
    <row r="56" customHeight="1" spans="1:9">
      <c r="A56" s="25">
        <v>51</v>
      </c>
      <c r="B56" s="31" t="s">
        <v>70</v>
      </c>
      <c r="C56" s="35"/>
      <c r="D56" s="33">
        <v>1</v>
      </c>
      <c r="E56" s="38">
        <f t="shared" si="6"/>
        <v>0</v>
      </c>
      <c r="F56" s="35"/>
      <c r="G56" s="29">
        <f t="shared" si="7"/>
        <v>0</v>
      </c>
      <c r="H56" s="33">
        <v>0.25</v>
      </c>
      <c r="I56" s="29">
        <f t="shared" si="8"/>
        <v>0</v>
      </c>
    </row>
    <row r="57" customHeight="1" spans="1:9">
      <c r="A57" s="25">
        <v>52</v>
      </c>
      <c r="B57" s="31" t="s">
        <v>71</v>
      </c>
      <c r="C57" s="35"/>
      <c r="D57" s="33">
        <v>1</v>
      </c>
      <c r="E57" s="38">
        <f t="shared" si="6"/>
        <v>0</v>
      </c>
      <c r="F57" s="35"/>
      <c r="G57" s="29">
        <f t="shared" si="7"/>
        <v>0</v>
      </c>
      <c r="H57" s="33">
        <v>0.3</v>
      </c>
      <c r="I57" s="29">
        <f t="shared" si="8"/>
        <v>0</v>
      </c>
    </row>
    <row r="58" customHeight="1" spans="1:9">
      <c r="A58" s="25">
        <v>53</v>
      </c>
      <c r="B58" s="31" t="s">
        <v>72</v>
      </c>
      <c r="C58" s="35"/>
      <c r="D58" s="33">
        <v>1</v>
      </c>
      <c r="E58" s="38">
        <f t="shared" si="6"/>
        <v>0</v>
      </c>
      <c r="F58" s="35"/>
      <c r="G58" s="29">
        <f t="shared" si="7"/>
        <v>0</v>
      </c>
      <c r="H58" s="33">
        <v>0.35</v>
      </c>
      <c r="I58" s="29">
        <f t="shared" si="8"/>
        <v>0</v>
      </c>
    </row>
    <row r="59" customHeight="1" spans="1:9">
      <c r="A59" s="25">
        <v>54</v>
      </c>
      <c r="B59" s="31" t="s">
        <v>73</v>
      </c>
      <c r="C59" s="35"/>
      <c r="D59" s="33">
        <v>1</v>
      </c>
      <c r="E59" s="38">
        <f t="shared" si="6"/>
        <v>0</v>
      </c>
      <c r="F59" s="35"/>
      <c r="G59" s="29">
        <f t="shared" si="7"/>
        <v>0</v>
      </c>
      <c r="H59" s="33">
        <v>0.4</v>
      </c>
      <c r="I59" s="29">
        <f t="shared" si="8"/>
        <v>0</v>
      </c>
    </row>
    <row r="60" customHeight="1" spans="1:9">
      <c r="A60" s="25">
        <v>55</v>
      </c>
      <c r="B60" s="31" t="s">
        <v>74</v>
      </c>
      <c r="C60" s="35"/>
      <c r="D60" s="33">
        <v>1</v>
      </c>
      <c r="E60" s="38">
        <f t="shared" si="6"/>
        <v>0</v>
      </c>
      <c r="F60" s="35"/>
      <c r="G60" s="29">
        <f t="shared" si="7"/>
        <v>0</v>
      </c>
      <c r="H60" s="33">
        <v>0.45</v>
      </c>
      <c r="I60" s="29">
        <f t="shared" si="8"/>
        <v>0</v>
      </c>
    </row>
    <row r="61" customHeight="1" spans="1:9">
      <c r="A61" s="25">
        <v>56</v>
      </c>
      <c r="B61" s="31" t="s">
        <v>75</v>
      </c>
      <c r="C61" s="35"/>
      <c r="D61" s="33">
        <v>1</v>
      </c>
      <c r="E61" s="38">
        <f t="shared" si="6"/>
        <v>0</v>
      </c>
      <c r="F61" s="35"/>
      <c r="G61" s="29">
        <f t="shared" si="7"/>
        <v>0</v>
      </c>
      <c r="H61" s="33">
        <v>0.5</v>
      </c>
      <c r="I61" s="29">
        <f t="shared" si="8"/>
        <v>0</v>
      </c>
    </row>
    <row r="62" s="16" customFormat="1" customHeight="1" spans="1:9">
      <c r="A62" s="25">
        <v>57</v>
      </c>
      <c r="B62" s="31" t="s">
        <v>76</v>
      </c>
      <c r="C62" s="32"/>
      <c r="D62" s="33">
        <v>1</v>
      </c>
      <c r="E62" s="38">
        <f t="shared" si="6"/>
        <v>0</v>
      </c>
      <c r="F62" s="32"/>
      <c r="G62" s="29">
        <f t="shared" si="7"/>
        <v>0</v>
      </c>
      <c r="H62" s="33">
        <v>0.6</v>
      </c>
      <c r="I62" s="29">
        <f t="shared" si="8"/>
        <v>0</v>
      </c>
    </row>
    <row r="63" s="16" customFormat="1" customHeight="1" spans="1:9">
      <c r="A63" s="25">
        <v>58</v>
      </c>
      <c r="B63" s="31" t="s">
        <v>77</v>
      </c>
      <c r="C63" s="32"/>
      <c r="D63" s="33">
        <v>1</v>
      </c>
      <c r="E63" s="38">
        <f t="shared" si="6"/>
        <v>0</v>
      </c>
      <c r="F63" s="32"/>
      <c r="G63" s="29">
        <f t="shared" si="7"/>
        <v>0</v>
      </c>
      <c r="H63" s="33">
        <v>0.65</v>
      </c>
      <c r="I63" s="29">
        <f t="shared" si="8"/>
        <v>0</v>
      </c>
    </row>
    <row r="64" s="16" customFormat="1" customHeight="1" spans="1:9">
      <c r="A64" s="25">
        <v>59</v>
      </c>
      <c r="B64" s="31" t="s">
        <v>78</v>
      </c>
      <c r="C64" s="32"/>
      <c r="D64" s="33">
        <v>1</v>
      </c>
      <c r="E64" s="38">
        <f t="shared" si="6"/>
        <v>0</v>
      </c>
      <c r="F64" s="32"/>
      <c r="G64" s="29">
        <f t="shared" ref="G64:G72" si="9">E64-F64</f>
        <v>0</v>
      </c>
      <c r="H64" s="33">
        <v>0.75</v>
      </c>
      <c r="I64" s="29">
        <f t="shared" si="8"/>
        <v>0</v>
      </c>
    </row>
    <row r="65" s="16" customFormat="1" customHeight="1" spans="1:9">
      <c r="A65" s="25">
        <v>60</v>
      </c>
      <c r="B65" s="31" t="s">
        <v>79</v>
      </c>
      <c r="C65" s="32"/>
      <c r="D65" s="33">
        <v>1</v>
      </c>
      <c r="E65" s="38">
        <f t="shared" ref="E65:E72" si="10">C65*D65</f>
        <v>0</v>
      </c>
      <c r="F65" s="32"/>
      <c r="G65" s="29">
        <f t="shared" si="9"/>
        <v>0</v>
      </c>
      <c r="H65" s="33">
        <v>0.85</v>
      </c>
      <c r="I65" s="29">
        <f t="shared" si="8"/>
        <v>0</v>
      </c>
    </row>
    <row r="66" s="16" customFormat="1" customHeight="1" spans="1:9">
      <c r="A66" s="25">
        <v>61</v>
      </c>
      <c r="B66" s="31" t="s">
        <v>80</v>
      </c>
      <c r="C66" s="32"/>
      <c r="D66" s="33">
        <v>1</v>
      </c>
      <c r="E66" s="38">
        <f t="shared" si="10"/>
        <v>0</v>
      </c>
      <c r="F66" s="32"/>
      <c r="G66" s="29">
        <f t="shared" si="9"/>
        <v>0</v>
      </c>
      <c r="H66" s="33">
        <v>0.9</v>
      </c>
      <c r="I66" s="29">
        <f t="shared" si="8"/>
        <v>0</v>
      </c>
    </row>
    <row r="67" s="16" customFormat="1" customHeight="1" spans="1:9">
      <c r="A67" s="25">
        <v>62</v>
      </c>
      <c r="B67" s="31" t="s">
        <v>81</v>
      </c>
      <c r="C67" s="32"/>
      <c r="D67" s="33">
        <v>1</v>
      </c>
      <c r="E67" s="38">
        <f t="shared" si="10"/>
        <v>0</v>
      </c>
      <c r="F67" s="32"/>
      <c r="G67" s="29">
        <f t="shared" si="9"/>
        <v>0</v>
      </c>
      <c r="H67" s="33">
        <v>1</v>
      </c>
      <c r="I67" s="29">
        <f t="shared" ref="I67:I71" si="11">G67*H67</f>
        <v>0</v>
      </c>
    </row>
    <row r="68" s="16" customFormat="1" customHeight="1" spans="1:9">
      <c r="A68" s="25">
        <v>63</v>
      </c>
      <c r="B68" s="31" t="s">
        <v>82</v>
      </c>
      <c r="C68" s="32"/>
      <c r="D68" s="33">
        <v>1</v>
      </c>
      <c r="E68" s="38">
        <f t="shared" si="10"/>
        <v>0</v>
      </c>
      <c r="F68" s="32"/>
      <c r="G68" s="29">
        <f t="shared" si="9"/>
        <v>0</v>
      </c>
      <c r="H68" s="33">
        <v>1.05</v>
      </c>
      <c r="I68" s="29">
        <f t="shared" si="11"/>
        <v>0</v>
      </c>
    </row>
    <row r="69" s="16" customFormat="1" customHeight="1" spans="1:9">
      <c r="A69" s="25">
        <v>64</v>
      </c>
      <c r="B69" s="31" t="s">
        <v>83</v>
      </c>
      <c r="C69" s="32"/>
      <c r="D69" s="33">
        <v>1</v>
      </c>
      <c r="E69" s="38">
        <f t="shared" si="10"/>
        <v>0</v>
      </c>
      <c r="F69" s="32"/>
      <c r="G69" s="29">
        <f t="shared" si="9"/>
        <v>0</v>
      </c>
      <c r="H69" s="33">
        <v>1.1</v>
      </c>
      <c r="I69" s="29">
        <f t="shared" si="11"/>
        <v>0</v>
      </c>
    </row>
    <row r="70" s="16" customFormat="1" customHeight="1" spans="1:9">
      <c r="A70" s="25">
        <v>65</v>
      </c>
      <c r="B70" s="31" t="s">
        <v>84</v>
      </c>
      <c r="C70" s="32"/>
      <c r="D70" s="33">
        <v>1</v>
      </c>
      <c r="E70" s="38">
        <f t="shared" si="10"/>
        <v>0</v>
      </c>
      <c r="F70" s="32"/>
      <c r="G70" s="29">
        <f t="shared" si="9"/>
        <v>0</v>
      </c>
      <c r="H70" s="33">
        <v>1.3</v>
      </c>
      <c r="I70" s="29">
        <f t="shared" si="11"/>
        <v>0</v>
      </c>
    </row>
    <row r="71" s="16" customFormat="1" customHeight="1" spans="1:9">
      <c r="A71" s="25">
        <v>66</v>
      </c>
      <c r="B71" s="31" t="s">
        <v>85</v>
      </c>
      <c r="C71" s="32"/>
      <c r="D71" s="33">
        <v>1</v>
      </c>
      <c r="E71" s="38">
        <f t="shared" si="10"/>
        <v>0</v>
      </c>
      <c r="F71" s="32"/>
      <c r="G71" s="29">
        <f t="shared" si="9"/>
        <v>0</v>
      </c>
      <c r="H71" s="33">
        <v>1.5</v>
      </c>
      <c r="I71" s="29">
        <f t="shared" si="11"/>
        <v>0</v>
      </c>
    </row>
    <row r="72" s="17" customFormat="1" customHeight="1" spans="1:9">
      <c r="A72" s="25">
        <v>67</v>
      </c>
      <c r="B72" s="31" t="s">
        <v>86</v>
      </c>
      <c r="C72" s="32"/>
      <c r="D72" s="33">
        <v>1</v>
      </c>
      <c r="E72" s="38">
        <f t="shared" si="10"/>
        <v>0</v>
      </c>
      <c r="F72" s="32"/>
      <c r="G72" s="29">
        <f t="shared" si="9"/>
        <v>0</v>
      </c>
      <c r="H72" s="39"/>
      <c r="I72" s="32"/>
    </row>
    <row r="73" customHeight="1" spans="1:9">
      <c r="A73" s="25">
        <v>68</v>
      </c>
      <c r="B73" s="28" t="s">
        <v>87</v>
      </c>
      <c r="C73" s="29">
        <f>C74+C96</f>
        <v>0</v>
      </c>
      <c r="D73" s="30"/>
      <c r="E73" s="29">
        <f>E74+E96</f>
        <v>0</v>
      </c>
      <c r="F73" s="29">
        <f>F74+F96</f>
        <v>0</v>
      </c>
      <c r="G73" s="29">
        <f>G74+G96</f>
        <v>0</v>
      </c>
      <c r="H73" s="37"/>
      <c r="I73" s="29">
        <f>I74+I96</f>
        <v>0</v>
      </c>
    </row>
    <row r="74" customHeight="1" spans="1:9">
      <c r="A74" s="25">
        <v>69</v>
      </c>
      <c r="B74" s="28" t="s">
        <v>88</v>
      </c>
      <c r="C74" s="29">
        <f>SUM(C75:C95)</f>
        <v>0</v>
      </c>
      <c r="D74" s="30"/>
      <c r="E74" s="29">
        <f>SUM(E75:E95)</f>
        <v>0</v>
      </c>
      <c r="F74" s="29">
        <f>SUM(F75:F95)</f>
        <v>0</v>
      </c>
      <c r="G74" s="29">
        <f>SUM(G75:G95)</f>
        <v>0</v>
      </c>
      <c r="H74" s="37"/>
      <c r="I74" s="29">
        <f>SUM(I75:I95)</f>
        <v>0</v>
      </c>
    </row>
    <row r="75" s="16" customFormat="1" customHeight="1" spans="1:9">
      <c r="A75" s="25">
        <v>70</v>
      </c>
      <c r="B75" s="31" t="s">
        <v>89</v>
      </c>
      <c r="C75" s="32"/>
      <c r="D75" s="33">
        <v>0.5</v>
      </c>
      <c r="E75" s="38">
        <f t="shared" ref="E75:E95" si="12">C75*D75</f>
        <v>0</v>
      </c>
      <c r="F75" s="32"/>
      <c r="G75" s="29">
        <f t="shared" ref="G75:G95" si="13">E75-F75</f>
        <v>0</v>
      </c>
      <c r="H75" s="33">
        <v>0</v>
      </c>
      <c r="I75" s="29">
        <f t="shared" ref="I75:I94" si="14">G75*H75</f>
        <v>0</v>
      </c>
    </row>
    <row r="76" s="16" customFormat="1" customHeight="1" spans="1:9">
      <c r="A76" s="25">
        <v>71</v>
      </c>
      <c r="B76" s="31" t="s">
        <v>90</v>
      </c>
      <c r="C76" s="32"/>
      <c r="D76" s="33">
        <v>0.5</v>
      </c>
      <c r="E76" s="38">
        <f t="shared" si="12"/>
        <v>0</v>
      </c>
      <c r="F76" s="32"/>
      <c r="G76" s="29">
        <f t="shared" si="13"/>
        <v>0</v>
      </c>
      <c r="H76" s="33">
        <v>0.1</v>
      </c>
      <c r="I76" s="29">
        <f t="shared" si="14"/>
        <v>0</v>
      </c>
    </row>
    <row r="77" s="16" customFormat="1" customHeight="1" spans="1:9">
      <c r="A77" s="25">
        <v>72</v>
      </c>
      <c r="B77" s="31" t="s">
        <v>91</v>
      </c>
      <c r="C77" s="32"/>
      <c r="D77" s="33">
        <v>0.5</v>
      </c>
      <c r="E77" s="38">
        <f t="shared" si="12"/>
        <v>0</v>
      </c>
      <c r="F77" s="32"/>
      <c r="G77" s="29">
        <f t="shared" si="13"/>
        <v>0</v>
      </c>
      <c r="H77" s="33">
        <v>0.15</v>
      </c>
      <c r="I77" s="29">
        <f t="shared" si="14"/>
        <v>0</v>
      </c>
    </row>
    <row r="78" s="16" customFormat="1" customHeight="1" spans="1:9">
      <c r="A78" s="25">
        <v>73</v>
      </c>
      <c r="B78" s="31" t="s">
        <v>92</v>
      </c>
      <c r="C78" s="32"/>
      <c r="D78" s="33">
        <v>0.5</v>
      </c>
      <c r="E78" s="38">
        <f t="shared" si="12"/>
        <v>0</v>
      </c>
      <c r="F78" s="32"/>
      <c r="G78" s="29">
        <f t="shared" si="13"/>
        <v>0</v>
      </c>
      <c r="H78" s="33">
        <v>0.2</v>
      </c>
      <c r="I78" s="29">
        <f t="shared" si="14"/>
        <v>0</v>
      </c>
    </row>
    <row r="79" s="16" customFormat="1" customHeight="1" spans="1:9">
      <c r="A79" s="25">
        <v>74</v>
      </c>
      <c r="B79" s="31" t="s">
        <v>93</v>
      </c>
      <c r="C79" s="32"/>
      <c r="D79" s="33">
        <v>0.5</v>
      </c>
      <c r="E79" s="38">
        <f t="shared" si="12"/>
        <v>0</v>
      </c>
      <c r="F79" s="32"/>
      <c r="G79" s="29">
        <f t="shared" si="13"/>
        <v>0</v>
      </c>
      <c r="H79" s="33">
        <v>0.25</v>
      </c>
      <c r="I79" s="29">
        <f t="shared" si="14"/>
        <v>0</v>
      </c>
    </row>
    <row r="80" s="16" customFormat="1" customHeight="1" spans="1:9">
      <c r="A80" s="25">
        <v>75</v>
      </c>
      <c r="B80" s="31" t="s">
        <v>94</v>
      </c>
      <c r="C80" s="32"/>
      <c r="D80" s="33">
        <v>0.5</v>
      </c>
      <c r="E80" s="38">
        <f t="shared" si="12"/>
        <v>0</v>
      </c>
      <c r="F80" s="32"/>
      <c r="G80" s="29">
        <f t="shared" si="13"/>
        <v>0</v>
      </c>
      <c r="H80" s="33">
        <v>0.3</v>
      </c>
      <c r="I80" s="29">
        <f t="shared" si="14"/>
        <v>0</v>
      </c>
    </row>
    <row r="81" s="16" customFormat="1" customHeight="1" spans="1:9">
      <c r="A81" s="25">
        <v>76</v>
      </c>
      <c r="B81" s="31" t="s">
        <v>95</v>
      </c>
      <c r="C81" s="32"/>
      <c r="D81" s="33">
        <v>0.5</v>
      </c>
      <c r="E81" s="38">
        <f t="shared" si="12"/>
        <v>0</v>
      </c>
      <c r="F81" s="32"/>
      <c r="G81" s="29">
        <f t="shared" si="13"/>
        <v>0</v>
      </c>
      <c r="H81" s="33">
        <v>0.35</v>
      </c>
      <c r="I81" s="29">
        <f t="shared" si="14"/>
        <v>0</v>
      </c>
    </row>
    <row r="82" s="16" customFormat="1" customHeight="1" spans="1:9">
      <c r="A82" s="25">
        <v>77</v>
      </c>
      <c r="B82" s="31" t="s">
        <v>96</v>
      </c>
      <c r="C82" s="32"/>
      <c r="D82" s="33">
        <v>0.5</v>
      </c>
      <c r="E82" s="38">
        <f t="shared" si="12"/>
        <v>0</v>
      </c>
      <c r="F82" s="32"/>
      <c r="G82" s="29">
        <f t="shared" si="13"/>
        <v>0</v>
      </c>
      <c r="H82" s="33">
        <v>0.4</v>
      </c>
      <c r="I82" s="29">
        <f t="shared" si="14"/>
        <v>0</v>
      </c>
    </row>
    <row r="83" s="16" customFormat="1" customHeight="1" spans="1:9">
      <c r="A83" s="25">
        <v>78</v>
      </c>
      <c r="B83" s="31" t="s">
        <v>97</v>
      </c>
      <c r="C83" s="32"/>
      <c r="D83" s="33">
        <v>0.5</v>
      </c>
      <c r="E83" s="38">
        <f t="shared" si="12"/>
        <v>0</v>
      </c>
      <c r="F83" s="32"/>
      <c r="G83" s="29">
        <f t="shared" si="13"/>
        <v>0</v>
      </c>
      <c r="H83" s="33">
        <v>0.45</v>
      </c>
      <c r="I83" s="29">
        <f t="shared" si="14"/>
        <v>0</v>
      </c>
    </row>
    <row r="84" s="16" customFormat="1" customHeight="1" spans="1:9">
      <c r="A84" s="25">
        <v>79</v>
      </c>
      <c r="B84" s="31" t="s">
        <v>98</v>
      </c>
      <c r="C84" s="32"/>
      <c r="D84" s="33">
        <v>0.5</v>
      </c>
      <c r="E84" s="38">
        <f t="shared" si="12"/>
        <v>0</v>
      </c>
      <c r="F84" s="32"/>
      <c r="G84" s="29">
        <f t="shared" si="13"/>
        <v>0</v>
      </c>
      <c r="H84" s="33">
        <v>0.5</v>
      </c>
      <c r="I84" s="29">
        <f t="shared" si="14"/>
        <v>0</v>
      </c>
    </row>
    <row r="85" s="16" customFormat="1" customHeight="1" spans="1:9">
      <c r="A85" s="25">
        <v>80</v>
      </c>
      <c r="B85" s="31" t="s">
        <v>99</v>
      </c>
      <c r="C85" s="32"/>
      <c r="D85" s="33">
        <v>0.5</v>
      </c>
      <c r="E85" s="38">
        <f t="shared" si="12"/>
        <v>0</v>
      </c>
      <c r="F85" s="32"/>
      <c r="G85" s="29">
        <f t="shared" si="13"/>
        <v>0</v>
      </c>
      <c r="H85" s="33">
        <v>0.6</v>
      </c>
      <c r="I85" s="29">
        <f t="shared" si="14"/>
        <v>0</v>
      </c>
    </row>
    <row r="86" s="16" customFormat="1" customHeight="1" spans="1:9">
      <c r="A86" s="25">
        <v>81</v>
      </c>
      <c r="B86" s="31" t="s">
        <v>100</v>
      </c>
      <c r="C86" s="32"/>
      <c r="D86" s="33">
        <v>0.5</v>
      </c>
      <c r="E86" s="38">
        <f t="shared" si="12"/>
        <v>0</v>
      </c>
      <c r="F86" s="32"/>
      <c r="G86" s="29">
        <f t="shared" si="13"/>
        <v>0</v>
      </c>
      <c r="H86" s="33">
        <v>0.65</v>
      </c>
      <c r="I86" s="29">
        <f t="shared" si="14"/>
        <v>0</v>
      </c>
    </row>
    <row r="87" s="16" customFormat="1" customHeight="1" spans="1:9">
      <c r="A87" s="25">
        <v>82</v>
      </c>
      <c r="B87" s="31" t="s">
        <v>101</v>
      </c>
      <c r="C87" s="32"/>
      <c r="D87" s="33">
        <v>0.5</v>
      </c>
      <c r="E87" s="38">
        <f t="shared" si="12"/>
        <v>0</v>
      </c>
      <c r="F87" s="32"/>
      <c r="G87" s="29">
        <f t="shared" si="13"/>
        <v>0</v>
      </c>
      <c r="H87" s="33">
        <v>0.75</v>
      </c>
      <c r="I87" s="29">
        <f t="shared" si="14"/>
        <v>0</v>
      </c>
    </row>
    <row r="88" s="16" customFormat="1" customHeight="1" spans="1:9">
      <c r="A88" s="25">
        <v>83</v>
      </c>
      <c r="B88" s="31" t="s">
        <v>102</v>
      </c>
      <c r="C88" s="32"/>
      <c r="D88" s="33">
        <v>0.5</v>
      </c>
      <c r="E88" s="38">
        <f t="shared" si="12"/>
        <v>0</v>
      </c>
      <c r="F88" s="32"/>
      <c r="G88" s="29">
        <f t="shared" si="13"/>
        <v>0</v>
      </c>
      <c r="H88" s="33">
        <v>0.85</v>
      </c>
      <c r="I88" s="29">
        <f t="shared" si="14"/>
        <v>0</v>
      </c>
    </row>
    <row r="89" s="16" customFormat="1" customHeight="1" spans="1:9">
      <c r="A89" s="25">
        <v>84</v>
      </c>
      <c r="B89" s="31" t="s">
        <v>103</v>
      </c>
      <c r="C89" s="32"/>
      <c r="D89" s="33">
        <v>0.5</v>
      </c>
      <c r="E89" s="38">
        <f t="shared" si="12"/>
        <v>0</v>
      </c>
      <c r="F89" s="32"/>
      <c r="G89" s="29">
        <f t="shared" si="13"/>
        <v>0</v>
      </c>
      <c r="H89" s="33">
        <v>0.9</v>
      </c>
      <c r="I89" s="29">
        <f t="shared" si="14"/>
        <v>0</v>
      </c>
    </row>
    <row r="90" s="16" customFormat="1" customHeight="1" spans="1:9">
      <c r="A90" s="25">
        <v>85</v>
      </c>
      <c r="B90" s="31" t="s">
        <v>104</v>
      </c>
      <c r="C90" s="32"/>
      <c r="D90" s="33">
        <v>0.5</v>
      </c>
      <c r="E90" s="38">
        <f t="shared" si="12"/>
        <v>0</v>
      </c>
      <c r="F90" s="32"/>
      <c r="G90" s="29">
        <f t="shared" si="13"/>
        <v>0</v>
      </c>
      <c r="H90" s="33">
        <v>1</v>
      </c>
      <c r="I90" s="29">
        <f t="shared" si="14"/>
        <v>0</v>
      </c>
    </row>
    <row r="91" s="16" customFormat="1" customHeight="1" spans="1:9">
      <c r="A91" s="25">
        <v>86</v>
      </c>
      <c r="B91" s="31" t="s">
        <v>105</v>
      </c>
      <c r="C91" s="32"/>
      <c r="D91" s="33">
        <v>0.5</v>
      </c>
      <c r="E91" s="38">
        <f t="shared" si="12"/>
        <v>0</v>
      </c>
      <c r="F91" s="32"/>
      <c r="G91" s="29">
        <f t="shared" si="13"/>
        <v>0</v>
      </c>
      <c r="H91" s="33">
        <v>1.05</v>
      </c>
      <c r="I91" s="29">
        <f t="shared" si="14"/>
        <v>0</v>
      </c>
    </row>
    <row r="92" s="16" customFormat="1" customHeight="1" spans="1:9">
      <c r="A92" s="25">
        <v>87</v>
      </c>
      <c r="B92" s="31" t="s">
        <v>106</v>
      </c>
      <c r="C92" s="32"/>
      <c r="D92" s="33">
        <v>0.5</v>
      </c>
      <c r="E92" s="38">
        <f t="shared" si="12"/>
        <v>0</v>
      </c>
      <c r="F92" s="32"/>
      <c r="G92" s="29">
        <f t="shared" si="13"/>
        <v>0</v>
      </c>
      <c r="H92" s="33">
        <v>1.1</v>
      </c>
      <c r="I92" s="29">
        <f t="shared" si="14"/>
        <v>0</v>
      </c>
    </row>
    <row r="93" s="16" customFormat="1" customHeight="1" spans="1:9">
      <c r="A93" s="25">
        <v>88</v>
      </c>
      <c r="B93" s="31" t="s">
        <v>107</v>
      </c>
      <c r="C93" s="32"/>
      <c r="D93" s="33">
        <v>0.5</v>
      </c>
      <c r="E93" s="38">
        <f t="shared" si="12"/>
        <v>0</v>
      </c>
      <c r="F93" s="32"/>
      <c r="G93" s="29">
        <f t="shared" si="13"/>
        <v>0</v>
      </c>
      <c r="H93" s="33">
        <v>1.3</v>
      </c>
      <c r="I93" s="29">
        <f t="shared" si="14"/>
        <v>0</v>
      </c>
    </row>
    <row r="94" s="16" customFormat="1" customHeight="1" spans="1:9">
      <c r="A94" s="25">
        <v>89</v>
      </c>
      <c r="B94" s="31" t="s">
        <v>108</v>
      </c>
      <c r="C94" s="32"/>
      <c r="D94" s="33">
        <v>0.5</v>
      </c>
      <c r="E94" s="38">
        <f t="shared" si="12"/>
        <v>0</v>
      </c>
      <c r="F94" s="32"/>
      <c r="G94" s="29">
        <f t="shared" si="13"/>
        <v>0</v>
      </c>
      <c r="H94" s="33">
        <v>1.5</v>
      </c>
      <c r="I94" s="29">
        <f t="shared" si="14"/>
        <v>0</v>
      </c>
    </row>
    <row r="95" s="17" customFormat="1" customHeight="1" spans="1:9">
      <c r="A95" s="25">
        <v>90</v>
      </c>
      <c r="B95" s="31" t="s">
        <v>109</v>
      </c>
      <c r="C95" s="32"/>
      <c r="D95" s="33">
        <v>0.5</v>
      </c>
      <c r="E95" s="38">
        <f t="shared" si="12"/>
        <v>0</v>
      </c>
      <c r="F95" s="32"/>
      <c r="G95" s="29">
        <f t="shared" si="13"/>
        <v>0</v>
      </c>
      <c r="H95" s="30"/>
      <c r="I95" s="32"/>
    </row>
    <row r="96" customHeight="1" spans="1:9">
      <c r="A96" s="25">
        <v>91</v>
      </c>
      <c r="B96" s="28" t="s">
        <v>110</v>
      </c>
      <c r="C96" s="29">
        <f>SUM(C97:C117)</f>
        <v>0</v>
      </c>
      <c r="D96" s="30"/>
      <c r="E96" s="29">
        <f>SUM(E97:E117)</f>
        <v>0</v>
      </c>
      <c r="F96" s="29">
        <f>SUM(F97:F117)</f>
        <v>0</v>
      </c>
      <c r="G96" s="29">
        <f>SUM(G97:G117)</f>
        <v>0</v>
      </c>
      <c r="H96" s="37"/>
      <c r="I96" s="29">
        <f>SUM(I97:I117)</f>
        <v>0</v>
      </c>
    </row>
    <row r="97" s="16" customFormat="1" customHeight="1" spans="1:9">
      <c r="A97" s="25">
        <v>92</v>
      </c>
      <c r="B97" s="31" t="s">
        <v>111</v>
      </c>
      <c r="C97" s="32"/>
      <c r="D97" s="33">
        <v>0.5</v>
      </c>
      <c r="E97" s="38">
        <f t="shared" ref="E97:E117" si="15">C97*D97</f>
        <v>0</v>
      </c>
      <c r="F97" s="32"/>
      <c r="G97" s="29">
        <f t="shared" ref="G97:G117" si="16">E97-F97</f>
        <v>0</v>
      </c>
      <c r="H97" s="33">
        <v>0</v>
      </c>
      <c r="I97" s="29">
        <f t="shared" ref="I97:I116" si="17">G97*H97</f>
        <v>0</v>
      </c>
    </row>
    <row r="98" s="16" customFormat="1" customHeight="1" spans="1:9">
      <c r="A98" s="25">
        <v>93</v>
      </c>
      <c r="B98" s="31" t="s">
        <v>112</v>
      </c>
      <c r="C98" s="32"/>
      <c r="D98" s="33">
        <v>0.5</v>
      </c>
      <c r="E98" s="38">
        <f t="shared" si="15"/>
        <v>0</v>
      </c>
      <c r="F98" s="32"/>
      <c r="G98" s="29">
        <f t="shared" si="16"/>
        <v>0</v>
      </c>
      <c r="H98" s="33">
        <v>0.1</v>
      </c>
      <c r="I98" s="29">
        <f t="shared" si="17"/>
        <v>0</v>
      </c>
    </row>
    <row r="99" s="16" customFormat="1" customHeight="1" spans="1:9">
      <c r="A99" s="25">
        <v>94</v>
      </c>
      <c r="B99" s="31" t="s">
        <v>113</v>
      </c>
      <c r="C99" s="32"/>
      <c r="D99" s="33">
        <v>0.5</v>
      </c>
      <c r="E99" s="38">
        <f t="shared" si="15"/>
        <v>0</v>
      </c>
      <c r="F99" s="32"/>
      <c r="G99" s="29">
        <f t="shared" si="16"/>
        <v>0</v>
      </c>
      <c r="H99" s="33">
        <v>0.15</v>
      </c>
      <c r="I99" s="29">
        <f t="shared" si="17"/>
        <v>0</v>
      </c>
    </row>
    <row r="100" s="16" customFormat="1" customHeight="1" spans="1:9">
      <c r="A100" s="25">
        <v>95</v>
      </c>
      <c r="B100" s="31" t="s">
        <v>114</v>
      </c>
      <c r="C100" s="32"/>
      <c r="D100" s="33">
        <v>0.5</v>
      </c>
      <c r="E100" s="38">
        <f t="shared" si="15"/>
        <v>0</v>
      </c>
      <c r="F100" s="32"/>
      <c r="G100" s="29">
        <f t="shared" si="16"/>
        <v>0</v>
      </c>
      <c r="H100" s="33">
        <v>0.2</v>
      </c>
      <c r="I100" s="29">
        <f t="shared" si="17"/>
        <v>0</v>
      </c>
    </row>
    <row r="101" s="16" customFormat="1" customHeight="1" spans="1:9">
      <c r="A101" s="25">
        <v>96</v>
      </c>
      <c r="B101" s="31" t="s">
        <v>115</v>
      </c>
      <c r="C101" s="32"/>
      <c r="D101" s="33">
        <v>0.5</v>
      </c>
      <c r="E101" s="38">
        <f t="shared" si="15"/>
        <v>0</v>
      </c>
      <c r="F101" s="32"/>
      <c r="G101" s="29">
        <f t="shared" si="16"/>
        <v>0</v>
      </c>
      <c r="H101" s="33">
        <v>0.25</v>
      </c>
      <c r="I101" s="29">
        <f t="shared" si="17"/>
        <v>0</v>
      </c>
    </row>
    <row r="102" s="16" customFormat="1" customHeight="1" spans="1:9">
      <c r="A102" s="25">
        <v>97</v>
      </c>
      <c r="B102" s="31" t="s">
        <v>116</v>
      </c>
      <c r="C102" s="32"/>
      <c r="D102" s="33">
        <v>0.5</v>
      </c>
      <c r="E102" s="38">
        <f t="shared" si="15"/>
        <v>0</v>
      </c>
      <c r="F102" s="32"/>
      <c r="G102" s="29">
        <f t="shared" si="16"/>
        <v>0</v>
      </c>
      <c r="H102" s="33">
        <v>0.3</v>
      </c>
      <c r="I102" s="29">
        <f t="shared" si="17"/>
        <v>0</v>
      </c>
    </row>
    <row r="103" s="16" customFormat="1" customHeight="1" spans="1:9">
      <c r="A103" s="25">
        <v>98</v>
      </c>
      <c r="B103" s="31" t="s">
        <v>117</v>
      </c>
      <c r="C103" s="32"/>
      <c r="D103" s="33">
        <v>0.5</v>
      </c>
      <c r="E103" s="38">
        <f t="shared" si="15"/>
        <v>0</v>
      </c>
      <c r="F103" s="32"/>
      <c r="G103" s="29">
        <f t="shared" si="16"/>
        <v>0</v>
      </c>
      <c r="H103" s="33">
        <v>0.35</v>
      </c>
      <c r="I103" s="29">
        <f t="shared" si="17"/>
        <v>0</v>
      </c>
    </row>
    <row r="104" s="16" customFormat="1" customHeight="1" spans="1:9">
      <c r="A104" s="25">
        <v>99</v>
      </c>
      <c r="B104" s="31" t="s">
        <v>118</v>
      </c>
      <c r="C104" s="32"/>
      <c r="D104" s="33">
        <v>0.5</v>
      </c>
      <c r="E104" s="38">
        <f t="shared" si="15"/>
        <v>0</v>
      </c>
      <c r="F104" s="32"/>
      <c r="G104" s="29">
        <f t="shared" si="16"/>
        <v>0</v>
      </c>
      <c r="H104" s="33">
        <v>0.4</v>
      </c>
      <c r="I104" s="29">
        <f t="shared" si="17"/>
        <v>0</v>
      </c>
    </row>
    <row r="105" s="16" customFormat="1" customHeight="1" spans="1:9">
      <c r="A105" s="25">
        <v>100</v>
      </c>
      <c r="B105" s="31" t="s">
        <v>119</v>
      </c>
      <c r="C105" s="32"/>
      <c r="D105" s="33">
        <v>0.5</v>
      </c>
      <c r="E105" s="38">
        <f t="shared" si="15"/>
        <v>0</v>
      </c>
      <c r="F105" s="32"/>
      <c r="G105" s="29">
        <f t="shared" si="16"/>
        <v>0</v>
      </c>
      <c r="H105" s="33">
        <v>0.45</v>
      </c>
      <c r="I105" s="29">
        <f t="shared" si="17"/>
        <v>0</v>
      </c>
    </row>
    <row r="106" s="16" customFormat="1" customHeight="1" spans="1:9">
      <c r="A106" s="25">
        <v>101</v>
      </c>
      <c r="B106" s="31" t="s">
        <v>120</v>
      </c>
      <c r="C106" s="32"/>
      <c r="D106" s="33">
        <v>0.5</v>
      </c>
      <c r="E106" s="38">
        <f t="shared" si="15"/>
        <v>0</v>
      </c>
      <c r="F106" s="32"/>
      <c r="G106" s="29">
        <f t="shared" si="16"/>
        <v>0</v>
      </c>
      <c r="H106" s="33">
        <v>0.5</v>
      </c>
      <c r="I106" s="29">
        <f t="shared" si="17"/>
        <v>0</v>
      </c>
    </row>
    <row r="107" s="16" customFormat="1" customHeight="1" spans="1:9">
      <c r="A107" s="25">
        <v>102</v>
      </c>
      <c r="B107" s="31" t="s">
        <v>121</v>
      </c>
      <c r="C107" s="32"/>
      <c r="D107" s="33">
        <v>0.5</v>
      </c>
      <c r="E107" s="38">
        <f t="shared" si="15"/>
        <v>0</v>
      </c>
      <c r="F107" s="32"/>
      <c r="G107" s="29">
        <f t="shared" si="16"/>
        <v>0</v>
      </c>
      <c r="H107" s="33">
        <v>0.6</v>
      </c>
      <c r="I107" s="29">
        <f t="shared" si="17"/>
        <v>0</v>
      </c>
    </row>
    <row r="108" s="16" customFormat="1" customHeight="1" spans="1:9">
      <c r="A108" s="25">
        <v>103</v>
      </c>
      <c r="B108" s="31" t="s">
        <v>122</v>
      </c>
      <c r="C108" s="32"/>
      <c r="D108" s="33">
        <v>0.5</v>
      </c>
      <c r="E108" s="38">
        <f t="shared" si="15"/>
        <v>0</v>
      </c>
      <c r="F108" s="32"/>
      <c r="G108" s="29">
        <f t="shared" si="16"/>
        <v>0</v>
      </c>
      <c r="H108" s="33">
        <v>0.65</v>
      </c>
      <c r="I108" s="29">
        <f t="shared" si="17"/>
        <v>0</v>
      </c>
    </row>
    <row r="109" s="16" customFormat="1" customHeight="1" spans="1:9">
      <c r="A109" s="25">
        <v>104</v>
      </c>
      <c r="B109" s="31" t="s">
        <v>123</v>
      </c>
      <c r="C109" s="32"/>
      <c r="D109" s="33">
        <v>0.5</v>
      </c>
      <c r="E109" s="38">
        <f t="shared" si="15"/>
        <v>0</v>
      </c>
      <c r="F109" s="32"/>
      <c r="G109" s="29">
        <f t="shared" si="16"/>
        <v>0</v>
      </c>
      <c r="H109" s="33">
        <v>0.75</v>
      </c>
      <c r="I109" s="29">
        <f t="shared" si="17"/>
        <v>0</v>
      </c>
    </row>
    <row r="110" s="16" customFormat="1" customHeight="1" spans="1:9">
      <c r="A110" s="25">
        <v>105</v>
      </c>
      <c r="B110" s="31" t="s">
        <v>124</v>
      </c>
      <c r="C110" s="32"/>
      <c r="D110" s="33">
        <v>0.5</v>
      </c>
      <c r="E110" s="38">
        <f t="shared" si="15"/>
        <v>0</v>
      </c>
      <c r="F110" s="32"/>
      <c r="G110" s="29">
        <f t="shared" si="16"/>
        <v>0</v>
      </c>
      <c r="H110" s="33">
        <v>0.85</v>
      </c>
      <c r="I110" s="29">
        <f t="shared" si="17"/>
        <v>0</v>
      </c>
    </row>
    <row r="111" s="16" customFormat="1" customHeight="1" spans="1:9">
      <c r="A111" s="25">
        <v>106</v>
      </c>
      <c r="B111" s="31" t="s">
        <v>125</v>
      </c>
      <c r="C111" s="32"/>
      <c r="D111" s="33">
        <v>0.5</v>
      </c>
      <c r="E111" s="38">
        <f t="shared" si="15"/>
        <v>0</v>
      </c>
      <c r="F111" s="32"/>
      <c r="G111" s="29">
        <f t="shared" si="16"/>
        <v>0</v>
      </c>
      <c r="H111" s="33">
        <v>0.9</v>
      </c>
      <c r="I111" s="29">
        <f t="shared" si="17"/>
        <v>0</v>
      </c>
    </row>
    <row r="112" s="16" customFormat="1" customHeight="1" spans="1:9">
      <c r="A112" s="25">
        <v>107</v>
      </c>
      <c r="B112" s="31" t="s">
        <v>126</v>
      </c>
      <c r="C112" s="32"/>
      <c r="D112" s="33">
        <v>0.5</v>
      </c>
      <c r="E112" s="38">
        <f t="shared" si="15"/>
        <v>0</v>
      </c>
      <c r="F112" s="32"/>
      <c r="G112" s="29">
        <f t="shared" si="16"/>
        <v>0</v>
      </c>
      <c r="H112" s="33">
        <v>1</v>
      </c>
      <c r="I112" s="29">
        <f t="shared" si="17"/>
        <v>0</v>
      </c>
    </row>
    <row r="113" s="16" customFormat="1" customHeight="1" spans="1:9">
      <c r="A113" s="25">
        <v>108</v>
      </c>
      <c r="B113" s="31" t="s">
        <v>127</v>
      </c>
      <c r="C113" s="32"/>
      <c r="D113" s="33">
        <v>0.5</v>
      </c>
      <c r="E113" s="38">
        <f t="shared" si="15"/>
        <v>0</v>
      </c>
      <c r="F113" s="32"/>
      <c r="G113" s="29">
        <f t="shared" si="16"/>
        <v>0</v>
      </c>
      <c r="H113" s="33">
        <v>1.05</v>
      </c>
      <c r="I113" s="29">
        <f t="shared" si="17"/>
        <v>0</v>
      </c>
    </row>
    <row r="114" s="16" customFormat="1" customHeight="1" spans="1:9">
      <c r="A114" s="25">
        <v>109</v>
      </c>
      <c r="B114" s="31" t="s">
        <v>128</v>
      </c>
      <c r="C114" s="32"/>
      <c r="D114" s="33">
        <v>0.5</v>
      </c>
      <c r="E114" s="38">
        <f t="shared" si="15"/>
        <v>0</v>
      </c>
      <c r="F114" s="32"/>
      <c r="G114" s="29">
        <f t="shared" si="16"/>
        <v>0</v>
      </c>
      <c r="H114" s="33">
        <v>1.1</v>
      </c>
      <c r="I114" s="29">
        <f t="shared" si="17"/>
        <v>0</v>
      </c>
    </row>
    <row r="115" s="16" customFormat="1" customHeight="1" spans="1:9">
      <c r="A115" s="25">
        <v>110</v>
      </c>
      <c r="B115" s="31" t="s">
        <v>129</v>
      </c>
      <c r="C115" s="32"/>
      <c r="D115" s="33">
        <v>0.5</v>
      </c>
      <c r="E115" s="38">
        <f t="shared" si="15"/>
        <v>0</v>
      </c>
      <c r="F115" s="32"/>
      <c r="G115" s="29">
        <f t="shared" si="16"/>
        <v>0</v>
      </c>
      <c r="H115" s="33">
        <v>1.3</v>
      </c>
      <c r="I115" s="29">
        <f t="shared" si="17"/>
        <v>0</v>
      </c>
    </row>
    <row r="116" s="16" customFormat="1" customHeight="1" spans="1:9">
      <c r="A116" s="25">
        <v>111</v>
      </c>
      <c r="B116" s="31" t="s">
        <v>130</v>
      </c>
      <c r="C116" s="32"/>
      <c r="D116" s="33">
        <v>0.5</v>
      </c>
      <c r="E116" s="38">
        <f t="shared" si="15"/>
        <v>0</v>
      </c>
      <c r="F116" s="32"/>
      <c r="G116" s="29">
        <f t="shared" si="16"/>
        <v>0</v>
      </c>
      <c r="H116" s="33">
        <v>1.5</v>
      </c>
      <c r="I116" s="29">
        <f t="shared" si="17"/>
        <v>0</v>
      </c>
    </row>
    <row r="117" s="17" customFormat="1" customHeight="1" spans="1:9">
      <c r="A117" s="25">
        <v>112</v>
      </c>
      <c r="B117" s="31" t="s">
        <v>131</v>
      </c>
      <c r="C117" s="32"/>
      <c r="D117" s="33">
        <v>0.5</v>
      </c>
      <c r="E117" s="38">
        <f t="shared" si="15"/>
        <v>0</v>
      </c>
      <c r="F117" s="32"/>
      <c r="G117" s="29">
        <f t="shared" si="16"/>
        <v>0</v>
      </c>
      <c r="H117" s="44"/>
      <c r="I117" s="32"/>
    </row>
    <row r="118" customHeight="1" spans="1:9">
      <c r="A118" s="25">
        <v>113</v>
      </c>
      <c r="B118" s="28" t="s">
        <v>132</v>
      </c>
      <c r="C118" s="29">
        <f>C119+C164+C186</f>
        <v>0</v>
      </c>
      <c r="D118" s="44"/>
      <c r="E118" s="29">
        <f>E119+E164+E186</f>
        <v>0</v>
      </c>
      <c r="F118" s="29">
        <f>F119+F164+F186</f>
        <v>0</v>
      </c>
      <c r="G118" s="29">
        <f>G119+G164+G186</f>
        <v>0</v>
      </c>
      <c r="H118" s="37"/>
      <c r="I118" s="29">
        <f>I119+I164+I186</f>
        <v>0</v>
      </c>
    </row>
    <row r="119" customHeight="1" spans="1:9">
      <c r="A119" s="25">
        <v>114</v>
      </c>
      <c r="B119" s="28" t="s">
        <v>133</v>
      </c>
      <c r="C119" s="29">
        <f>C120+C142</f>
        <v>0</v>
      </c>
      <c r="D119" s="44"/>
      <c r="E119" s="29">
        <f>E120+E142</f>
        <v>0</v>
      </c>
      <c r="F119" s="29">
        <f>F120+F142</f>
        <v>0</v>
      </c>
      <c r="G119" s="29">
        <f>G120+G142</f>
        <v>0</v>
      </c>
      <c r="H119" s="37"/>
      <c r="I119" s="29">
        <f>I120+I142</f>
        <v>0</v>
      </c>
    </row>
    <row r="120" customHeight="1" spans="1:9">
      <c r="A120" s="25">
        <v>115</v>
      </c>
      <c r="B120" s="28" t="s">
        <v>134</v>
      </c>
      <c r="C120" s="29">
        <f>SUM(C121:C141)</f>
        <v>0</v>
      </c>
      <c r="D120" s="44"/>
      <c r="E120" s="29">
        <f>SUM(E121:E141)</f>
        <v>0</v>
      </c>
      <c r="F120" s="29">
        <f>SUM(F121:F141)</f>
        <v>0</v>
      </c>
      <c r="G120" s="29">
        <f>SUM(G121:G141)</f>
        <v>0</v>
      </c>
      <c r="H120" s="37"/>
      <c r="I120" s="29">
        <f>SUM(I121:I141)</f>
        <v>0</v>
      </c>
    </row>
    <row r="121" s="16" customFormat="1" customHeight="1" spans="1:9">
      <c r="A121" s="25">
        <v>116</v>
      </c>
      <c r="B121" s="31" t="s">
        <v>135</v>
      </c>
      <c r="C121" s="32"/>
      <c r="D121" s="45">
        <v>0.2</v>
      </c>
      <c r="E121" s="38">
        <f t="shared" ref="E121:E135" si="18">C121*D121</f>
        <v>0</v>
      </c>
      <c r="F121" s="32"/>
      <c r="G121" s="29">
        <f t="shared" ref="G121:G133" si="19">E121-F121</f>
        <v>0</v>
      </c>
      <c r="H121" s="33">
        <v>0</v>
      </c>
      <c r="I121" s="29">
        <f t="shared" ref="I121:I140" si="20">G121*H121</f>
        <v>0</v>
      </c>
    </row>
    <row r="122" s="16" customFormat="1" customHeight="1" spans="1:9">
      <c r="A122" s="25">
        <v>117</v>
      </c>
      <c r="B122" s="31" t="s">
        <v>136</v>
      </c>
      <c r="C122" s="32"/>
      <c r="D122" s="45">
        <v>0.2</v>
      </c>
      <c r="E122" s="38">
        <f t="shared" si="18"/>
        <v>0</v>
      </c>
      <c r="F122" s="32"/>
      <c r="G122" s="29">
        <f t="shared" si="19"/>
        <v>0</v>
      </c>
      <c r="H122" s="33">
        <v>0.1</v>
      </c>
      <c r="I122" s="29">
        <f t="shared" si="20"/>
        <v>0</v>
      </c>
    </row>
    <row r="123" s="16" customFormat="1" customHeight="1" spans="1:9">
      <c r="A123" s="25">
        <v>118</v>
      </c>
      <c r="B123" s="31" t="s">
        <v>137</v>
      </c>
      <c r="C123" s="32"/>
      <c r="D123" s="45">
        <v>0.2</v>
      </c>
      <c r="E123" s="38">
        <f t="shared" si="18"/>
        <v>0</v>
      </c>
      <c r="F123" s="32"/>
      <c r="G123" s="29">
        <f t="shared" si="19"/>
        <v>0</v>
      </c>
      <c r="H123" s="33">
        <v>0.15</v>
      </c>
      <c r="I123" s="29">
        <f t="shared" si="20"/>
        <v>0</v>
      </c>
    </row>
    <row r="124" s="16" customFormat="1" customHeight="1" spans="1:9">
      <c r="A124" s="25">
        <v>119</v>
      </c>
      <c r="B124" s="31" t="s">
        <v>138</v>
      </c>
      <c r="C124" s="32"/>
      <c r="D124" s="45">
        <v>0.2</v>
      </c>
      <c r="E124" s="38">
        <f t="shared" si="18"/>
        <v>0</v>
      </c>
      <c r="F124" s="32"/>
      <c r="G124" s="29">
        <f t="shared" si="19"/>
        <v>0</v>
      </c>
      <c r="H124" s="33">
        <v>0.2</v>
      </c>
      <c r="I124" s="29">
        <f t="shared" si="20"/>
        <v>0</v>
      </c>
    </row>
    <row r="125" s="16" customFormat="1" customHeight="1" spans="1:9">
      <c r="A125" s="25">
        <v>120</v>
      </c>
      <c r="B125" s="31" t="s">
        <v>139</v>
      </c>
      <c r="C125" s="32"/>
      <c r="D125" s="45">
        <v>0.2</v>
      </c>
      <c r="E125" s="38">
        <f t="shared" si="18"/>
        <v>0</v>
      </c>
      <c r="F125" s="32"/>
      <c r="G125" s="29">
        <f t="shared" si="19"/>
        <v>0</v>
      </c>
      <c r="H125" s="33">
        <v>0.25</v>
      </c>
      <c r="I125" s="29">
        <f t="shared" si="20"/>
        <v>0</v>
      </c>
    </row>
    <row r="126" s="16" customFormat="1" customHeight="1" spans="1:9">
      <c r="A126" s="25">
        <v>121</v>
      </c>
      <c r="B126" s="31" t="s">
        <v>140</v>
      </c>
      <c r="C126" s="32"/>
      <c r="D126" s="45">
        <v>0.2</v>
      </c>
      <c r="E126" s="38">
        <f t="shared" si="18"/>
        <v>0</v>
      </c>
      <c r="F126" s="32"/>
      <c r="G126" s="29">
        <f t="shared" si="19"/>
        <v>0</v>
      </c>
      <c r="H126" s="33">
        <v>0.3</v>
      </c>
      <c r="I126" s="29">
        <f t="shared" si="20"/>
        <v>0</v>
      </c>
    </row>
    <row r="127" s="16" customFormat="1" customHeight="1" spans="1:9">
      <c r="A127" s="25">
        <v>122</v>
      </c>
      <c r="B127" s="31" t="s">
        <v>141</v>
      </c>
      <c r="C127" s="32"/>
      <c r="D127" s="45">
        <v>0.2</v>
      </c>
      <c r="E127" s="38">
        <f t="shared" si="18"/>
        <v>0</v>
      </c>
      <c r="F127" s="32"/>
      <c r="G127" s="29">
        <f t="shared" si="19"/>
        <v>0</v>
      </c>
      <c r="H127" s="33">
        <v>0.35</v>
      </c>
      <c r="I127" s="29">
        <f t="shared" si="20"/>
        <v>0</v>
      </c>
    </row>
    <row r="128" s="16" customFormat="1" customHeight="1" spans="1:9">
      <c r="A128" s="25">
        <v>123</v>
      </c>
      <c r="B128" s="31" t="s">
        <v>142</v>
      </c>
      <c r="C128" s="32"/>
      <c r="D128" s="45">
        <v>0.2</v>
      </c>
      <c r="E128" s="38">
        <f t="shared" si="18"/>
        <v>0</v>
      </c>
      <c r="F128" s="32"/>
      <c r="G128" s="29">
        <f t="shared" si="19"/>
        <v>0</v>
      </c>
      <c r="H128" s="33">
        <v>0.4</v>
      </c>
      <c r="I128" s="29">
        <f t="shared" si="20"/>
        <v>0</v>
      </c>
    </row>
    <row r="129" s="16" customFormat="1" customHeight="1" spans="1:9">
      <c r="A129" s="25">
        <v>124</v>
      </c>
      <c r="B129" s="31" t="s">
        <v>143</v>
      </c>
      <c r="C129" s="32"/>
      <c r="D129" s="45">
        <v>0.2</v>
      </c>
      <c r="E129" s="38">
        <f t="shared" si="18"/>
        <v>0</v>
      </c>
      <c r="F129" s="32"/>
      <c r="G129" s="29">
        <f t="shared" si="19"/>
        <v>0</v>
      </c>
      <c r="H129" s="33">
        <v>0.45</v>
      </c>
      <c r="I129" s="29">
        <f t="shared" si="20"/>
        <v>0</v>
      </c>
    </row>
    <row r="130" s="16" customFormat="1" customHeight="1" spans="1:9">
      <c r="A130" s="25">
        <v>125</v>
      </c>
      <c r="B130" s="31" t="s">
        <v>144</v>
      </c>
      <c r="C130" s="32"/>
      <c r="D130" s="45">
        <v>0.2</v>
      </c>
      <c r="E130" s="38">
        <f t="shared" si="18"/>
        <v>0</v>
      </c>
      <c r="F130" s="32"/>
      <c r="G130" s="29">
        <f t="shared" si="19"/>
        <v>0</v>
      </c>
      <c r="H130" s="33">
        <v>0.5</v>
      </c>
      <c r="I130" s="29">
        <f t="shared" si="20"/>
        <v>0</v>
      </c>
    </row>
    <row r="131" s="16" customFormat="1" customHeight="1" spans="1:9">
      <c r="A131" s="25">
        <v>126</v>
      </c>
      <c r="B131" s="31" t="s">
        <v>145</v>
      </c>
      <c r="C131" s="32"/>
      <c r="D131" s="45">
        <v>0.2</v>
      </c>
      <c r="E131" s="38">
        <f t="shared" si="18"/>
        <v>0</v>
      </c>
      <c r="F131" s="32"/>
      <c r="G131" s="29">
        <f t="shared" si="19"/>
        <v>0</v>
      </c>
      <c r="H131" s="33">
        <v>0.6</v>
      </c>
      <c r="I131" s="29">
        <f t="shared" si="20"/>
        <v>0</v>
      </c>
    </row>
    <row r="132" s="16" customFormat="1" customHeight="1" spans="1:9">
      <c r="A132" s="25">
        <v>127</v>
      </c>
      <c r="B132" s="31" t="s">
        <v>146</v>
      </c>
      <c r="C132" s="32"/>
      <c r="D132" s="45">
        <v>0.2</v>
      </c>
      <c r="E132" s="38">
        <f t="shared" si="18"/>
        <v>0</v>
      </c>
      <c r="F132" s="32"/>
      <c r="G132" s="29">
        <f t="shared" si="19"/>
        <v>0</v>
      </c>
      <c r="H132" s="33">
        <v>0.65</v>
      </c>
      <c r="I132" s="29">
        <f t="shared" si="20"/>
        <v>0</v>
      </c>
    </row>
    <row r="133" s="16" customFormat="1" customHeight="1" spans="1:9">
      <c r="A133" s="25">
        <v>128</v>
      </c>
      <c r="B133" s="31" t="s">
        <v>147</v>
      </c>
      <c r="C133" s="32"/>
      <c r="D133" s="45">
        <v>0.2</v>
      </c>
      <c r="E133" s="38">
        <f t="shared" si="18"/>
        <v>0</v>
      </c>
      <c r="F133" s="32"/>
      <c r="G133" s="29">
        <f t="shared" si="19"/>
        <v>0</v>
      </c>
      <c r="H133" s="33">
        <v>0.75</v>
      </c>
      <c r="I133" s="29">
        <f t="shared" si="20"/>
        <v>0</v>
      </c>
    </row>
    <row r="134" s="16" customFormat="1" customHeight="1" spans="1:9">
      <c r="A134" s="25">
        <v>129</v>
      </c>
      <c r="B134" s="31" t="s">
        <v>148</v>
      </c>
      <c r="C134" s="32"/>
      <c r="D134" s="45">
        <v>0.2</v>
      </c>
      <c r="E134" s="38">
        <f t="shared" si="18"/>
        <v>0</v>
      </c>
      <c r="F134" s="32"/>
      <c r="G134" s="29">
        <f t="shared" ref="G134:G139" si="21">E134-F134</f>
        <v>0</v>
      </c>
      <c r="H134" s="33">
        <v>0.85</v>
      </c>
      <c r="I134" s="29">
        <f t="shared" si="20"/>
        <v>0</v>
      </c>
    </row>
    <row r="135" s="16" customFormat="1" customHeight="1" spans="1:9">
      <c r="A135" s="25">
        <v>130</v>
      </c>
      <c r="B135" s="31" t="s">
        <v>149</v>
      </c>
      <c r="C135" s="32"/>
      <c r="D135" s="45">
        <v>0.2</v>
      </c>
      <c r="E135" s="38">
        <f t="shared" si="18"/>
        <v>0</v>
      </c>
      <c r="F135" s="32"/>
      <c r="G135" s="29">
        <f t="shared" si="21"/>
        <v>0</v>
      </c>
      <c r="H135" s="33">
        <v>0.9</v>
      </c>
      <c r="I135" s="29">
        <f t="shared" si="20"/>
        <v>0</v>
      </c>
    </row>
    <row r="136" s="16" customFormat="1" customHeight="1" spans="1:9">
      <c r="A136" s="25">
        <v>131</v>
      </c>
      <c r="B136" s="31" t="s">
        <v>150</v>
      </c>
      <c r="C136" s="32"/>
      <c r="D136" s="45">
        <v>0.2</v>
      </c>
      <c r="E136" s="38">
        <f t="shared" ref="E136:E139" si="22">C136*D136</f>
        <v>0</v>
      </c>
      <c r="F136" s="32"/>
      <c r="G136" s="29">
        <f t="shared" si="21"/>
        <v>0</v>
      </c>
      <c r="H136" s="33">
        <v>1</v>
      </c>
      <c r="I136" s="29">
        <f t="shared" si="20"/>
        <v>0</v>
      </c>
    </row>
    <row r="137" s="16" customFormat="1" customHeight="1" spans="1:9">
      <c r="A137" s="25">
        <v>132</v>
      </c>
      <c r="B137" s="31" t="s">
        <v>151</v>
      </c>
      <c r="C137" s="32"/>
      <c r="D137" s="45">
        <v>0.2</v>
      </c>
      <c r="E137" s="38">
        <f t="shared" si="22"/>
        <v>0</v>
      </c>
      <c r="F137" s="32"/>
      <c r="G137" s="29">
        <f t="shared" si="21"/>
        <v>0</v>
      </c>
      <c r="H137" s="33">
        <v>1.05</v>
      </c>
      <c r="I137" s="29">
        <f t="shared" si="20"/>
        <v>0</v>
      </c>
    </row>
    <row r="138" s="16" customFormat="1" customHeight="1" spans="1:9">
      <c r="A138" s="25">
        <v>133</v>
      </c>
      <c r="B138" s="31" t="s">
        <v>152</v>
      </c>
      <c r="C138" s="32"/>
      <c r="D138" s="45">
        <v>0.2</v>
      </c>
      <c r="E138" s="38">
        <f t="shared" si="22"/>
        <v>0</v>
      </c>
      <c r="F138" s="32"/>
      <c r="G138" s="29">
        <f t="shared" si="21"/>
        <v>0</v>
      </c>
      <c r="H138" s="33">
        <v>1.1</v>
      </c>
      <c r="I138" s="29">
        <f t="shared" si="20"/>
        <v>0</v>
      </c>
    </row>
    <row r="139" s="16" customFormat="1" customHeight="1" spans="1:9">
      <c r="A139" s="25">
        <v>134</v>
      </c>
      <c r="B139" s="31" t="s">
        <v>153</v>
      </c>
      <c r="C139" s="32"/>
      <c r="D139" s="33">
        <v>0.2</v>
      </c>
      <c r="E139" s="38">
        <f t="shared" si="22"/>
        <v>0</v>
      </c>
      <c r="F139" s="32"/>
      <c r="G139" s="29">
        <f t="shared" si="21"/>
        <v>0</v>
      </c>
      <c r="H139" s="33">
        <v>1.3</v>
      </c>
      <c r="I139" s="29">
        <f t="shared" si="20"/>
        <v>0</v>
      </c>
    </row>
    <row r="140" s="16" customFormat="1" customHeight="1" spans="1:9">
      <c r="A140" s="25">
        <v>135</v>
      </c>
      <c r="B140" s="31" t="s">
        <v>154</v>
      </c>
      <c r="C140" s="32"/>
      <c r="D140" s="45">
        <v>0.2</v>
      </c>
      <c r="E140" s="38">
        <f t="shared" ref="E140:E163" si="23">C140*D140</f>
        <v>0</v>
      </c>
      <c r="F140" s="32"/>
      <c r="G140" s="29">
        <f t="shared" ref="G140:G163" si="24">E140-F140</f>
        <v>0</v>
      </c>
      <c r="H140" s="33">
        <v>1.5</v>
      </c>
      <c r="I140" s="29">
        <f t="shared" si="20"/>
        <v>0</v>
      </c>
    </row>
    <row r="141" s="17" customFormat="1" customHeight="1" spans="1:9">
      <c r="A141" s="25">
        <v>136</v>
      </c>
      <c r="B141" s="31" t="s">
        <v>155</v>
      </c>
      <c r="C141" s="32"/>
      <c r="D141" s="45">
        <v>0.2</v>
      </c>
      <c r="E141" s="38">
        <f t="shared" si="23"/>
        <v>0</v>
      </c>
      <c r="F141" s="32"/>
      <c r="G141" s="29">
        <f t="shared" si="24"/>
        <v>0</v>
      </c>
      <c r="H141" s="37"/>
      <c r="I141" s="32"/>
    </row>
    <row r="142" s="17" customFormat="1" customHeight="1" spans="1:9">
      <c r="A142" s="25">
        <v>137</v>
      </c>
      <c r="B142" s="28" t="s">
        <v>156</v>
      </c>
      <c r="C142" s="29">
        <f>SUM(C143:C163)</f>
        <v>0</v>
      </c>
      <c r="D142" s="46"/>
      <c r="E142" s="38">
        <f>SUM(E143:E163)</f>
        <v>0</v>
      </c>
      <c r="F142" s="29">
        <f>SUM(F143:F163)</f>
        <v>0</v>
      </c>
      <c r="G142" s="29">
        <f>SUM(G143:G163)</f>
        <v>0</v>
      </c>
      <c r="H142" s="37"/>
      <c r="I142" s="29">
        <f>SUM(I143:I163)</f>
        <v>0</v>
      </c>
    </row>
    <row r="143" s="17" customFormat="1" customHeight="1" spans="1:9">
      <c r="A143" s="25">
        <v>138</v>
      </c>
      <c r="B143" s="31" t="s">
        <v>157</v>
      </c>
      <c r="C143" s="32"/>
      <c r="D143" s="45">
        <v>0.5</v>
      </c>
      <c r="E143" s="38">
        <f t="shared" si="23"/>
        <v>0</v>
      </c>
      <c r="F143" s="32"/>
      <c r="G143" s="29">
        <f t="shared" si="24"/>
        <v>0</v>
      </c>
      <c r="H143" s="33">
        <v>0</v>
      </c>
      <c r="I143" s="29">
        <f t="shared" ref="I143:I162" si="25">G143*H143</f>
        <v>0</v>
      </c>
    </row>
    <row r="144" s="17" customFormat="1" customHeight="1" spans="1:9">
      <c r="A144" s="25">
        <v>139</v>
      </c>
      <c r="B144" s="31" t="s">
        <v>158</v>
      </c>
      <c r="C144" s="32"/>
      <c r="D144" s="45">
        <v>0.5</v>
      </c>
      <c r="E144" s="38">
        <f t="shared" si="23"/>
        <v>0</v>
      </c>
      <c r="F144" s="32"/>
      <c r="G144" s="29">
        <f t="shared" si="24"/>
        <v>0</v>
      </c>
      <c r="H144" s="33">
        <v>0.1</v>
      </c>
      <c r="I144" s="29">
        <f t="shared" si="25"/>
        <v>0</v>
      </c>
    </row>
    <row r="145" s="17" customFormat="1" customHeight="1" spans="1:9">
      <c r="A145" s="25">
        <v>140</v>
      </c>
      <c r="B145" s="31" t="s">
        <v>159</v>
      </c>
      <c r="C145" s="32"/>
      <c r="D145" s="45">
        <v>0.5</v>
      </c>
      <c r="E145" s="38">
        <f t="shared" si="23"/>
        <v>0</v>
      </c>
      <c r="F145" s="32"/>
      <c r="G145" s="29">
        <f t="shared" si="24"/>
        <v>0</v>
      </c>
      <c r="H145" s="33">
        <v>0.15</v>
      </c>
      <c r="I145" s="29">
        <f t="shared" si="25"/>
        <v>0</v>
      </c>
    </row>
    <row r="146" s="17" customFormat="1" customHeight="1" spans="1:9">
      <c r="A146" s="25">
        <v>141</v>
      </c>
      <c r="B146" s="31" t="s">
        <v>160</v>
      </c>
      <c r="C146" s="32"/>
      <c r="D146" s="45">
        <v>0.5</v>
      </c>
      <c r="E146" s="38">
        <f t="shared" si="23"/>
        <v>0</v>
      </c>
      <c r="F146" s="32"/>
      <c r="G146" s="29">
        <f t="shared" si="24"/>
        <v>0</v>
      </c>
      <c r="H146" s="33">
        <v>0.2</v>
      </c>
      <c r="I146" s="29">
        <f t="shared" si="25"/>
        <v>0</v>
      </c>
    </row>
    <row r="147" s="17" customFormat="1" customHeight="1" spans="1:9">
      <c r="A147" s="25">
        <v>142</v>
      </c>
      <c r="B147" s="31" t="s">
        <v>161</v>
      </c>
      <c r="C147" s="32"/>
      <c r="D147" s="45">
        <v>0.5</v>
      </c>
      <c r="E147" s="38">
        <f t="shared" si="23"/>
        <v>0</v>
      </c>
      <c r="F147" s="32"/>
      <c r="G147" s="29">
        <f t="shared" si="24"/>
        <v>0</v>
      </c>
      <c r="H147" s="33">
        <v>0.25</v>
      </c>
      <c r="I147" s="29">
        <f t="shared" si="25"/>
        <v>0</v>
      </c>
    </row>
    <row r="148" s="17" customFormat="1" customHeight="1" spans="1:9">
      <c r="A148" s="25">
        <v>143</v>
      </c>
      <c r="B148" s="31" t="s">
        <v>162</v>
      </c>
      <c r="C148" s="32"/>
      <c r="D148" s="45">
        <v>0.5</v>
      </c>
      <c r="E148" s="38">
        <f t="shared" si="23"/>
        <v>0</v>
      </c>
      <c r="F148" s="32"/>
      <c r="G148" s="29">
        <f t="shared" si="24"/>
        <v>0</v>
      </c>
      <c r="H148" s="33">
        <v>0.3</v>
      </c>
      <c r="I148" s="29">
        <f t="shared" si="25"/>
        <v>0</v>
      </c>
    </row>
    <row r="149" s="17" customFormat="1" customHeight="1" spans="1:9">
      <c r="A149" s="25">
        <v>144</v>
      </c>
      <c r="B149" s="31" t="s">
        <v>163</v>
      </c>
      <c r="C149" s="32"/>
      <c r="D149" s="45">
        <v>0.5</v>
      </c>
      <c r="E149" s="38">
        <f t="shared" si="23"/>
        <v>0</v>
      </c>
      <c r="F149" s="32"/>
      <c r="G149" s="29">
        <f t="shared" si="24"/>
        <v>0</v>
      </c>
      <c r="H149" s="33">
        <v>0.35</v>
      </c>
      <c r="I149" s="29">
        <f t="shared" si="25"/>
        <v>0</v>
      </c>
    </row>
    <row r="150" s="17" customFormat="1" customHeight="1" spans="1:9">
      <c r="A150" s="25">
        <v>145</v>
      </c>
      <c r="B150" s="31" t="s">
        <v>164</v>
      </c>
      <c r="C150" s="32"/>
      <c r="D150" s="45">
        <v>0.5</v>
      </c>
      <c r="E150" s="38">
        <f t="shared" si="23"/>
        <v>0</v>
      </c>
      <c r="F150" s="32"/>
      <c r="G150" s="29">
        <f t="shared" si="24"/>
        <v>0</v>
      </c>
      <c r="H150" s="33">
        <v>0.4</v>
      </c>
      <c r="I150" s="29">
        <f t="shared" si="25"/>
        <v>0</v>
      </c>
    </row>
    <row r="151" s="17" customFormat="1" customHeight="1" spans="1:9">
      <c r="A151" s="25">
        <v>146</v>
      </c>
      <c r="B151" s="31" t="s">
        <v>165</v>
      </c>
      <c r="C151" s="32"/>
      <c r="D151" s="45">
        <v>0.5</v>
      </c>
      <c r="E151" s="38">
        <f t="shared" si="23"/>
        <v>0</v>
      </c>
      <c r="F151" s="32"/>
      <c r="G151" s="29">
        <f t="shared" si="24"/>
        <v>0</v>
      </c>
      <c r="H151" s="33">
        <v>0.45</v>
      </c>
      <c r="I151" s="29">
        <f t="shared" si="25"/>
        <v>0</v>
      </c>
    </row>
    <row r="152" s="17" customFormat="1" customHeight="1" spans="1:9">
      <c r="A152" s="25">
        <v>147</v>
      </c>
      <c r="B152" s="31" t="s">
        <v>166</v>
      </c>
      <c r="C152" s="32"/>
      <c r="D152" s="45">
        <v>0.5</v>
      </c>
      <c r="E152" s="38">
        <f t="shared" si="23"/>
        <v>0</v>
      </c>
      <c r="F152" s="32"/>
      <c r="G152" s="29">
        <f t="shared" si="24"/>
        <v>0</v>
      </c>
      <c r="H152" s="33">
        <v>0.5</v>
      </c>
      <c r="I152" s="29">
        <f t="shared" si="25"/>
        <v>0</v>
      </c>
    </row>
    <row r="153" s="17" customFormat="1" customHeight="1" spans="1:9">
      <c r="A153" s="25">
        <v>148</v>
      </c>
      <c r="B153" s="31" t="s">
        <v>167</v>
      </c>
      <c r="C153" s="32"/>
      <c r="D153" s="45">
        <v>0.5</v>
      </c>
      <c r="E153" s="38">
        <f t="shared" si="23"/>
        <v>0</v>
      </c>
      <c r="F153" s="32"/>
      <c r="G153" s="29">
        <f t="shared" si="24"/>
        <v>0</v>
      </c>
      <c r="H153" s="33">
        <v>0.6</v>
      </c>
      <c r="I153" s="29">
        <f t="shared" si="25"/>
        <v>0</v>
      </c>
    </row>
    <row r="154" s="17" customFormat="1" customHeight="1" spans="1:9">
      <c r="A154" s="25">
        <v>149</v>
      </c>
      <c r="B154" s="31" t="s">
        <v>168</v>
      </c>
      <c r="C154" s="32"/>
      <c r="D154" s="45">
        <v>0.5</v>
      </c>
      <c r="E154" s="38">
        <f t="shared" si="23"/>
        <v>0</v>
      </c>
      <c r="F154" s="32"/>
      <c r="G154" s="29">
        <f t="shared" si="24"/>
        <v>0</v>
      </c>
      <c r="H154" s="33">
        <v>0.65</v>
      </c>
      <c r="I154" s="29">
        <f t="shared" si="25"/>
        <v>0</v>
      </c>
    </row>
    <row r="155" s="17" customFormat="1" customHeight="1" spans="1:9">
      <c r="A155" s="25">
        <v>150</v>
      </c>
      <c r="B155" s="31" t="s">
        <v>169</v>
      </c>
      <c r="C155" s="32"/>
      <c r="D155" s="45">
        <v>0.5</v>
      </c>
      <c r="E155" s="38">
        <f t="shared" si="23"/>
        <v>0</v>
      </c>
      <c r="F155" s="32"/>
      <c r="G155" s="29">
        <f t="shared" si="24"/>
        <v>0</v>
      </c>
      <c r="H155" s="33">
        <v>0.75</v>
      </c>
      <c r="I155" s="29">
        <f t="shared" si="25"/>
        <v>0</v>
      </c>
    </row>
    <row r="156" s="17" customFormat="1" customHeight="1" spans="1:9">
      <c r="A156" s="25">
        <v>151</v>
      </c>
      <c r="B156" s="31" t="s">
        <v>170</v>
      </c>
      <c r="C156" s="32"/>
      <c r="D156" s="45">
        <v>0.5</v>
      </c>
      <c r="E156" s="38">
        <f t="shared" si="23"/>
        <v>0</v>
      </c>
      <c r="F156" s="32"/>
      <c r="G156" s="29">
        <f t="shared" si="24"/>
        <v>0</v>
      </c>
      <c r="H156" s="33">
        <v>0.85</v>
      </c>
      <c r="I156" s="29">
        <f t="shared" si="25"/>
        <v>0</v>
      </c>
    </row>
    <row r="157" s="17" customFormat="1" customHeight="1" spans="1:9">
      <c r="A157" s="25">
        <v>152</v>
      </c>
      <c r="B157" s="31" t="s">
        <v>171</v>
      </c>
      <c r="C157" s="32"/>
      <c r="D157" s="45">
        <v>0.5</v>
      </c>
      <c r="E157" s="38">
        <f t="shared" si="23"/>
        <v>0</v>
      </c>
      <c r="F157" s="32"/>
      <c r="G157" s="29">
        <f t="shared" si="24"/>
        <v>0</v>
      </c>
      <c r="H157" s="33">
        <v>0.9</v>
      </c>
      <c r="I157" s="29">
        <f t="shared" si="25"/>
        <v>0</v>
      </c>
    </row>
    <row r="158" s="17" customFormat="1" customHeight="1" spans="1:9">
      <c r="A158" s="25">
        <v>153</v>
      </c>
      <c r="B158" s="31" t="s">
        <v>172</v>
      </c>
      <c r="C158" s="32"/>
      <c r="D158" s="45">
        <v>0.5</v>
      </c>
      <c r="E158" s="38">
        <f t="shared" si="23"/>
        <v>0</v>
      </c>
      <c r="F158" s="32"/>
      <c r="G158" s="29">
        <f t="shared" si="24"/>
        <v>0</v>
      </c>
      <c r="H158" s="33">
        <v>1</v>
      </c>
      <c r="I158" s="29">
        <f t="shared" si="25"/>
        <v>0</v>
      </c>
    </row>
    <row r="159" s="17" customFormat="1" customHeight="1" spans="1:9">
      <c r="A159" s="25">
        <v>154</v>
      </c>
      <c r="B159" s="31" t="s">
        <v>173</v>
      </c>
      <c r="C159" s="32"/>
      <c r="D159" s="45">
        <v>0.5</v>
      </c>
      <c r="E159" s="38">
        <f t="shared" si="23"/>
        <v>0</v>
      </c>
      <c r="F159" s="32"/>
      <c r="G159" s="29">
        <f t="shared" si="24"/>
        <v>0</v>
      </c>
      <c r="H159" s="33">
        <v>1.05</v>
      </c>
      <c r="I159" s="29">
        <f t="shared" si="25"/>
        <v>0</v>
      </c>
    </row>
    <row r="160" s="17" customFormat="1" customHeight="1" spans="1:9">
      <c r="A160" s="25">
        <v>155</v>
      </c>
      <c r="B160" s="31" t="s">
        <v>174</v>
      </c>
      <c r="C160" s="32"/>
      <c r="D160" s="45">
        <v>0.5</v>
      </c>
      <c r="E160" s="38">
        <f t="shared" si="23"/>
        <v>0</v>
      </c>
      <c r="F160" s="32"/>
      <c r="G160" s="29">
        <f t="shared" si="24"/>
        <v>0</v>
      </c>
      <c r="H160" s="33">
        <v>1.1</v>
      </c>
      <c r="I160" s="29">
        <f t="shared" si="25"/>
        <v>0</v>
      </c>
    </row>
    <row r="161" s="17" customFormat="1" customHeight="1" spans="1:9">
      <c r="A161" s="25">
        <v>156</v>
      </c>
      <c r="B161" s="31" t="s">
        <v>175</v>
      </c>
      <c r="C161" s="32"/>
      <c r="D161" s="45">
        <v>0.5</v>
      </c>
      <c r="E161" s="38">
        <f t="shared" si="23"/>
        <v>0</v>
      </c>
      <c r="F161" s="32"/>
      <c r="G161" s="29">
        <f t="shared" si="24"/>
        <v>0</v>
      </c>
      <c r="H161" s="33">
        <v>1.3</v>
      </c>
      <c r="I161" s="29">
        <f t="shared" si="25"/>
        <v>0</v>
      </c>
    </row>
    <row r="162" s="17" customFormat="1" customHeight="1" spans="1:9">
      <c r="A162" s="25">
        <v>157</v>
      </c>
      <c r="B162" s="31" t="s">
        <v>176</v>
      </c>
      <c r="C162" s="32"/>
      <c r="D162" s="45">
        <v>0.5</v>
      </c>
      <c r="E162" s="38">
        <f t="shared" si="23"/>
        <v>0</v>
      </c>
      <c r="F162" s="32"/>
      <c r="G162" s="29">
        <f t="shared" si="24"/>
        <v>0</v>
      </c>
      <c r="H162" s="33">
        <v>1.5</v>
      </c>
      <c r="I162" s="29">
        <f t="shared" si="25"/>
        <v>0</v>
      </c>
    </row>
    <row r="163" s="17" customFormat="1" customHeight="1" spans="1:9">
      <c r="A163" s="25">
        <v>158</v>
      </c>
      <c r="B163" s="31" t="s">
        <v>177</v>
      </c>
      <c r="C163" s="32"/>
      <c r="D163" s="45">
        <v>0.5</v>
      </c>
      <c r="E163" s="38">
        <f t="shared" si="23"/>
        <v>0</v>
      </c>
      <c r="F163" s="32"/>
      <c r="G163" s="29">
        <f t="shared" si="24"/>
        <v>0</v>
      </c>
      <c r="H163" s="37"/>
      <c r="I163" s="32"/>
    </row>
    <row r="164" s="17" customFormat="1" customHeight="1" spans="1:9">
      <c r="A164" s="25">
        <v>159</v>
      </c>
      <c r="B164" s="28" t="s">
        <v>178</v>
      </c>
      <c r="C164" s="29">
        <f>SUM(C165:C185)</f>
        <v>0</v>
      </c>
      <c r="D164" s="44"/>
      <c r="E164" s="29">
        <f>SUM(E165:E185)</f>
        <v>0</v>
      </c>
      <c r="F164" s="29">
        <f>SUM(F165:F185)</f>
        <v>0</v>
      </c>
      <c r="G164" s="29">
        <f>SUM(G165:G185)</f>
        <v>0</v>
      </c>
      <c r="H164" s="37"/>
      <c r="I164" s="29">
        <f>SUM(I165:I185)</f>
        <v>0</v>
      </c>
    </row>
    <row r="165" s="17" customFormat="1" customHeight="1" spans="1:9">
      <c r="A165" s="25">
        <v>160</v>
      </c>
      <c r="B165" s="31" t="s">
        <v>179</v>
      </c>
      <c r="C165" s="32"/>
      <c r="D165" s="45">
        <v>0.2</v>
      </c>
      <c r="E165" s="38">
        <f t="shared" ref="E165:E185" si="26">C165*D165</f>
        <v>0</v>
      </c>
      <c r="F165" s="32"/>
      <c r="G165" s="29">
        <f t="shared" ref="G165:G185" si="27">E165-F165</f>
        <v>0</v>
      </c>
      <c r="H165" s="33">
        <v>0</v>
      </c>
      <c r="I165" s="29">
        <f t="shared" ref="I165:I184" si="28">G165*H165</f>
        <v>0</v>
      </c>
    </row>
    <row r="166" s="17" customFormat="1" customHeight="1" spans="1:9">
      <c r="A166" s="25">
        <v>161</v>
      </c>
      <c r="B166" s="31" t="s">
        <v>180</v>
      </c>
      <c r="C166" s="32"/>
      <c r="D166" s="45">
        <v>0.2</v>
      </c>
      <c r="E166" s="38">
        <f t="shared" si="26"/>
        <v>0</v>
      </c>
      <c r="F166" s="32"/>
      <c r="G166" s="29">
        <f t="shared" si="27"/>
        <v>0</v>
      </c>
      <c r="H166" s="33">
        <v>0.1</v>
      </c>
      <c r="I166" s="29">
        <f t="shared" si="28"/>
        <v>0</v>
      </c>
    </row>
    <row r="167" s="17" customFormat="1" customHeight="1" spans="1:9">
      <c r="A167" s="25">
        <v>162</v>
      </c>
      <c r="B167" s="31" t="s">
        <v>181</v>
      </c>
      <c r="C167" s="32"/>
      <c r="D167" s="45">
        <v>0.2</v>
      </c>
      <c r="E167" s="38">
        <f t="shared" si="26"/>
        <v>0</v>
      </c>
      <c r="F167" s="32"/>
      <c r="G167" s="29">
        <f t="shared" si="27"/>
        <v>0</v>
      </c>
      <c r="H167" s="33">
        <v>0.15</v>
      </c>
      <c r="I167" s="29">
        <f t="shared" si="28"/>
        <v>0</v>
      </c>
    </row>
    <row r="168" s="17" customFormat="1" customHeight="1" spans="1:9">
      <c r="A168" s="25">
        <v>163</v>
      </c>
      <c r="B168" s="31" t="s">
        <v>182</v>
      </c>
      <c r="C168" s="32"/>
      <c r="D168" s="45">
        <v>0.2</v>
      </c>
      <c r="E168" s="38">
        <f t="shared" si="26"/>
        <v>0</v>
      </c>
      <c r="F168" s="32"/>
      <c r="G168" s="29">
        <f t="shared" si="27"/>
        <v>0</v>
      </c>
      <c r="H168" s="33">
        <v>0.2</v>
      </c>
      <c r="I168" s="29">
        <f t="shared" si="28"/>
        <v>0</v>
      </c>
    </row>
    <row r="169" s="17" customFormat="1" customHeight="1" spans="1:9">
      <c r="A169" s="25">
        <v>164</v>
      </c>
      <c r="B169" s="31" t="s">
        <v>183</v>
      </c>
      <c r="C169" s="32"/>
      <c r="D169" s="45">
        <v>0.2</v>
      </c>
      <c r="E169" s="38">
        <f t="shared" si="26"/>
        <v>0</v>
      </c>
      <c r="F169" s="32"/>
      <c r="G169" s="29">
        <f t="shared" si="27"/>
        <v>0</v>
      </c>
      <c r="H169" s="33">
        <v>0.25</v>
      </c>
      <c r="I169" s="29">
        <f t="shared" si="28"/>
        <v>0</v>
      </c>
    </row>
    <row r="170" s="17" customFormat="1" customHeight="1" spans="1:9">
      <c r="A170" s="25">
        <v>165</v>
      </c>
      <c r="B170" s="31" t="s">
        <v>184</v>
      </c>
      <c r="C170" s="32"/>
      <c r="D170" s="45">
        <v>0.2</v>
      </c>
      <c r="E170" s="38">
        <f t="shared" si="26"/>
        <v>0</v>
      </c>
      <c r="F170" s="32"/>
      <c r="G170" s="29">
        <f t="shared" si="27"/>
        <v>0</v>
      </c>
      <c r="H170" s="33">
        <v>0.3</v>
      </c>
      <c r="I170" s="29">
        <f t="shared" si="28"/>
        <v>0</v>
      </c>
    </row>
    <row r="171" s="17" customFormat="1" customHeight="1" spans="1:9">
      <c r="A171" s="25">
        <v>166</v>
      </c>
      <c r="B171" s="31" t="s">
        <v>185</v>
      </c>
      <c r="C171" s="32"/>
      <c r="D171" s="45">
        <v>0.2</v>
      </c>
      <c r="E171" s="38">
        <f t="shared" si="26"/>
        <v>0</v>
      </c>
      <c r="F171" s="32"/>
      <c r="G171" s="29">
        <f t="shared" si="27"/>
        <v>0</v>
      </c>
      <c r="H171" s="33">
        <v>0.35</v>
      </c>
      <c r="I171" s="29">
        <f t="shared" si="28"/>
        <v>0</v>
      </c>
    </row>
    <row r="172" s="17" customFormat="1" customHeight="1" spans="1:9">
      <c r="A172" s="25">
        <v>167</v>
      </c>
      <c r="B172" s="31" t="s">
        <v>186</v>
      </c>
      <c r="C172" s="32"/>
      <c r="D172" s="45">
        <v>0.2</v>
      </c>
      <c r="E172" s="38">
        <f t="shared" si="26"/>
        <v>0</v>
      </c>
      <c r="F172" s="32"/>
      <c r="G172" s="29">
        <f t="shared" si="27"/>
        <v>0</v>
      </c>
      <c r="H172" s="33">
        <v>0.4</v>
      </c>
      <c r="I172" s="29">
        <f t="shared" si="28"/>
        <v>0</v>
      </c>
    </row>
    <row r="173" s="17" customFormat="1" customHeight="1" spans="1:9">
      <c r="A173" s="25">
        <v>168</v>
      </c>
      <c r="B173" s="31" t="s">
        <v>187</v>
      </c>
      <c r="C173" s="32"/>
      <c r="D173" s="45">
        <v>0.2</v>
      </c>
      <c r="E173" s="38">
        <f t="shared" si="26"/>
        <v>0</v>
      </c>
      <c r="F173" s="32"/>
      <c r="G173" s="29">
        <f t="shared" si="27"/>
        <v>0</v>
      </c>
      <c r="H173" s="33">
        <v>0.45</v>
      </c>
      <c r="I173" s="29">
        <f t="shared" si="28"/>
        <v>0</v>
      </c>
    </row>
    <row r="174" s="17" customFormat="1" customHeight="1" spans="1:9">
      <c r="A174" s="25">
        <v>169</v>
      </c>
      <c r="B174" s="31" t="s">
        <v>188</v>
      </c>
      <c r="C174" s="32"/>
      <c r="D174" s="45">
        <v>0.2</v>
      </c>
      <c r="E174" s="38">
        <f t="shared" si="26"/>
        <v>0</v>
      </c>
      <c r="F174" s="32"/>
      <c r="G174" s="29">
        <f t="shared" si="27"/>
        <v>0</v>
      </c>
      <c r="H174" s="33">
        <v>0.5</v>
      </c>
      <c r="I174" s="29">
        <f t="shared" si="28"/>
        <v>0</v>
      </c>
    </row>
    <row r="175" s="17" customFormat="1" customHeight="1" spans="1:9">
      <c r="A175" s="25">
        <v>170</v>
      </c>
      <c r="B175" s="31" t="s">
        <v>189</v>
      </c>
      <c r="C175" s="32"/>
      <c r="D175" s="45">
        <v>0.2</v>
      </c>
      <c r="E175" s="38">
        <f t="shared" si="26"/>
        <v>0</v>
      </c>
      <c r="F175" s="32"/>
      <c r="G175" s="29">
        <f t="shared" si="27"/>
        <v>0</v>
      </c>
      <c r="H175" s="33">
        <v>0.6</v>
      </c>
      <c r="I175" s="29">
        <f t="shared" si="28"/>
        <v>0</v>
      </c>
    </row>
    <row r="176" s="17" customFormat="1" customHeight="1" spans="1:9">
      <c r="A176" s="25">
        <v>171</v>
      </c>
      <c r="B176" s="31" t="s">
        <v>190</v>
      </c>
      <c r="C176" s="32"/>
      <c r="D176" s="45">
        <v>0.2</v>
      </c>
      <c r="E176" s="38">
        <f t="shared" si="26"/>
        <v>0</v>
      </c>
      <c r="F176" s="32"/>
      <c r="G176" s="29">
        <f t="shared" si="27"/>
        <v>0</v>
      </c>
      <c r="H176" s="33">
        <v>0.65</v>
      </c>
      <c r="I176" s="29">
        <f t="shared" si="28"/>
        <v>0</v>
      </c>
    </row>
    <row r="177" s="17" customFormat="1" customHeight="1" spans="1:9">
      <c r="A177" s="25">
        <v>172</v>
      </c>
      <c r="B177" s="31" t="s">
        <v>191</v>
      </c>
      <c r="C177" s="32"/>
      <c r="D177" s="45">
        <v>0.2</v>
      </c>
      <c r="E177" s="38">
        <f t="shared" si="26"/>
        <v>0</v>
      </c>
      <c r="F177" s="32"/>
      <c r="G177" s="29">
        <f t="shared" si="27"/>
        <v>0</v>
      </c>
      <c r="H177" s="33">
        <v>0.75</v>
      </c>
      <c r="I177" s="29">
        <f t="shared" si="28"/>
        <v>0</v>
      </c>
    </row>
    <row r="178" s="17" customFormat="1" customHeight="1" spans="1:9">
      <c r="A178" s="25">
        <v>173</v>
      </c>
      <c r="B178" s="31" t="s">
        <v>192</v>
      </c>
      <c r="C178" s="32"/>
      <c r="D178" s="45">
        <v>0.2</v>
      </c>
      <c r="E178" s="38">
        <f t="shared" si="26"/>
        <v>0</v>
      </c>
      <c r="F178" s="32"/>
      <c r="G178" s="29">
        <f t="shared" si="27"/>
        <v>0</v>
      </c>
      <c r="H178" s="33">
        <v>0.85</v>
      </c>
      <c r="I178" s="29">
        <f t="shared" si="28"/>
        <v>0</v>
      </c>
    </row>
    <row r="179" s="17" customFormat="1" customHeight="1" spans="1:9">
      <c r="A179" s="25">
        <v>174</v>
      </c>
      <c r="B179" s="31" t="s">
        <v>193</v>
      </c>
      <c r="C179" s="32"/>
      <c r="D179" s="45">
        <v>0.2</v>
      </c>
      <c r="E179" s="38">
        <f t="shared" si="26"/>
        <v>0</v>
      </c>
      <c r="F179" s="32"/>
      <c r="G179" s="29">
        <f t="shared" si="27"/>
        <v>0</v>
      </c>
      <c r="H179" s="33">
        <v>0.9</v>
      </c>
      <c r="I179" s="29">
        <f t="shared" si="28"/>
        <v>0</v>
      </c>
    </row>
    <row r="180" s="17" customFormat="1" customHeight="1" spans="1:9">
      <c r="A180" s="25">
        <v>175</v>
      </c>
      <c r="B180" s="31" t="s">
        <v>194</v>
      </c>
      <c r="C180" s="32"/>
      <c r="D180" s="45">
        <v>0.2</v>
      </c>
      <c r="E180" s="38">
        <f t="shared" si="26"/>
        <v>0</v>
      </c>
      <c r="F180" s="32"/>
      <c r="G180" s="29">
        <f t="shared" si="27"/>
        <v>0</v>
      </c>
      <c r="H180" s="33">
        <v>1</v>
      </c>
      <c r="I180" s="29">
        <f t="shared" si="28"/>
        <v>0</v>
      </c>
    </row>
    <row r="181" s="17" customFormat="1" customHeight="1" spans="1:9">
      <c r="A181" s="25">
        <v>176</v>
      </c>
      <c r="B181" s="31" t="s">
        <v>195</v>
      </c>
      <c r="C181" s="32"/>
      <c r="D181" s="45">
        <v>0.2</v>
      </c>
      <c r="E181" s="38">
        <f t="shared" si="26"/>
        <v>0</v>
      </c>
      <c r="F181" s="32"/>
      <c r="G181" s="29">
        <f t="shared" si="27"/>
        <v>0</v>
      </c>
      <c r="H181" s="33">
        <v>1.05</v>
      </c>
      <c r="I181" s="29">
        <f t="shared" si="28"/>
        <v>0</v>
      </c>
    </row>
    <row r="182" s="17" customFormat="1" customHeight="1" spans="1:9">
      <c r="A182" s="25">
        <v>177</v>
      </c>
      <c r="B182" s="31" t="s">
        <v>196</v>
      </c>
      <c r="C182" s="32"/>
      <c r="D182" s="45">
        <v>0.2</v>
      </c>
      <c r="E182" s="38">
        <f t="shared" si="26"/>
        <v>0</v>
      </c>
      <c r="F182" s="32"/>
      <c r="G182" s="29">
        <f t="shared" si="27"/>
        <v>0</v>
      </c>
      <c r="H182" s="33">
        <v>1.1</v>
      </c>
      <c r="I182" s="29">
        <f t="shared" si="28"/>
        <v>0</v>
      </c>
    </row>
    <row r="183" s="17" customFormat="1" customHeight="1" spans="1:9">
      <c r="A183" s="25">
        <v>178</v>
      </c>
      <c r="B183" s="31" t="s">
        <v>197</v>
      </c>
      <c r="C183" s="32"/>
      <c r="D183" s="45">
        <v>0.2</v>
      </c>
      <c r="E183" s="38">
        <f t="shared" si="26"/>
        <v>0</v>
      </c>
      <c r="F183" s="32"/>
      <c r="G183" s="29">
        <f t="shared" si="27"/>
        <v>0</v>
      </c>
      <c r="H183" s="33">
        <v>1.3</v>
      </c>
      <c r="I183" s="29">
        <f t="shared" si="28"/>
        <v>0</v>
      </c>
    </row>
    <row r="184" s="17" customFormat="1" customHeight="1" spans="1:9">
      <c r="A184" s="25">
        <v>179</v>
      </c>
      <c r="B184" s="31" t="s">
        <v>198</v>
      </c>
      <c r="C184" s="32"/>
      <c r="D184" s="45">
        <v>0.2</v>
      </c>
      <c r="E184" s="38">
        <f t="shared" si="26"/>
        <v>0</v>
      </c>
      <c r="F184" s="32"/>
      <c r="G184" s="29">
        <f t="shared" si="27"/>
        <v>0</v>
      </c>
      <c r="H184" s="33">
        <v>1.5</v>
      </c>
      <c r="I184" s="29">
        <f t="shared" si="28"/>
        <v>0</v>
      </c>
    </row>
    <row r="185" s="17" customFormat="1" customHeight="1" spans="1:9">
      <c r="A185" s="25">
        <v>180</v>
      </c>
      <c r="B185" s="31" t="s">
        <v>199</v>
      </c>
      <c r="C185" s="32"/>
      <c r="D185" s="45">
        <v>0.2</v>
      </c>
      <c r="E185" s="38">
        <f t="shared" si="26"/>
        <v>0</v>
      </c>
      <c r="F185" s="32"/>
      <c r="G185" s="29">
        <f t="shared" si="27"/>
        <v>0</v>
      </c>
      <c r="H185" s="37"/>
      <c r="I185" s="32"/>
    </row>
    <row r="186" customHeight="1" spans="1:9">
      <c r="A186" s="25">
        <v>181</v>
      </c>
      <c r="B186" s="28" t="s">
        <v>200</v>
      </c>
      <c r="C186" s="29">
        <f>SUM(C187:C207)</f>
        <v>0</v>
      </c>
      <c r="D186" s="44"/>
      <c r="E186" s="29">
        <f>SUM(E187:E207)</f>
        <v>0</v>
      </c>
      <c r="F186" s="29">
        <f>SUM(F187:F207)</f>
        <v>0</v>
      </c>
      <c r="G186" s="29">
        <f>SUM(G187:G207)</f>
        <v>0</v>
      </c>
      <c r="H186" s="37"/>
      <c r="I186" s="29">
        <f>SUM(I187:I207)</f>
        <v>0</v>
      </c>
    </row>
    <row r="187" s="16" customFormat="1" customHeight="1" spans="1:9">
      <c r="A187" s="25">
        <v>182</v>
      </c>
      <c r="B187" s="31" t="s">
        <v>201</v>
      </c>
      <c r="C187" s="32"/>
      <c r="D187" s="45">
        <v>0.2</v>
      </c>
      <c r="E187" s="38">
        <f t="shared" ref="E187:E207" si="29">C187*D187</f>
        <v>0</v>
      </c>
      <c r="F187" s="32"/>
      <c r="G187" s="29">
        <f t="shared" ref="G187:G207" si="30">E187-F187</f>
        <v>0</v>
      </c>
      <c r="H187" s="33">
        <v>0</v>
      </c>
      <c r="I187" s="29">
        <f t="shared" ref="I187:I206" si="31">G187*H187</f>
        <v>0</v>
      </c>
    </row>
    <row r="188" s="16" customFormat="1" customHeight="1" spans="1:9">
      <c r="A188" s="25">
        <v>183</v>
      </c>
      <c r="B188" s="31" t="s">
        <v>202</v>
      </c>
      <c r="C188" s="32"/>
      <c r="D188" s="45">
        <v>0.2</v>
      </c>
      <c r="E188" s="38">
        <f t="shared" si="29"/>
        <v>0</v>
      </c>
      <c r="F188" s="32"/>
      <c r="G188" s="29">
        <f t="shared" si="30"/>
        <v>0</v>
      </c>
      <c r="H188" s="33">
        <v>0.1</v>
      </c>
      <c r="I188" s="29">
        <f t="shared" si="31"/>
        <v>0</v>
      </c>
    </row>
    <row r="189" s="16" customFormat="1" customHeight="1" spans="1:9">
      <c r="A189" s="25">
        <v>184</v>
      </c>
      <c r="B189" s="31" t="s">
        <v>203</v>
      </c>
      <c r="C189" s="32"/>
      <c r="D189" s="45">
        <v>0.2</v>
      </c>
      <c r="E189" s="38">
        <f t="shared" si="29"/>
        <v>0</v>
      </c>
      <c r="F189" s="32"/>
      <c r="G189" s="29">
        <f t="shared" si="30"/>
        <v>0</v>
      </c>
      <c r="H189" s="33">
        <v>0.15</v>
      </c>
      <c r="I189" s="29">
        <f t="shared" si="31"/>
        <v>0</v>
      </c>
    </row>
    <row r="190" s="16" customFormat="1" customHeight="1" spans="1:9">
      <c r="A190" s="25">
        <v>185</v>
      </c>
      <c r="B190" s="31" t="s">
        <v>204</v>
      </c>
      <c r="C190" s="32"/>
      <c r="D190" s="45">
        <v>0.2</v>
      </c>
      <c r="E190" s="38">
        <f t="shared" si="29"/>
        <v>0</v>
      </c>
      <c r="F190" s="32"/>
      <c r="G190" s="29">
        <f t="shared" si="30"/>
        <v>0</v>
      </c>
      <c r="H190" s="33">
        <v>0.2</v>
      </c>
      <c r="I190" s="29">
        <f t="shared" si="31"/>
        <v>0</v>
      </c>
    </row>
    <row r="191" s="16" customFormat="1" customHeight="1" spans="1:9">
      <c r="A191" s="25">
        <v>186</v>
      </c>
      <c r="B191" s="31" t="s">
        <v>205</v>
      </c>
      <c r="C191" s="32"/>
      <c r="D191" s="45">
        <v>0.2</v>
      </c>
      <c r="E191" s="38">
        <f t="shared" si="29"/>
        <v>0</v>
      </c>
      <c r="F191" s="32"/>
      <c r="G191" s="29">
        <f t="shared" si="30"/>
        <v>0</v>
      </c>
      <c r="H191" s="33">
        <v>0.25</v>
      </c>
      <c r="I191" s="29">
        <f t="shared" si="31"/>
        <v>0</v>
      </c>
    </row>
    <row r="192" s="16" customFormat="1" customHeight="1" spans="1:9">
      <c r="A192" s="25">
        <v>187</v>
      </c>
      <c r="B192" s="31" t="s">
        <v>206</v>
      </c>
      <c r="C192" s="32"/>
      <c r="D192" s="45">
        <v>0.2</v>
      </c>
      <c r="E192" s="38">
        <f t="shared" si="29"/>
        <v>0</v>
      </c>
      <c r="F192" s="32"/>
      <c r="G192" s="29">
        <f t="shared" si="30"/>
        <v>0</v>
      </c>
      <c r="H192" s="33">
        <v>0.3</v>
      </c>
      <c r="I192" s="29">
        <f t="shared" si="31"/>
        <v>0</v>
      </c>
    </row>
    <row r="193" s="16" customFormat="1" customHeight="1" spans="1:9">
      <c r="A193" s="25">
        <v>188</v>
      </c>
      <c r="B193" s="31" t="s">
        <v>207</v>
      </c>
      <c r="C193" s="32"/>
      <c r="D193" s="45">
        <v>0.2</v>
      </c>
      <c r="E193" s="38">
        <f t="shared" si="29"/>
        <v>0</v>
      </c>
      <c r="F193" s="32"/>
      <c r="G193" s="29">
        <f t="shared" si="30"/>
        <v>0</v>
      </c>
      <c r="H193" s="33">
        <v>0.35</v>
      </c>
      <c r="I193" s="29">
        <f t="shared" si="31"/>
        <v>0</v>
      </c>
    </row>
    <row r="194" s="16" customFormat="1" customHeight="1" spans="1:9">
      <c r="A194" s="25">
        <v>189</v>
      </c>
      <c r="B194" s="31" t="s">
        <v>208</v>
      </c>
      <c r="C194" s="32"/>
      <c r="D194" s="45">
        <v>0.2</v>
      </c>
      <c r="E194" s="38">
        <f t="shared" si="29"/>
        <v>0</v>
      </c>
      <c r="F194" s="32"/>
      <c r="G194" s="29">
        <f t="shared" si="30"/>
        <v>0</v>
      </c>
      <c r="H194" s="33">
        <v>0.4</v>
      </c>
      <c r="I194" s="29">
        <f t="shared" si="31"/>
        <v>0</v>
      </c>
    </row>
    <row r="195" s="16" customFormat="1" customHeight="1" spans="1:9">
      <c r="A195" s="25">
        <v>190</v>
      </c>
      <c r="B195" s="31" t="s">
        <v>209</v>
      </c>
      <c r="C195" s="32"/>
      <c r="D195" s="45">
        <v>0.2</v>
      </c>
      <c r="E195" s="38">
        <f t="shared" si="29"/>
        <v>0</v>
      </c>
      <c r="F195" s="32"/>
      <c r="G195" s="29">
        <f t="shared" si="30"/>
        <v>0</v>
      </c>
      <c r="H195" s="33">
        <v>0.45</v>
      </c>
      <c r="I195" s="29">
        <f t="shared" si="31"/>
        <v>0</v>
      </c>
    </row>
    <row r="196" s="16" customFormat="1" customHeight="1" spans="1:9">
      <c r="A196" s="25">
        <v>191</v>
      </c>
      <c r="B196" s="31" t="s">
        <v>210</v>
      </c>
      <c r="C196" s="32"/>
      <c r="D196" s="45">
        <v>0.2</v>
      </c>
      <c r="E196" s="38">
        <f t="shared" si="29"/>
        <v>0</v>
      </c>
      <c r="F196" s="32"/>
      <c r="G196" s="29">
        <f t="shared" si="30"/>
        <v>0</v>
      </c>
      <c r="H196" s="33">
        <v>0.5</v>
      </c>
      <c r="I196" s="29">
        <f t="shared" si="31"/>
        <v>0</v>
      </c>
    </row>
    <row r="197" s="16" customFormat="1" customHeight="1" spans="1:9">
      <c r="A197" s="25">
        <v>192</v>
      </c>
      <c r="B197" s="31" t="s">
        <v>211</v>
      </c>
      <c r="C197" s="32"/>
      <c r="D197" s="45">
        <v>0.2</v>
      </c>
      <c r="E197" s="38">
        <f t="shared" si="29"/>
        <v>0</v>
      </c>
      <c r="F197" s="32"/>
      <c r="G197" s="29">
        <f t="shared" si="30"/>
        <v>0</v>
      </c>
      <c r="H197" s="33">
        <v>0.6</v>
      </c>
      <c r="I197" s="29">
        <f t="shared" si="31"/>
        <v>0</v>
      </c>
    </row>
    <row r="198" s="16" customFormat="1" customHeight="1" spans="1:9">
      <c r="A198" s="25">
        <v>193</v>
      </c>
      <c r="B198" s="31" t="s">
        <v>212</v>
      </c>
      <c r="C198" s="32"/>
      <c r="D198" s="45">
        <v>0.2</v>
      </c>
      <c r="E198" s="38">
        <f t="shared" si="29"/>
        <v>0</v>
      </c>
      <c r="F198" s="32"/>
      <c r="G198" s="29">
        <f t="shared" si="30"/>
        <v>0</v>
      </c>
      <c r="H198" s="33">
        <v>0.65</v>
      </c>
      <c r="I198" s="29">
        <f t="shared" si="31"/>
        <v>0</v>
      </c>
    </row>
    <row r="199" s="16" customFormat="1" customHeight="1" spans="1:9">
      <c r="A199" s="25">
        <v>194</v>
      </c>
      <c r="B199" s="31" t="s">
        <v>213</v>
      </c>
      <c r="C199" s="32"/>
      <c r="D199" s="45">
        <v>0.2</v>
      </c>
      <c r="E199" s="38">
        <f t="shared" si="29"/>
        <v>0</v>
      </c>
      <c r="F199" s="32"/>
      <c r="G199" s="29">
        <f t="shared" si="30"/>
        <v>0</v>
      </c>
      <c r="H199" s="33">
        <v>0.75</v>
      </c>
      <c r="I199" s="29">
        <f t="shared" si="31"/>
        <v>0</v>
      </c>
    </row>
    <row r="200" s="16" customFormat="1" customHeight="1" spans="1:9">
      <c r="A200" s="25">
        <v>195</v>
      </c>
      <c r="B200" s="31" t="s">
        <v>214</v>
      </c>
      <c r="C200" s="32"/>
      <c r="D200" s="45">
        <v>0.2</v>
      </c>
      <c r="E200" s="38">
        <f t="shared" si="29"/>
        <v>0</v>
      </c>
      <c r="F200" s="32"/>
      <c r="G200" s="29">
        <f t="shared" si="30"/>
        <v>0</v>
      </c>
      <c r="H200" s="33">
        <v>0.85</v>
      </c>
      <c r="I200" s="29">
        <f t="shared" si="31"/>
        <v>0</v>
      </c>
    </row>
    <row r="201" s="16" customFormat="1" customHeight="1" spans="1:9">
      <c r="A201" s="25">
        <v>196</v>
      </c>
      <c r="B201" s="31" t="s">
        <v>215</v>
      </c>
      <c r="C201" s="32"/>
      <c r="D201" s="45">
        <v>0.2</v>
      </c>
      <c r="E201" s="38">
        <f t="shared" si="29"/>
        <v>0</v>
      </c>
      <c r="F201" s="32"/>
      <c r="G201" s="29">
        <f t="shared" si="30"/>
        <v>0</v>
      </c>
      <c r="H201" s="33">
        <v>0.9</v>
      </c>
      <c r="I201" s="29">
        <f t="shared" si="31"/>
        <v>0</v>
      </c>
    </row>
    <row r="202" s="16" customFormat="1" customHeight="1" spans="1:9">
      <c r="A202" s="25">
        <v>197</v>
      </c>
      <c r="B202" s="31" t="s">
        <v>216</v>
      </c>
      <c r="C202" s="32"/>
      <c r="D202" s="45">
        <v>0.2</v>
      </c>
      <c r="E202" s="38">
        <f t="shared" si="29"/>
        <v>0</v>
      </c>
      <c r="F202" s="32"/>
      <c r="G202" s="29">
        <f t="shared" si="30"/>
        <v>0</v>
      </c>
      <c r="H202" s="33">
        <v>1</v>
      </c>
      <c r="I202" s="29">
        <f t="shared" si="31"/>
        <v>0</v>
      </c>
    </row>
    <row r="203" s="16" customFormat="1" customHeight="1" spans="1:9">
      <c r="A203" s="25">
        <v>198</v>
      </c>
      <c r="B203" s="31" t="s">
        <v>217</v>
      </c>
      <c r="C203" s="32"/>
      <c r="D203" s="45">
        <v>0.2</v>
      </c>
      <c r="E203" s="38">
        <f t="shared" si="29"/>
        <v>0</v>
      </c>
      <c r="F203" s="32"/>
      <c r="G203" s="29">
        <f t="shared" si="30"/>
        <v>0</v>
      </c>
      <c r="H203" s="33">
        <v>1.05</v>
      </c>
      <c r="I203" s="29">
        <f t="shared" si="31"/>
        <v>0</v>
      </c>
    </row>
    <row r="204" s="16" customFormat="1" customHeight="1" spans="1:9">
      <c r="A204" s="25">
        <v>199</v>
      </c>
      <c r="B204" s="31" t="s">
        <v>218</v>
      </c>
      <c r="C204" s="32"/>
      <c r="D204" s="45">
        <v>0.2</v>
      </c>
      <c r="E204" s="38">
        <f t="shared" si="29"/>
        <v>0</v>
      </c>
      <c r="F204" s="32"/>
      <c r="G204" s="29">
        <f t="shared" si="30"/>
        <v>0</v>
      </c>
      <c r="H204" s="33">
        <v>1.1</v>
      </c>
      <c r="I204" s="29">
        <f t="shared" si="31"/>
        <v>0</v>
      </c>
    </row>
    <row r="205" s="16" customFormat="1" customHeight="1" spans="1:9">
      <c r="A205" s="25">
        <v>200</v>
      </c>
      <c r="B205" s="31" t="s">
        <v>219</v>
      </c>
      <c r="C205" s="32"/>
      <c r="D205" s="45">
        <v>0.2</v>
      </c>
      <c r="E205" s="38">
        <f t="shared" si="29"/>
        <v>0</v>
      </c>
      <c r="F205" s="32"/>
      <c r="G205" s="29">
        <f t="shared" si="30"/>
        <v>0</v>
      </c>
      <c r="H205" s="33">
        <v>1.3</v>
      </c>
      <c r="I205" s="29">
        <f t="shared" si="31"/>
        <v>0</v>
      </c>
    </row>
    <row r="206" s="16" customFormat="1" customHeight="1" spans="1:9">
      <c r="A206" s="25">
        <v>201</v>
      </c>
      <c r="B206" s="31" t="s">
        <v>220</v>
      </c>
      <c r="C206" s="32"/>
      <c r="D206" s="45">
        <v>0.2</v>
      </c>
      <c r="E206" s="38">
        <f t="shared" si="29"/>
        <v>0</v>
      </c>
      <c r="F206" s="32"/>
      <c r="G206" s="29">
        <f t="shared" si="30"/>
        <v>0</v>
      </c>
      <c r="H206" s="33">
        <v>1.5</v>
      </c>
      <c r="I206" s="29">
        <f t="shared" si="31"/>
        <v>0</v>
      </c>
    </row>
    <row r="207" s="17" customFormat="1" customHeight="1" spans="1:9">
      <c r="A207" s="25">
        <v>202</v>
      </c>
      <c r="B207" s="31" t="s">
        <v>221</v>
      </c>
      <c r="C207" s="32"/>
      <c r="D207" s="45">
        <v>0.2</v>
      </c>
      <c r="E207" s="38">
        <f t="shared" si="29"/>
        <v>0</v>
      </c>
      <c r="F207" s="32"/>
      <c r="G207" s="29">
        <f t="shared" si="30"/>
        <v>0</v>
      </c>
      <c r="H207" s="37"/>
      <c r="I207" s="32"/>
    </row>
    <row r="208" customHeight="1" spans="1:9">
      <c r="A208" s="25">
        <v>203</v>
      </c>
      <c r="B208" s="28" t="s">
        <v>222</v>
      </c>
      <c r="C208" s="29">
        <f>C209+C210+C232+C254+C299+C321+C343</f>
        <v>0</v>
      </c>
      <c r="D208" s="44"/>
      <c r="E208" s="29">
        <f>E209+E210+E232+E254+E299+E321+E343</f>
        <v>0</v>
      </c>
      <c r="F208" s="29">
        <f>F209+F210+F232+F254+F299+F321+F343</f>
        <v>0</v>
      </c>
      <c r="G208" s="29">
        <f>G209+G210+G232+G254+G299+G321+G343</f>
        <v>0</v>
      </c>
      <c r="H208" s="37"/>
      <c r="I208" s="29">
        <f>I209+I210+I232+I254+I299+I321+I343</f>
        <v>0</v>
      </c>
    </row>
    <row r="209" ht="24" spans="1:9">
      <c r="A209" s="25">
        <v>204</v>
      </c>
      <c r="B209" s="34" t="s">
        <v>223</v>
      </c>
      <c r="C209" s="32"/>
      <c r="D209" s="47">
        <v>0</v>
      </c>
      <c r="E209" s="38">
        <f t="shared" ref="E209:E231" si="32">C209*D209</f>
        <v>0</v>
      </c>
      <c r="F209" s="32"/>
      <c r="G209" s="29">
        <f t="shared" ref="G209:G231" si="33">E209-F209</f>
        <v>0</v>
      </c>
      <c r="H209" s="47">
        <v>0</v>
      </c>
      <c r="I209" s="29">
        <f>C209*D209*H209</f>
        <v>0</v>
      </c>
    </row>
    <row r="210" customHeight="1" spans="1:9">
      <c r="A210" s="25">
        <v>205</v>
      </c>
      <c r="B210" s="34" t="s">
        <v>224</v>
      </c>
      <c r="C210" s="29">
        <f>SUM(C211:C231)</f>
        <v>0</v>
      </c>
      <c r="D210" s="44"/>
      <c r="E210" s="29">
        <f>SUM(E211:E231)</f>
        <v>0</v>
      </c>
      <c r="F210" s="29">
        <f>SUM(F211:F231)</f>
        <v>0</v>
      </c>
      <c r="G210" s="29">
        <f>SUM(G211:G231)</f>
        <v>0</v>
      </c>
      <c r="H210" s="44"/>
      <c r="I210" s="29">
        <f>SUM(I211:I231)</f>
        <v>0</v>
      </c>
    </row>
    <row r="211" customHeight="1" spans="1:9">
      <c r="A211" s="25">
        <v>206</v>
      </c>
      <c r="B211" s="31" t="s">
        <v>225</v>
      </c>
      <c r="C211" s="32"/>
      <c r="D211" s="33">
        <v>0.1</v>
      </c>
      <c r="E211" s="38">
        <f t="shared" si="32"/>
        <v>0</v>
      </c>
      <c r="F211" s="32"/>
      <c r="G211" s="29">
        <f t="shared" si="33"/>
        <v>0</v>
      </c>
      <c r="H211" s="33">
        <v>0</v>
      </c>
      <c r="I211" s="29">
        <f t="shared" ref="I211:I230" si="34">G211*H211</f>
        <v>0</v>
      </c>
    </row>
    <row r="212" customHeight="1" spans="1:9">
      <c r="A212" s="25">
        <v>207</v>
      </c>
      <c r="B212" s="31" t="s">
        <v>226</v>
      </c>
      <c r="C212" s="32"/>
      <c r="D212" s="33">
        <v>0.1</v>
      </c>
      <c r="E212" s="38">
        <f t="shared" si="32"/>
        <v>0</v>
      </c>
      <c r="F212" s="32"/>
      <c r="G212" s="29">
        <f t="shared" si="33"/>
        <v>0</v>
      </c>
      <c r="H212" s="33">
        <v>0.1</v>
      </c>
      <c r="I212" s="29">
        <f t="shared" si="34"/>
        <v>0</v>
      </c>
    </row>
    <row r="213" customHeight="1" spans="1:9">
      <c r="A213" s="25">
        <v>208</v>
      </c>
      <c r="B213" s="31" t="s">
        <v>227</v>
      </c>
      <c r="C213" s="32"/>
      <c r="D213" s="33">
        <v>0.1</v>
      </c>
      <c r="E213" s="38">
        <f t="shared" si="32"/>
        <v>0</v>
      </c>
      <c r="F213" s="32"/>
      <c r="G213" s="29">
        <f t="shared" si="33"/>
        <v>0</v>
      </c>
      <c r="H213" s="33">
        <v>0.15</v>
      </c>
      <c r="I213" s="29">
        <f t="shared" si="34"/>
        <v>0</v>
      </c>
    </row>
    <row r="214" customHeight="1" spans="1:9">
      <c r="A214" s="25">
        <v>209</v>
      </c>
      <c r="B214" s="31" t="s">
        <v>228</v>
      </c>
      <c r="C214" s="32"/>
      <c r="D214" s="33">
        <v>0.1</v>
      </c>
      <c r="E214" s="38">
        <f t="shared" si="32"/>
        <v>0</v>
      </c>
      <c r="F214" s="32"/>
      <c r="G214" s="29">
        <f t="shared" si="33"/>
        <v>0</v>
      </c>
      <c r="H214" s="33">
        <v>0.2</v>
      </c>
      <c r="I214" s="29">
        <f t="shared" si="34"/>
        <v>0</v>
      </c>
    </row>
    <row r="215" customHeight="1" spans="1:9">
      <c r="A215" s="25">
        <v>210</v>
      </c>
      <c r="B215" s="31" t="s">
        <v>229</v>
      </c>
      <c r="C215" s="32"/>
      <c r="D215" s="33">
        <v>0.1</v>
      </c>
      <c r="E215" s="38">
        <f t="shared" si="32"/>
        <v>0</v>
      </c>
      <c r="F215" s="32"/>
      <c r="G215" s="29">
        <f t="shared" si="33"/>
        <v>0</v>
      </c>
      <c r="H215" s="33">
        <v>0.25</v>
      </c>
      <c r="I215" s="29">
        <f t="shared" si="34"/>
        <v>0</v>
      </c>
    </row>
    <row r="216" customHeight="1" spans="1:9">
      <c r="A216" s="25">
        <v>211</v>
      </c>
      <c r="B216" s="31" t="s">
        <v>230</v>
      </c>
      <c r="C216" s="32"/>
      <c r="D216" s="33">
        <v>0.1</v>
      </c>
      <c r="E216" s="38">
        <f t="shared" si="32"/>
        <v>0</v>
      </c>
      <c r="F216" s="32"/>
      <c r="G216" s="29">
        <f t="shared" si="33"/>
        <v>0</v>
      </c>
      <c r="H216" s="33">
        <v>0.3</v>
      </c>
      <c r="I216" s="29">
        <f t="shared" si="34"/>
        <v>0</v>
      </c>
    </row>
    <row r="217" customHeight="1" spans="1:9">
      <c r="A217" s="25">
        <v>212</v>
      </c>
      <c r="B217" s="31" t="s">
        <v>231</v>
      </c>
      <c r="C217" s="32"/>
      <c r="D217" s="33">
        <v>0.1</v>
      </c>
      <c r="E217" s="38">
        <f t="shared" si="32"/>
        <v>0</v>
      </c>
      <c r="F217" s="32"/>
      <c r="G217" s="29">
        <f t="shared" si="33"/>
        <v>0</v>
      </c>
      <c r="H217" s="33">
        <v>0.35</v>
      </c>
      <c r="I217" s="29">
        <f t="shared" si="34"/>
        <v>0</v>
      </c>
    </row>
    <row r="218" customHeight="1" spans="1:9">
      <c r="A218" s="25">
        <v>213</v>
      </c>
      <c r="B218" s="31" t="s">
        <v>232</v>
      </c>
      <c r="C218" s="32"/>
      <c r="D218" s="33">
        <v>0.1</v>
      </c>
      <c r="E218" s="38">
        <f t="shared" si="32"/>
        <v>0</v>
      </c>
      <c r="F218" s="32"/>
      <c r="G218" s="29">
        <f t="shared" si="33"/>
        <v>0</v>
      </c>
      <c r="H218" s="33">
        <v>0.4</v>
      </c>
      <c r="I218" s="29">
        <f t="shared" si="34"/>
        <v>0</v>
      </c>
    </row>
    <row r="219" customHeight="1" spans="1:9">
      <c r="A219" s="25">
        <v>214</v>
      </c>
      <c r="B219" s="31" t="s">
        <v>233</v>
      </c>
      <c r="C219" s="32"/>
      <c r="D219" s="33">
        <v>0.1</v>
      </c>
      <c r="E219" s="38">
        <f t="shared" si="32"/>
        <v>0</v>
      </c>
      <c r="F219" s="32"/>
      <c r="G219" s="29">
        <f t="shared" si="33"/>
        <v>0</v>
      </c>
      <c r="H219" s="33">
        <v>0.45</v>
      </c>
      <c r="I219" s="29">
        <f t="shared" si="34"/>
        <v>0</v>
      </c>
    </row>
    <row r="220" customHeight="1" spans="1:9">
      <c r="A220" s="25">
        <v>215</v>
      </c>
      <c r="B220" s="31" t="s">
        <v>234</v>
      </c>
      <c r="C220" s="32"/>
      <c r="D220" s="33">
        <v>0.1</v>
      </c>
      <c r="E220" s="38">
        <f t="shared" si="32"/>
        <v>0</v>
      </c>
      <c r="F220" s="32"/>
      <c r="G220" s="29">
        <f t="shared" si="33"/>
        <v>0</v>
      </c>
      <c r="H220" s="33">
        <v>0.5</v>
      </c>
      <c r="I220" s="29">
        <f t="shared" si="34"/>
        <v>0</v>
      </c>
    </row>
    <row r="221" customHeight="1" spans="1:9">
      <c r="A221" s="25">
        <v>216</v>
      </c>
      <c r="B221" s="31" t="s">
        <v>235</v>
      </c>
      <c r="C221" s="32"/>
      <c r="D221" s="33">
        <v>0.1</v>
      </c>
      <c r="E221" s="38">
        <f t="shared" si="32"/>
        <v>0</v>
      </c>
      <c r="F221" s="32"/>
      <c r="G221" s="29">
        <f t="shared" si="33"/>
        <v>0</v>
      </c>
      <c r="H221" s="33">
        <v>0.6</v>
      </c>
      <c r="I221" s="29">
        <f t="shared" si="34"/>
        <v>0</v>
      </c>
    </row>
    <row r="222" customHeight="1" spans="1:9">
      <c r="A222" s="25">
        <v>217</v>
      </c>
      <c r="B222" s="31" t="s">
        <v>236</v>
      </c>
      <c r="C222" s="32"/>
      <c r="D222" s="33">
        <v>0.1</v>
      </c>
      <c r="E222" s="38">
        <f t="shared" si="32"/>
        <v>0</v>
      </c>
      <c r="F222" s="32"/>
      <c r="G222" s="29">
        <f t="shared" si="33"/>
        <v>0</v>
      </c>
      <c r="H222" s="33">
        <v>0.65</v>
      </c>
      <c r="I222" s="29">
        <f t="shared" si="34"/>
        <v>0</v>
      </c>
    </row>
    <row r="223" customHeight="1" spans="1:9">
      <c r="A223" s="25">
        <v>218</v>
      </c>
      <c r="B223" s="31" t="s">
        <v>237</v>
      </c>
      <c r="C223" s="32"/>
      <c r="D223" s="33">
        <v>0.1</v>
      </c>
      <c r="E223" s="38">
        <f t="shared" si="32"/>
        <v>0</v>
      </c>
      <c r="F223" s="32"/>
      <c r="G223" s="29">
        <f t="shared" si="33"/>
        <v>0</v>
      </c>
      <c r="H223" s="33">
        <v>0.75</v>
      </c>
      <c r="I223" s="29">
        <f t="shared" si="34"/>
        <v>0</v>
      </c>
    </row>
    <row r="224" customHeight="1" spans="1:9">
      <c r="A224" s="25">
        <v>219</v>
      </c>
      <c r="B224" s="31" t="s">
        <v>238</v>
      </c>
      <c r="C224" s="32"/>
      <c r="D224" s="33">
        <v>0.1</v>
      </c>
      <c r="E224" s="38">
        <f t="shared" si="32"/>
        <v>0</v>
      </c>
      <c r="F224" s="32"/>
      <c r="G224" s="29">
        <f t="shared" si="33"/>
        <v>0</v>
      </c>
      <c r="H224" s="33">
        <v>0.85</v>
      </c>
      <c r="I224" s="29">
        <f t="shared" si="34"/>
        <v>0</v>
      </c>
    </row>
    <row r="225" customHeight="1" spans="1:9">
      <c r="A225" s="25">
        <v>220</v>
      </c>
      <c r="B225" s="31" t="s">
        <v>239</v>
      </c>
      <c r="C225" s="32"/>
      <c r="D225" s="33">
        <v>0.1</v>
      </c>
      <c r="E225" s="38">
        <f t="shared" si="32"/>
        <v>0</v>
      </c>
      <c r="F225" s="32"/>
      <c r="G225" s="29">
        <f t="shared" si="33"/>
        <v>0</v>
      </c>
      <c r="H225" s="33">
        <v>0.9</v>
      </c>
      <c r="I225" s="29">
        <f t="shared" si="34"/>
        <v>0</v>
      </c>
    </row>
    <row r="226" customHeight="1" spans="1:9">
      <c r="A226" s="25">
        <v>221</v>
      </c>
      <c r="B226" s="31" t="s">
        <v>240</v>
      </c>
      <c r="C226" s="32"/>
      <c r="D226" s="33">
        <v>0.1</v>
      </c>
      <c r="E226" s="38">
        <f t="shared" si="32"/>
        <v>0</v>
      </c>
      <c r="F226" s="32"/>
      <c r="G226" s="29">
        <f t="shared" si="33"/>
        <v>0</v>
      </c>
      <c r="H226" s="33">
        <v>1</v>
      </c>
      <c r="I226" s="29">
        <f t="shared" si="34"/>
        <v>0</v>
      </c>
    </row>
    <row r="227" customHeight="1" spans="1:9">
      <c r="A227" s="25">
        <v>222</v>
      </c>
      <c r="B227" s="31" t="s">
        <v>241</v>
      </c>
      <c r="C227" s="32"/>
      <c r="D227" s="33">
        <v>0.1</v>
      </c>
      <c r="E227" s="38">
        <f t="shared" si="32"/>
        <v>0</v>
      </c>
      <c r="F227" s="32"/>
      <c r="G227" s="29">
        <f t="shared" si="33"/>
        <v>0</v>
      </c>
      <c r="H227" s="33">
        <v>1.05</v>
      </c>
      <c r="I227" s="29">
        <f t="shared" si="34"/>
        <v>0</v>
      </c>
    </row>
    <row r="228" customHeight="1" spans="1:9">
      <c r="A228" s="25">
        <v>223</v>
      </c>
      <c r="B228" s="31" t="s">
        <v>242</v>
      </c>
      <c r="C228" s="32"/>
      <c r="D228" s="33">
        <v>0.1</v>
      </c>
      <c r="E228" s="38">
        <f t="shared" si="32"/>
        <v>0</v>
      </c>
      <c r="F228" s="32"/>
      <c r="G228" s="29">
        <f t="shared" si="33"/>
        <v>0</v>
      </c>
      <c r="H228" s="33">
        <v>1.1</v>
      </c>
      <c r="I228" s="29">
        <f t="shared" si="34"/>
        <v>0</v>
      </c>
    </row>
    <row r="229" customHeight="1" spans="1:9">
      <c r="A229" s="25">
        <v>224</v>
      </c>
      <c r="B229" s="31" t="s">
        <v>243</v>
      </c>
      <c r="C229" s="32"/>
      <c r="D229" s="45">
        <v>0.1</v>
      </c>
      <c r="E229" s="38">
        <f t="shared" si="32"/>
        <v>0</v>
      </c>
      <c r="F229" s="32"/>
      <c r="G229" s="29">
        <f t="shared" si="33"/>
        <v>0</v>
      </c>
      <c r="H229" s="33">
        <v>1.3</v>
      </c>
      <c r="I229" s="29">
        <f t="shared" si="34"/>
        <v>0</v>
      </c>
    </row>
    <row r="230" customHeight="1" spans="1:9">
      <c r="A230" s="25">
        <v>225</v>
      </c>
      <c r="B230" s="31" t="s">
        <v>244</v>
      </c>
      <c r="C230" s="32"/>
      <c r="D230" s="33">
        <v>0.1</v>
      </c>
      <c r="E230" s="38">
        <f t="shared" si="32"/>
        <v>0</v>
      </c>
      <c r="F230" s="32"/>
      <c r="G230" s="29">
        <f t="shared" si="33"/>
        <v>0</v>
      </c>
      <c r="H230" s="33">
        <v>1.5</v>
      </c>
      <c r="I230" s="29">
        <f t="shared" si="34"/>
        <v>0</v>
      </c>
    </row>
    <row r="231" customHeight="1" spans="1:9">
      <c r="A231" s="25">
        <v>226</v>
      </c>
      <c r="B231" s="31" t="s">
        <v>245</v>
      </c>
      <c r="C231" s="32"/>
      <c r="D231" s="33">
        <v>0.1</v>
      </c>
      <c r="E231" s="38">
        <f t="shared" si="32"/>
        <v>0</v>
      </c>
      <c r="F231" s="32"/>
      <c r="G231" s="29">
        <f t="shared" si="33"/>
        <v>0</v>
      </c>
      <c r="H231" s="37"/>
      <c r="I231" s="32"/>
    </row>
    <row r="232" s="16" customFormat="1" customHeight="1" spans="1:9">
      <c r="A232" s="48">
        <v>227</v>
      </c>
      <c r="B232" s="49" t="s">
        <v>246</v>
      </c>
      <c r="C232" s="38">
        <f t="shared" ref="C232:G232" si="35">SUM(C233:C253)</f>
        <v>0</v>
      </c>
      <c r="D232" s="37"/>
      <c r="E232" s="38">
        <f t="shared" si="35"/>
        <v>0</v>
      </c>
      <c r="F232" s="38">
        <f t="shared" si="35"/>
        <v>0</v>
      </c>
      <c r="G232" s="38">
        <f t="shared" si="35"/>
        <v>0</v>
      </c>
      <c r="H232" s="37"/>
      <c r="I232" s="38">
        <f>SUM(I233:I253)</f>
        <v>0</v>
      </c>
    </row>
    <row r="233" customHeight="1" spans="1:9">
      <c r="A233" s="25">
        <v>228</v>
      </c>
      <c r="B233" s="31" t="s">
        <v>247</v>
      </c>
      <c r="C233" s="35"/>
      <c r="D233" s="33">
        <v>0.4</v>
      </c>
      <c r="E233" s="38">
        <f t="shared" ref="E233:E242" si="36">C233*D233</f>
        <v>0</v>
      </c>
      <c r="F233" s="35"/>
      <c r="G233" s="29">
        <f t="shared" ref="G233:G253" si="37">E233-F233</f>
        <v>0</v>
      </c>
      <c r="H233" s="33">
        <v>0</v>
      </c>
      <c r="I233" s="29">
        <f t="shared" ref="I233:I241" si="38">G233*H233</f>
        <v>0</v>
      </c>
    </row>
    <row r="234" customHeight="1" spans="1:9">
      <c r="A234" s="25">
        <v>229</v>
      </c>
      <c r="B234" s="31" t="s">
        <v>248</v>
      </c>
      <c r="C234" s="35"/>
      <c r="D234" s="33">
        <v>0.4</v>
      </c>
      <c r="E234" s="38">
        <f t="shared" si="36"/>
        <v>0</v>
      </c>
      <c r="F234" s="35"/>
      <c r="G234" s="29">
        <f t="shared" si="37"/>
        <v>0</v>
      </c>
      <c r="H234" s="33">
        <v>0.1</v>
      </c>
      <c r="I234" s="29">
        <f t="shared" si="38"/>
        <v>0</v>
      </c>
    </row>
    <row r="235" customHeight="1" spans="1:9">
      <c r="A235" s="25">
        <v>230</v>
      </c>
      <c r="B235" s="31" t="s">
        <v>249</v>
      </c>
      <c r="C235" s="35"/>
      <c r="D235" s="33">
        <v>0.4</v>
      </c>
      <c r="E235" s="38">
        <f t="shared" si="36"/>
        <v>0</v>
      </c>
      <c r="F235" s="35"/>
      <c r="G235" s="29">
        <f t="shared" si="37"/>
        <v>0</v>
      </c>
      <c r="H235" s="33">
        <v>0.15</v>
      </c>
      <c r="I235" s="29">
        <f t="shared" si="38"/>
        <v>0</v>
      </c>
    </row>
    <row r="236" customHeight="1" spans="1:9">
      <c r="A236" s="25">
        <v>231</v>
      </c>
      <c r="B236" s="31" t="s">
        <v>250</v>
      </c>
      <c r="C236" s="35"/>
      <c r="D236" s="33">
        <v>0.4</v>
      </c>
      <c r="E236" s="38">
        <f t="shared" si="36"/>
        <v>0</v>
      </c>
      <c r="F236" s="35"/>
      <c r="G236" s="29">
        <f t="shared" si="37"/>
        <v>0</v>
      </c>
      <c r="H236" s="33">
        <v>0.2</v>
      </c>
      <c r="I236" s="29">
        <f t="shared" si="38"/>
        <v>0</v>
      </c>
    </row>
    <row r="237" customHeight="1" spans="1:9">
      <c r="A237" s="25">
        <v>232</v>
      </c>
      <c r="B237" s="31" t="s">
        <v>251</v>
      </c>
      <c r="C237" s="32"/>
      <c r="D237" s="33">
        <v>0.4</v>
      </c>
      <c r="E237" s="38">
        <f t="shared" si="36"/>
        <v>0</v>
      </c>
      <c r="F237" s="32"/>
      <c r="G237" s="29">
        <f t="shared" si="37"/>
        <v>0</v>
      </c>
      <c r="H237" s="33">
        <v>0.25</v>
      </c>
      <c r="I237" s="29">
        <f t="shared" si="38"/>
        <v>0</v>
      </c>
    </row>
    <row r="238" customHeight="1" spans="1:9">
      <c r="A238" s="25">
        <v>233</v>
      </c>
      <c r="B238" s="31" t="s">
        <v>252</v>
      </c>
      <c r="C238" s="32"/>
      <c r="D238" s="33">
        <v>0.4</v>
      </c>
      <c r="E238" s="38">
        <f t="shared" si="36"/>
        <v>0</v>
      </c>
      <c r="F238" s="32"/>
      <c r="G238" s="29">
        <f t="shared" si="37"/>
        <v>0</v>
      </c>
      <c r="H238" s="33">
        <v>0.3</v>
      </c>
      <c r="I238" s="29">
        <f t="shared" si="38"/>
        <v>0</v>
      </c>
    </row>
    <row r="239" customHeight="1" spans="1:9">
      <c r="A239" s="25">
        <v>234</v>
      </c>
      <c r="B239" s="31" t="s">
        <v>253</v>
      </c>
      <c r="C239" s="32"/>
      <c r="D239" s="33">
        <v>0.4</v>
      </c>
      <c r="E239" s="38">
        <f t="shared" si="36"/>
        <v>0</v>
      </c>
      <c r="F239" s="32"/>
      <c r="G239" s="29">
        <f t="shared" si="37"/>
        <v>0</v>
      </c>
      <c r="H239" s="33">
        <v>0.35</v>
      </c>
      <c r="I239" s="29">
        <f t="shared" si="38"/>
        <v>0</v>
      </c>
    </row>
    <row r="240" customHeight="1" spans="1:9">
      <c r="A240" s="25">
        <v>235</v>
      </c>
      <c r="B240" s="31" t="s">
        <v>254</v>
      </c>
      <c r="C240" s="32"/>
      <c r="D240" s="33">
        <v>0.4</v>
      </c>
      <c r="E240" s="38">
        <f t="shared" si="36"/>
        <v>0</v>
      </c>
      <c r="F240" s="32"/>
      <c r="G240" s="29">
        <f t="shared" si="37"/>
        <v>0</v>
      </c>
      <c r="H240" s="33">
        <v>0.4</v>
      </c>
      <c r="I240" s="29">
        <f t="shared" si="38"/>
        <v>0</v>
      </c>
    </row>
    <row r="241" customHeight="1" spans="1:9">
      <c r="A241" s="25">
        <v>236</v>
      </c>
      <c r="B241" s="31" t="s">
        <v>255</v>
      </c>
      <c r="C241" s="32"/>
      <c r="D241" s="33">
        <v>0.4</v>
      </c>
      <c r="E241" s="38">
        <f t="shared" si="36"/>
        <v>0</v>
      </c>
      <c r="F241" s="32"/>
      <c r="G241" s="29">
        <f t="shared" si="37"/>
        <v>0</v>
      </c>
      <c r="H241" s="33">
        <v>0.45</v>
      </c>
      <c r="I241" s="29">
        <f t="shared" si="38"/>
        <v>0</v>
      </c>
    </row>
    <row r="242" customHeight="1" spans="1:9">
      <c r="A242" s="25">
        <v>237</v>
      </c>
      <c r="B242" s="31" t="s">
        <v>256</v>
      </c>
      <c r="C242" s="32"/>
      <c r="D242" s="33">
        <v>0.4</v>
      </c>
      <c r="E242" s="38">
        <f t="shared" si="36"/>
        <v>0</v>
      </c>
      <c r="F242" s="32"/>
      <c r="G242" s="29">
        <f t="shared" si="37"/>
        <v>0</v>
      </c>
      <c r="H242" s="33">
        <v>0.5</v>
      </c>
      <c r="I242" s="29">
        <f t="shared" ref="I242:I252" si="39">G242*H242</f>
        <v>0</v>
      </c>
    </row>
    <row r="243" customHeight="1" spans="1:9">
      <c r="A243" s="25">
        <v>238</v>
      </c>
      <c r="B243" s="31" t="s">
        <v>257</v>
      </c>
      <c r="C243" s="32"/>
      <c r="D243" s="33">
        <v>0.4</v>
      </c>
      <c r="E243" s="38">
        <f t="shared" ref="E243:E253" si="40">C243*D243</f>
        <v>0</v>
      </c>
      <c r="F243" s="32"/>
      <c r="G243" s="29">
        <f t="shared" si="37"/>
        <v>0</v>
      </c>
      <c r="H243" s="33">
        <v>0.6</v>
      </c>
      <c r="I243" s="29">
        <f t="shared" si="39"/>
        <v>0</v>
      </c>
    </row>
    <row r="244" customHeight="1" spans="1:9">
      <c r="A244" s="25">
        <v>239</v>
      </c>
      <c r="B244" s="31" t="s">
        <v>258</v>
      </c>
      <c r="C244" s="32"/>
      <c r="D244" s="33">
        <v>0.4</v>
      </c>
      <c r="E244" s="38">
        <f t="shared" si="40"/>
        <v>0</v>
      </c>
      <c r="F244" s="32"/>
      <c r="G244" s="29">
        <f t="shared" si="37"/>
        <v>0</v>
      </c>
      <c r="H244" s="33">
        <v>0.65</v>
      </c>
      <c r="I244" s="29">
        <f t="shared" si="39"/>
        <v>0</v>
      </c>
    </row>
    <row r="245" customHeight="1" spans="1:9">
      <c r="A245" s="25">
        <v>240</v>
      </c>
      <c r="B245" s="31" t="s">
        <v>259</v>
      </c>
      <c r="C245" s="32"/>
      <c r="D245" s="33">
        <v>0.4</v>
      </c>
      <c r="E245" s="38">
        <f t="shared" si="40"/>
        <v>0</v>
      </c>
      <c r="F245" s="32"/>
      <c r="G245" s="29">
        <f t="shared" si="37"/>
        <v>0</v>
      </c>
      <c r="H245" s="33">
        <v>0.75</v>
      </c>
      <c r="I245" s="29">
        <f t="shared" si="39"/>
        <v>0</v>
      </c>
    </row>
    <row r="246" customHeight="1" spans="1:9">
      <c r="A246" s="25">
        <v>241</v>
      </c>
      <c r="B246" s="31" t="s">
        <v>260</v>
      </c>
      <c r="C246" s="32"/>
      <c r="D246" s="33">
        <v>0.4</v>
      </c>
      <c r="E246" s="38">
        <f t="shared" si="40"/>
        <v>0</v>
      </c>
      <c r="F246" s="32"/>
      <c r="G246" s="29">
        <f t="shared" si="37"/>
        <v>0</v>
      </c>
      <c r="H246" s="33">
        <v>0.85</v>
      </c>
      <c r="I246" s="29">
        <f t="shared" si="39"/>
        <v>0</v>
      </c>
    </row>
    <row r="247" customHeight="1" spans="1:9">
      <c r="A247" s="25">
        <v>242</v>
      </c>
      <c r="B247" s="31" t="s">
        <v>261</v>
      </c>
      <c r="C247" s="32"/>
      <c r="D247" s="33">
        <v>0.4</v>
      </c>
      <c r="E247" s="38">
        <f t="shared" si="40"/>
        <v>0</v>
      </c>
      <c r="F247" s="32"/>
      <c r="G247" s="29">
        <f t="shared" si="37"/>
        <v>0</v>
      </c>
      <c r="H247" s="33">
        <v>0.9</v>
      </c>
      <c r="I247" s="29">
        <f t="shared" si="39"/>
        <v>0</v>
      </c>
    </row>
    <row r="248" customHeight="1" spans="1:9">
      <c r="A248" s="25">
        <v>243</v>
      </c>
      <c r="B248" s="31" t="s">
        <v>262</v>
      </c>
      <c r="C248" s="32"/>
      <c r="D248" s="33">
        <v>0.4</v>
      </c>
      <c r="E248" s="38">
        <f t="shared" si="40"/>
        <v>0</v>
      </c>
      <c r="F248" s="32"/>
      <c r="G248" s="29">
        <f t="shared" si="37"/>
        <v>0</v>
      </c>
      <c r="H248" s="33">
        <v>1</v>
      </c>
      <c r="I248" s="29">
        <f t="shared" si="39"/>
        <v>0</v>
      </c>
    </row>
    <row r="249" customHeight="1" spans="1:9">
      <c r="A249" s="25">
        <v>244</v>
      </c>
      <c r="B249" s="31" t="s">
        <v>263</v>
      </c>
      <c r="C249" s="32"/>
      <c r="D249" s="33">
        <v>0.4</v>
      </c>
      <c r="E249" s="38">
        <f t="shared" si="40"/>
        <v>0</v>
      </c>
      <c r="F249" s="32"/>
      <c r="G249" s="29">
        <f t="shared" si="37"/>
        <v>0</v>
      </c>
      <c r="H249" s="33">
        <v>1.05</v>
      </c>
      <c r="I249" s="29">
        <f t="shared" si="39"/>
        <v>0</v>
      </c>
    </row>
    <row r="250" customHeight="1" spans="1:9">
      <c r="A250" s="25">
        <v>245</v>
      </c>
      <c r="B250" s="31" t="s">
        <v>264</v>
      </c>
      <c r="C250" s="32"/>
      <c r="D250" s="33">
        <v>0.4</v>
      </c>
      <c r="E250" s="38">
        <f t="shared" si="40"/>
        <v>0</v>
      </c>
      <c r="F250" s="32"/>
      <c r="G250" s="29">
        <f t="shared" si="37"/>
        <v>0</v>
      </c>
      <c r="H250" s="33">
        <v>1.1</v>
      </c>
      <c r="I250" s="29">
        <f t="shared" si="39"/>
        <v>0</v>
      </c>
    </row>
    <row r="251" customHeight="1" spans="1:9">
      <c r="A251" s="25">
        <v>246</v>
      </c>
      <c r="B251" s="31" t="s">
        <v>265</v>
      </c>
      <c r="C251" s="32"/>
      <c r="D251" s="33">
        <v>0.4</v>
      </c>
      <c r="E251" s="38">
        <f t="shared" si="40"/>
        <v>0</v>
      </c>
      <c r="F251" s="32"/>
      <c r="G251" s="29">
        <f t="shared" si="37"/>
        <v>0</v>
      </c>
      <c r="H251" s="33">
        <v>1.3</v>
      </c>
      <c r="I251" s="29">
        <f t="shared" si="39"/>
        <v>0</v>
      </c>
    </row>
    <row r="252" customHeight="1" spans="1:9">
      <c r="A252" s="25">
        <v>247</v>
      </c>
      <c r="B252" s="31" t="s">
        <v>266</v>
      </c>
      <c r="C252" s="32"/>
      <c r="D252" s="33">
        <v>0.4</v>
      </c>
      <c r="E252" s="38">
        <f t="shared" si="40"/>
        <v>0</v>
      </c>
      <c r="F252" s="32"/>
      <c r="G252" s="29">
        <f t="shared" si="37"/>
        <v>0</v>
      </c>
      <c r="H252" s="33">
        <v>1.5</v>
      </c>
      <c r="I252" s="29">
        <f t="shared" si="39"/>
        <v>0</v>
      </c>
    </row>
    <row r="253" customHeight="1" spans="1:9">
      <c r="A253" s="25">
        <v>248</v>
      </c>
      <c r="B253" s="31" t="s">
        <v>267</v>
      </c>
      <c r="C253" s="32"/>
      <c r="D253" s="33">
        <v>0.4</v>
      </c>
      <c r="E253" s="38">
        <f t="shared" si="40"/>
        <v>0</v>
      </c>
      <c r="F253" s="32"/>
      <c r="G253" s="29">
        <f t="shared" si="37"/>
        <v>0</v>
      </c>
      <c r="H253" s="37"/>
      <c r="I253" s="32"/>
    </row>
    <row r="254" ht="20" customHeight="1" spans="1:9">
      <c r="A254" s="25">
        <v>249</v>
      </c>
      <c r="B254" s="28" t="s">
        <v>268</v>
      </c>
      <c r="C254" s="29">
        <f>C255+C277</f>
        <v>0</v>
      </c>
      <c r="D254" s="30"/>
      <c r="E254" s="29">
        <f>E255+E277</f>
        <v>0</v>
      </c>
      <c r="F254" s="29">
        <f>F255+F277</f>
        <v>0</v>
      </c>
      <c r="G254" s="29">
        <f>G255+G277</f>
        <v>0</v>
      </c>
      <c r="H254" s="37"/>
      <c r="I254" s="29">
        <f>I255+I277</f>
        <v>0</v>
      </c>
    </row>
    <row r="255" customHeight="1" spans="1:9">
      <c r="A255" s="25">
        <v>250</v>
      </c>
      <c r="B255" s="49" t="s">
        <v>269</v>
      </c>
      <c r="C255" s="29">
        <f>SUM(C256:C276)</f>
        <v>0</v>
      </c>
      <c r="D255" s="30"/>
      <c r="E255" s="29">
        <f>SUM(E256:E276)</f>
        <v>0</v>
      </c>
      <c r="F255" s="29">
        <f>SUM(F256:F276)</f>
        <v>0</v>
      </c>
      <c r="G255" s="29">
        <f>SUM(G256:G276)</f>
        <v>0</v>
      </c>
      <c r="H255" s="37"/>
      <c r="I255" s="29">
        <f>SUM(I256:I276)</f>
        <v>0</v>
      </c>
    </row>
    <row r="256" customHeight="1" spans="1:9">
      <c r="A256" s="25">
        <v>251</v>
      </c>
      <c r="B256" s="31" t="s">
        <v>270</v>
      </c>
      <c r="C256" s="32"/>
      <c r="D256" s="33">
        <v>0.2</v>
      </c>
      <c r="E256" s="38">
        <f t="shared" ref="E256:E268" si="41">C256*D256</f>
        <v>0</v>
      </c>
      <c r="F256" s="32"/>
      <c r="G256" s="29">
        <f t="shared" ref="G256:G269" si="42">E256-F256</f>
        <v>0</v>
      </c>
      <c r="H256" s="33">
        <v>0</v>
      </c>
      <c r="I256" s="29">
        <f>G256*H256</f>
        <v>0</v>
      </c>
    </row>
    <row r="257" customHeight="1" spans="1:9">
      <c r="A257" s="25">
        <v>252</v>
      </c>
      <c r="B257" s="31" t="s">
        <v>271</v>
      </c>
      <c r="C257" s="32"/>
      <c r="D257" s="33">
        <v>0.2</v>
      </c>
      <c r="E257" s="38">
        <f t="shared" si="41"/>
        <v>0</v>
      </c>
      <c r="F257" s="32"/>
      <c r="G257" s="29">
        <f t="shared" si="42"/>
        <v>0</v>
      </c>
      <c r="H257" s="33">
        <v>0.1</v>
      </c>
      <c r="I257" s="29">
        <f t="shared" ref="I257:I268" si="43">G257*H257</f>
        <v>0</v>
      </c>
    </row>
    <row r="258" customHeight="1" spans="1:9">
      <c r="A258" s="25">
        <v>253</v>
      </c>
      <c r="B258" s="31" t="s">
        <v>272</v>
      </c>
      <c r="C258" s="32"/>
      <c r="D258" s="33">
        <v>0.2</v>
      </c>
      <c r="E258" s="38">
        <f t="shared" si="41"/>
        <v>0</v>
      </c>
      <c r="F258" s="32"/>
      <c r="G258" s="29">
        <f t="shared" si="42"/>
        <v>0</v>
      </c>
      <c r="H258" s="33">
        <v>0.15</v>
      </c>
      <c r="I258" s="29">
        <f t="shared" si="43"/>
        <v>0</v>
      </c>
    </row>
    <row r="259" customHeight="1" spans="1:9">
      <c r="A259" s="25">
        <v>254</v>
      </c>
      <c r="B259" s="31" t="s">
        <v>273</v>
      </c>
      <c r="C259" s="32"/>
      <c r="D259" s="33">
        <v>0.2</v>
      </c>
      <c r="E259" s="38">
        <f t="shared" si="41"/>
        <v>0</v>
      </c>
      <c r="F259" s="32"/>
      <c r="G259" s="29">
        <f t="shared" si="42"/>
        <v>0</v>
      </c>
      <c r="H259" s="33">
        <v>0.2</v>
      </c>
      <c r="I259" s="29">
        <f t="shared" si="43"/>
        <v>0</v>
      </c>
    </row>
    <row r="260" customHeight="1" spans="1:9">
      <c r="A260" s="25">
        <v>255</v>
      </c>
      <c r="B260" s="31" t="s">
        <v>274</v>
      </c>
      <c r="C260" s="32"/>
      <c r="D260" s="33">
        <v>0.2</v>
      </c>
      <c r="E260" s="38">
        <f t="shared" si="41"/>
        <v>0</v>
      </c>
      <c r="F260" s="32"/>
      <c r="G260" s="29">
        <f t="shared" si="42"/>
        <v>0</v>
      </c>
      <c r="H260" s="33">
        <v>0.25</v>
      </c>
      <c r="I260" s="29">
        <f t="shared" si="43"/>
        <v>0</v>
      </c>
    </row>
    <row r="261" customHeight="1" spans="1:9">
      <c r="A261" s="25">
        <v>256</v>
      </c>
      <c r="B261" s="31" t="s">
        <v>275</v>
      </c>
      <c r="C261" s="32"/>
      <c r="D261" s="33">
        <v>0.2</v>
      </c>
      <c r="E261" s="38">
        <f t="shared" si="41"/>
        <v>0</v>
      </c>
      <c r="F261" s="32"/>
      <c r="G261" s="29">
        <f t="shared" si="42"/>
        <v>0</v>
      </c>
      <c r="H261" s="33">
        <v>0.3</v>
      </c>
      <c r="I261" s="29">
        <f t="shared" si="43"/>
        <v>0</v>
      </c>
    </row>
    <row r="262" customHeight="1" spans="1:9">
      <c r="A262" s="25">
        <v>257</v>
      </c>
      <c r="B262" s="31" t="s">
        <v>276</v>
      </c>
      <c r="C262" s="32"/>
      <c r="D262" s="33">
        <v>0.2</v>
      </c>
      <c r="E262" s="38">
        <f t="shared" si="41"/>
        <v>0</v>
      </c>
      <c r="F262" s="32"/>
      <c r="G262" s="29">
        <f t="shared" si="42"/>
        <v>0</v>
      </c>
      <c r="H262" s="33">
        <v>0.35</v>
      </c>
      <c r="I262" s="29">
        <f t="shared" si="43"/>
        <v>0</v>
      </c>
    </row>
    <row r="263" customHeight="1" spans="1:9">
      <c r="A263" s="25">
        <v>258</v>
      </c>
      <c r="B263" s="31" t="s">
        <v>277</v>
      </c>
      <c r="C263" s="32"/>
      <c r="D263" s="33">
        <v>0.2</v>
      </c>
      <c r="E263" s="38">
        <f t="shared" si="41"/>
        <v>0</v>
      </c>
      <c r="F263" s="32"/>
      <c r="G263" s="29">
        <f t="shared" si="42"/>
        <v>0</v>
      </c>
      <c r="H263" s="33">
        <v>0.4</v>
      </c>
      <c r="I263" s="29">
        <f t="shared" si="43"/>
        <v>0</v>
      </c>
    </row>
    <row r="264" customHeight="1" spans="1:9">
      <c r="A264" s="25">
        <v>259</v>
      </c>
      <c r="B264" s="31" t="s">
        <v>278</v>
      </c>
      <c r="C264" s="32"/>
      <c r="D264" s="33">
        <v>0.2</v>
      </c>
      <c r="E264" s="38">
        <f t="shared" si="41"/>
        <v>0</v>
      </c>
      <c r="F264" s="32"/>
      <c r="G264" s="29">
        <f t="shared" si="42"/>
        <v>0</v>
      </c>
      <c r="H264" s="33">
        <v>0.45</v>
      </c>
      <c r="I264" s="29">
        <f t="shared" si="43"/>
        <v>0</v>
      </c>
    </row>
    <row r="265" customHeight="1" spans="1:9">
      <c r="A265" s="25">
        <v>260</v>
      </c>
      <c r="B265" s="31" t="s">
        <v>279</v>
      </c>
      <c r="C265" s="32"/>
      <c r="D265" s="33">
        <v>0.2</v>
      </c>
      <c r="E265" s="38">
        <f t="shared" si="41"/>
        <v>0</v>
      </c>
      <c r="F265" s="32"/>
      <c r="G265" s="29">
        <f t="shared" si="42"/>
        <v>0</v>
      </c>
      <c r="H265" s="33">
        <v>0.5</v>
      </c>
      <c r="I265" s="29">
        <f t="shared" si="43"/>
        <v>0</v>
      </c>
    </row>
    <row r="266" customHeight="1" spans="1:9">
      <c r="A266" s="25">
        <v>261</v>
      </c>
      <c r="B266" s="31" t="s">
        <v>280</v>
      </c>
      <c r="C266" s="32"/>
      <c r="D266" s="33">
        <v>0.2</v>
      </c>
      <c r="E266" s="38">
        <f t="shared" si="41"/>
        <v>0</v>
      </c>
      <c r="F266" s="32"/>
      <c r="G266" s="29">
        <f t="shared" si="42"/>
        <v>0</v>
      </c>
      <c r="H266" s="33">
        <v>0.6</v>
      </c>
      <c r="I266" s="29">
        <f t="shared" si="43"/>
        <v>0</v>
      </c>
    </row>
    <row r="267" customHeight="1" spans="1:9">
      <c r="A267" s="25">
        <v>262</v>
      </c>
      <c r="B267" s="31" t="s">
        <v>281</v>
      </c>
      <c r="C267" s="32"/>
      <c r="D267" s="33">
        <v>0.2</v>
      </c>
      <c r="E267" s="38">
        <f t="shared" si="41"/>
        <v>0</v>
      </c>
      <c r="F267" s="32"/>
      <c r="G267" s="29">
        <f t="shared" si="42"/>
        <v>0</v>
      </c>
      <c r="H267" s="33">
        <v>0.65</v>
      </c>
      <c r="I267" s="29">
        <f t="shared" si="43"/>
        <v>0</v>
      </c>
    </row>
    <row r="268" customHeight="1" spans="1:9">
      <c r="A268" s="25">
        <v>263</v>
      </c>
      <c r="B268" s="31" t="s">
        <v>282</v>
      </c>
      <c r="C268" s="32"/>
      <c r="D268" s="33">
        <v>0.2</v>
      </c>
      <c r="E268" s="38">
        <f t="shared" si="41"/>
        <v>0</v>
      </c>
      <c r="F268" s="32"/>
      <c r="G268" s="29">
        <f t="shared" si="42"/>
        <v>0</v>
      </c>
      <c r="H268" s="33">
        <v>0.75</v>
      </c>
      <c r="I268" s="29">
        <f t="shared" si="43"/>
        <v>0</v>
      </c>
    </row>
    <row r="269" customHeight="1" spans="1:9">
      <c r="A269" s="25">
        <v>264</v>
      </c>
      <c r="B269" s="31" t="s">
        <v>283</v>
      </c>
      <c r="C269" s="32"/>
      <c r="D269" s="33">
        <v>0.2</v>
      </c>
      <c r="E269" s="38">
        <f t="shared" ref="E269:E276" si="44">C269*D269</f>
        <v>0</v>
      </c>
      <c r="F269" s="32"/>
      <c r="G269" s="29">
        <f t="shared" si="42"/>
        <v>0</v>
      </c>
      <c r="H269" s="33">
        <v>0.85</v>
      </c>
      <c r="I269" s="29">
        <f t="shared" ref="I266:I275" si="45">G269*H269</f>
        <v>0</v>
      </c>
    </row>
    <row r="270" customHeight="1" spans="1:9">
      <c r="A270" s="25">
        <v>265</v>
      </c>
      <c r="B270" s="31" t="s">
        <v>284</v>
      </c>
      <c r="C270" s="32"/>
      <c r="D270" s="33">
        <v>0.2</v>
      </c>
      <c r="E270" s="38">
        <f t="shared" si="44"/>
        <v>0</v>
      </c>
      <c r="F270" s="32"/>
      <c r="G270" s="29">
        <f t="shared" ref="G270:G276" si="46">E270-F270</f>
        <v>0</v>
      </c>
      <c r="H270" s="33">
        <v>0.9</v>
      </c>
      <c r="I270" s="29">
        <f t="shared" si="45"/>
        <v>0</v>
      </c>
    </row>
    <row r="271" customHeight="1" spans="1:9">
      <c r="A271" s="25">
        <v>266</v>
      </c>
      <c r="B271" s="31" t="s">
        <v>285</v>
      </c>
      <c r="C271" s="32"/>
      <c r="D271" s="33">
        <v>0.2</v>
      </c>
      <c r="E271" s="38">
        <f t="shared" si="44"/>
        <v>0</v>
      </c>
      <c r="F271" s="32"/>
      <c r="G271" s="29">
        <f t="shared" si="46"/>
        <v>0</v>
      </c>
      <c r="H271" s="33">
        <v>1</v>
      </c>
      <c r="I271" s="29">
        <f t="shared" si="45"/>
        <v>0</v>
      </c>
    </row>
    <row r="272" customHeight="1" spans="1:9">
      <c r="A272" s="25">
        <v>267</v>
      </c>
      <c r="B272" s="31" t="s">
        <v>286</v>
      </c>
      <c r="C272" s="32"/>
      <c r="D272" s="33">
        <v>0.2</v>
      </c>
      <c r="E272" s="38">
        <f t="shared" si="44"/>
        <v>0</v>
      </c>
      <c r="F272" s="32"/>
      <c r="G272" s="29">
        <f t="shared" si="46"/>
        <v>0</v>
      </c>
      <c r="H272" s="33">
        <v>1.05</v>
      </c>
      <c r="I272" s="29">
        <f t="shared" si="45"/>
        <v>0</v>
      </c>
    </row>
    <row r="273" customHeight="1" spans="1:9">
      <c r="A273" s="25">
        <v>268</v>
      </c>
      <c r="B273" s="31" t="s">
        <v>287</v>
      </c>
      <c r="C273" s="32"/>
      <c r="D273" s="33">
        <v>0.2</v>
      </c>
      <c r="E273" s="38">
        <f t="shared" si="44"/>
        <v>0</v>
      </c>
      <c r="F273" s="32"/>
      <c r="G273" s="29">
        <f t="shared" si="46"/>
        <v>0</v>
      </c>
      <c r="H273" s="33">
        <v>1.1</v>
      </c>
      <c r="I273" s="29">
        <f t="shared" si="45"/>
        <v>0</v>
      </c>
    </row>
    <row r="274" customHeight="1" spans="1:9">
      <c r="A274" s="25">
        <v>269</v>
      </c>
      <c r="B274" s="31" t="s">
        <v>288</v>
      </c>
      <c r="C274" s="32"/>
      <c r="D274" s="33">
        <v>0.2</v>
      </c>
      <c r="E274" s="38">
        <f t="shared" si="44"/>
        <v>0</v>
      </c>
      <c r="F274" s="32"/>
      <c r="G274" s="29">
        <f t="shared" si="46"/>
        <v>0</v>
      </c>
      <c r="H274" s="33">
        <v>1.3</v>
      </c>
      <c r="I274" s="29">
        <f t="shared" si="45"/>
        <v>0</v>
      </c>
    </row>
    <row r="275" ht="20" customHeight="1" spans="1:9">
      <c r="A275" s="25">
        <v>270</v>
      </c>
      <c r="B275" s="31" t="s">
        <v>289</v>
      </c>
      <c r="C275" s="32"/>
      <c r="D275" s="33">
        <v>0.2</v>
      </c>
      <c r="E275" s="38">
        <f t="shared" si="44"/>
        <v>0</v>
      </c>
      <c r="F275" s="32"/>
      <c r="G275" s="29">
        <f t="shared" si="46"/>
        <v>0</v>
      </c>
      <c r="H275" s="33">
        <v>1.5</v>
      </c>
      <c r="I275" s="29">
        <f t="shared" si="45"/>
        <v>0</v>
      </c>
    </row>
    <row r="276" customHeight="1" spans="1:9">
      <c r="A276" s="25">
        <v>271</v>
      </c>
      <c r="B276" s="31" t="s">
        <v>290</v>
      </c>
      <c r="C276" s="32"/>
      <c r="D276" s="33">
        <v>0.2</v>
      </c>
      <c r="E276" s="38">
        <f t="shared" si="44"/>
        <v>0</v>
      </c>
      <c r="F276" s="32"/>
      <c r="G276" s="29">
        <f t="shared" si="46"/>
        <v>0</v>
      </c>
      <c r="H276" s="37"/>
      <c r="I276" s="32"/>
    </row>
    <row r="277" customHeight="1" spans="1:9">
      <c r="A277" s="25">
        <v>272</v>
      </c>
      <c r="B277" s="49" t="s">
        <v>291</v>
      </c>
      <c r="C277" s="29">
        <f>SUM(C278:C298)</f>
        <v>0</v>
      </c>
      <c r="D277" s="30"/>
      <c r="E277" s="29">
        <f>SUM(E278:E298)</f>
        <v>0</v>
      </c>
      <c r="F277" s="29">
        <f>SUM(F278:F298)</f>
        <v>0</v>
      </c>
      <c r="G277" s="29">
        <f>SUM(G278:G298)</f>
        <v>0</v>
      </c>
      <c r="H277" s="37"/>
      <c r="I277" s="29">
        <f>SUM(I278:I298)</f>
        <v>0</v>
      </c>
    </row>
    <row r="278" customHeight="1" spans="1:9">
      <c r="A278" s="25">
        <v>273</v>
      </c>
      <c r="B278" s="31" t="s">
        <v>292</v>
      </c>
      <c r="C278" s="32"/>
      <c r="D278" s="33">
        <v>0.4</v>
      </c>
      <c r="E278" s="38">
        <f>C278*D278</f>
        <v>0</v>
      </c>
      <c r="F278" s="32"/>
      <c r="G278" s="29">
        <f>E278-F278</f>
        <v>0</v>
      </c>
      <c r="H278" s="33">
        <v>0</v>
      </c>
      <c r="I278" s="29">
        <f>G278*H278</f>
        <v>0</v>
      </c>
    </row>
    <row r="279" customHeight="1" spans="1:9">
      <c r="A279" s="25">
        <v>274</v>
      </c>
      <c r="B279" s="31" t="s">
        <v>293</v>
      </c>
      <c r="C279" s="32"/>
      <c r="D279" s="33">
        <v>0.4</v>
      </c>
      <c r="E279" s="38">
        <f t="shared" ref="E279:E289" si="47">C279*D279</f>
        <v>0</v>
      </c>
      <c r="F279" s="32"/>
      <c r="G279" s="29">
        <f t="shared" ref="G279:G289" si="48">E279-F279</f>
        <v>0</v>
      </c>
      <c r="H279" s="33">
        <v>0.1</v>
      </c>
      <c r="I279" s="29">
        <f t="shared" ref="I279:I291" si="49">G279*H279</f>
        <v>0</v>
      </c>
    </row>
    <row r="280" customHeight="1" spans="1:9">
      <c r="A280" s="25">
        <v>275</v>
      </c>
      <c r="B280" s="31" t="s">
        <v>294</v>
      </c>
      <c r="C280" s="32"/>
      <c r="D280" s="33">
        <v>0.4</v>
      </c>
      <c r="E280" s="38">
        <f t="shared" si="47"/>
        <v>0</v>
      </c>
      <c r="F280" s="32"/>
      <c r="G280" s="29">
        <f t="shared" si="48"/>
        <v>0</v>
      </c>
      <c r="H280" s="33">
        <v>0.15</v>
      </c>
      <c r="I280" s="29">
        <f t="shared" si="49"/>
        <v>0</v>
      </c>
    </row>
    <row r="281" customHeight="1" spans="1:9">
      <c r="A281" s="25">
        <v>276</v>
      </c>
      <c r="B281" s="31" t="s">
        <v>295</v>
      </c>
      <c r="C281" s="32"/>
      <c r="D281" s="33">
        <v>0.4</v>
      </c>
      <c r="E281" s="38">
        <f t="shared" si="47"/>
        <v>0</v>
      </c>
      <c r="F281" s="32"/>
      <c r="G281" s="29">
        <f t="shared" si="48"/>
        <v>0</v>
      </c>
      <c r="H281" s="33">
        <v>0.2</v>
      </c>
      <c r="I281" s="29">
        <f t="shared" si="49"/>
        <v>0</v>
      </c>
    </row>
    <row r="282" customHeight="1" spans="1:9">
      <c r="A282" s="25">
        <v>277</v>
      </c>
      <c r="B282" s="31" t="s">
        <v>296</v>
      </c>
      <c r="C282" s="32"/>
      <c r="D282" s="33">
        <v>0.4</v>
      </c>
      <c r="E282" s="38">
        <f t="shared" si="47"/>
        <v>0</v>
      </c>
      <c r="F282" s="32"/>
      <c r="G282" s="29">
        <f t="shared" si="48"/>
        <v>0</v>
      </c>
      <c r="H282" s="33">
        <v>0.25</v>
      </c>
      <c r="I282" s="29">
        <f t="shared" si="49"/>
        <v>0</v>
      </c>
    </row>
    <row r="283" customHeight="1" spans="1:9">
      <c r="A283" s="25">
        <v>278</v>
      </c>
      <c r="B283" s="31" t="s">
        <v>297</v>
      </c>
      <c r="C283" s="32"/>
      <c r="D283" s="33">
        <v>0.4</v>
      </c>
      <c r="E283" s="38">
        <f t="shared" si="47"/>
        <v>0</v>
      </c>
      <c r="F283" s="32"/>
      <c r="G283" s="29">
        <f t="shared" si="48"/>
        <v>0</v>
      </c>
      <c r="H283" s="33">
        <v>0.3</v>
      </c>
      <c r="I283" s="29">
        <f t="shared" si="49"/>
        <v>0</v>
      </c>
    </row>
    <row r="284" customHeight="1" spans="1:9">
      <c r="A284" s="25">
        <v>279</v>
      </c>
      <c r="B284" s="31" t="s">
        <v>298</v>
      </c>
      <c r="C284" s="32"/>
      <c r="D284" s="33">
        <v>0.4</v>
      </c>
      <c r="E284" s="38">
        <f t="shared" si="47"/>
        <v>0</v>
      </c>
      <c r="F284" s="32"/>
      <c r="G284" s="29">
        <f t="shared" si="48"/>
        <v>0</v>
      </c>
      <c r="H284" s="33">
        <v>0.35</v>
      </c>
      <c r="I284" s="29">
        <f t="shared" si="49"/>
        <v>0</v>
      </c>
    </row>
    <row r="285" customHeight="1" spans="1:9">
      <c r="A285" s="25">
        <v>280</v>
      </c>
      <c r="B285" s="31" t="s">
        <v>299</v>
      </c>
      <c r="C285" s="32"/>
      <c r="D285" s="33">
        <v>0.4</v>
      </c>
      <c r="E285" s="38">
        <f t="shared" si="47"/>
        <v>0</v>
      </c>
      <c r="F285" s="32"/>
      <c r="G285" s="29">
        <f t="shared" si="48"/>
        <v>0</v>
      </c>
      <c r="H285" s="33">
        <v>0.4</v>
      </c>
      <c r="I285" s="29">
        <f t="shared" si="49"/>
        <v>0</v>
      </c>
    </row>
    <row r="286" customHeight="1" spans="1:9">
      <c r="A286" s="25">
        <v>281</v>
      </c>
      <c r="B286" s="31" t="s">
        <v>300</v>
      </c>
      <c r="C286" s="32"/>
      <c r="D286" s="33">
        <v>0.4</v>
      </c>
      <c r="E286" s="38">
        <f t="shared" si="47"/>
        <v>0</v>
      </c>
      <c r="F286" s="32"/>
      <c r="G286" s="29">
        <f t="shared" si="48"/>
        <v>0</v>
      </c>
      <c r="H286" s="33">
        <v>0.45</v>
      </c>
      <c r="I286" s="29">
        <f t="shared" si="49"/>
        <v>0</v>
      </c>
    </row>
    <row r="287" customHeight="1" spans="1:9">
      <c r="A287" s="25">
        <v>282</v>
      </c>
      <c r="B287" s="31" t="s">
        <v>301</v>
      </c>
      <c r="C287" s="32"/>
      <c r="D287" s="33">
        <v>0.4</v>
      </c>
      <c r="E287" s="38">
        <f t="shared" si="47"/>
        <v>0</v>
      </c>
      <c r="F287" s="32"/>
      <c r="G287" s="29">
        <f t="shared" si="48"/>
        <v>0</v>
      </c>
      <c r="H287" s="33">
        <v>0.5</v>
      </c>
      <c r="I287" s="29">
        <f t="shared" si="49"/>
        <v>0</v>
      </c>
    </row>
    <row r="288" customHeight="1" spans="1:9">
      <c r="A288" s="25">
        <v>283</v>
      </c>
      <c r="B288" s="31" t="s">
        <v>302</v>
      </c>
      <c r="C288" s="32"/>
      <c r="D288" s="33">
        <v>0.4</v>
      </c>
      <c r="E288" s="38">
        <f t="shared" si="47"/>
        <v>0</v>
      </c>
      <c r="F288" s="32"/>
      <c r="G288" s="29">
        <f t="shared" si="48"/>
        <v>0</v>
      </c>
      <c r="H288" s="33">
        <v>0.6</v>
      </c>
      <c r="I288" s="29">
        <f t="shared" si="49"/>
        <v>0</v>
      </c>
    </row>
    <row r="289" customHeight="1" spans="1:9">
      <c r="A289" s="25">
        <v>284</v>
      </c>
      <c r="B289" s="31" t="s">
        <v>303</v>
      </c>
      <c r="C289" s="32"/>
      <c r="D289" s="33">
        <v>0.4</v>
      </c>
      <c r="E289" s="38">
        <f t="shared" si="47"/>
        <v>0</v>
      </c>
      <c r="F289" s="32"/>
      <c r="G289" s="29">
        <f t="shared" si="48"/>
        <v>0</v>
      </c>
      <c r="H289" s="33">
        <v>0.65</v>
      </c>
      <c r="I289" s="29">
        <f t="shared" si="49"/>
        <v>0</v>
      </c>
    </row>
    <row r="290" customHeight="1" spans="1:9">
      <c r="A290" s="25">
        <v>285</v>
      </c>
      <c r="B290" s="31" t="s">
        <v>304</v>
      </c>
      <c r="C290" s="32"/>
      <c r="D290" s="33">
        <v>0.4</v>
      </c>
      <c r="E290" s="38">
        <f t="shared" ref="E290:E298" si="50">C290*D290</f>
        <v>0</v>
      </c>
      <c r="F290" s="32"/>
      <c r="G290" s="29">
        <f t="shared" ref="G290:G298" si="51">E290-F290</f>
        <v>0</v>
      </c>
      <c r="H290" s="33">
        <v>0.75</v>
      </c>
      <c r="I290" s="29">
        <f t="shared" si="49"/>
        <v>0</v>
      </c>
    </row>
    <row r="291" customHeight="1" spans="1:9">
      <c r="A291" s="25">
        <v>286</v>
      </c>
      <c r="B291" s="31" t="s">
        <v>305</v>
      </c>
      <c r="C291" s="32"/>
      <c r="D291" s="33">
        <v>0.4</v>
      </c>
      <c r="E291" s="38">
        <f t="shared" si="50"/>
        <v>0</v>
      </c>
      <c r="F291" s="32"/>
      <c r="G291" s="29">
        <f t="shared" si="51"/>
        <v>0</v>
      </c>
      <c r="H291" s="33">
        <v>0.85</v>
      </c>
      <c r="I291" s="29">
        <f t="shared" si="49"/>
        <v>0</v>
      </c>
    </row>
    <row r="292" customHeight="1" spans="1:9">
      <c r="A292" s="25">
        <v>287</v>
      </c>
      <c r="B292" s="31" t="s">
        <v>306</v>
      </c>
      <c r="C292" s="32"/>
      <c r="D292" s="33">
        <v>0.4</v>
      </c>
      <c r="E292" s="38">
        <f t="shared" si="50"/>
        <v>0</v>
      </c>
      <c r="F292" s="32"/>
      <c r="G292" s="29">
        <f t="shared" si="51"/>
        <v>0</v>
      </c>
      <c r="H292" s="33">
        <v>0.9</v>
      </c>
      <c r="I292" s="29">
        <f t="shared" ref="I292:I297" si="52">G292*H292</f>
        <v>0</v>
      </c>
    </row>
    <row r="293" customHeight="1" spans="1:9">
      <c r="A293" s="25">
        <v>288</v>
      </c>
      <c r="B293" s="31" t="s">
        <v>307</v>
      </c>
      <c r="C293" s="32"/>
      <c r="D293" s="33">
        <v>0.4</v>
      </c>
      <c r="E293" s="38">
        <f t="shared" si="50"/>
        <v>0</v>
      </c>
      <c r="F293" s="32"/>
      <c r="G293" s="29">
        <f t="shared" si="51"/>
        <v>0</v>
      </c>
      <c r="H293" s="33">
        <v>1</v>
      </c>
      <c r="I293" s="29">
        <f t="shared" si="52"/>
        <v>0</v>
      </c>
    </row>
    <row r="294" customHeight="1" spans="1:9">
      <c r="A294" s="25">
        <v>289</v>
      </c>
      <c r="B294" s="31" t="s">
        <v>308</v>
      </c>
      <c r="C294" s="32"/>
      <c r="D294" s="33">
        <v>0.4</v>
      </c>
      <c r="E294" s="38">
        <f t="shared" si="50"/>
        <v>0</v>
      </c>
      <c r="F294" s="32"/>
      <c r="G294" s="29">
        <f t="shared" si="51"/>
        <v>0</v>
      </c>
      <c r="H294" s="33">
        <v>1.05</v>
      </c>
      <c r="I294" s="29">
        <f t="shared" si="52"/>
        <v>0</v>
      </c>
    </row>
    <row r="295" customHeight="1" spans="1:9">
      <c r="A295" s="25">
        <v>290</v>
      </c>
      <c r="B295" s="31" t="s">
        <v>309</v>
      </c>
      <c r="C295" s="32"/>
      <c r="D295" s="33">
        <v>0.4</v>
      </c>
      <c r="E295" s="38">
        <f t="shared" si="50"/>
        <v>0</v>
      </c>
      <c r="F295" s="32"/>
      <c r="G295" s="29">
        <f t="shared" si="51"/>
        <v>0</v>
      </c>
      <c r="H295" s="33">
        <v>1.1</v>
      </c>
      <c r="I295" s="29">
        <f t="shared" si="52"/>
        <v>0</v>
      </c>
    </row>
    <row r="296" customHeight="1" spans="1:9">
      <c r="A296" s="25">
        <v>291</v>
      </c>
      <c r="B296" s="31" t="s">
        <v>310</v>
      </c>
      <c r="C296" s="32"/>
      <c r="D296" s="33">
        <v>0.4</v>
      </c>
      <c r="E296" s="38">
        <f t="shared" si="50"/>
        <v>0</v>
      </c>
      <c r="F296" s="32"/>
      <c r="G296" s="29">
        <f t="shared" si="51"/>
        <v>0</v>
      </c>
      <c r="H296" s="33">
        <v>1.3</v>
      </c>
      <c r="I296" s="29">
        <f t="shared" si="52"/>
        <v>0</v>
      </c>
    </row>
    <row r="297" customHeight="1" spans="1:9">
      <c r="A297" s="25">
        <v>292</v>
      </c>
      <c r="B297" s="31" t="s">
        <v>311</v>
      </c>
      <c r="C297" s="32"/>
      <c r="D297" s="33">
        <v>0.4</v>
      </c>
      <c r="E297" s="38">
        <f t="shared" si="50"/>
        <v>0</v>
      </c>
      <c r="F297" s="32"/>
      <c r="G297" s="29">
        <f t="shared" si="51"/>
        <v>0</v>
      </c>
      <c r="H297" s="33">
        <v>1.5</v>
      </c>
      <c r="I297" s="29">
        <f t="shared" si="52"/>
        <v>0</v>
      </c>
    </row>
    <row r="298" customHeight="1" spans="1:9">
      <c r="A298" s="25">
        <v>293</v>
      </c>
      <c r="B298" s="31" t="s">
        <v>312</v>
      </c>
      <c r="C298" s="32"/>
      <c r="D298" s="33">
        <v>0.4</v>
      </c>
      <c r="E298" s="38">
        <f t="shared" si="50"/>
        <v>0</v>
      </c>
      <c r="F298" s="32"/>
      <c r="G298" s="29">
        <f t="shared" si="51"/>
        <v>0</v>
      </c>
      <c r="H298" s="30"/>
      <c r="I298" s="32"/>
    </row>
    <row r="299" customHeight="1" spans="1:9">
      <c r="A299" s="25">
        <v>294</v>
      </c>
      <c r="B299" s="28" t="s">
        <v>313</v>
      </c>
      <c r="C299" s="29">
        <f>SUM(C300:C320)</f>
        <v>0</v>
      </c>
      <c r="D299" s="44"/>
      <c r="E299" s="29">
        <f>SUM(E300:E320)</f>
        <v>0</v>
      </c>
      <c r="F299" s="29">
        <f>SUM(F300:F320)</f>
        <v>0</v>
      </c>
      <c r="G299" s="29">
        <f>SUM(G300:G320)</f>
        <v>0</v>
      </c>
      <c r="H299" s="37"/>
      <c r="I299" s="29">
        <f>SUM(I300:I320)</f>
        <v>0</v>
      </c>
    </row>
    <row r="300" s="16" customFormat="1" customHeight="1" spans="1:9">
      <c r="A300" s="25">
        <v>295</v>
      </c>
      <c r="B300" s="31" t="s">
        <v>314</v>
      </c>
      <c r="C300" s="32"/>
      <c r="D300" s="45">
        <v>0.5</v>
      </c>
      <c r="E300" s="38">
        <f t="shared" ref="E300:E320" si="53">C300*D300</f>
        <v>0</v>
      </c>
      <c r="F300" s="32"/>
      <c r="G300" s="29">
        <f t="shared" ref="G300:G320" si="54">E300-F300</f>
        <v>0</v>
      </c>
      <c r="H300" s="33">
        <v>0</v>
      </c>
      <c r="I300" s="29">
        <f t="shared" ref="I300:I319" si="55">G300*H300</f>
        <v>0</v>
      </c>
    </row>
    <row r="301" s="16" customFormat="1" customHeight="1" spans="1:9">
      <c r="A301" s="25">
        <v>296</v>
      </c>
      <c r="B301" s="31" t="s">
        <v>315</v>
      </c>
      <c r="C301" s="32"/>
      <c r="D301" s="45">
        <v>0.5</v>
      </c>
      <c r="E301" s="38">
        <f t="shared" si="53"/>
        <v>0</v>
      </c>
      <c r="F301" s="32"/>
      <c r="G301" s="29">
        <f t="shared" si="54"/>
        <v>0</v>
      </c>
      <c r="H301" s="33">
        <v>0.1</v>
      </c>
      <c r="I301" s="29">
        <f t="shared" si="55"/>
        <v>0</v>
      </c>
    </row>
    <row r="302" s="16" customFormat="1" customHeight="1" spans="1:9">
      <c r="A302" s="25">
        <v>297</v>
      </c>
      <c r="B302" s="31" t="s">
        <v>316</v>
      </c>
      <c r="C302" s="32"/>
      <c r="D302" s="45">
        <v>0.5</v>
      </c>
      <c r="E302" s="38">
        <f t="shared" si="53"/>
        <v>0</v>
      </c>
      <c r="F302" s="32"/>
      <c r="G302" s="29">
        <f t="shared" si="54"/>
        <v>0</v>
      </c>
      <c r="H302" s="33">
        <v>0.15</v>
      </c>
      <c r="I302" s="29">
        <f t="shared" si="55"/>
        <v>0</v>
      </c>
    </row>
    <row r="303" s="16" customFormat="1" customHeight="1" spans="1:9">
      <c r="A303" s="25">
        <v>298</v>
      </c>
      <c r="B303" s="31" t="s">
        <v>317</v>
      </c>
      <c r="C303" s="32"/>
      <c r="D303" s="45">
        <v>0.5</v>
      </c>
      <c r="E303" s="38">
        <f t="shared" si="53"/>
        <v>0</v>
      </c>
      <c r="F303" s="32"/>
      <c r="G303" s="29">
        <f t="shared" si="54"/>
        <v>0</v>
      </c>
      <c r="H303" s="33">
        <v>0.2</v>
      </c>
      <c r="I303" s="29">
        <f t="shared" si="55"/>
        <v>0</v>
      </c>
    </row>
    <row r="304" s="16" customFormat="1" customHeight="1" spans="1:9">
      <c r="A304" s="25">
        <v>299</v>
      </c>
      <c r="B304" s="31" t="s">
        <v>318</v>
      </c>
      <c r="C304" s="32"/>
      <c r="D304" s="45">
        <v>0.5</v>
      </c>
      <c r="E304" s="38">
        <f t="shared" si="53"/>
        <v>0</v>
      </c>
      <c r="F304" s="32"/>
      <c r="G304" s="29">
        <f t="shared" si="54"/>
        <v>0</v>
      </c>
      <c r="H304" s="33">
        <v>0.25</v>
      </c>
      <c r="I304" s="29">
        <f t="shared" si="55"/>
        <v>0</v>
      </c>
    </row>
    <row r="305" s="16" customFormat="1" customHeight="1" spans="1:9">
      <c r="A305" s="25">
        <v>300</v>
      </c>
      <c r="B305" s="31" t="s">
        <v>319</v>
      </c>
      <c r="C305" s="32"/>
      <c r="D305" s="45">
        <v>0.5</v>
      </c>
      <c r="E305" s="38">
        <f t="shared" si="53"/>
        <v>0</v>
      </c>
      <c r="F305" s="32"/>
      <c r="G305" s="29">
        <f t="shared" si="54"/>
        <v>0</v>
      </c>
      <c r="H305" s="33">
        <v>0.3</v>
      </c>
      <c r="I305" s="29">
        <f t="shared" si="55"/>
        <v>0</v>
      </c>
    </row>
    <row r="306" s="16" customFormat="1" customHeight="1" spans="1:9">
      <c r="A306" s="25">
        <v>301</v>
      </c>
      <c r="B306" s="31" t="s">
        <v>320</v>
      </c>
      <c r="C306" s="32"/>
      <c r="D306" s="45">
        <v>0.5</v>
      </c>
      <c r="E306" s="38">
        <f t="shared" si="53"/>
        <v>0</v>
      </c>
      <c r="F306" s="32"/>
      <c r="G306" s="29">
        <f t="shared" si="54"/>
        <v>0</v>
      </c>
      <c r="H306" s="33">
        <v>0.35</v>
      </c>
      <c r="I306" s="29">
        <f t="shared" si="55"/>
        <v>0</v>
      </c>
    </row>
    <row r="307" s="16" customFormat="1" customHeight="1" spans="1:9">
      <c r="A307" s="25">
        <v>302</v>
      </c>
      <c r="B307" s="31" t="s">
        <v>321</v>
      </c>
      <c r="C307" s="32"/>
      <c r="D307" s="45">
        <v>0.5</v>
      </c>
      <c r="E307" s="38">
        <f t="shared" si="53"/>
        <v>0</v>
      </c>
      <c r="F307" s="32"/>
      <c r="G307" s="29">
        <f t="shared" si="54"/>
        <v>0</v>
      </c>
      <c r="H307" s="33">
        <v>0.4</v>
      </c>
      <c r="I307" s="29">
        <f t="shared" si="55"/>
        <v>0</v>
      </c>
    </row>
    <row r="308" s="16" customFormat="1" customHeight="1" spans="1:9">
      <c r="A308" s="25">
        <v>303</v>
      </c>
      <c r="B308" s="31" t="s">
        <v>322</v>
      </c>
      <c r="C308" s="32"/>
      <c r="D308" s="45">
        <v>0.5</v>
      </c>
      <c r="E308" s="38">
        <f t="shared" si="53"/>
        <v>0</v>
      </c>
      <c r="F308" s="32"/>
      <c r="G308" s="29">
        <f t="shared" si="54"/>
        <v>0</v>
      </c>
      <c r="H308" s="33">
        <v>0.45</v>
      </c>
      <c r="I308" s="29">
        <f t="shared" si="55"/>
        <v>0</v>
      </c>
    </row>
    <row r="309" s="16" customFormat="1" customHeight="1" spans="1:9">
      <c r="A309" s="25">
        <v>304</v>
      </c>
      <c r="B309" s="31" t="s">
        <v>323</v>
      </c>
      <c r="C309" s="32"/>
      <c r="D309" s="45">
        <v>0.5</v>
      </c>
      <c r="E309" s="38">
        <f t="shared" si="53"/>
        <v>0</v>
      </c>
      <c r="F309" s="32"/>
      <c r="G309" s="29">
        <f t="shared" si="54"/>
        <v>0</v>
      </c>
      <c r="H309" s="33">
        <v>0.5</v>
      </c>
      <c r="I309" s="29">
        <f t="shared" si="55"/>
        <v>0</v>
      </c>
    </row>
    <row r="310" s="16" customFormat="1" customHeight="1" spans="1:9">
      <c r="A310" s="25">
        <v>305</v>
      </c>
      <c r="B310" s="31" t="s">
        <v>324</v>
      </c>
      <c r="C310" s="32"/>
      <c r="D310" s="45">
        <v>0.5</v>
      </c>
      <c r="E310" s="38">
        <f t="shared" si="53"/>
        <v>0</v>
      </c>
      <c r="F310" s="32"/>
      <c r="G310" s="29">
        <f t="shared" si="54"/>
        <v>0</v>
      </c>
      <c r="H310" s="33">
        <v>0.6</v>
      </c>
      <c r="I310" s="29">
        <f t="shared" si="55"/>
        <v>0</v>
      </c>
    </row>
    <row r="311" s="16" customFormat="1" customHeight="1" spans="1:9">
      <c r="A311" s="25">
        <v>306</v>
      </c>
      <c r="B311" s="31" t="s">
        <v>325</v>
      </c>
      <c r="C311" s="32"/>
      <c r="D311" s="45">
        <v>0.5</v>
      </c>
      <c r="E311" s="38">
        <f t="shared" si="53"/>
        <v>0</v>
      </c>
      <c r="F311" s="32"/>
      <c r="G311" s="29">
        <f t="shared" si="54"/>
        <v>0</v>
      </c>
      <c r="H311" s="33">
        <v>0.65</v>
      </c>
      <c r="I311" s="29">
        <f t="shared" si="55"/>
        <v>0</v>
      </c>
    </row>
    <row r="312" s="16" customFormat="1" customHeight="1" spans="1:9">
      <c r="A312" s="25">
        <v>307</v>
      </c>
      <c r="B312" s="31" t="s">
        <v>326</v>
      </c>
      <c r="C312" s="32"/>
      <c r="D312" s="45">
        <v>0.5</v>
      </c>
      <c r="E312" s="38">
        <f t="shared" si="53"/>
        <v>0</v>
      </c>
      <c r="F312" s="32"/>
      <c r="G312" s="29">
        <f t="shared" si="54"/>
        <v>0</v>
      </c>
      <c r="H312" s="33">
        <v>0.75</v>
      </c>
      <c r="I312" s="29">
        <f t="shared" si="55"/>
        <v>0</v>
      </c>
    </row>
    <row r="313" s="16" customFormat="1" customHeight="1" spans="1:9">
      <c r="A313" s="25">
        <v>308</v>
      </c>
      <c r="B313" s="31" t="s">
        <v>327</v>
      </c>
      <c r="C313" s="32"/>
      <c r="D313" s="45">
        <v>0.5</v>
      </c>
      <c r="E313" s="38">
        <f t="shared" si="53"/>
        <v>0</v>
      </c>
      <c r="F313" s="32"/>
      <c r="G313" s="29">
        <f t="shared" si="54"/>
        <v>0</v>
      </c>
      <c r="H313" s="33">
        <v>0.85</v>
      </c>
      <c r="I313" s="29">
        <f t="shared" si="55"/>
        <v>0</v>
      </c>
    </row>
    <row r="314" s="16" customFormat="1" customHeight="1" spans="1:9">
      <c r="A314" s="25">
        <v>309</v>
      </c>
      <c r="B314" s="31" t="s">
        <v>328</v>
      </c>
      <c r="C314" s="32"/>
      <c r="D314" s="45">
        <v>0.5</v>
      </c>
      <c r="E314" s="38">
        <f t="shared" si="53"/>
        <v>0</v>
      </c>
      <c r="F314" s="32"/>
      <c r="G314" s="29">
        <f t="shared" si="54"/>
        <v>0</v>
      </c>
      <c r="H314" s="33">
        <v>0.9</v>
      </c>
      <c r="I314" s="29">
        <f t="shared" si="55"/>
        <v>0</v>
      </c>
    </row>
    <row r="315" s="16" customFormat="1" customHeight="1" spans="1:9">
      <c r="A315" s="25">
        <v>310</v>
      </c>
      <c r="B315" s="31" t="s">
        <v>329</v>
      </c>
      <c r="C315" s="32"/>
      <c r="D315" s="45">
        <v>0.5</v>
      </c>
      <c r="E315" s="38">
        <f t="shared" si="53"/>
        <v>0</v>
      </c>
      <c r="F315" s="32"/>
      <c r="G315" s="29">
        <f t="shared" si="54"/>
        <v>0</v>
      </c>
      <c r="H315" s="33">
        <v>1</v>
      </c>
      <c r="I315" s="29">
        <f t="shared" si="55"/>
        <v>0</v>
      </c>
    </row>
    <row r="316" s="16" customFormat="1" customHeight="1" spans="1:9">
      <c r="A316" s="25">
        <v>311</v>
      </c>
      <c r="B316" s="31" t="s">
        <v>330</v>
      </c>
      <c r="C316" s="32"/>
      <c r="D316" s="45">
        <v>0.5</v>
      </c>
      <c r="E316" s="38">
        <f t="shared" si="53"/>
        <v>0</v>
      </c>
      <c r="F316" s="32"/>
      <c r="G316" s="29">
        <f t="shared" si="54"/>
        <v>0</v>
      </c>
      <c r="H316" s="33">
        <v>1.05</v>
      </c>
      <c r="I316" s="29">
        <f t="shared" si="55"/>
        <v>0</v>
      </c>
    </row>
    <row r="317" s="16" customFormat="1" customHeight="1" spans="1:9">
      <c r="A317" s="25">
        <v>312</v>
      </c>
      <c r="B317" s="31" t="s">
        <v>331</v>
      </c>
      <c r="C317" s="32"/>
      <c r="D317" s="45">
        <v>0.5</v>
      </c>
      <c r="E317" s="38">
        <f t="shared" si="53"/>
        <v>0</v>
      </c>
      <c r="F317" s="32"/>
      <c r="G317" s="29">
        <f t="shared" si="54"/>
        <v>0</v>
      </c>
      <c r="H317" s="33">
        <v>1.1</v>
      </c>
      <c r="I317" s="29">
        <f t="shared" si="55"/>
        <v>0</v>
      </c>
    </row>
    <row r="318" s="16" customFormat="1" customHeight="1" spans="1:9">
      <c r="A318" s="25">
        <v>313</v>
      </c>
      <c r="B318" s="31" t="s">
        <v>332</v>
      </c>
      <c r="C318" s="32"/>
      <c r="D318" s="45">
        <v>0.5</v>
      </c>
      <c r="E318" s="38">
        <f t="shared" si="53"/>
        <v>0</v>
      </c>
      <c r="F318" s="32"/>
      <c r="G318" s="29">
        <f t="shared" si="54"/>
        <v>0</v>
      </c>
      <c r="H318" s="33">
        <v>1.3</v>
      </c>
      <c r="I318" s="29">
        <f t="shared" si="55"/>
        <v>0</v>
      </c>
    </row>
    <row r="319" s="16" customFormat="1" customHeight="1" spans="1:9">
      <c r="A319" s="25">
        <v>314</v>
      </c>
      <c r="B319" s="31" t="s">
        <v>333</v>
      </c>
      <c r="C319" s="32"/>
      <c r="D319" s="45">
        <v>0.5</v>
      </c>
      <c r="E319" s="38">
        <f t="shared" si="53"/>
        <v>0</v>
      </c>
      <c r="F319" s="32"/>
      <c r="G319" s="29">
        <f t="shared" si="54"/>
        <v>0</v>
      </c>
      <c r="H319" s="33">
        <v>1.5</v>
      </c>
      <c r="I319" s="29">
        <f t="shared" si="55"/>
        <v>0</v>
      </c>
    </row>
    <row r="320" s="17" customFormat="1" customHeight="1" spans="1:9">
      <c r="A320" s="25">
        <v>315</v>
      </c>
      <c r="B320" s="31" t="s">
        <v>334</v>
      </c>
      <c r="C320" s="32"/>
      <c r="D320" s="45">
        <v>0.5</v>
      </c>
      <c r="E320" s="38">
        <f t="shared" si="53"/>
        <v>0</v>
      </c>
      <c r="F320" s="32"/>
      <c r="G320" s="29">
        <f t="shared" si="54"/>
        <v>0</v>
      </c>
      <c r="H320" s="30"/>
      <c r="I320" s="32"/>
    </row>
    <row r="321" customHeight="1" spans="1:9">
      <c r="A321" s="25">
        <v>316</v>
      </c>
      <c r="B321" s="34" t="s">
        <v>335</v>
      </c>
      <c r="C321" s="29">
        <f>SUM(C322:C342)</f>
        <v>0</v>
      </c>
      <c r="D321" s="46"/>
      <c r="E321" s="29">
        <f>SUM(E322:E342)</f>
        <v>0</v>
      </c>
      <c r="F321" s="29">
        <f>SUM(F322:F342)</f>
        <v>0</v>
      </c>
      <c r="G321" s="29">
        <f>SUM(G322:G342)</f>
        <v>0</v>
      </c>
      <c r="H321" s="37"/>
      <c r="I321" s="29">
        <f>SUM(I322:I342)</f>
        <v>0</v>
      </c>
    </row>
    <row r="322" s="16" customFormat="1" customHeight="1" spans="1:9">
      <c r="A322" s="25">
        <v>317</v>
      </c>
      <c r="B322" s="31" t="s">
        <v>336</v>
      </c>
      <c r="C322" s="32"/>
      <c r="D322" s="45">
        <v>0.5</v>
      </c>
      <c r="E322" s="38">
        <f t="shared" ref="E322:E342" si="56">C322*D322</f>
        <v>0</v>
      </c>
      <c r="F322" s="32"/>
      <c r="G322" s="29">
        <f t="shared" ref="G322:G342" si="57">E322-F322</f>
        <v>0</v>
      </c>
      <c r="H322" s="33">
        <v>0</v>
      </c>
      <c r="I322" s="29">
        <f t="shared" ref="I322:I341" si="58">G322*H322</f>
        <v>0</v>
      </c>
    </row>
    <row r="323" s="16" customFormat="1" customHeight="1" spans="1:9">
      <c r="A323" s="25">
        <v>318</v>
      </c>
      <c r="B323" s="31" t="s">
        <v>337</v>
      </c>
      <c r="C323" s="32"/>
      <c r="D323" s="45">
        <v>0.5</v>
      </c>
      <c r="E323" s="38">
        <f t="shared" si="56"/>
        <v>0</v>
      </c>
      <c r="F323" s="32"/>
      <c r="G323" s="29">
        <f t="shared" si="57"/>
        <v>0</v>
      </c>
      <c r="H323" s="33">
        <v>0.1</v>
      </c>
      <c r="I323" s="29">
        <f t="shared" si="58"/>
        <v>0</v>
      </c>
    </row>
    <row r="324" s="16" customFormat="1" customHeight="1" spans="1:9">
      <c r="A324" s="25">
        <v>319</v>
      </c>
      <c r="B324" s="31" t="s">
        <v>338</v>
      </c>
      <c r="C324" s="32"/>
      <c r="D324" s="45">
        <v>0.5</v>
      </c>
      <c r="E324" s="38">
        <f t="shared" si="56"/>
        <v>0</v>
      </c>
      <c r="F324" s="32"/>
      <c r="G324" s="29">
        <f t="shared" si="57"/>
        <v>0</v>
      </c>
      <c r="H324" s="33">
        <v>0.15</v>
      </c>
      <c r="I324" s="29">
        <f t="shared" si="58"/>
        <v>0</v>
      </c>
    </row>
    <row r="325" s="16" customFormat="1" customHeight="1" spans="1:9">
      <c r="A325" s="25">
        <v>320</v>
      </c>
      <c r="B325" s="31" t="s">
        <v>339</v>
      </c>
      <c r="C325" s="32"/>
      <c r="D325" s="45">
        <v>0.5</v>
      </c>
      <c r="E325" s="38">
        <f t="shared" si="56"/>
        <v>0</v>
      </c>
      <c r="F325" s="32"/>
      <c r="G325" s="29">
        <f t="shared" si="57"/>
        <v>0</v>
      </c>
      <c r="H325" s="33">
        <v>0.2</v>
      </c>
      <c r="I325" s="29">
        <f t="shared" si="58"/>
        <v>0</v>
      </c>
    </row>
    <row r="326" s="16" customFormat="1" customHeight="1" spans="1:9">
      <c r="A326" s="25">
        <v>321</v>
      </c>
      <c r="B326" s="31" t="s">
        <v>340</v>
      </c>
      <c r="C326" s="32"/>
      <c r="D326" s="45">
        <v>0.5</v>
      </c>
      <c r="E326" s="38">
        <f t="shared" si="56"/>
        <v>0</v>
      </c>
      <c r="F326" s="32"/>
      <c r="G326" s="29">
        <f t="shared" si="57"/>
        <v>0</v>
      </c>
      <c r="H326" s="33">
        <v>0.25</v>
      </c>
      <c r="I326" s="29">
        <f t="shared" si="58"/>
        <v>0</v>
      </c>
    </row>
    <row r="327" s="16" customFormat="1" customHeight="1" spans="1:9">
      <c r="A327" s="25">
        <v>322</v>
      </c>
      <c r="B327" s="31" t="s">
        <v>341</v>
      </c>
      <c r="C327" s="32"/>
      <c r="D327" s="45">
        <v>0.5</v>
      </c>
      <c r="E327" s="38">
        <f t="shared" si="56"/>
        <v>0</v>
      </c>
      <c r="F327" s="32"/>
      <c r="G327" s="29">
        <f t="shared" si="57"/>
        <v>0</v>
      </c>
      <c r="H327" s="33">
        <v>0.3</v>
      </c>
      <c r="I327" s="29">
        <f t="shared" si="58"/>
        <v>0</v>
      </c>
    </row>
    <row r="328" s="16" customFormat="1" customHeight="1" spans="1:9">
      <c r="A328" s="25">
        <v>323</v>
      </c>
      <c r="B328" s="31" t="s">
        <v>342</v>
      </c>
      <c r="C328" s="32"/>
      <c r="D328" s="45">
        <v>0.5</v>
      </c>
      <c r="E328" s="38">
        <f t="shared" si="56"/>
        <v>0</v>
      </c>
      <c r="F328" s="32"/>
      <c r="G328" s="29">
        <f t="shared" si="57"/>
        <v>0</v>
      </c>
      <c r="H328" s="33">
        <v>0.35</v>
      </c>
      <c r="I328" s="29">
        <f t="shared" si="58"/>
        <v>0</v>
      </c>
    </row>
    <row r="329" s="16" customFormat="1" customHeight="1" spans="1:9">
      <c r="A329" s="25">
        <v>324</v>
      </c>
      <c r="B329" s="31" t="s">
        <v>343</v>
      </c>
      <c r="C329" s="32"/>
      <c r="D329" s="45">
        <v>0.5</v>
      </c>
      <c r="E329" s="38">
        <f t="shared" si="56"/>
        <v>0</v>
      </c>
      <c r="F329" s="32"/>
      <c r="G329" s="29">
        <f t="shared" si="57"/>
        <v>0</v>
      </c>
      <c r="H329" s="33">
        <v>0.4</v>
      </c>
      <c r="I329" s="29">
        <f t="shared" si="58"/>
        <v>0</v>
      </c>
    </row>
    <row r="330" s="16" customFormat="1" customHeight="1" spans="1:9">
      <c r="A330" s="25">
        <v>325</v>
      </c>
      <c r="B330" s="31" t="s">
        <v>344</v>
      </c>
      <c r="C330" s="32"/>
      <c r="D330" s="45">
        <v>0.5</v>
      </c>
      <c r="E330" s="38">
        <f t="shared" si="56"/>
        <v>0</v>
      </c>
      <c r="F330" s="32"/>
      <c r="G330" s="29">
        <f t="shared" si="57"/>
        <v>0</v>
      </c>
      <c r="H330" s="33">
        <v>0.45</v>
      </c>
      <c r="I330" s="29">
        <f t="shared" si="58"/>
        <v>0</v>
      </c>
    </row>
    <row r="331" s="16" customFormat="1" customHeight="1" spans="1:9">
      <c r="A331" s="25">
        <v>326</v>
      </c>
      <c r="B331" s="31" t="s">
        <v>345</v>
      </c>
      <c r="C331" s="32"/>
      <c r="D331" s="45">
        <v>0.5</v>
      </c>
      <c r="E331" s="38">
        <f t="shared" si="56"/>
        <v>0</v>
      </c>
      <c r="F331" s="32"/>
      <c r="G331" s="29">
        <f t="shared" si="57"/>
        <v>0</v>
      </c>
      <c r="H331" s="33">
        <v>0.5</v>
      </c>
      <c r="I331" s="29">
        <f t="shared" si="58"/>
        <v>0</v>
      </c>
    </row>
    <row r="332" s="16" customFormat="1" customHeight="1" spans="1:9">
      <c r="A332" s="25">
        <v>327</v>
      </c>
      <c r="B332" s="31" t="s">
        <v>346</v>
      </c>
      <c r="C332" s="32"/>
      <c r="D332" s="45">
        <v>0.5</v>
      </c>
      <c r="E332" s="38">
        <f t="shared" si="56"/>
        <v>0</v>
      </c>
      <c r="F332" s="32"/>
      <c r="G332" s="29">
        <f t="shared" si="57"/>
        <v>0</v>
      </c>
      <c r="H332" s="33">
        <v>0.6</v>
      </c>
      <c r="I332" s="29">
        <f t="shared" si="58"/>
        <v>0</v>
      </c>
    </row>
    <row r="333" s="16" customFormat="1" customHeight="1" spans="1:9">
      <c r="A333" s="25">
        <v>328</v>
      </c>
      <c r="B333" s="31" t="s">
        <v>347</v>
      </c>
      <c r="C333" s="32"/>
      <c r="D333" s="45">
        <v>0.5</v>
      </c>
      <c r="E333" s="38">
        <f t="shared" si="56"/>
        <v>0</v>
      </c>
      <c r="F333" s="32"/>
      <c r="G333" s="29">
        <f t="shared" si="57"/>
        <v>0</v>
      </c>
      <c r="H333" s="33">
        <v>0.65</v>
      </c>
      <c r="I333" s="29">
        <f t="shared" si="58"/>
        <v>0</v>
      </c>
    </row>
    <row r="334" s="16" customFormat="1" customHeight="1" spans="1:9">
      <c r="A334" s="25">
        <v>329</v>
      </c>
      <c r="B334" s="31" t="s">
        <v>348</v>
      </c>
      <c r="C334" s="32"/>
      <c r="D334" s="45">
        <v>0.5</v>
      </c>
      <c r="E334" s="38">
        <f t="shared" si="56"/>
        <v>0</v>
      </c>
      <c r="F334" s="32"/>
      <c r="G334" s="29">
        <f t="shared" si="57"/>
        <v>0</v>
      </c>
      <c r="H334" s="33">
        <v>0.75</v>
      </c>
      <c r="I334" s="29">
        <f t="shared" si="58"/>
        <v>0</v>
      </c>
    </row>
    <row r="335" s="16" customFormat="1" customHeight="1" spans="1:9">
      <c r="A335" s="25">
        <v>330</v>
      </c>
      <c r="B335" s="31" t="s">
        <v>349</v>
      </c>
      <c r="C335" s="32"/>
      <c r="D335" s="45">
        <v>0.5</v>
      </c>
      <c r="E335" s="38">
        <f t="shared" si="56"/>
        <v>0</v>
      </c>
      <c r="F335" s="32"/>
      <c r="G335" s="29">
        <f t="shared" si="57"/>
        <v>0</v>
      </c>
      <c r="H335" s="33">
        <v>0.85</v>
      </c>
      <c r="I335" s="29">
        <f t="shared" si="58"/>
        <v>0</v>
      </c>
    </row>
    <row r="336" s="16" customFormat="1" customHeight="1" spans="1:9">
      <c r="A336" s="25">
        <v>331</v>
      </c>
      <c r="B336" s="31" t="s">
        <v>350</v>
      </c>
      <c r="C336" s="32"/>
      <c r="D336" s="45">
        <v>0.5</v>
      </c>
      <c r="E336" s="38">
        <f t="shared" si="56"/>
        <v>0</v>
      </c>
      <c r="F336" s="32"/>
      <c r="G336" s="29">
        <f t="shared" si="57"/>
        <v>0</v>
      </c>
      <c r="H336" s="33">
        <v>0.9</v>
      </c>
      <c r="I336" s="29">
        <f t="shared" si="58"/>
        <v>0</v>
      </c>
    </row>
    <row r="337" s="16" customFormat="1" customHeight="1" spans="1:9">
      <c r="A337" s="25">
        <v>332</v>
      </c>
      <c r="B337" s="31" t="s">
        <v>351</v>
      </c>
      <c r="C337" s="32"/>
      <c r="D337" s="45">
        <v>0.5</v>
      </c>
      <c r="E337" s="38">
        <f t="shared" si="56"/>
        <v>0</v>
      </c>
      <c r="F337" s="32"/>
      <c r="G337" s="29">
        <f t="shared" si="57"/>
        <v>0</v>
      </c>
      <c r="H337" s="33">
        <v>1</v>
      </c>
      <c r="I337" s="29">
        <f t="shared" si="58"/>
        <v>0</v>
      </c>
    </row>
    <row r="338" s="16" customFormat="1" customHeight="1" spans="1:9">
      <c r="A338" s="25">
        <v>333</v>
      </c>
      <c r="B338" s="31" t="s">
        <v>352</v>
      </c>
      <c r="C338" s="32"/>
      <c r="D338" s="45">
        <v>0.5</v>
      </c>
      <c r="E338" s="38">
        <f t="shared" si="56"/>
        <v>0</v>
      </c>
      <c r="F338" s="32"/>
      <c r="G338" s="29">
        <f t="shared" si="57"/>
        <v>0</v>
      </c>
      <c r="H338" s="33">
        <v>1.05</v>
      </c>
      <c r="I338" s="29">
        <f t="shared" si="58"/>
        <v>0</v>
      </c>
    </row>
    <row r="339" s="16" customFormat="1" customHeight="1" spans="1:9">
      <c r="A339" s="25">
        <v>334</v>
      </c>
      <c r="B339" s="31" t="s">
        <v>353</v>
      </c>
      <c r="C339" s="32"/>
      <c r="D339" s="45">
        <v>0.5</v>
      </c>
      <c r="E339" s="38">
        <f t="shared" si="56"/>
        <v>0</v>
      </c>
      <c r="F339" s="32"/>
      <c r="G339" s="29">
        <f t="shared" si="57"/>
        <v>0</v>
      </c>
      <c r="H339" s="33">
        <v>1.1</v>
      </c>
      <c r="I339" s="29">
        <f t="shared" si="58"/>
        <v>0</v>
      </c>
    </row>
    <row r="340" s="16" customFormat="1" customHeight="1" spans="1:9">
      <c r="A340" s="25">
        <v>335</v>
      </c>
      <c r="B340" s="31" t="s">
        <v>354</v>
      </c>
      <c r="C340" s="32"/>
      <c r="D340" s="45">
        <v>0.5</v>
      </c>
      <c r="E340" s="38">
        <f t="shared" si="56"/>
        <v>0</v>
      </c>
      <c r="F340" s="32"/>
      <c r="G340" s="29">
        <f t="shared" si="57"/>
        <v>0</v>
      </c>
      <c r="H340" s="33">
        <v>1.3</v>
      </c>
      <c r="I340" s="29">
        <f t="shared" si="58"/>
        <v>0</v>
      </c>
    </row>
    <row r="341" s="16" customFormat="1" customHeight="1" spans="1:9">
      <c r="A341" s="25">
        <v>336</v>
      </c>
      <c r="B341" s="31" t="s">
        <v>355</v>
      </c>
      <c r="C341" s="32"/>
      <c r="D341" s="45">
        <v>0.5</v>
      </c>
      <c r="E341" s="38">
        <f t="shared" si="56"/>
        <v>0</v>
      </c>
      <c r="F341" s="32"/>
      <c r="G341" s="29">
        <f t="shared" si="57"/>
        <v>0</v>
      </c>
      <c r="H341" s="33">
        <v>1.5</v>
      </c>
      <c r="I341" s="29">
        <f t="shared" si="58"/>
        <v>0</v>
      </c>
    </row>
    <row r="342" s="17" customFormat="1" customHeight="1" spans="1:9">
      <c r="A342" s="25">
        <v>337</v>
      </c>
      <c r="B342" s="31" t="s">
        <v>356</v>
      </c>
      <c r="C342" s="32"/>
      <c r="D342" s="45">
        <v>0.5</v>
      </c>
      <c r="E342" s="38">
        <f t="shared" si="56"/>
        <v>0</v>
      </c>
      <c r="F342" s="32"/>
      <c r="G342" s="29">
        <f t="shared" si="57"/>
        <v>0</v>
      </c>
      <c r="H342" s="30"/>
      <c r="I342" s="32"/>
    </row>
    <row r="343" customHeight="1" spans="1:9">
      <c r="A343" s="25">
        <v>338</v>
      </c>
      <c r="B343" s="34" t="s">
        <v>357</v>
      </c>
      <c r="C343" s="29">
        <f>SUM(C344:C364)</f>
        <v>0</v>
      </c>
      <c r="D343" s="44"/>
      <c r="E343" s="29">
        <f>SUM(E344:E364)</f>
        <v>0</v>
      </c>
      <c r="F343" s="29">
        <f>SUM(F344:F364)</f>
        <v>0</v>
      </c>
      <c r="G343" s="29">
        <f>SUM(G344:G364)</f>
        <v>0</v>
      </c>
      <c r="H343" s="37"/>
      <c r="I343" s="29">
        <f>SUM(I344:I364)</f>
        <v>0</v>
      </c>
    </row>
    <row r="344" s="16" customFormat="1" customHeight="1" spans="1:9">
      <c r="A344" s="25">
        <v>339</v>
      </c>
      <c r="B344" s="31" t="s">
        <v>358</v>
      </c>
      <c r="C344" s="32"/>
      <c r="D344" s="45">
        <v>0.4</v>
      </c>
      <c r="E344" s="38">
        <f t="shared" ref="E344:E364" si="59">C344*D344</f>
        <v>0</v>
      </c>
      <c r="F344" s="32"/>
      <c r="G344" s="29">
        <f t="shared" ref="G344:G364" si="60">E344-F344</f>
        <v>0</v>
      </c>
      <c r="H344" s="33">
        <v>0</v>
      </c>
      <c r="I344" s="29">
        <f t="shared" ref="I344:I363" si="61">G344*H344</f>
        <v>0</v>
      </c>
    </row>
    <row r="345" s="16" customFormat="1" customHeight="1" spans="1:9">
      <c r="A345" s="25">
        <v>340</v>
      </c>
      <c r="B345" s="31" t="s">
        <v>359</v>
      </c>
      <c r="C345" s="32"/>
      <c r="D345" s="45">
        <v>0.4</v>
      </c>
      <c r="E345" s="38">
        <f t="shared" si="59"/>
        <v>0</v>
      </c>
      <c r="F345" s="32"/>
      <c r="G345" s="29">
        <f t="shared" si="60"/>
        <v>0</v>
      </c>
      <c r="H345" s="33">
        <v>0.1</v>
      </c>
      <c r="I345" s="29">
        <f t="shared" si="61"/>
        <v>0</v>
      </c>
    </row>
    <row r="346" s="16" customFormat="1" customHeight="1" spans="1:9">
      <c r="A346" s="25">
        <v>341</v>
      </c>
      <c r="B346" s="31" t="s">
        <v>360</v>
      </c>
      <c r="C346" s="32"/>
      <c r="D346" s="45">
        <v>0.4</v>
      </c>
      <c r="E346" s="38">
        <f t="shared" si="59"/>
        <v>0</v>
      </c>
      <c r="F346" s="32"/>
      <c r="G346" s="29">
        <f t="shared" si="60"/>
        <v>0</v>
      </c>
      <c r="H346" s="33">
        <v>0.15</v>
      </c>
      <c r="I346" s="29">
        <f t="shared" si="61"/>
        <v>0</v>
      </c>
    </row>
    <row r="347" s="16" customFormat="1" customHeight="1" spans="1:9">
      <c r="A347" s="25">
        <v>342</v>
      </c>
      <c r="B347" s="31" t="s">
        <v>361</v>
      </c>
      <c r="C347" s="32"/>
      <c r="D347" s="45">
        <v>0.4</v>
      </c>
      <c r="E347" s="38">
        <f t="shared" si="59"/>
        <v>0</v>
      </c>
      <c r="F347" s="32"/>
      <c r="G347" s="29">
        <f t="shared" si="60"/>
        <v>0</v>
      </c>
      <c r="H347" s="33">
        <v>0.2</v>
      </c>
      <c r="I347" s="29">
        <f t="shared" si="61"/>
        <v>0</v>
      </c>
    </row>
    <row r="348" s="16" customFormat="1" customHeight="1" spans="1:9">
      <c r="A348" s="25">
        <v>343</v>
      </c>
      <c r="B348" s="31" t="s">
        <v>362</v>
      </c>
      <c r="C348" s="32"/>
      <c r="D348" s="45">
        <v>0.4</v>
      </c>
      <c r="E348" s="38">
        <f t="shared" si="59"/>
        <v>0</v>
      </c>
      <c r="F348" s="32"/>
      <c r="G348" s="29">
        <f t="shared" si="60"/>
        <v>0</v>
      </c>
      <c r="H348" s="33">
        <v>0.25</v>
      </c>
      <c r="I348" s="29">
        <f t="shared" si="61"/>
        <v>0</v>
      </c>
    </row>
    <row r="349" s="16" customFormat="1" customHeight="1" spans="1:9">
      <c r="A349" s="25">
        <v>344</v>
      </c>
      <c r="B349" s="31" t="s">
        <v>363</v>
      </c>
      <c r="C349" s="32"/>
      <c r="D349" s="45">
        <v>0.4</v>
      </c>
      <c r="E349" s="38">
        <f t="shared" si="59"/>
        <v>0</v>
      </c>
      <c r="F349" s="32"/>
      <c r="G349" s="29">
        <f t="shared" si="60"/>
        <v>0</v>
      </c>
      <c r="H349" s="33">
        <v>0.3</v>
      </c>
      <c r="I349" s="29">
        <f t="shared" si="61"/>
        <v>0</v>
      </c>
    </row>
    <row r="350" s="16" customFormat="1" customHeight="1" spans="1:9">
      <c r="A350" s="25">
        <v>345</v>
      </c>
      <c r="B350" s="31" t="s">
        <v>364</v>
      </c>
      <c r="C350" s="32"/>
      <c r="D350" s="45">
        <v>0.4</v>
      </c>
      <c r="E350" s="38">
        <f t="shared" si="59"/>
        <v>0</v>
      </c>
      <c r="F350" s="32"/>
      <c r="G350" s="29">
        <f t="shared" si="60"/>
        <v>0</v>
      </c>
      <c r="H350" s="33">
        <v>0.35</v>
      </c>
      <c r="I350" s="29">
        <f t="shared" si="61"/>
        <v>0</v>
      </c>
    </row>
    <row r="351" s="16" customFormat="1" customHeight="1" spans="1:9">
      <c r="A351" s="25">
        <v>346</v>
      </c>
      <c r="B351" s="31" t="s">
        <v>365</v>
      </c>
      <c r="C351" s="32"/>
      <c r="D351" s="45">
        <v>0.4</v>
      </c>
      <c r="E351" s="38">
        <f t="shared" si="59"/>
        <v>0</v>
      </c>
      <c r="F351" s="32"/>
      <c r="G351" s="29">
        <f t="shared" si="60"/>
        <v>0</v>
      </c>
      <c r="H351" s="33">
        <v>0.4</v>
      </c>
      <c r="I351" s="29">
        <f t="shared" si="61"/>
        <v>0</v>
      </c>
    </row>
    <row r="352" s="16" customFormat="1" customHeight="1" spans="1:9">
      <c r="A352" s="25">
        <v>347</v>
      </c>
      <c r="B352" s="31" t="s">
        <v>366</v>
      </c>
      <c r="C352" s="32"/>
      <c r="D352" s="45">
        <v>0.4</v>
      </c>
      <c r="E352" s="38">
        <f t="shared" si="59"/>
        <v>0</v>
      </c>
      <c r="F352" s="32"/>
      <c r="G352" s="29">
        <f t="shared" si="60"/>
        <v>0</v>
      </c>
      <c r="H352" s="33">
        <v>0.45</v>
      </c>
      <c r="I352" s="29">
        <f t="shared" si="61"/>
        <v>0</v>
      </c>
    </row>
    <row r="353" s="16" customFormat="1" customHeight="1" spans="1:9">
      <c r="A353" s="25">
        <v>348</v>
      </c>
      <c r="B353" s="31" t="s">
        <v>367</v>
      </c>
      <c r="C353" s="32"/>
      <c r="D353" s="45">
        <v>0.4</v>
      </c>
      <c r="E353" s="38">
        <f t="shared" si="59"/>
        <v>0</v>
      </c>
      <c r="F353" s="32"/>
      <c r="G353" s="29">
        <f t="shared" si="60"/>
        <v>0</v>
      </c>
      <c r="H353" s="33">
        <v>0.5</v>
      </c>
      <c r="I353" s="29">
        <f t="shared" si="61"/>
        <v>0</v>
      </c>
    </row>
    <row r="354" s="16" customFormat="1" customHeight="1" spans="1:9">
      <c r="A354" s="25">
        <v>349</v>
      </c>
      <c r="B354" s="31" t="s">
        <v>368</v>
      </c>
      <c r="C354" s="32"/>
      <c r="D354" s="45">
        <v>0.4</v>
      </c>
      <c r="E354" s="38">
        <f t="shared" si="59"/>
        <v>0</v>
      </c>
      <c r="F354" s="32"/>
      <c r="G354" s="29">
        <f t="shared" si="60"/>
        <v>0</v>
      </c>
      <c r="H354" s="33">
        <v>0.6</v>
      </c>
      <c r="I354" s="29">
        <f t="shared" si="61"/>
        <v>0</v>
      </c>
    </row>
    <row r="355" s="16" customFormat="1" customHeight="1" spans="1:9">
      <c r="A355" s="25">
        <v>350</v>
      </c>
      <c r="B355" s="31" t="s">
        <v>369</v>
      </c>
      <c r="C355" s="32"/>
      <c r="D355" s="45">
        <v>0.4</v>
      </c>
      <c r="E355" s="38">
        <f t="shared" si="59"/>
        <v>0</v>
      </c>
      <c r="F355" s="32"/>
      <c r="G355" s="29">
        <f t="shared" si="60"/>
        <v>0</v>
      </c>
      <c r="H355" s="33">
        <v>0.65</v>
      </c>
      <c r="I355" s="29">
        <f t="shared" si="61"/>
        <v>0</v>
      </c>
    </row>
    <row r="356" s="16" customFormat="1" customHeight="1" spans="1:9">
      <c r="A356" s="25">
        <v>351</v>
      </c>
      <c r="B356" s="31" t="s">
        <v>370</v>
      </c>
      <c r="C356" s="32"/>
      <c r="D356" s="45">
        <v>0.4</v>
      </c>
      <c r="E356" s="38">
        <f t="shared" si="59"/>
        <v>0</v>
      </c>
      <c r="F356" s="32"/>
      <c r="G356" s="29">
        <f t="shared" si="60"/>
        <v>0</v>
      </c>
      <c r="H356" s="33">
        <v>0.75</v>
      </c>
      <c r="I356" s="29">
        <f t="shared" si="61"/>
        <v>0</v>
      </c>
    </row>
    <row r="357" s="16" customFormat="1" customHeight="1" spans="1:9">
      <c r="A357" s="25">
        <v>352</v>
      </c>
      <c r="B357" s="31" t="s">
        <v>371</v>
      </c>
      <c r="C357" s="32"/>
      <c r="D357" s="45">
        <v>0.4</v>
      </c>
      <c r="E357" s="38">
        <f t="shared" si="59"/>
        <v>0</v>
      </c>
      <c r="F357" s="32"/>
      <c r="G357" s="29">
        <f t="shared" si="60"/>
        <v>0</v>
      </c>
      <c r="H357" s="33">
        <v>0.85</v>
      </c>
      <c r="I357" s="29">
        <f t="shared" si="61"/>
        <v>0</v>
      </c>
    </row>
    <row r="358" s="16" customFormat="1" customHeight="1" spans="1:9">
      <c r="A358" s="25">
        <v>353</v>
      </c>
      <c r="B358" s="31" t="s">
        <v>372</v>
      </c>
      <c r="C358" s="32"/>
      <c r="D358" s="45">
        <v>0.4</v>
      </c>
      <c r="E358" s="38">
        <f t="shared" si="59"/>
        <v>0</v>
      </c>
      <c r="F358" s="32"/>
      <c r="G358" s="29">
        <f t="shared" si="60"/>
        <v>0</v>
      </c>
      <c r="H358" s="33">
        <v>0.9</v>
      </c>
      <c r="I358" s="29">
        <f t="shared" si="61"/>
        <v>0</v>
      </c>
    </row>
    <row r="359" s="16" customFormat="1" customHeight="1" spans="1:9">
      <c r="A359" s="25">
        <v>354</v>
      </c>
      <c r="B359" s="31" t="s">
        <v>373</v>
      </c>
      <c r="C359" s="32"/>
      <c r="D359" s="45">
        <v>0.4</v>
      </c>
      <c r="E359" s="38">
        <f t="shared" si="59"/>
        <v>0</v>
      </c>
      <c r="F359" s="32"/>
      <c r="G359" s="29">
        <f t="shared" si="60"/>
        <v>0</v>
      </c>
      <c r="H359" s="33">
        <v>1</v>
      </c>
      <c r="I359" s="29">
        <f t="shared" si="61"/>
        <v>0</v>
      </c>
    </row>
    <row r="360" s="16" customFormat="1" customHeight="1" spans="1:9">
      <c r="A360" s="25">
        <v>355</v>
      </c>
      <c r="B360" s="31" t="s">
        <v>374</v>
      </c>
      <c r="C360" s="32"/>
      <c r="D360" s="45">
        <v>0.4</v>
      </c>
      <c r="E360" s="38">
        <f t="shared" si="59"/>
        <v>0</v>
      </c>
      <c r="F360" s="32"/>
      <c r="G360" s="29">
        <f t="shared" si="60"/>
        <v>0</v>
      </c>
      <c r="H360" s="33">
        <v>1.05</v>
      </c>
      <c r="I360" s="29">
        <f t="shared" si="61"/>
        <v>0</v>
      </c>
    </row>
    <row r="361" s="16" customFormat="1" customHeight="1" spans="1:9">
      <c r="A361" s="25">
        <v>356</v>
      </c>
      <c r="B361" s="31" t="s">
        <v>375</v>
      </c>
      <c r="C361" s="32"/>
      <c r="D361" s="45">
        <v>0.4</v>
      </c>
      <c r="E361" s="38">
        <f t="shared" si="59"/>
        <v>0</v>
      </c>
      <c r="F361" s="32"/>
      <c r="G361" s="29">
        <f t="shared" si="60"/>
        <v>0</v>
      </c>
      <c r="H361" s="33">
        <v>1.1</v>
      </c>
      <c r="I361" s="29">
        <f t="shared" si="61"/>
        <v>0</v>
      </c>
    </row>
    <row r="362" s="16" customFormat="1" customHeight="1" spans="1:9">
      <c r="A362" s="25">
        <v>357</v>
      </c>
      <c r="B362" s="31" t="s">
        <v>376</v>
      </c>
      <c r="C362" s="32"/>
      <c r="D362" s="45">
        <v>0.4</v>
      </c>
      <c r="E362" s="38">
        <f t="shared" si="59"/>
        <v>0</v>
      </c>
      <c r="F362" s="32"/>
      <c r="G362" s="29">
        <f t="shared" si="60"/>
        <v>0</v>
      </c>
      <c r="H362" s="33">
        <v>1.3</v>
      </c>
      <c r="I362" s="29">
        <f t="shared" si="61"/>
        <v>0</v>
      </c>
    </row>
    <row r="363" s="16" customFormat="1" customHeight="1" spans="1:9">
      <c r="A363" s="25">
        <v>358</v>
      </c>
      <c r="B363" s="31" t="s">
        <v>377</v>
      </c>
      <c r="C363" s="32"/>
      <c r="D363" s="45">
        <v>0.4</v>
      </c>
      <c r="E363" s="38">
        <f t="shared" si="59"/>
        <v>0</v>
      </c>
      <c r="F363" s="32"/>
      <c r="G363" s="29">
        <f t="shared" si="60"/>
        <v>0</v>
      </c>
      <c r="H363" s="33">
        <v>1.5</v>
      </c>
      <c r="I363" s="29">
        <f t="shared" si="61"/>
        <v>0</v>
      </c>
    </row>
    <row r="364" s="17" customFormat="1" customHeight="1" spans="1:11">
      <c r="A364" s="25">
        <v>359</v>
      </c>
      <c r="B364" s="31" t="s">
        <v>378</v>
      </c>
      <c r="C364" s="32"/>
      <c r="D364" s="45">
        <v>0.4</v>
      </c>
      <c r="E364" s="38">
        <f t="shared" si="59"/>
        <v>0</v>
      </c>
      <c r="F364" s="32"/>
      <c r="G364" s="29">
        <f t="shared" si="60"/>
        <v>0</v>
      </c>
      <c r="H364" s="30"/>
      <c r="I364" s="32"/>
      <c r="K364" s="16"/>
    </row>
    <row r="365" customHeight="1" spans="1:11">
      <c r="A365" s="25">
        <v>360</v>
      </c>
      <c r="B365" s="28" t="s">
        <v>379</v>
      </c>
      <c r="C365" s="29">
        <f>C366+C391</f>
        <v>0</v>
      </c>
      <c r="D365" s="30"/>
      <c r="E365" s="29">
        <f>E366+E391</f>
        <v>0</v>
      </c>
      <c r="F365" s="29">
        <f>F366+F391</f>
        <v>0</v>
      </c>
      <c r="G365" s="29">
        <f>G366+G391</f>
        <v>0</v>
      </c>
      <c r="H365" s="37"/>
      <c r="I365" s="29">
        <f>I366+I391</f>
        <v>0</v>
      </c>
      <c r="K365" s="16"/>
    </row>
    <row r="366" customHeight="1" spans="1:9">
      <c r="A366" s="25">
        <v>361</v>
      </c>
      <c r="B366" s="28" t="s">
        <v>380</v>
      </c>
      <c r="C366" s="29">
        <f>SUM(C367:C390)</f>
        <v>0</v>
      </c>
      <c r="D366" s="30"/>
      <c r="E366" s="29">
        <f>SUM(E367:E390)</f>
        <v>0</v>
      </c>
      <c r="F366" s="29">
        <f>SUM(F367:F390)</f>
        <v>0</v>
      </c>
      <c r="G366" s="29">
        <f>SUM(G367:G390)</f>
        <v>0</v>
      </c>
      <c r="H366" s="37"/>
      <c r="I366" s="29">
        <f>SUM(I367:I390)</f>
        <v>0</v>
      </c>
    </row>
    <row r="367" s="16" customFormat="1" customHeight="1" spans="1:9">
      <c r="A367" s="25">
        <v>362</v>
      </c>
      <c r="B367" s="31" t="s">
        <v>381</v>
      </c>
      <c r="C367" s="32"/>
      <c r="D367" s="33">
        <v>1</v>
      </c>
      <c r="E367" s="38">
        <f t="shared" ref="E367:E390" si="62">C367*D367</f>
        <v>0</v>
      </c>
      <c r="F367" s="32"/>
      <c r="G367" s="29">
        <f t="shared" ref="G367:G390" si="63">E367-F367</f>
        <v>0</v>
      </c>
      <c r="H367" s="33">
        <v>0</v>
      </c>
      <c r="I367" s="29">
        <f t="shared" ref="I367:I389" si="64">G367*H367</f>
        <v>0</v>
      </c>
    </row>
    <row r="368" s="16" customFormat="1" customHeight="1" spans="1:9">
      <c r="A368" s="25">
        <v>363</v>
      </c>
      <c r="B368" s="31" t="s">
        <v>382</v>
      </c>
      <c r="C368" s="32"/>
      <c r="D368" s="33">
        <v>1</v>
      </c>
      <c r="E368" s="38">
        <f t="shared" si="62"/>
        <v>0</v>
      </c>
      <c r="F368" s="32"/>
      <c r="G368" s="29">
        <f t="shared" si="63"/>
        <v>0</v>
      </c>
      <c r="H368" s="33">
        <v>0.1</v>
      </c>
      <c r="I368" s="29">
        <f t="shared" si="64"/>
        <v>0</v>
      </c>
    </row>
    <row r="369" s="16" customFormat="1" customHeight="1" spans="1:9">
      <c r="A369" s="25">
        <v>364</v>
      </c>
      <c r="B369" s="31" t="s">
        <v>383</v>
      </c>
      <c r="C369" s="32"/>
      <c r="D369" s="33">
        <v>1</v>
      </c>
      <c r="E369" s="38">
        <f t="shared" si="62"/>
        <v>0</v>
      </c>
      <c r="F369" s="32"/>
      <c r="G369" s="29">
        <f t="shared" si="63"/>
        <v>0</v>
      </c>
      <c r="H369" s="33">
        <v>0.15</v>
      </c>
      <c r="I369" s="29">
        <f t="shared" si="64"/>
        <v>0</v>
      </c>
    </row>
    <row r="370" s="16" customFormat="1" customHeight="1" spans="1:9">
      <c r="A370" s="25">
        <v>365</v>
      </c>
      <c r="B370" s="31" t="s">
        <v>384</v>
      </c>
      <c r="C370" s="32"/>
      <c r="D370" s="33">
        <v>1</v>
      </c>
      <c r="E370" s="38">
        <f t="shared" si="62"/>
        <v>0</v>
      </c>
      <c r="F370" s="32"/>
      <c r="G370" s="29">
        <f t="shared" si="63"/>
        <v>0</v>
      </c>
      <c r="H370" s="33">
        <v>0.2</v>
      </c>
      <c r="I370" s="29">
        <f t="shared" si="64"/>
        <v>0</v>
      </c>
    </row>
    <row r="371" s="16" customFormat="1" customHeight="1" spans="1:9">
      <c r="A371" s="25">
        <v>366</v>
      </c>
      <c r="B371" s="31" t="s">
        <v>385</v>
      </c>
      <c r="C371" s="32"/>
      <c r="D371" s="33">
        <v>1</v>
      </c>
      <c r="E371" s="38">
        <f t="shared" si="62"/>
        <v>0</v>
      </c>
      <c r="F371" s="32"/>
      <c r="G371" s="29">
        <f t="shared" si="63"/>
        <v>0</v>
      </c>
      <c r="H371" s="33">
        <v>0.25</v>
      </c>
      <c r="I371" s="29">
        <f t="shared" si="64"/>
        <v>0</v>
      </c>
    </row>
    <row r="372" s="16" customFormat="1" customHeight="1" spans="1:9">
      <c r="A372" s="25">
        <v>367</v>
      </c>
      <c r="B372" s="31" t="s">
        <v>386</v>
      </c>
      <c r="C372" s="32"/>
      <c r="D372" s="33">
        <v>1</v>
      </c>
      <c r="E372" s="38">
        <f t="shared" si="62"/>
        <v>0</v>
      </c>
      <c r="F372" s="32"/>
      <c r="G372" s="29">
        <f t="shared" si="63"/>
        <v>0</v>
      </c>
      <c r="H372" s="33">
        <v>0.3</v>
      </c>
      <c r="I372" s="29">
        <f t="shared" si="64"/>
        <v>0</v>
      </c>
    </row>
    <row r="373" s="16" customFormat="1" customHeight="1" spans="1:9">
      <c r="A373" s="25">
        <v>368</v>
      </c>
      <c r="B373" s="31" t="s">
        <v>387</v>
      </c>
      <c r="C373" s="32"/>
      <c r="D373" s="33">
        <v>1</v>
      </c>
      <c r="E373" s="38">
        <f t="shared" si="62"/>
        <v>0</v>
      </c>
      <c r="F373" s="32"/>
      <c r="G373" s="29">
        <f t="shared" si="63"/>
        <v>0</v>
      </c>
      <c r="H373" s="33">
        <v>0.35</v>
      </c>
      <c r="I373" s="29">
        <f t="shared" si="64"/>
        <v>0</v>
      </c>
    </row>
    <row r="374" s="16" customFormat="1" customHeight="1" spans="1:9">
      <c r="A374" s="25">
        <v>369</v>
      </c>
      <c r="B374" s="31" t="s">
        <v>388</v>
      </c>
      <c r="C374" s="32"/>
      <c r="D374" s="33">
        <v>1</v>
      </c>
      <c r="E374" s="38">
        <f t="shared" si="62"/>
        <v>0</v>
      </c>
      <c r="F374" s="32"/>
      <c r="G374" s="29">
        <f t="shared" si="63"/>
        <v>0</v>
      </c>
      <c r="H374" s="33">
        <v>0.4</v>
      </c>
      <c r="I374" s="29">
        <f t="shared" si="64"/>
        <v>0</v>
      </c>
    </row>
    <row r="375" s="16" customFormat="1" customHeight="1" spans="1:9">
      <c r="A375" s="25">
        <v>370</v>
      </c>
      <c r="B375" s="31" t="s">
        <v>389</v>
      </c>
      <c r="C375" s="32"/>
      <c r="D375" s="33">
        <v>1</v>
      </c>
      <c r="E375" s="38">
        <f t="shared" si="62"/>
        <v>0</v>
      </c>
      <c r="F375" s="32"/>
      <c r="G375" s="29">
        <f t="shared" si="63"/>
        <v>0</v>
      </c>
      <c r="H375" s="33">
        <v>0.45</v>
      </c>
      <c r="I375" s="29">
        <f t="shared" si="64"/>
        <v>0</v>
      </c>
    </row>
    <row r="376" s="16" customFormat="1" customHeight="1" spans="1:9">
      <c r="A376" s="25">
        <v>371</v>
      </c>
      <c r="B376" s="31" t="s">
        <v>390</v>
      </c>
      <c r="C376" s="32"/>
      <c r="D376" s="33">
        <v>1</v>
      </c>
      <c r="E376" s="38">
        <f t="shared" si="62"/>
        <v>0</v>
      </c>
      <c r="F376" s="32"/>
      <c r="G376" s="29">
        <f t="shared" si="63"/>
        <v>0</v>
      </c>
      <c r="H376" s="33">
        <v>0.5</v>
      </c>
      <c r="I376" s="29">
        <f t="shared" si="64"/>
        <v>0</v>
      </c>
    </row>
    <row r="377" s="16" customFormat="1" customHeight="1" spans="1:9">
      <c r="A377" s="25">
        <v>372</v>
      </c>
      <c r="B377" s="31" t="s">
        <v>391</v>
      </c>
      <c r="C377" s="32"/>
      <c r="D377" s="33">
        <v>1</v>
      </c>
      <c r="E377" s="38">
        <f t="shared" si="62"/>
        <v>0</v>
      </c>
      <c r="F377" s="32"/>
      <c r="G377" s="29">
        <f t="shared" si="63"/>
        <v>0</v>
      </c>
      <c r="H377" s="33">
        <v>0.6</v>
      </c>
      <c r="I377" s="29">
        <f t="shared" si="64"/>
        <v>0</v>
      </c>
    </row>
    <row r="378" s="16" customFormat="1" customHeight="1" spans="1:9">
      <c r="A378" s="25">
        <v>373</v>
      </c>
      <c r="B378" s="31" t="s">
        <v>392</v>
      </c>
      <c r="C378" s="32"/>
      <c r="D378" s="33">
        <v>1</v>
      </c>
      <c r="E378" s="38">
        <f t="shared" si="62"/>
        <v>0</v>
      </c>
      <c r="F378" s="32"/>
      <c r="G378" s="29">
        <f t="shared" si="63"/>
        <v>0</v>
      </c>
      <c r="H378" s="33">
        <v>0.65</v>
      </c>
      <c r="I378" s="29">
        <f t="shared" si="64"/>
        <v>0</v>
      </c>
    </row>
    <row r="379" s="16" customFormat="1" customHeight="1" spans="1:9">
      <c r="A379" s="25">
        <v>374</v>
      </c>
      <c r="B379" s="31" t="s">
        <v>393</v>
      </c>
      <c r="C379" s="32"/>
      <c r="D379" s="33">
        <v>1</v>
      </c>
      <c r="E379" s="38">
        <f t="shared" si="62"/>
        <v>0</v>
      </c>
      <c r="F379" s="32"/>
      <c r="G379" s="29">
        <f t="shared" si="63"/>
        <v>0</v>
      </c>
      <c r="H379" s="33">
        <v>0.75</v>
      </c>
      <c r="I379" s="29">
        <f t="shared" si="64"/>
        <v>0</v>
      </c>
    </row>
    <row r="380" s="16" customFormat="1" customHeight="1" spans="1:9">
      <c r="A380" s="25">
        <v>375</v>
      </c>
      <c r="B380" s="31" t="s">
        <v>394</v>
      </c>
      <c r="C380" s="32"/>
      <c r="D380" s="33">
        <v>1</v>
      </c>
      <c r="E380" s="38">
        <f t="shared" si="62"/>
        <v>0</v>
      </c>
      <c r="F380" s="32"/>
      <c r="G380" s="29">
        <f t="shared" si="63"/>
        <v>0</v>
      </c>
      <c r="H380" s="33">
        <v>0.85</v>
      </c>
      <c r="I380" s="29">
        <f t="shared" si="64"/>
        <v>0</v>
      </c>
    </row>
    <row r="381" s="16" customFormat="1" customHeight="1" spans="1:9">
      <c r="A381" s="25">
        <v>376</v>
      </c>
      <c r="B381" s="31" t="s">
        <v>395</v>
      </c>
      <c r="C381" s="32"/>
      <c r="D381" s="33">
        <v>1</v>
      </c>
      <c r="E381" s="38">
        <f t="shared" si="62"/>
        <v>0</v>
      </c>
      <c r="F381" s="32"/>
      <c r="G381" s="29">
        <f t="shared" si="63"/>
        <v>0</v>
      </c>
      <c r="H381" s="33">
        <v>0.9</v>
      </c>
      <c r="I381" s="29">
        <f t="shared" si="64"/>
        <v>0</v>
      </c>
    </row>
    <row r="382" s="16" customFormat="1" customHeight="1" spans="1:9">
      <c r="A382" s="25">
        <v>377</v>
      </c>
      <c r="B382" s="31" t="s">
        <v>396</v>
      </c>
      <c r="C382" s="32"/>
      <c r="D382" s="33">
        <v>1</v>
      </c>
      <c r="E382" s="38">
        <f t="shared" si="62"/>
        <v>0</v>
      </c>
      <c r="F382" s="32"/>
      <c r="G382" s="29">
        <f t="shared" si="63"/>
        <v>0</v>
      </c>
      <c r="H382" s="33">
        <v>1</v>
      </c>
      <c r="I382" s="29">
        <f t="shared" si="64"/>
        <v>0</v>
      </c>
    </row>
    <row r="383" s="16" customFormat="1" customHeight="1" spans="1:9">
      <c r="A383" s="25">
        <v>378</v>
      </c>
      <c r="B383" s="31" t="s">
        <v>397</v>
      </c>
      <c r="C383" s="32"/>
      <c r="D383" s="33">
        <v>1</v>
      </c>
      <c r="E383" s="38">
        <f t="shared" si="62"/>
        <v>0</v>
      </c>
      <c r="F383" s="32"/>
      <c r="G383" s="29">
        <f t="shared" si="63"/>
        <v>0</v>
      </c>
      <c r="H383" s="33">
        <v>1.05</v>
      </c>
      <c r="I383" s="29">
        <f t="shared" si="64"/>
        <v>0</v>
      </c>
    </row>
    <row r="384" s="16" customFormat="1" customHeight="1" spans="1:9">
      <c r="A384" s="25">
        <v>379</v>
      </c>
      <c r="B384" s="31" t="s">
        <v>398</v>
      </c>
      <c r="C384" s="32"/>
      <c r="D384" s="33">
        <v>1</v>
      </c>
      <c r="E384" s="38">
        <f t="shared" si="62"/>
        <v>0</v>
      </c>
      <c r="F384" s="32"/>
      <c r="G384" s="29">
        <f t="shared" si="63"/>
        <v>0</v>
      </c>
      <c r="H384" s="33">
        <v>1.1</v>
      </c>
      <c r="I384" s="29">
        <f t="shared" si="64"/>
        <v>0</v>
      </c>
    </row>
    <row r="385" s="16" customFormat="1" customHeight="1" spans="1:9">
      <c r="A385" s="25">
        <v>380</v>
      </c>
      <c r="B385" s="31" t="s">
        <v>399</v>
      </c>
      <c r="C385" s="32"/>
      <c r="D385" s="33">
        <v>1</v>
      </c>
      <c r="E385" s="38">
        <f t="shared" si="62"/>
        <v>0</v>
      </c>
      <c r="F385" s="32"/>
      <c r="G385" s="29">
        <f t="shared" si="63"/>
        <v>0</v>
      </c>
      <c r="H385" s="33">
        <v>1.3</v>
      </c>
      <c r="I385" s="29">
        <f t="shared" si="64"/>
        <v>0</v>
      </c>
    </row>
    <row r="386" s="16" customFormat="1" customHeight="1" spans="1:9">
      <c r="A386" s="25">
        <v>381</v>
      </c>
      <c r="B386" s="31" t="s">
        <v>400</v>
      </c>
      <c r="C386" s="32"/>
      <c r="D386" s="33">
        <v>1</v>
      </c>
      <c r="E386" s="38">
        <f t="shared" si="62"/>
        <v>0</v>
      </c>
      <c r="F386" s="32"/>
      <c r="G386" s="29">
        <f t="shared" si="63"/>
        <v>0</v>
      </c>
      <c r="H386" s="33">
        <v>1.5</v>
      </c>
      <c r="I386" s="29">
        <f t="shared" si="64"/>
        <v>0</v>
      </c>
    </row>
    <row r="387" s="16" customFormat="1" customHeight="1" spans="1:9">
      <c r="A387" s="25">
        <v>382</v>
      </c>
      <c r="B387" s="31" t="s">
        <v>401</v>
      </c>
      <c r="C387" s="32"/>
      <c r="D387" s="33">
        <v>1</v>
      </c>
      <c r="E387" s="38">
        <f t="shared" si="62"/>
        <v>0</v>
      </c>
      <c r="F387" s="32"/>
      <c r="G387" s="29">
        <f t="shared" si="63"/>
        <v>0</v>
      </c>
      <c r="H387" s="33">
        <v>2.5</v>
      </c>
      <c r="I387" s="29">
        <f t="shared" si="64"/>
        <v>0</v>
      </c>
    </row>
    <row r="388" s="16" customFormat="1" customHeight="1" spans="1:9">
      <c r="A388" s="25">
        <v>383</v>
      </c>
      <c r="B388" s="31" t="s">
        <v>402</v>
      </c>
      <c r="C388" s="32"/>
      <c r="D388" s="33">
        <v>1</v>
      </c>
      <c r="E388" s="38">
        <f t="shared" si="62"/>
        <v>0</v>
      </c>
      <c r="F388" s="32"/>
      <c r="G388" s="29">
        <f t="shared" si="63"/>
        <v>0</v>
      </c>
      <c r="H388" s="33">
        <v>4</v>
      </c>
      <c r="I388" s="29">
        <f t="shared" si="64"/>
        <v>0</v>
      </c>
    </row>
    <row r="389" s="16" customFormat="1" customHeight="1" spans="1:9">
      <c r="A389" s="25">
        <v>384</v>
      </c>
      <c r="B389" s="31" t="s">
        <v>403</v>
      </c>
      <c r="C389" s="32"/>
      <c r="D389" s="33">
        <v>1</v>
      </c>
      <c r="E389" s="38">
        <f t="shared" si="62"/>
        <v>0</v>
      </c>
      <c r="F389" s="32"/>
      <c r="G389" s="29">
        <f t="shared" si="63"/>
        <v>0</v>
      </c>
      <c r="H389" s="33">
        <v>12.5</v>
      </c>
      <c r="I389" s="29">
        <f t="shared" si="64"/>
        <v>0</v>
      </c>
    </row>
    <row r="390" s="17" customFormat="1" customHeight="1" spans="1:9">
      <c r="A390" s="25">
        <v>385</v>
      </c>
      <c r="B390" s="31" t="s">
        <v>404</v>
      </c>
      <c r="C390" s="32"/>
      <c r="D390" s="33">
        <v>1</v>
      </c>
      <c r="E390" s="38">
        <f t="shared" si="62"/>
        <v>0</v>
      </c>
      <c r="F390" s="32"/>
      <c r="G390" s="29">
        <f t="shared" si="63"/>
        <v>0</v>
      </c>
      <c r="H390" s="30"/>
      <c r="I390" s="32"/>
    </row>
    <row r="391" customHeight="1" spans="1:9">
      <c r="A391" s="25">
        <v>386</v>
      </c>
      <c r="B391" s="34" t="s">
        <v>405</v>
      </c>
      <c r="C391" s="29">
        <f>SUM(C392,C417)</f>
        <v>0</v>
      </c>
      <c r="D391" s="30"/>
      <c r="E391" s="29">
        <f>SUM(E392,E417)</f>
        <v>0</v>
      </c>
      <c r="F391" s="29">
        <f t="shared" ref="F391:I391" si="65">SUM(F392,F417)</f>
        <v>0</v>
      </c>
      <c r="G391" s="29">
        <f t="shared" si="65"/>
        <v>0</v>
      </c>
      <c r="H391" s="37"/>
      <c r="I391" s="29">
        <f t="shared" si="65"/>
        <v>0</v>
      </c>
    </row>
    <row r="392" customHeight="1" spans="1:9">
      <c r="A392" s="25">
        <v>387</v>
      </c>
      <c r="B392" s="34" t="s">
        <v>406</v>
      </c>
      <c r="C392" s="29">
        <f>SUM(C393:C416)</f>
        <v>0</v>
      </c>
      <c r="D392" s="30"/>
      <c r="E392" s="29">
        <f>SUM(E393:E416)</f>
        <v>0</v>
      </c>
      <c r="F392" s="29">
        <f t="shared" ref="F392:I392" si="66">SUM(F393:F416)</f>
        <v>0</v>
      </c>
      <c r="G392" s="29">
        <f t="shared" si="66"/>
        <v>0</v>
      </c>
      <c r="H392" s="37"/>
      <c r="I392" s="29">
        <f t="shared" si="66"/>
        <v>0</v>
      </c>
    </row>
    <row r="393" s="16" customFormat="1" customHeight="1" spans="1:9">
      <c r="A393" s="25">
        <v>388</v>
      </c>
      <c r="B393" s="31" t="s">
        <v>407</v>
      </c>
      <c r="C393" s="32"/>
      <c r="D393" s="33">
        <v>0.2</v>
      </c>
      <c r="E393" s="38">
        <f>C393*D393</f>
        <v>0</v>
      </c>
      <c r="F393" s="32"/>
      <c r="G393" s="29">
        <f t="shared" ref="G393:G416" si="67">E393-F393</f>
        <v>0</v>
      </c>
      <c r="H393" s="33">
        <v>0</v>
      </c>
      <c r="I393" s="29">
        <f t="shared" ref="I393:I415" si="68">G393*H393</f>
        <v>0</v>
      </c>
    </row>
    <row r="394" s="16" customFormat="1" customHeight="1" spans="1:9">
      <c r="A394" s="25">
        <v>389</v>
      </c>
      <c r="B394" s="31" t="s">
        <v>408</v>
      </c>
      <c r="C394" s="32"/>
      <c r="D394" s="33">
        <v>0.2</v>
      </c>
      <c r="E394" s="38">
        <f t="shared" ref="E394:E416" si="69">C394*D394</f>
        <v>0</v>
      </c>
      <c r="F394" s="32"/>
      <c r="G394" s="29">
        <f t="shared" si="67"/>
        <v>0</v>
      </c>
      <c r="H394" s="33">
        <v>0.1</v>
      </c>
      <c r="I394" s="29">
        <f t="shared" si="68"/>
        <v>0</v>
      </c>
    </row>
    <row r="395" s="16" customFormat="1" customHeight="1" spans="1:9">
      <c r="A395" s="25">
        <v>390</v>
      </c>
      <c r="B395" s="31" t="s">
        <v>409</v>
      </c>
      <c r="C395" s="32"/>
      <c r="D395" s="33">
        <v>0.2</v>
      </c>
      <c r="E395" s="38">
        <f t="shared" si="69"/>
        <v>0</v>
      </c>
      <c r="F395" s="32"/>
      <c r="G395" s="29">
        <f t="shared" si="67"/>
        <v>0</v>
      </c>
      <c r="H395" s="33">
        <v>0.15</v>
      </c>
      <c r="I395" s="29">
        <f t="shared" si="68"/>
        <v>0</v>
      </c>
    </row>
    <row r="396" s="16" customFormat="1" customHeight="1" spans="1:9">
      <c r="A396" s="25">
        <v>391</v>
      </c>
      <c r="B396" s="31" t="s">
        <v>410</v>
      </c>
      <c r="C396" s="32"/>
      <c r="D396" s="33">
        <v>0.2</v>
      </c>
      <c r="E396" s="38">
        <f t="shared" si="69"/>
        <v>0</v>
      </c>
      <c r="F396" s="32"/>
      <c r="G396" s="29">
        <f t="shared" si="67"/>
        <v>0</v>
      </c>
      <c r="H396" s="33">
        <v>0.2</v>
      </c>
      <c r="I396" s="29">
        <f t="shared" si="68"/>
        <v>0</v>
      </c>
    </row>
    <row r="397" s="16" customFormat="1" customHeight="1" spans="1:9">
      <c r="A397" s="25">
        <v>392</v>
      </c>
      <c r="B397" s="31" t="s">
        <v>411</v>
      </c>
      <c r="C397" s="32"/>
      <c r="D397" s="33">
        <v>0.2</v>
      </c>
      <c r="E397" s="38">
        <f t="shared" si="69"/>
        <v>0</v>
      </c>
      <c r="F397" s="32"/>
      <c r="G397" s="29">
        <f t="shared" si="67"/>
        <v>0</v>
      </c>
      <c r="H397" s="33">
        <v>0.25</v>
      </c>
      <c r="I397" s="29">
        <f t="shared" si="68"/>
        <v>0</v>
      </c>
    </row>
    <row r="398" s="16" customFormat="1" customHeight="1" spans="1:9">
      <c r="A398" s="25">
        <v>393</v>
      </c>
      <c r="B398" s="31" t="s">
        <v>412</v>
      </c>
      <c r="C398" s="32"/>
      <c r="D398" s="33">
        <v>0.2</v>
      </c>
      <c r="E398" s="38">
        <f t="shared" si="69"/>
        <v>0</v>
      </c>
      <c r="F398" s="32"/>
      <c r="G398" s="29">
        <f t="shared" si="67"/>
        <v>0</v>
      </c>
      <c r="H398" s="33">
        <v>0.3</v>
      </c>
      <c r="I398" s="29">
        <f t="shared" si="68"/>
        <v>0</v>
      </c>
    </row>
    <row r="399" s="16" customFormat="1" customHeight="1" spans="1:9">
      <c r="A399" s="25">
        <v>394</v>
      </c>
      <c r="B399" s="31" t="s">
        <v>413</v>
      </c>
      <c r="C399" s="32"/>
      <c r="D399" s="33">
        <v>0.2</v>
      </c>
      <c r="E399" s="38">
        <f t="shared" si="69"/>
        <v>0</v>
      </c>
      <c r="F399" s="32"/>
      <c r="G399" s="29">
        <f t="shared" si="67"/>
        <v>0</v>
      </c>
      <c r="H399" s="33">
        <v>0.35</v>
      </c>
      <c r="I399" s="29">
        <f t="shared" si="68"/>
        <v>0</v>
      </c>
    </row>
    <row r="400" s="16" customFormat="1" customHeight="1" spans="1:9">
      <c r="A400" s="25">
        <v>395</v>
      </c>
      <c r="B400" s="31" t="s">
        <v>414</v>
      </c>
      <c r="C400" s="32"/>
      <c r="D400" s="33">
        <v>0.2</v>
      </c>
      <c r="E400" s="38">
        <f t="shared" si="69"/>
        <v>0</v>
      </c>
      <c r="F400" s="32"/>
      <c r="G400" s="29">
        <f t="shared" si="67"/>
        <v>0</v>
      </c>
      <c r="H400" s="33">
        <v>0.4</v>
      </c>
      <c r="I400" s="29">
        <f t="shared" si="68"/>
        <v>0</v>
      </c>
    </row>
    <row r="401" s="16" customFormat="1" customHeight="1" spans="1:9">
      <c r="A401" s="25">
        <v>396</v>
      </c>
      <c r="B401" s="31" t="s">
        <v>415</v>
      </c>
      <c r="C401" s="32"/>
      <c r="D401" s="33">
        <v>0.2</v>
      </c>
      <c r="E401" s="38">
        <f t="shared" si="69"/>
        <v>0</v>
      </c>
      <c r="F401" s="32"/>
      <c r="G401" s="29">
        <f t="shared" si="67"/>
        <v>0</v>
      </c>
      <c r="H401" s="33">
        <v>0.45</v>
      </c>
      <c r="I401" s="29">
        <f t="shared" si="68"/>
        <v>0</v>
      </c>
    </row>
    <row r="402" s="16" customFormat="1" customHeight="1" spans="1:9">
      <c r="A402" s="25">
        <v>397</v>
      </c>
      <c r="B402" s="31" t="s">
        <v>416</v>
      </c>
      <c r="C402" s="32"/>
      <c r="D402" s="33">
        <v>0.2</v>
      </c>
      <c r="E402" s="38">
        <f t="shared" si="69"/>
        <v>0</v>
      </c>
      <c r="F402" s="32"/>
      <c r="G402" s="29">
        <f t="shared" si="67"/>
        <v>0</v>
      </c>
      <c r="H402" s="33">
        <v>0.5</v>
      </c>
      <c r="I402" s="29">
        <f t="shared" si="68"/>
        <v>0</v>
      </c>
    </row>
    <row r="403" s="16" customFormat="1" customHeight="1" spans="1:9">
      <c r="A403" s="25">
        <v>398</v>
      </c>
      <c r="B403" s="31" t="s">
        <v>417</v>
      </c>
      <c r="C403" s="32"/>
      <c r="D403" s="33">
        <v>0.2</v>
      </c>
      <c r="E403" s="38">
        <f t="shared" si="69"/>
        <v>0</v>
      </c>
      <c r="F403" s="32"/>
      <c r="G403" s="29">
        <f t="shared" si="67"/>
        <v>0</v>
      </c>
      <c r="H403" s="33">
        <v>0.6</v>
      </c>
      <c r="I403" s="29">
        <f t="shared" si="68"/>
        <v>0</v>
      </c>
    </row>
    <row r="404" s="16" customFormat="1" customHeight="1" spans="1:9">
      <c r="A404" s="25">
        <v>399</v>
      </c>
      <c r="B404" s="31" t="s">
        <v>418</v>
      </c>
      <c r="C404" s="32"/>
      <c r="D404" s="33">
        <v>0.2</v>
      </c>
      <c r="E404" s="38">
        <f t="shared" si="69"/>
        <v>0</v>
      </c>
      <c r="F404" s="32"/>
      <c r="G404" s="29">
        <f t="shared" si="67"/>
        <v>0</v>
      </c>
      <c r="H404" s="33">
        <v>0.65</v>
      </c>
      <c r="I404" s="29">
        <f t="shared" si="68"/>
        <v>0</v>
      </c>
    </row>
    <row r="405" s="16" customFormat="1" customHeight="1" spans="1:9">
      <c r="A405" s="25">
        <v>400</v>
      </c>
      <c r="B405" s="31" t="s">
        <v>419</v>
      </c>
      <c r="C405" s="32"/>
      <c r="D405" s="33">
        <v>0.2</v>
      </c>
      <c r="E405" s="38">
        <f t="shared" si="69"/>
        <v>0</v>
      </c>
      <c r="F405" s="32"/>
      <c r="G405" s="29">
        <f t="shared" si="67"/>
        <v>0</v>
      </c>
      <c r="H405" s="33">
        <v>0.75</v>
      </c>
      <c r="I405" s="29">
        <f t="shared" si="68"/>
        <v>0</v>
      </c>
    </row>
    <row r="406" s="16" customFormat="1" customHeight="1" spans="1:9">
      <c r="A406" s="25">
        <v>401</v>
      </c>
      <c r="B406" s="31" t="s">
        <v>420</v>
      </c>
      <c r="C406" s="32"/>
      <c r="D406" s="33">
        <v>0.2</v>
      </c>
      <c r="E406" s="38">
        <f t="shared" si="69"/>
        <v>0</v>
      </c>
      <c r="F406" s="32"/>
      <c r="G406" s="29">
        <f t="shared" si="67"/>
        <v>0</v>
      </c>
      <c r="H406" s="33">
        <v>0.85</v>
      </c>
      <c r="I406" s="29">
        <f t="shared" si="68"/>
        <v>0</v>
      </c>
    </row>
    <row r="407" s="16" customFormat="1" customHeight="1" spans="1:9">
      <c r="A407" s="25">
        <v>402</v>
      </c>
      <c r="B407" s="31" t="s">
        <v>421</v>
      </c>
      <c r="C407" s="32"/>
      <c r="D407" s="33">
        <v>0.2</v>
      </c>
      <c r="E407" s="38">
        <f t="shared" si="69"/>
        <v>0</v>
      </c>
      <c r="F407" s="32"/>
      <c r="G407" s="29">
        <f t="shared" si="67"/>
        <v>0</v>
      </c>
      <c r="H407" s="33">
        <v>0.9</v>
      </c>
      <c r="I407" s="29">
        <f t="shared" si="68"/>
        <v>0</v>
      </c>
    </row>
    <row r="408" s="16" customFormat="1" customHeight="1" spans="1:9">
      <c r="A408" s="25">
        <v>403</v>
      </c>
      <c r="B408" s="31" t="s">
        <v>422</v>
      </c>
      <c r="C408" s="32"/>
      <c r="D408" s="33">
        <v>0.2</v>
      </c>
      <c r="E408" s="38">
        <f t="shared" si="69"/>
        <v>0</v>
      </c>
      <c r="F408" s="32"/>
      <c r="G408" s="29">
        <f t="shared" si="67"/>
        <v>0</v>
      </c>
      <c r="H408" s="33">
        <v>1</v>
      </c>
      <c r="I408" s="29">
        <f t="shared" si="68"/>
        <v>0</v>
      </c>
    </row>
    <row r="409" s="16" customFormat="1" customHeight="1" spans="1:9">
      <c r="A409" s="25">
        <v>404</v>
      </c>
      <c r="B409" s="31" t="s">
        <v>423</v>
      </c>
      <c r="C409" s="32"/>
      <c r="D409" s="33">
        <v>0.2</v>
      </c>
      <c r="E409" s="38">
        <f t="shared" si="69"/>
        <v>0</v>
      </c>
      <c r="F409" s="32"/>
      <c r="G409" s="29">
        <f t="shared" si="67"/>
        <v>0</v>
      </c>
      <c r="H409" s="33">
        <v>1.05</v>
      </c>
      <c r="I409" s="29">
        <f t="shared" si="68"/>
        <v>0</v>
      </c>
    </row>
    <row r="410" s="16" customFormat="1" customHeight="1" spans="1:9">
      <c r="A410" s="25">
        <v>405</v>
      </c>
      <c r="B410" s="31" t="s">
        <v>424</v>
      </c>
      <c r="C410" s="32"/>
      <c r="D410" s="33">
        <v>0.2</v>
      </c>
      <c r="E410" s="38">
        <f t="shared" si="69"/>
        <v>0</v>
      </c>
      <c r="F410" s="32"/>
      <c r="G410" s="29">
        <f t="shared" si="67"/>
        <v>0</v>
      </c>
      <c r="H410" s="33">
        <v>1.1</v>
      </c>
      <c r="I410" s="29">
        <f t="shared" si="68"/>
        <v>0</v>
      </c>
    </row>
    <row r="411" s="16" customFormat="1" customHeight="1" spans="1:9">
      <c r="A411" s="25">
        <v>406</v>
      </c>
      <c r="B411" s="31" t="s">
        <v>425</v>
      </c>
      <c r="C411" s="32"/>
      <c r="D411" s="33">
        <v>0.2</v>
      </c>
      <c r="E411" s="38">
        <f t="shared" si="69"/>
        <v>0</v>
      </c>
      <c r="F411" s="32"/>
      <c r="G411" s="29">
        <f t="shared" si="67"/>
        <v>0</v>
      </c>
      <c r="H411" s="33">
        <v>1.3</v>
      </c>
      <c r="I411" s="29">
        <f t="shared" si="68"/>
        <v>0</v>
      </c>
    </row>
    <row r="412" s="16" customFormat="1" customHeight="1" spans="1:9">
      <c r="A412" s="25">
        <v>407</v>
      </c>
      <c r="B412" s="31" t="s">
        <v>426</v>
      </c>
      <c r="C412" s="32"/>
      <c r="D412" s="33">
        <v>0.2</v>
      </c>
      <c r="E412" s="38">
        <f t="shared" si="69"/>
        <v>0</v>
      </c>
      <c r="F412" s="32"/>
      <c r="G412" s="29">
        <f t="shared" si="67"/>
        <v>0</v>
      </c>
      <c r="H412" s="33">
        <v>1.5</v>
      </c>
      <c r="I412" s="29">
        <f t="shared" si="68"/>
        <v>0</v>
      </c>
    </row>
    <row r="413" s="16" customFormat="1" customHeight="1" spans="1:9">
      <c r="A413" s="25">
        <v>408</v>
      </c>
      <c r="B413" s="31" t="s">
        <v>427</v>
      </c>
      <c r="C413" s="32"/>
      <c r="D413" s="33">
        <v>0.2</v>
      </c>
      <c r="E413" s="38">
        <f t="shared" si="69"/>
        <v>0</v>
      </c>
      <c r="F413" s="32"/>
      <c r="G413" s="29">
        <f t="shared" si="67"/>
        <v>0</v>
      </c>
      <c r="H413" s="33">
        <v>2.5</v>
      </c>
      <c r="I413" s="29">
        <f t="shared" si="68"/>
        <v>0</v>
      </c>
    </row>
    <row r="414" s="16" customFormat="1" customHeight="1" spans="1:9">
      <c r="A414" s="25">
        <v>409</v>
      </c>
      <c r="B414" s="31" t="s">
        <v>428</v>
      </c>
      <c r="C414" s="32"/>
      <c r="D414" s="33">
        <v>0.2</v>
      </c>
      <c r="E414" s="38">
        <f t="shared" si="69"/>
        <v>0</v>
      </c>
      <c r="F414" s="32"/>
      <c r="G414" s="29">
        <f t="shared" si="67"/>
        <v>0</v>
      </c>
      <c r="H414" s="33">
        <v>4</v>
      </c>
      <c r="I414" s="29">
        <f t="shared" si="68"/>
        <v>0</v>
      </c>
    </row>
    <row r="415" s="16" customFormat="1" customHeight="1" spans="1:9">
      <c r="A415" s="25">
        <v>410</v>
      </c>
      <c r="B415" s="31" t="s">
        <v>429</v>
      </c>
      <c r="C415" s="32"/>
      <c r="D415" s="33">
        <v>0.2</v>
      </c>
      <c r="E415" s="38">
        <f t="shared" si="69"/>
        <v>0</v>
      </c>
      <c r="F415" s="32"/>
      <c r="G415" s="29">
        <f t="shared" si="67"/>
        <v>0</v>
      </c>
      <c r="H415" s="33">
        <v>12.5</v>
      </c>
      <c r="I415" s="29">
        <f t="shared" si="68"/>
        <v>0</v>
      </c>
    </row>
    <row r="416" s="17" customFormat="1" customHeight="1" spans="1:9">
      <c r="A416" s="25">
        <v>411</v>
      </c>
      <c r="B416" s="31" t="s">
        <v>430</v>
      </c>
      <c r="C416" s="32"/>
      <c r="D416" s="33">
        <v>0.2</v>
      </c>
      <c r="E416" s="38">
        <f t="shared" si="69"/>
        <v>0</v>
      </c>
      <c r="F416" s="32"/>
      <c r="G416" s="29">
        <f t="shared" si="67"/>
        <v>0</v>
      </c>
      <c r="H416" s="30"/>
      <c r="I416" s="32"/>
    </row>
    <row r="417" s="17" customFormat="1" customHeight="1" spans="1:9">
      <c r="A417" s="25">
        <v>412</v>
      </c>
      <c r="B417" s="50" t="s">
        <v>431</v>
      </c>
      <c r="C417" s="38">
        <f>SUM(C418:C441)</f>
        <v>0</v>
      </c>
      <c r="D417" s="39"/>
      <c r="E417" s="38">
        <f>SUM(E418:E441)</f>
        <v>0</v>
      </c>
      <c r="F417" s="38">
        <f t="shared" ref="F417:I417" si="70">SUM(F418:F441)</f>
        <v>0</v>
      </c>
      <c r="G417" s="38">
        <f t="shared" si="70"/>
        <v>0</v>
      </c>
      <c r="H417" s="30"/>
      <c r="I417" s="38">
        <f t="shared" si="70"/>
        <v>0</v>
      </c>
    </row>
    <row r="418" s="16" customFormat="1" customHeight="1" spans="1:9">
      <c r="A418" s="25">
        <v>413</v>
      </c>
      <c r="B418" s="31" t="s">
        <v>432</v>
      </c>
      <c r="C418" s="32"/>
      <c r="D418" s="33">
        <v>1</v>
      </c>
      <c r="E418" s="38">
        <f t="shared" ref="E418:E441" si="71">C418*D418</f>
        <v>0</v>
      </c>
      <c r="F418" s="32"/>
      <c r="G418" s="29">
        <f t="shared" ref="G418:G441" si="72">E418-F418</f>
        <v>0</v>
      </c>
      <c r="H418" s="33">
        <v>0</v>
      </c>
      <c r="I418" s="29">
        <f t="shared" ref="I418:I440" si="73">G418*H418</f>
        <v>0</v>
      </c>
    </row>
    <row r="419" s="16" customFormat="1" customHeight="1" spans="1:9">
      <c r="A419" s="25">
        <v>414</v>
      </c>
      <c r="B419" s="31" t="s">
        <v>433</v>
      </c>
      <c r="C419" s="32"/>
      <c r="D419" s="33">
        <v>1</v>
      </c>
      <c r="E419" s="38">
        <f t="shared" si="71"/>
        <v>0</v>
      </c>
      <c r="F419" s="32"/>
      <c r="G419" s="29">
        <f t="shared" si="72"/>
        <v>0</v>
      </c>
      <c r="H419" s="33">
        <v>0.1</v>
      </c>
      <c r="I419" s="29">
        <f t="shared" si="73"/>
        <v>0</v>
      </c>
    </row>
    <row r="420" s="16" customFormat="1" customHeight="1" spans="1:9">
      <c r="A420" s="25">
        <v>415</v>
      </c>
      <c r="B420" s="31" t="s">
        <v>434</v>
      </c>
      <c r="C420" s="32"/>
      <c r="D420" s="33">
        <v>1</v>
      </c>
      <c r="E420" s="38">
        <f t="shared" si="71"/>
        <v>0</v>
      </c>
      <c r="F420" s="32"/>
      <c r="G420" s="29">
        <f t="shared" si="72"/>
        <v>0</v>
      </c>
      <c r="H420" s="33">
        <v>0.15</v>
      </c>
      <c r="I420" s="29">
        <f t="shared" si="73"/>
        <v>0</v>
      </c>
    </row>
    <row r="421" s="16" customFormat="1" customHeight="1" spans="1:9">
      <c r="A421" s="25">
        <v>416</v>
      </c>
      <c r="B421" s="31" t="s">
        <v>435</v>
      </c>
      <c r="C421" s="32"/>
      <c r="D421" s="33">
        <v>1</v>
      </c>
      <c r="E421" s="38">
        <f t="shared" si="71"/>
        <v>0</v>
      </c>
      <c r="F421" s="32"/>
      <c r="G421" s="29">
        <f t="shared" si="72"/>
        <v>0</v>
      </c>
      <c r="H421" s="33">
        <v>0.2</v>
      </c>
      <c r="I421" s="29">
        <f t="shared" si="73"/>
        <v>0</v>
      </c>
    </row>
    <row r="422" s="16" customFormat="1" customHeight="1" spans="1:9">
      <c r="A422" s="25">
        <v>417</v>
      </c>
      <c r="B422" s="31" t="s">
        <v>436</v>
      </c>
      <c r="C422" s="32"/>
      <c r="D422" s="33">
        <v>1</v>
      </c>
      <c r="E422" s="38">
        <f t="shared" si="71"/>
        <v>0</v>
      </c>
      <c r="F422" s="32"/>
      <c r="G422" s="29">
        <f t="shared" si="72"/>
        <v>0</v>
      </c>
      <c r="H422" s="33">
        <v>0.25</v>
      </c>
      <c r="I422" s="29">
        <f t="shared" si="73"/>
        <v>0</v>
      </c>
    </row>
    <row r="423" s="16" customFormat="1" customHeight="1" spans="1:9">
      <c r="A423" s="25">
        <v>418</v>
      </c>
      <c r="B423" s="31" t="s">
        <v>437</v>
      </c>
      <c r="C423" s="32"/>
      <c r="D423" s="33">
        <v>1</v>
      </c>
      <c r="E423" s="38">
        <f t="shared" si="71"/>
        <v>0</v>
      </c>
      <c r="F423" s="32"/>
      <c r="G423" s="29">
        <f t="shared" si="72"/>
        <v>0</v>
      </c>
      <c r="H423" s="33">
        <v>0.3</v>
      </c>
      <c r="I423" s="29">
        <f t="shared" si="73"/>
        <v>0</v>
      </c>
    </row>
    <row r="424" s="16" customFormat="1" customHeight="1" spans="1:9">
      <c r="A424" s="25">
        <v>419</v>
      </c>
      <c r="B424" s="31" t="s">
        <v>438</v>
      </c>
      <c r="C424" s="32"/>
      <c r="D424" s="33">
        <v>1</v>
      </c>
      <c r="E424" s="38">
        <f t="shared" si="71"/>
        <v>0</v>
      </c>
      <c r="F424" s="32"/>
      <c r="G424" s="29">
        <f t="shared" si="72"/>
        <v>0</v>
      </c>
      <c r="H424" s="33">
        <v>0.35</v>
      </c>
      <c r="I424" s="29">
        <f t="shared" si="73"/>
        <v>0</v>
      </c>
    </row>
    <row r="425" s="16" customFormat="1" customHeight="1" spans="1:9">
      <c r="A425" s="25">
        <v>420</v>
      </c>
      <c r="B425" s="31" t="s">
        <v>439</v>
      </c>
      <c r="C425" s="32"/>
      <c r="D425" s="33">
        <v>1</v>
      </c>
      <c r="E425" s="38">
        <f t="shared" si="71"/>
        <v>0</v>
      </c>
      <c r="F425" s="32"/>
      <c r="G425" s="29">
        <f t="shared" si="72"/>
        <v>0</v>
      </c>
      <c r="H425" s="33">
        <v>0.4</v>
      </c>
      <c r="I425" s="29">
        <f t="shared" si="73"/>
        <v>0</v>
      </c>
    </row>
    <row r="426" s="16" customFormat="1" customHeight="1" spans="1:9">
      <c r="A426" s="25">
        <v>421</v>
      </c>
      <c r="B426" s="31" t="s">
        <v>440</v>
      </c>
      <c r="C426" s="32"/>
      <c r="D426" s="33">
        <v>1</v>
      </c>
      <c r="E426" s="38">
        <f t="shared" si="71"/>
        <v>0</v>
      </c>
      <c r="F426" s="32"/>
      <c r="G426" s="29">
        <f t="shared" si="72"/>
        <v>0</v>
      </c>
      <c r="H426" s="33">
        <v>0.45</v>
      </c>
      <c r="I426" s="29">
        <f t="shared" si="73"/>
        <v>0</v>
      </c>
    </row>
    <row r="427" s="16" customFormat="1" customHeight="1" spans="1:9">
      <c r="A427" s="25">
        <v>422</v>
      </c>
      <c r="B427" s="31" t="s">
        <v>441</v>
      </c>
      <c r="C427" s="32"/>
      <c r="D427" s="33">
        <v>1</v>
      </c>
      <c r="E427" s="38">
        <f t="shared" si="71"/>
        <v>0</v>
      </c>
      <c r="F427" s="32"/>
      <c r="G427" s="29">
        <f t="shared" si="72"/>
        <v>0</v>
      </c>
      <c r="H427" s="33">
        <v>0.5</v>
      </c>
      <c r="I427" s="29">
        <f t="shared" si="73"/>
        <v>0</v>
      </c>
    </row>
    <row r="428" s="16" customFormat="1" customHeight="1" spans="1:9">
      <c r="A428" s="25">
        <v>423</v>
      </c>
      <c r="B428" s="31" t="s">
        <v>442</v>
      </c>
      <c r="C428" s="32"/>
      <c r="D428" s="33">
        <v>1</v>
      </c>
      <c r="E428" s="38">
        <f t="shared" si="71"/>
        <v>0</v>
      </c>
      <c r="F428" s="32"/>
      <c r="G428" s="29">
        <f t="shared" si="72"/>
        <v>0</v>
      </c>
      <c r="H428" s="33">
        <v>0.6</v>
      </c>
      <c r="I428" s="29">
        <f t="shared" si="73"/>
        <v>0</v>
      </c>
    </row>
    <row r="429" s="16" customFormat="1" customHeight="1" spans="1:9">
      <c r="A429" s="25">
        <v>424</v>
      </c>
      <c r="B429" s="31" t="s">
        <v>443</v>
      </c>
      <c r="C429" s="32"/>
      <c r="D429" s="33">
        <v>1</v>
      </c>
      <c r="E429" s="38">
        <f t="shared" si="71"/>
        <v>0</v>
      </c>
      <c r="F429" s="32"/>
      <c r="G429" s="29">
        <f t="shared" si="72"/>
        <v>0</v>
      </c>
      <c r="H429" s="33">
        <v>0.65</v>
      </c>
      <c r="I429" s="29">
        <f t="shared" si="73"/>
        <v>0</v>
      </c>
    </row>
    <row r="430" s="16" customFormat="1" customHeight="1" spans="1:9">
      <c r="A430" s="25">
        <v>425</v>
      </c>
      <c r="B430" s="31" t="s">
        <v>444</v>
      </c>
      <c r="C430" s="32"/>
      <c r="D430" s="33">
        <v>1</v>
      </c>
      <c r="E430" s="38">
        <f t="shared" si="71"/>
        <v>0</v>
      </c>
      <c r="F430" s="32"/>
      <c r="G430" s="29">
        <f t="shared" si="72"/>
        <v>0</v>
      </c>
      <c r="H430" s="33">
        <v>0.75</v>
      </c>
      <c r="I430" s="29">
        <f t="shared" si="73"/>
        <v>0</v>
      </c>
    </row>
    <row r="431" s="16" customFormat="1" customHeight="1" spans="1:9">
      <c r="A431" s="25">
        <v>426</v>
      </c>
      <c r="B431" s="31" t="s">
        <v>445</v>
      </c>
      <c r="C431" s="32"/>
      <c r="D431" s="33">
        <v>1</v>
      </c>
      <c r="E431" s="38">
        <f t="shared" si="71"/>
        <v>0</v>
      </c>
      <c r="F431" s="32"/>
      <c r="G431" s="29">
        <f t="shared" si="72"/>
        <v>0</v>
      </c>
      <c r="H431" s="33">
        <v>0.85</v>
      </c>
      <c r="I431" s="29">
        <f t="shared" si="73"/>
        <v>0</v>
      </c>
    </row>
    <row r="432" s="16" customFormat="1" customHeight="1" spans="1:9">
      <c r="A432" s="25">
        <v>427</v>
      </c>
      <c r="B432" s="31" t="s">
        <v>446</v>
      </c>
      <c r="C432" s="32"/>
      <c r="D432" s="33">
        <v>1</v>
      </c>
      <c r="E432" s="38">
        <f t="shared" si="71"/>
        <v>0</v>
      </c>
      <c r="F432" s="32"/>
      <c r="G432" s="29">
        <f t="shared" si="72"/>
        <v>0</v>
      </c>
      <c r="H432" s="33">
        <v>0.9</v>
      </c>
      <c r="I432" s="29">
        <f t="shared" si="73"/>
        <v>0</v>
      </c>
    </row>
    <row r="433" s="16" customFormat="1" customHeight="1" spans="1:9">
      <c r="A433" s="25">
        <v>428</v>
      </c>
      <c r="B433" s="31" t="s">
        <v>447</v>
      </c>
      <c r="C433" s="32"/>
      <c r="D433" s="33">
        <v>1</v>
      </c>
      <c r="E433" s="38">
        <f t="shared" si="71"/>
        <v>0</v>
      </c>
      <c r="F433" s="32"/>
      <c r="G433" s="29">
        <f t="shared" si="72"/>
        <v>0</v>
      </c>
      <c r="H433" s="33">
        <v>1</v>
      </c>
      <c r="I433" s="29">
        <f t="shared" si="73"/>
        <v>0</v>
      </c>
    </row>
    <row r="434" s="16" customFormat="1" customHeight="1" spans="1:9">
      <c r="A434" s="25">
        <v>429</v>
      </c>
      <c r="B434" s="31" t="s">
        <v>448</v>
      </c>
      <c r="C434" s="32"/>
      <c r="D434" s="33">
        <v>1</v>
      </c>
      <c r="E434" s="38">
        <f t="shared" si="71"/>
        <v>0</v>
      </c>
      <c r="F434" s="32"/>
      <c r="G434" s="29">
        <f t="shared" si="72"/>
        <v>0</v>
      </c>
      <c r="H434" s="33">
        <v>1.05</v>
      </c>
      <c r="I434" s="29">
        <f t="shared" si="73"/>
        <v>0</v>
      </c>
    </row>
    <row r="435" s="16" customFormat="1" customHeight="1" spans="1:9">
      <c r="A435" s="25">
        <v>430</v>
      </c>
      <c r="B435" s="31" t="s">
        <v>449</v>
      </c>
      <c r="C435" s="32"/>
      <c r="D435" s="33">
        <v>1</v>
      </c>
      <c r="E435" s="38">
        <f t="shared" si="71"/>
        <v>0</v>
      </c>
      <c r="F435" s="32"/>
      <c r="G435" s="29">
        <f t="shared" si="72"/>
        <v>0</v>
      </c>
      <c r="H435" s="33">
        <v>1.1</v>
      </c>
      <c r="I435" s="29">
        <f t="shared" si="73"/>
        <v>0</v>
      </c>
    </row>
    <row r="436" s="16" customFormat="1" customHeight="1" spans="1:9">
      <c r="A436" s="25">
        <v>431</v>
      </c>
      <c r="B436" s="31" t="s">
        <v>450</v>
      </c>
      <c r="C436" s="32"/>
      <c r="D436" s="33">
        <v>1</v>
      </c>
      <c r="E436" s="38">
        <f t="shared" si="71"/>
        <v>0</v>
      </c>
      <c r="F436" s="32"/>
      <c r="G436" s="29">
        <f t="shared" si="72"/>
        <v>0</v>
      </c>
      <c r="H436" s="33">
        <v>1.3</v>
      </c>
      <c r="I436" s="29">
        <f t="shared" si="73"/>
        <v>0</v>
      </c>
    </row>
    <row r="437" s="16" customFormat="1" customHeight="1" spans="1:9">
      <c r="A437" s="25">
        <v>432</v>
      </c>
      <c r="B437" s="31" t="s">
        <v>451</v>
      </c>
      <c r="C437" s="32"/>
      <c r="D437" s="33">
        <v>1</v>
      </c>
      <c r="E437" s="38">
        <f t="shared" si="71"/>
        <v>0</v>
      </c>
      <c r="F437" s="32"/>
      <c r="G437" s="29">
        <f t="shared" si="72"/>
        <v>0</v>
      </c>
      <c r="H437" s="33">
        <v>1.5</v>
      </c>
      <c r="I437" s="29">
        <f t="shared" si="73"/>
        <v>0</v>
      </c>
    </row>
    <row r="438" s="16" customFormat="1" customHeight="1" spans="1:9">
      <c r="A438" s="25">
        <v>433</v>
      </c>
      <c r="B438" s="31" t="s">
        <v>452</v>
      </c>
      <c r="C438" s="32"/>
      <c r="D438" s="33">
        <v>1</v>
      </c>
      <c r="E438" s="38">
        <f t="shared" si="71"/>
        <v>0</v>
      </c>
      <c r="F438" s="32"/>
      <c r="G438" s="29">
        <f t="shared" si="72"/>
        <v>0</v>
      </c>
      <c r="H438" s="33">
        <v>2.5</v>
      </c>
      <c r="I438" s="29">
        <f t="shared" si="73"/>
        <v>0</v>
      </c>
    </row>
    <row r="439" s="16" customFormat="1" customHeight="1" spans="1:9">
      <c r="A439" s="25">
        <v>434</v>
      </c>
      <c r="B439" s="31" t="s">
        <v>453</v>
      </c>
      <c r="C439" s="32"/>
      <c r="D439" s="33">
        <v>1</v>
      </c>
      <c r="E439" s="38">
        <f t="shared" si="71"/>
        <v>0</v>
      </c>
      <c r="F439" s="32"/>
      <c r="G439" s="29">
        <f t="shared" si="72"/>
        <v>0</v>
      </c>
      <c r="H439" s="33">
        <v>4</v>
      </c>
      <c r="I439" s="29">
        <f t="shared" si="73"/>
        <v>0</v>
      </c>
    </row>
    <row r="440" s="16" customFormat="1" customHeight="1" spans="1:9">
      <c r="A440" s="25">
        <v>435</v>
      </c>
      <c r="B440" s="31" t="s">
        <v>454</v>
      </c>
      <c r="C440" s="32"/>
      <c r="D440" s="33">
        <v>1</v>
      </c>
      <c r="E440" s="38">
        <f t="shared" si="71"/>
        <v>0</v>
      </c>
      <c r="F440" s="32"/>
      <c r="G440" s="29">
        <f t="shared" si="72"/>
        <v>0</v>
      </c>
      <c r="H440" s="33">
        <v>12.5</v>
      </c>
      <c r="I440" s="29">
        <f t="shared" si="73"/>
        <v>0</v>
      </c>
    </row>
    <row r="441" s="17" customFormat="1" customHeight="1" spans="1:9">
      <c r="A441" s="25">
        <v>436</v>
      </c>
      <c r="B441" s="31" t="s">
        <v>455</v>
      </c>
      <c r="C441" s="32"/>
      <c r="D441" s="33">
        <v>1</v>
      </c>
      <c r="E441" s="38">
        <f t="shared" si="71"/>
        <v>0</v>
      </c>
      <c r="F441" s="32"/>
      <c r="G441" s="29">
        <f t="shared" si="72"/>
        <v>0</v>
      </c>
      <c r="H441" s="30"/>
      <c r="I441" s="32"/>
    </row>
    <row r="442" customHeight="1" spans="1:9">
      <c r="A442" s="25">
        <v>437</v>
      </c>
      <c r="B442" s="34" t="s">
        <v>456</v>
      </c>
      <c r="C442" s="29">
        <f>SUM(C443:C466)</f>
        <v>0</v>
      </c>
      <c r="D442" s="30"/>
      <c r="E442" s="29">
        <f>SUM(E443:E466)</f>
        <v>0</v>
      </c>
      <c r="F442" s="29">
        <f>SUM(F443:F466)</f>
        <v>0</v>
      </c>
      <c r="G442" s="29">
        <f>SUM(G443:G466)</f>
        <v>0</v>
      </c>
      <c r="H442" s="37"/>
      <c r="I442" s="29">
        <f>SUM(I443:I466)</f>
        <v>0</v>
      </c>
    </row>
    <row r="443" s="16" customFormat="1" customHeight="1" spans="1:9">
      <c r="A443" s="25">
        <v>438</v>
      </c>
      <c r="B443" s="31" t="s">
        <v>457</v>
      </c>
      <c r="C443" s="32"/>
      <c r="D443" s="33">
        <v>1</v>
      </c>
      <c r="E443" s="38">
        <f t="shared" ref="E443:E466" si="74">C443*D443</f>
        <v>0</v>
      </c>
      <c r="F443" s="32"/>
      <c r="G443" s="29">
        <f t="shared" ref="G443:G466" si="75">E443-F443</f>
        <v>0</v>
      </c>
      <c r="H443" s="33">
        <v>0</v>
      </c>
      <c r="I443" s="29">
        <f t="shared" ref="I443:I465" si="76">G443*H443</f>
        <v>0</v>
      </c>
    </row>
    <row r="444" s="16" customFormat="1" customHeight="1" spans="1:9">
      <c r="A444" s="25">
        <v>439</v>
      </c>
      <c r="B444" s="31" t="s">
        <v>458</v>
      </c>
      <c r="C444" s="32"/>
      <c r="D444" s="33">
        <v>1</v>
      </c>
      <c r="E444" s="38">
        <f t="shared" si="74"/>
        <v>0</v>
      </c>
      <c r="F444" s="32"/>
      <c r="G444" s="29">
        <f t="shared" si="75"/>
        <v>0</v>
      </c>
      <c r="H444" s="33">
        <v>0.1</v>
      </c>
      <c r="I444" s="29">
        <f t="shared" si="76"/>
        <v>0</v>
      </c>
    </row>
    <row r="445" s="16" customFormat="1" customHeight="1" spans="1:9">
      <c r="A445" s="25">
        <v>440</v>
      </c>
      <c r="B445" s="31" t="s">
        <v>459</v>
      </c>
      <c r="C445" s="32"/>
      <c r="D445" s="33">
        <v>1</v>
      </c>
      <c r="E445" s="38">
        <f t="shared" si="74"/>
        <v>0</v>
      </c>
      <c r="F445" s="32"/>
      <c r="G445" s="29">
        <f t="shared" si="75"/>
        <v>0</v>
      </c>
      <c r="H445" s="33">
        <v>0.15</v>
      </c>
      <c r="I445" s="29">
        <f t="shared" si="76"/>
        <v>0</v>
      </c>
    </row>
    <row r="446" s="16" customFormat="1" customHeight="1" spans="1:9">
      <c r="A446" s="25">
        <v>441</v>
      </c>
      <c r="B446" s="31" t="s">
        <v>460</v>
      </c>
      <c r="C446" s="32"/>
      <c r="D446" s="33">
        <v>1</v>
      </c>
      <c r="E446" s="38">
        <f t="shared" si="74"/>
        <v>0</v>
      </c>
      <c r="F446" s="32"/>
      <c r="G446" s="29">
        <f t="shared" si="75"/>
        <v>0</v>
      </c>
      <c r="H446" s="33">
        <v>0.2</v>
      </c>
      <c r="I446" s="29">
        <f t="shared" si="76"/>
        <v>0</v>
      </c>
    </row>
    <row r="447" s="16" customFormat="1" customHeight="1" spans="1:9">
      <c r="A447" s="25">
        <v>442</v>
      </c>
      <c r="B447" s="31" t="s">
        <v>461</v>
      </c>
      <c r="C447" s="32"/>
      <c r="D447" s="33">
        <v>1</v>
      </c>
      <c r="E447" s="38">
        <f t="shared" si="74"/>
        <v>0</v>
      </c>
      <c r="F447" s="32"/>
      <c r="G447" s="29">
        <f t="shared" si="75"/>
        <v>0</v>
      </c>
      <c r="H447" s="33">
        <v>0.25</v>
      </c>
      <c r="I447" s="29">
        <f t="shared" si="76"/>
        <v>0</v>
      </c>
    </row>
    <row r="448" s="16" customFormat="1" customHeight="1" spans="1:9">
      <c r="A448" s="25">
        <v>443</v>
      </c>
      <c r="B448" s="31" t="s">
        <v>462</v>
      </c>
      <c r="C448" s="32"/>
      <c r="D448" s="33">
        <v>1</v>
      </c>
      <c r="E448" s="38">
        <f t="shared" si="74"/>
        <v>0</v>
      </c>
      <c r="F448" s="32"/>
      <c r="G448" s="29">
        <f t="shared" si="75"/>
        <v>0</v>
      </c>
      <c r="H448" s="33">
        <v>0.3</v>
      </c>
      <c r="I448" s="29">
        <f t="shared" si="76"/>
        <v>0</v>
      </c>
    </row>
    <row r="449" s="16" customFormat="1" customHeight="1" spans="1:9">
      <c r="A449" s="25">
        <v>444</v>
      </c>
      <c r="B449" s="31" t="s">
        <v>463</v>
      </c>
      <c r="C449" s="32"/>
      <c r="D449" s="33">
        <v>1</v>
      </c>
      <c r="E449" s="38">
        <f t="shared" si="74"/>
        <v>0</v>
      </c>
      <c r="F449" s="32"/>
      <c r="G449" s="29">
        <f t="shared" si="75"/>
        <v>0</v>
      </c>
      <c r="H449" s="33">
        <v>0.35</v>
      </c>
      <c r="I449" s="29">
        <f t="shared" si="76"/>
        <v>0</v>
      </c>
    </row>
    <row r="450" s="16" customFormat="1" customHeight="1" spans="1:9">
      <c r="A450" s="25">
        <v>445</v>
      </c>
      <c r="B450" s="31" t="s">
        <v>464</v>
      </c>
      <c r="C450" s="32"/>
      <c r="D450" s="33">
        <v>1</v>
      </c>
      <c r="E450" s="38">
        <f t="shared" si="74"/>
        <v>0</v>
      </c>
      <c r="F450" s="32"/>
      <c r="G450" s="29">
        <f t="shared" si="75"/>
        <v>0</v>
      </c>
      <c r="H450" s="33">
        <v>0.4</v>
      </c>
      <c r="I450" s="29">
        <f t="shared" si="76"/>
        <v>0</v>
      </c>
    </row>
    <row r="451" s="16" customFormat="1" customHeight="1" spans="1:9">
      <c r="A451" s="25">
        <v>446</v>
      </c>
      <c r="B451" s="31" t="s">
        <v>465</v>
      </c>
      <c r="C451" s="32"/>
      <c r="D451" s="33">
        <v>1</v>
      </c>
      <c r="E451" s="38">
        <f t="shared" si="74"/>
        <v>0</v>
      </c>
      <c r="F451" s="32"/>
      <c r="G451" s="29">
        <f t="shared" si="75"/>
        <v>0</v>
      </c>
      <c r="H451" s="33">
        <v>0.45</v>
      </c>
      <c r="I451" s="29">
        <f t="shared" si="76"/>
        <v>0</v>
      </c>
    </row>
    <row r="452" s="16" customFormat="1" customHeight="1" spans="1:9">
      <c r="A452" s="25">
        <v>447</v>
      </c>
      <c r="B452" s="31" t="s">
        <v>466</v>
      </c>
      <c r="C452" s="32"/>
      <c r="D452" s="33">
        <v>1</v>
      </c>
      <c r="E452" s="38">
        <f t="shared" si="74"/>
        <v>0</v>
      </c>
      <c r="F452" s="32"/>
      <c r="G452" s="29">
        <f t="shared" si="75"/>
        <v>0</v>
      </c>
      <c r="H452" s="33">
        <v>0.5</v>
      </c>
      <c r="I452" s="29">
        <f t="shared" si="76"/>
        <v>0</v>
      </c>
    </row>
    <row r="453" s="16" customFormat="1" customHeight="1" spans="1:9">
      <c r="A453" s="25">
        <v>448</v>
      </c>
      <c r="B453" s="31" t="s">
        <v>467</v>
      </c>
      <c r="C453" s="32"/>
      <c r="D453" s="33">
        <v>1</v>
      </c>
      <c r="E453" s="38">
        <f t="shared" si="74"/>
        <v>0</v>
      </c>
      <c r="F453" s="32"/>
      <c r="G453" s="29">
        <f t="shared" si="75"/>
        <v>0</v>
      </c>
      <c r="H453" s="33">
        <v>0.6</v>
      </c>
      <c r="I453" s="29">
        <f t="shared" si="76"/>
        <v>0</v>
      </c>
    </row>
    <row r="454" s="16" customFormat="1" customHeight="1" spans="1:9">
      <c r="A454" s="25">
        <v>449</v>
      </c>
      <c r="B454" s="31" t="s">
        <v>468</v>
      </c>
      <c r="C454" s="32"/>
      <c r="D454" s="33">
        <v>1</v>
      </c>
      <c r="E454" s="38">
        <f t="shared" si="74"/>
        <v>0</v>
      </c>
      <c r="F454" s="32"/>
      <c r="G454" s="29">
        <f t="shared" si="75"/>
        <v>0</v>
      </c>
      <c r="H454" s="33">
        <v>0.65</v>
      </c>
      <c r="I454" s="29">
        <f t="shared" si="76"/>
        <v>0</v>
      </c>
    </row>
    <row r="455" s="16" customFormat="1" customHeight="1" spans="1:9">
      <c r="A455" s="25">
        <v>450</v>
      </c>
      <c r="B455" s="31" t="s">
        <v>469</v>
      </c>
      <c r="C455" s="32"/>
      <c r="D455" s="33">
        <v>1</v>
      </c>
      <c r="E455" s="38">
        <f t="shared" si="74"/>
        <v>0</v>
      </c>
      <c r="F455" s="32"/>
      <c r="G455" s="29">
        <f t="shared" si="75"/>
        <v>0</v>
      </c>
      <c r="H455" s="33">
        <v>0.75</v>
      </c>
      <c r="I455" s="29">
        <f t="shared" si="76"/>
        <v>0</v>
      </c>
    </row>
    <row r="456" s="16" customFormat="1" customHeight="1" spans="1:9">
      <c r="A456" s="25">
        <v>451</v>
      </c>
      <c r="B456" s="31" t="s">
        <v>470</v>
      </c>
      <c r="C456" s="32"/>
      <c r="D456" s="33">
        <v>1</v>
      </c>
      <c r="E456" s="38">
        <f t="shared" si="74"/>
        <v>0</v>
      </c>
      <c r="F456" s="32"/>
      <c r="G456" s="29">
        <f t="shared" si="75"/>
        <v>0</v>
      </c>
      <c r="H456" s="33">
        <v>0.85</v>
      </c>
      <c r="I456" s="29">
        <f t="shared" si="76"/>
        <v>0</v>
      </c>
    </row>
    <row r="457" s="16" customFormat="1" customHeight="1" spans="1:9">
      <c r="A457" s="25">
        <v>452</v>
      </c>
      <c r="B457" s="31" t="s">
        <v>471</v>
      </c>
      <c r="C457" s="32"/>
      <c r="D457" s="33">
        <v>1</v>
      </c>
      <c r="E457" s="38">
        <f t="shared" si="74"/>
        <v>0</v>
      </c>
      <c r="F457" s="32"/>
      <c r="G457" s="29">
        <f t="shared" si="75"/>
        <v>0</v>
      </c>
      <c r="H457" s="33">
        <v>0.9</v>
      </c>
      <c r="I457" s="29">
        <f t="shared" si="76"/>
        <v>0</v>
      </c>
    </row>
    <row r="458" s="16" customFormat="1" customHeight="1" spans="1:9">
      <c r="A458" s="25">
        <v>453</v>
      </c>
      <c r="B458" s="31" t="s">
        <v>472</v>
      </c>
      <c r="C458" s="32"/>
      <c r="D458" s="33">
        <v>1</v>
      </c>
      <c r="E458" s="38">
        <f t="shared" si="74"/>
        <v>0</v>
      </c>
      <c r="F458" s="32"/>
      <c r="G458" s="29">
        <f t="shared" si="75"/>
        <v>0</v>
      </c>
      <c r="H458" s="33">
        <v>1</v>
      </c>
      <c r="I458" s="29">
        <f t="shared" si="76"/>
        <v>0</v>
      </c>
    </row>
    <row r="459" s="16" customFormat="1" customHeight="1" spans="1:9">
      <c r="A459" s="25">
        <v>454</v>
      </c>
      <c r="B459" s="31" t="s">
        <v>473</v>
      </c>
      <c r="C459" s="32"/>
      <c r="D459" s="33">
        <v>1</v>
      </c>
      <c r="E459" s="38">
        <f t="shared" si="74"/>
        <v>0</v>
      </c>
      <c r="F459" s="32"/>
      <c r="G459" s="29">
        <f t="shared" si="75"/>
        <v>0</v>
      </c>
      <c r="H459" s="33">
        <v>1.05</v>
      </c>
      <c r="I459" s="29">
        <f t="shared" si="76"/>
        <v>0</v>
      </c>
    </row>
    <row r="460" s="16" customFormat="1" customHeight="1" spans="1:9">
      <c r="A460" s="25">
        <v>455</v>
      </c>
      <c r="B460" s="31" t="s">
        <v>474</v>
      </c>
      <c r="C460" s="32"/>
      <c r="D460" s="33">
        <v>1</v>
      </c>
      <c r="E460" s="38">
        <f t="shared" si="74"/>
        <v>0</v>
      </c>
      <c r="F460" s="32"/>
      <c r="G460" s="29">
        <f t="shared" si="75"/>
        <v>0</v>
      </c>
      <c r="H460" s="33">
        <v>1.1</v>
      </c>
      <c r="I460" s="29">
        <f t="shared" si="76"/>
        <v>0</v>
      </c>
    </row>
    <row r="461" s="16" customFormat="1" customHeight="1" spans="1:9">
      <c r="A461" s="25">
        <v>456</v>
      </c>
      <c r="B461" s="31" t="s">
        <v>475</v>
      </c>
      <c r="C461" s="32"/>
      <c r="D461" s="33">
        <v>1</v>
      </c>
      <c r="E461" s="38">
        <f t="shared" si="74"/>
        <v>0</v>
      </c>
      <c r="F461" s="32"/>
      <c r="G461" s="29">
        <f t="shared" si="75"/>
        <v>0</v>
      </c>
      <c r="H461" s="33">
        <v>1.3</v>
      </c>
      <c r="I461" s="29">
        <f t="shared" si="76"/>
        <v>0</v>
      </c>
    </row>
    <row r="462" s="16" customFormat="1" customHeight="1" spans="1:9">
      <c r="A462" s="25">
        <v>457</v>
      </c>
      <c r="B462" s="31" t="s">
        <v>476</v>
      </c>
      <c r="C462" s="32"/>
      <c r="D462" s="33">
        <v>1</v>
      </c>
      <c r="E462" s="38">
        <f t="shared" si="74"/>
        <v>0</v>
      </c>
      <c r="F462" s="32"/>
      <c r="G462" s="29">
        <f t="shared" si="75"/>
        <v>0</v>
      </c>
      <c r="H462" s="33">
        <v>1.5</v>
      </c>
      <c r="I462" s="29">
        <f t="shared" si="76"/>
        <v>0</v>
      </c>
    </row>
    <row r="463" s="16" customFormat="1" customHeight="1" spans="1:9">
      <c r="A463" s="25">
        <v>458</v>
      </c>
      <c r="B463" s="31" t="s">
        <v>477</v>
      </c>
      <c r="C463" s="32"/>
      <c r="D463" s="33">
        <v>1</v>
      </c>
      <c r="E463" s="38">
        <f t="shared" si="74"/>
        <v>0</v>
      </c>
      <c r="F463" s="32"/>
      <c r="G463" s="29">
        <f t="shared" si="75"/>
        <v>0</v>
      </c>
      <c r="H463" s="33">
        <v>2.5</v>
      </c>
      <c r="I463" s="29">
        <f t="shared" si="76"/>
        <v>0</v>
      </c>
    </row>
    <row r="464" s="16" customFormat="1" customHeight="1" spans="1:9">
      <c r="A464" s="25">
        <v>459</v>
      </c>
      <c r="B464" s="31" t="s">
        <v>478</v>
      </c>
      <c r="C464" s="32"/>
      <c r="D464" s="33">
        <v>1</v>
      </c>
      <c r="E464" s="38">
        <f t="shared" si="74"/>
        <v>0</v>
      </c>
      <c r="F464" s="32"/>
      <c r="G464" s="29">
        <f t="shared" si="75"/>
        <v>0</v>
      </c>
      <c r="H464" s="33">
        <v>4</v>
      </c>
      <c r="I464" s="29">
        <f t="shared" si="76"/>
        <v>0</v>
      </c>
    </row>
    <row r="465" s="16" customFormat="1" customHeight="1" spans="1:9">
      <c r="A465" s="25">
        <v>460</v>
      </c>
      <c r="B465" s="31" t="s">
        <v>479</v>
      </c>
      <c r="C465" s="32"/>
      <c r="D465" s="33">
        <v>1</v>
      </c>
      <c r="E465" s="38">
        <f t="shared" si="74"/>
        <v>0</v>
      </c>
      <c r="F465" s="32"/>
      <c r="G465" s="29">
        <f t="shared" si="75"/>
        <v>0</v>
      </c>
      <c r="H465" s="33">
        <v>12.5</v>
      </c>
      <c r="I465" s="29">
        <f t="shared" si="76"/>
        <v>0</v>
      </c>
    </row>
    <row r="466" s="17" customFormat="1" customHeight="1" spans="1:9">
      <c r="A466" s="25">
        <v>461</v>
      </c>
      <c r="B466" s="31" t="s">
        <v>480</v>
      </c>
      <c r="C466" s="32"/>
      <c r="D466" s="33">
        <v>1</v>
      </c>
      <c r="E466" s="38">
        <f t="shared" si="74"/>
        <v>0</v>
      </c>
      <c r="F466" s="32"/>
      <c r="G466" s="29">
        <f t="shared" si="75"/>
        <v>0</v>
      </c>
      <c r="H466" s="30"/>
      <c r="I466" s="32"/>
    </row>
    <row r="467" customHeight="1" spans="1:9">
      <c r="A467" s="25">
        <v>462</v>
      </c>
      <c r="B467" s="34" t="s">
        <v>481</v>
      </c>
      <c r="C467" s="29">
        <f>SUM(C468:C488)</f>
        <v>0</v>
      </c>
      <c r="D467" s="30"/>
      <c r="E467" s="29">
        <f>SUM(E468:E488)</f>
        <v>0</v>
      </c>
      <c r="F467" s="29">
        <f>SUM(F468:F488)</f>
        <v>0</v>
      </c>
      <c r="G467" s="29">
        <f>SUM(G468:G488)</f>
        <v>0</v>
      </c>
      <c r="H467" s="37"/>
      <c r="I467" s="29">
        <f>SUM(I468:I488)</f>
        <v>0</v>
      </c>
    </row>
    <row r="468" s="16" customFormat="1" customHeight="1" spans="1:9">
      <c r="A468" s="25">
        <v>463</v>
      </c>
      <c r="B468" s="31" t="s">
        <v>482</v>
      </c>
      <c r="C468" s="32"/>
      <c r="D468" s="33">
        <v>1</v>
      </c>
      <c r="E468" s="38">
        <f t="shared" ref="E468:E488" si="77">C468*D468</f>
        <v>0</v>
      </c>
      <c r="F468" s="32"/>
      <c r="G468" s="29">
        <f t="shared" ref="G468:G488" si="78">E468-F468</f>
        <v>0</v>
      </c>
      <c r="H468" s="33">
        <v>0</v>
      </c>
      <c r="I468" s="29">
        <f t="shared" ref="I468:I487" si="79">G468*H468</f>
        <v>0</v>
      </c>
    </row>
    <row r="469" s="16" customFormat="1" customHeight="1" spans="1:9">
      <c r="A469" s="25">
        <v>464</v>
      </c>
      <c r="B469" s="31" t="s">
        <v>483</v>
      </c>
      <c r="C469" s="32"/>
      <c r="D469" s="33">
        <v>1</v>
      </c>
      <c r="E469" s="38">
        <f t="shared" si="77"/>
        <v>0</v>
      </c>
      <c r="F469" s="32"/>
      <c r="G469" s="29">
        <f t="shared" si="78"/>
        <v>0</v>
      </c>
      <c r="H469" s="33">
        <v>0.1</v>
      </c>
      <c r="I469" s="29">
        <f t="shared" si="79"/>
        <v>0</v>
      </c>
    </row>
    <row r="470" s="16" customFormat="1" customHeight="1" spans="1:9">
      <c r="A470" s="25">
        <v>465</v>
      </c>
      <c r="B470" s="31" t="s">
        <v>484</v>
      </c>
      <c r="C470" s="32"/>
      <c r="D470" s="33">
        <v>1</v>
      </c>
      <c r="E470" s="38">
        <f t="shared" si="77"/>
        <v>0</v>
      </c>
      <c r="F470" s="32"/>
      <c r="G470" s="29">
        <f t="shared" si="78"/>
        <v>0</v>
      </c>
      <c r="H470" s="33">
        <v>0.15</v>
      </c>
      <c r="I470" s="29">
        <f t="shared" si="79"/>
        <v>0</v>
      </c>
    </row>
    <row r="471" s="16" customFormat="1" customHeight="1" spans="1:9">
      <c r="A471" s="25">
        <v>466</v>
      </c>
      <c r="B471" s="31" t="s">
        <v>485</v>
      </c>
      <c r="C471" s="32"/>
      <c r="D471" s="33">
        <v>1</v>
      </c>
      <c r="E471" s="38">
        <f t="shared" si="77"/>
        <v>0</v>
      </c>
      <c r="F471" s="32"/>
      <c r="G471" s="29">
        <f t="shared" si="78"/>
        <v>0</v>
      </c>
      <c r="H471" s="33">
        <v>0.2</v>
      </c>
      <c r="I471" s="29">
        <f t="shared" si="79"/>
        <v>0</v>
      </c>
    </row>
    <row r="472" s="16" customFormat="1" customHeight="1" spans="1:9">
      <c r="A472" s="25">
        <v>467</v>
      </c>
      <c r="B472" s="31" t="s">
        <v>486</v>
      </c>
      <c r="C472" s="32"/>
      <c r="D472" s="33">
        <v>1</v>
      </c>
      <c r="E472" s="38">
        <f t="shared" si="77"/>
        <v>0</v>
      </c>
      <c r="F472" s="32"/>
      <c r="G472" s="29">
        <f t="shared" si="78"/>
        <v>0</v>
      </c>
      <c r="H472" s="33">
        <v>0.25</v>
      </c>
      <c r="I472" s="29">
        <f t="shared" si="79"/>
        <v>0</v>
      </c>
    </row>
    <row r="473" s="16" customFormat="1" customHeight="1" spans="1:9">
      <c r="A473" s="25">
        <v>468</v>
      </c>
      <c r="B473" s="31" t="s">
        <v>487</v>
      </c>
      <c r="C473" s="32"/>
      <c r="D473" s="33">
        <v>1</v>
      </c>
      <c r="E473" s="38">
        <f t="shared" si="77"/>
        <v>0</v>
      </c>
      <c r="F473" s="32"/>
      <c r="G473" s="29">
        <f t="shared" si="78"/>
        <v>0</v>
      </c>
      <c r="H473" s="33">
        <v>0.3</v>
      </c>
      <c r="I473" s="29">
        <f t="shared" si="79"/>
        <v>0</v>
      </c>
    </row>
    <row r="474" s="16" customFormat="1" customHeight="1" spans="1:9">
      <c r="A474" s="25">
        <v>469</v>
      </c>
      <c r="B474" s="31" t="s">
        <v>488</v>
      </c>
      <c r="C474" s="32"/>
      <c r="D474" s="33">
        <v>1</v>
      </c>
      <c r="E474" s="38">
        <f t="shared" si="77"/>
        <v>0</v>
      </c>
      <c r="F474" s="32"/>
      <c r="G474" s="29">
        <f t="shared" si="78"/>
        <v>0</v>
      </c>
      <c r="H474" s="33">
        <v>0.35</v>
      </c>
      <c r="I474" s="29">
        <f t="shared" si="79"/>
        <v>0</v>
      </c>
    </row>
    <row r="475" s="16" customFormat="1" customHeight="1" spans="1:9">
      <c r="A475" s="25">
        <v>470</v>
      </c>
      <c r="B475" s="31" t="s">
        <v>489</v>
      </c>
      <c r="C475" s="32"/>
      <c r="D475" s="33">
        <v>1</v>
      </c>
      <c r="E475" s="38">
        <f t="shared" si="77"/>
        <v>0</v>
      </c>
      <c r="F475" s="32"/>
      <c r="G475" s="29">
        <f t="shared" si="78"/>
        <v>0</v>
      </c>
      <c r="H475" s="33">
        <v>0.4</v>
      </c>
      <c r="I475" s="29">
        <f t="shared" si="79"/>
        <v>0</v>
      </c>
    </row>
    <row r="476" s="16" customFormat="1" customHeight="1" spans="1:9">
      <c r="A476" s="25">
        <v>471</v>
      </c>
      <c r="B476" s="31" t="s">
        <v>490</v>
      </c>
      <c r="C476" s="32"/>
      <c r="D476" s="33">
        <v>1</v>
      </c>
      <c r="E476" s="38">
        <f t="shared" si="77"/>
        <v>0</v>
      </c>
      <c r="F476" s="32"/>
      <c r="G476" s="29">
        <f t="shared" si="78"/>
        <v>0</v>
      </c>
      <c r="H476" s="33">
        <v>0.45</v>
      </c>
      <c r="I476" s="29">
        <f t="shared" si="79"/>
        <v>0</v>
      </c>
    </row>
    <row r="477" s="16" customFormat="1" customHeight="1" spans="1:9">
      <c r="A477" s="25">
        <v>472</v>
      </c>
      <c r="B477" s="31" t="s">
        <v>491</v>
      </c>
      <c r="C477" s="32"/>
      <c r="D477" s="33">
        <v>1</v>
      </c>
      <c r="E477" s="38">
        <f t="shared" si="77"/>
        <v>0</v>
      </c>
      <c r="F477" s="32"/>
      <c r="G477" s="29">
        <f t="shared" si="78"/>
        <v>0</v>
      </c>
      <c r="H477" s="33">
        <v>0.5</v>
      </c>
      <c r="I477" s="29">
        <f t="shared" si="79"/>
        <v>0</v>
      </c>
    </row>
    <row r="478" s="16" customFormat="1" customHeight="1" spans="1:9">
      <c r="A478" s="25">
        <v>473</v>
      </c>
      <c r="B478" s="31" t="s">
        <v>492</v>
      </c>
      <c r="C478" s="32"/>
      <c r="D478" s="33">
        <v>1</v>
      </c>
      <c r="E478" s="38">
        <f t="shared" si="77"/>
        <v>0</v>
      </c>
      <c r="F478" s="32"/>
      <c r="G478" s="29">
        <f t="shared" si="78"/>
        <v>0</v>
      </c>
      <c r="H478" s="33">
        <v>0.6</v>
      </c>
      <c r="I478" s="29">
        <f t="shared" si="79"/>
        <v>0</v>
      </c>
    </row>
    <row r="479" s="16" customFormat="1" customHeight="1" spans="1:9">
      <c r="A479" s="25">
        <v>474</v>
      </c>
      <c r="B479" s="31" t="s">
        <v>493</v>
      </c>
      <c r="C479" s="32"/>
      <c r="D479" s="33">
        <v>1</v>
      </c>
      <c r="E479" s="38">
        <f t="shared" si="77"/>
        <v>0</v>
      </c>
      <c r="F479" s="32"/>
      <c r="G479" s="29">
        <f t="shared" si="78"/>
        <v>0</v>
      </c>
      <c r="H479" s="33">
        <v>0.65</v>
      </c>
      <c r="I479" s="29">
        <f t="shared" si="79"/>
        <v>0</v>
      </c>
    </row>
    <row r="480" s="16" customFormat="1" customHeight="1" spans="1:9">
      <c r="A480" s="25">
        <v>475</v>
      </c>
      <c r="B480" s="31" t="s">
        <v>494</v>
      </c>
      <c r="C480" s="32"/>
      <c r="D480" s="33">
        <v>1</v>
      </c>
      <c r="E480" s="38">
        <f t="shared" si="77"/>
        <v>0</v>
      </c>
      <c r="F480" s="32"/>
      <c r="G480" s="29">
        <f t="shared" si="78"/>
        <v>0</v>
      </c>
      <c r="H480" s="33">
        <v>0.75</v>
      </c>
      <c r="I480" s="29">
        <f t="shared" si="79"/>
        <v>0</v>
      </c>
    </row>
    <row r="481" s="16" customFormat="1" customHeight="1" spans="1:9">
      <c r="A481" s="25">
        <v>476</v>
      </c>
      <c r="B481" s="31" t="s">
        <v>495</v>
      </c>
      <c r="C481" s="32"/>
      <c r="D481" s="33">
        <v>1</v>
      </c>
      <c r="E481" s="38">
        <f t="shared" si="77"/>
        <v>0</v>
      </c>
      <c r="F481" s="32"/>
      <c r="G481" s="29">
        <f t="shared" si="78"/>
        <v>0</v>
      </c>
      <c r="H481" s="33">
        <v>0.85</v>
      </c>
      <c r="I481" s="29">
        <f t="shared" si="79"/>
        <v>0</v>
      </c>
    </row>
    <row r="482" s="16" customFormat="1" customHeight="1" spans="1:9">
      <c r="A482" s="25">
        <v>477</v>
      </c>
      <c r="B482" s="31" t="s">
        <v>496</v>
      </c>
      <c r="C482" s="32"/>
      <c r="D482" s="33">
        <v>1</v>
      </c>
      <c r="E482" s="38">
        <f t="shared" si="77"/>
        <v>0</v>
      </c>
      <c r="F482" s="32"/>
      <c r="G482" s="29">
        <f t="shared" si="78"/>
        <v>0</v>
      </c>
      <c r="H482" s="33">
        <v>0.9</v>
      </c>
      <c r="I482" s="29">
        <f t="shared" si="79"/>
        <v>0</v>
      </c>
    </row>
    <row r="483" s="16" customFormat="1" customHeight="1" spans="1:9">
      <c r="A483" s="25">
        <v>478</v>
      </c>
      <c r="B483" s="31" t="s">
        <v>497</v>
      </c>
      <c r="C483" s="32"/>
      <c r="D483" s="33">
        <v>1</v>
      </c>
      <c r="E483" s="38">
        <f t="shared" si="77"/>
        <v>0</v>
      </c>
      <c r="F483" s="32"/>
      <c r="G483" s="29">
        <f t="shared" si="78"/>
        <v>0</v>
      </c>
      <c r="H483" s="33">
        <v>1</v>
      </c>
      <c r="I483" s="29">
        <f t="shared" si="79"/>
        <v>0</v>
      </c>
    </row>
    <row r="484" s="16" customFormat="1" customHeight="1" spans="1:9">
      <c r="A484" s="25">
        <v>479</v>
      </c>
      <c r="B484" s="31" t="s">
        <v>498</v>
      </c>
      <c r="C484" s="32"/>
      <c r="D484" s="33">
        <v>1</v>
      </c>
      <c r="E484" s="38">
        <f t="shared" si="77"/>
        <v>0</v>
      </c>
      <c r="F484" s="32"/>
      <c r="G484" s="29">
        <f t="shared" si="78"/>
        <v>0</v>
      </c>
      <c r="H484" s="33">
        <v>1.05</v>
      </c>
      <c r="I484" s="29">
        <f t="shared" si="79"/>
        <v>0</v>
      </c>
    </row>
    <row r="485" s="16" customFormat="1" customHeight="1" spans="1:9">
      <c r="A485" s="25">
        <v>480</v>
      </c>
      <c r="B485" s="31" t="s">
        <v>499</v>
      </c>
      <c r="C485" s="32"/>
      <c r="D485" s="33">
        <v>1</v>
      </c>
      <c r="E485" s="38">
        <f t="shared" si="77"/>
        <v>0</v>
      </c>
      <c r="F485" s="32"/>
      <c r="G485" s="29">
        <f t="shared" si="78"/>
        <v>0</v>
      </c>
      <c r="H485" s="33">
        <v>1.1</v>
      </c>
      <c r="I485" s="29">
        <f t="shared" si="79"/>
        <v>0</v>
      </c>
    </row>
    <row r="486" s="16" customFormat="1" customHeight="1" spans="1:9">
      <c r="A486" s="25">
        <v>481</v>
      </c>
      <c r="B486" s="31" t="s">
        <v>500</v>
      </c>
      <c r="C486" s="32"/>
      <c r="D486" s="33">
        <v>1</v>
      </c>
      <c r="E486" s="38">
        <f t="shared" si="77"/>
        <v>0</v>
      </c>
      <c r="F486" s="32"/>
      <c r="G486" s="29">
        <f t="shared" si="78"/>
        <v>0</v>
      </c>
      <c r="H486" s="33">
        <v>1.3</v>
      </c>
      <c r="I486" s="29">
        <f t="shared" si="79"/>
        <v>0</v>
      </c>
    </row>
    <row r="487" s="16" customFormat="1" customHeight="1" spans="1:9">
      <c r="A487" s="25">
        <v>482</v>
      </c>
      <c r="B487" s="31" t="s">
        <v>501</v>
      </c>
      <c r="C487" s="32"/>
      <c r="D487" s="33">
        <v>1</v>
      </c>
      <c r="E487" s="38">
        <f t="shared" si="77"/>
        <v>0</v>
      </c>
      <c r="F487" s="32"/>
      <c r="G487" s="29">
        <f t="shared" si="78"/>
        <v>0</v>
      </c>
      <c r="H487" s="33">
        <v>1.5</v>
      </c>
      <c r="I487" s="29">
        <f t="shared" si="79"/>
        <v>0</v>
      </c>
    </row>
    <row r="488" s="17" customFormat="1" customHeight="1" spans="1:9">
      <c r="A488" s="25">
        <v>483</v>
      </c>
      <c r="B488" s="31" t="s">
        <v>502</v>
      </c>
      <c r="C488" s="32"/>
      <c r="D488" s="33">
        <v>1</v>
      </c>
      <c r="E488" s="38">
        <f t="shared" si="77"/>
        <v>0</v>
      </c>
      <c r="F488" s="32"/>
      <c r="G488" s="29">
        <f t="shared" si="78"/>
        <v>0</v>
      </c>
      <c r="H488" s="30"/>
      <c r="I488" s="32"/>
    </row>
    <row r="489" customHeight="1" spans="1:9">
      <c r="A489" s="25">
        <v>484</v>
      </c>
      <c r="B489" s="34" t="s">
        <v>503</v>
      </c>
      <c r="C489" s="29">
        <f>SUM(C490:C513)</f>
        <v>0</v>
      </c>
      <c r="D489" s="30"/>
      <c r="E489" s="29">
        <f>SUM(E490:E513)</f>
        <v>0</v>
      </c>
      <c r="F489" s="29">
        <f>SUM(F490:F513)</f>
        <v>0</v>
      </c>
      <c r="G489" s="29">
        <f>SUM(G490:G513)</f>
        <v>0</v>
      </c>
      <c r="H489" s="37"/>
      <c r="I489" s="29">
        <f>SUM(I490:I513)</f>
        <v>0</v>
      </c>
    </row>
    <row r="490" s="16" customFormat="1" customHeight="1" spans="1:9">
      <c r="A490" s="25">
        <v>485</v>
      </c>
      <c r="B490" s="31" t="s">
        <v>504</v>
      </c>
      <c r="C490" s="32"/>
      <c r="D490" s="33">
        <v>1</v>
      </c>
      <c r="E490" s="38">
        <f t="shared" ref="E490:E513" si="80">C490*D490</f>
        <v>0</v>
      </c>
      <c r="F490" s="32"/>
      <c r="G490" s="29">
        <f t="shared" ref="G490:G513" si="81">E490-F490</f>
        <v>0</v>
      </c>
      <c r="H490" s="33">
        <v>0</v>
      </c>
      <c r="I490" s="29">
        <f>G490*H490</f>
        <v>0</v>
      </c>
    </row>
    <row r="491" s="16" customFormat="1" customHeight="1" spans="1:9">
      <c r="A491" s="25">
        <v>486</v>
      </c>
      <c r="B491" s="31" t="s">
        <v>505</v>
      </c>
      <c r="C491" s="32"/>
      <c r="D491" s="33">
        <v>1</v>
      </c>
      <c r="E491" s="38">
        <f t="shared" si="80"/>
        <v>0</v>
      </c>
      <c r="F491" s="32"/>
      <c r="G491" s="29">
        <f t="shared" si="81"/>
        <v>0</v>
      </c>
      <c r="H491" s="33">
        <v>0.1</v>
      </c>
      <c r="I491" s="29">
        <f t="shared" ref="I491:I512" si="82">G491*H491</f>
        <v>0</v>
      </c>
    </row>
    <row r="492" s="16" customFormat="1" customHeight="1" spans="1:9">
      <c r="A492" s="25">
        <v>487</v>
      </c>
      <c r="B492" s="31" t="s">
        <v>506</v>
      </c>
      <c r="C492" s="32"/>
      <c r="D492" s="33">
        <v>1</v>
      </c>
      <c r="E492" s="38">
        <f t="shared" si="80"/>
        <v>0</v>
      </c>
      <c r="F492" s="32"/>
      <c r="G492" s="29">
        <f t="shared" si="81"/>
        <v>0</v>
      </c>
      <c r="H492" s="33">
        <v>0.15</v>
      </c>
      <c r="I492" s="29">
        <f t="shared" si="82"/>
        <v>0</v>
      </c>
    </row>
    <row r="493" s="16" customFormat="1" customHeight="1" spans="1:9">
      <c r="A493" s="25">
        <v>488</v>
      </c>
      <c r="B493" s="31" t="s">
        <v>507</v>
      </c>
      <c r="C493" s="32"/>
      <c r="D493" s="33">
        <v>1</v>
      </c>
      <c r="E493" s="38">
        <f t="shared" si="80"/>
        <v>0</v>
      </c>
      <c r="F493" s="32"/>
      <c r="G493" s="29">
        <f t="shared" si="81"/>
        <v>0</v>
      </c>
      <c r="H493" s="33">
        <v>0.2</v>
      </c>
      <c r="I493" s="29">
        <f t="shared" si="82"/>
        <v>0</v>
      </c>
    </row>
    <row r="494" s="16" customFormat="1" customHeight="1" spans="1:9">
      <c r="A494" s="25">
        <v>489</v>
      </c>
      <c r="B494" s="31" t="s">
        <v>508</v>
      </c>
      <c r="C494" s="32"/>
      <c r="D494" s="33">
        <v>1</v>
      </c>
      <c r="E494" s="38">
        <f t="shared" si="80"/>
        <v>0</v>
      </c>
      <c r="F494" s="32"/>
      <c r="G494" s="29">
        <f t="shared" si="81"/>
        <v>0</v>
      </c>
      <c r="H494" s="33">
        <v>0.25</v>
      </c>
      <c r="I494" s="29">
        <f t="shared" si="82"/>
        <v>0</v>
      </c>
    </row>
    <row r="495" s="16" customFormat="1" customHeight="1" spans="1:9">
      <c r="A495" s="25">
        <v>490</v>
      </c>
      <c r="B495" s="31" t="s">
        <v>509</v>
      </c>
      <c r="C495" s="32"/>
      <c r="D495" s="33">
        <v>1</v>
      </c>
      <c r="E495" s="38">
        <f t="shared" si="80"/>
        <v>0</v>
      </c>
      <c r="F495" s="32"/>
      <c r="G495" s="29">
        <f t="shared" si="81"/>
        <v>0</v>
      </c>
      <c r="H495" s="33">
        <v>0.3</v>
      </c>
      <c r="I495" s="29">
        <f t="shared" si="82"/>
        <v>0</v>
      </c>
    </row>
    <row r="496" s="16" customFormat="1" customHeight="1" spans="1:9">
      <c r="A496" s="25">
        <v>491</v>
      </c>
      <c r="B496" s="31" t="s">
        <v>510</v>
      </c>
      <c r="C496" s="32"/>
      <c r="D496" s="33">
        <v>1</v>
      </c>
      <c r="E496" s="38">
        <f t="shared" si="80"/>
        <v>0</v>
      </c>
      <c r="F496" s="32"/>
      <c r="G496" s="29">
        <f t="shared" si="81"/>
        <v>0</v>
      </c>
      <c r="H496" s="33">
        <v>0.35</v>
      </c>
      <c r="I496" s="29">
        <f t="shared" si="82"/>
        <v>0</v>
      </c>
    </row>
    <row r="497" s="16" customFormat="1" customHeight="1" spans="1:9">
      <c r="A497" s="25">
        <v>492</v>
      </c>
      <c r="B497" s="31" t="s">
        <v>511</v>
      </c>
      <c r="C497" s="32"/>
      <c r="D497" s="33">
        <v>1</v>
      </c>
      <c r="E497" s="38">
        <f t="shared" si="80"/>
        <v>0</v>
      </c>
      <c r="F497" s="32"/>
      <c r="G497" s="29">
        <f t="shared" si="81"/>
        <v>0</v>
      </c>
      <c r="H497" s="33">
        <v>0.4</v>
      </c>
      <c r="I497" s="29">
        <f t="shared" si="82"/>
        <v>0</v>
      </c>
    </row>
    <row r="498" s="16" customFormat="1" customHeight="1" spans="1:9">
      <c r="A498" s="25">
        <v>493</v>
      </c>
      <c r="B498" s="31" t="s">
        <v>512</v>
      </c>
      <c r="C498" s="32"/>
      <c r="D498" s="33">
        <v>1</v>
      </c>
      <c r="E498" s="38">
        <f t="shared" si="80"/>
        <v>0</v>
      </c>
      <c r="F498" s="32"/>
      <c r="G498" s="29">
        <f t="shared" si="81"/>
        <v>0</v>
      </c>
      <c r="H498" s="33">
        <v>0.45</v>
      </c>
      <c r="I498" s="29">
        <f t="shared" si="82"/>
        <v>0</v>
      </c>
    </row>
    <row r="499" s="16" customFormat="1" customHeight="1" spans="1:9">
      <c r="A499" s="25">
        <v>494</v>
      </c>
      <c r="B499" s="31" t="s">
        <v>513</v>
      </c>
      <c r="C499" s="32"/>
      <c r="D499" s="33">
        <v>1</v>
      </c>
      <c r="E499" s="38">
        <f t="shared" si="80"/>
        <v>0</v>
      </c>
      <c r="F499" s="32"/>
      <c r="G499" s="29">
        <f t="shared" si="81"/>
        <v>0</v>
      </c>
      <c r="H499" s="33">
        <v>0.5</v>
      </c>
      <c r="I499" s="29">
        <f t="shared" si="82"/>
        <v>0</v>
      </c>
    </row>
    <row r="500" s="16" customFormat="1" customHeight="1" spans="1:9">
      <c r="A500" s="25">
        <v>495</v>
      </c>
      <c r="B500" s="31" t="s">
        <v>514</v>
      </c>
      <c r="C500" s="32"/>
      <c r="D500" s="33">
        <v>1</v>
      </c>
      <c r="E500" s="38">
        <f t="shared" si="80"/>
        <v>0</v>
      </c>
      <c r="F500" s="32"/>
      <c r="G500" s="29">
        <f t="shared" si="81"/>
        <v>0</v>
      </c>
      <c r="H500" s="33">
        <v>0.6</v>
      </c>
      <c r="I500" s="29">
        <f t="shared" si="82"/>
        <v>0</v>
      </c>
    </row>
    <row r="501" s="16" customFormat="1" customHeight="1" spans="1:9">
      <c r="A501" s="25">
        <v>496</v>
      </c>
      <c r="B501" s="31" t="s">
        <v>515</v>
      </c>
      <c r="C501" s="32"/>
      <c r="D501" s="33">
        <v>1</v>
      </c>
      <c r="E501" s="38">
        <f t="shared" si="80"/>
        <v>0</v>
      </c>
      <c r="F501" s="32"/>
      <c r="G501" s="29">
        <f t="shared" si="81"/>
        <v>0</v>
      </c>
      <c r="H501" s="33">
        <v>0.65</v>
      </c>
      <c r="I501" s="29">
        <f t="shared" si="82"/>
        <v>0</v>
      </c>
    </row>
    <row r="502" s="16" customFormat="1" customHeight="1" spans="1:9">
      <c r="A502" s="25">
        <v>497</v>
      </c>
      <c r="B502" s="31" t="s">
        <v>516</v>
      </c>
      <c r="C502" s="32"/>
      <c r="D502" s="33">
        <v>1</v>
      </c>
      <c r="E502" s="38">
        <f t="shared" si="80"/>
        <v>0</v>
      </c>
      <c r="F502" s="32"/>
      <c r="G502" s="29">
        <f t="shared" si="81"/>
        <v>0</v>
      </c>
      <c r="H502" s="33">
        <v>0.75</v>
      </c>
      <c r="I502" s="29">
        <f t="shared" si="82"/>
        <v>0</v>
      </c>
    </row>
    <row r="503" s="16" customFormat="1" customHeight="1" spans="1:9">
      <c r="A503" s="25">
        <v>498</v>
      </c>
      <c r="B503" s="31" t="s">
        <v>517</v>
      </c>
      <c r="C503" s="32"/>
      <c r="D503" s="33">
        <v>1</v>
      </c>
      <c r="E503" s="38">
        <f t="shared" si="80"/>
        <v>0</v>
      </c>
      <c r="F503" s="32"/>
      <c r="G503" s="29">
        <f t="shared" si="81"/>
        <v>0</v>
      </c>
      <c r="H503" s="33">
        <v>0.85</v>
      </c>
      <c r="I503" s="29">
        <f t="shared" si="82"/>
        <v>0</v>
      </c>
    </row>
    <row r="504" s="16" customFormat="1" customHeight="1" spans="1:9">
      <c r="A504" s="25">
        <v>499</v>
      </c>
      <c r="B504" s="31" t="s">
        <v>518</v>
      </c>
      <c r="C504" s="32"/>
      <c r="D504" s="33">
        <v>1</v>
      </c>
      <c r="E504" s="38">
        <f t="shared" si="80"/>
        <v>0</v>
      </c>
      <c r="F504" s="32"/>
      <c r="G504" s="29">
        <f t="shared" si="81"/>
        <v>0</v>
      </c>
      <c r="H504" s="33">
        <v>0.9</v>
      </c>
      <c r="I504" s="29">
        <f t="shared" si="82"/>
        <v>0</v>
      </c>
    </row>
    <row r="505" s="16" customFormat="1" customHeight="1" spans="1:9">
      <c r="A505" s="25">
        <v>500</v>
      </c>
      <c r="B505" s="31" t="s">
        <v>519</v>
      </c>
      <c r="C505" s="32"/>
      <c r="D505" s="33">
        <v>1</v>
      </c>
      <c r="E505" s="38">
        <f t="shared" si="80"/>
        <v>0</v>
      </c>
      <c r="F505" s="32"/>
      <c r="G505" s="29">
        <f t="shared" si="81"/>
        <v>0</v>
      </c>
      <c r="H505" s="33">
        <v>1</v>
      </c>
      <c r="I505" s="29">
        <f t="shared" si="82"/>
        <v>0</v>
      </c>
    </row>
    <row r="506" s="16" customFormat="1" customHeight="1" spans="1:9">
      <c r="A506" s="25">
        <v>501</v>
      </c>
      <c r="B506" s="31" t="s">
        <v>520</v>
      </c>
      <c r="C506" s="32"/>
      <c r="D506" s="33">
        <v>1</v>
      </c>
      <c r="E506" s="38">
        <f t="shared" si="80"/>
        <v>0</v>
      </c>
      <c r="F506" s="32"/>
      <c r="G506" s="29">
        <f t="shared" si="81"/>
        <v>0</v>
      </c>
      <c r="H506" s="33">
        <v>1.05</v>
      </c>
      <c r="I506" s="29">
        <f t="shared" si="82"/>
        <v>0</v>
      </c>
    </row>
    <row r="507" s="16" customFormat="1" customHeight="1" spans="1:9">
      <c r="A507" s="25">
        <v>502</v>
      </c>
      <c r="B507" s="31" t="s">
        <v>521</v>
      </c>
      <c r="C507" s="32"/>
      <c r="D507" s="33">
        <v>1</v>
      </c>
      <c r="E507" s="38">
        <f t="shared" si="80"/>
        <v>0</v>
      </c>
      <c r="F507" s="32"/>
      <c r="G507" s="29">
        <f t="shared" si="81"/>
        <v>0</v>
      </c>
      <c r="H507" s="33">
        <v>1.1</v>
      </c>
      <c r="I507" s="29">
        <f t="shared" si="82"/>
        <v>0</v>
      </c>
    </row>
    <row r="508" s="16" customFormat="1" customHeight="1" spans="1:9">
      <c r="A508" s="25">
        <v>503</v>
      </c>
      <c r="B508" s="31" t="s">
        <v>522</v>
      </c>
      <c r="C508" s="32"/>
      <c r="D508" s="33">
        <v>1</v>
      </c>
      <c r="E508" s="38">
        <f t="shared" si="80"/>
        <v>0</v>
      </c>
      <c r="F508" s="32"/>
      <c r="G508" s="29">
        <f t="shared" si="81"/>
        <v>0</v>
      </c>
      <c r="H508" s="33">
        <v>1.3</v>
      </c>
      <c r="I508" s="29">
        <f t="shared" si="82"/>
        <v>0</v>
      </c>
    </row>
    <row r="509" s="16" customFormat="1" customHeight="1" spans="1:9">
      <c r="A509" s="25">
        <v>504</v>
      </c>
      <c r="B509" s="31" t="s">
        <v>523</v>
      </c>
      <c r="C509" s="32"/>
      <c r="D509" s="33">
        <v>1</v>
      </c>
      <c r="E509" s="38">
        <f t="shared" si="80"/>
        <v>0</v>
      </c>
      <c r="F509" s="32"/>
      <c r="G509" s="29">
        <f t="shared" si="81"/>
        <v>0</v>
      </c>
      <c r="H509" s="33">
        <v>1.5</v>
      </c>
      <c r="I509" s="29">
        <f t="shared" si="82"/>
        <v>0</v>
      </c>
    </row>
    <row r="510" s="16" customFormat="1" customHeight="1" spans="1:9">
      <c r="A510" s="25">
        <v>505</v>
      </c>
      <c r="B510" s="31" t="s">
        <v>524</v>
      </c>
      <c r="C510" s="32"/>
      <c r="D510" s="33">
        <v>1</v>
      </c>
      <c r="E510" s="38">
        <f t="shared" si="80"/>
        <v>0</v>
      </c>
      <c r="F510" s="32"/>
      <c r="G510" s="29">
        <f t="shared" si="81"/>
        <v>0</v>
      </c>
      <c r="H510" s="33">
        <v>2.5</v>
      </c>
      <c r="I510" s="29">
        <f t="shared" si="82"/>
        <v>0</v>
      </c>
    </row>
    <row r="511" s="16" customFormat="1" customHeight="1" spans="1:9">
      <c r="A511" s="25">
        <v>506</v>
      </c>
      <c r="B511" s="31" t="s">
        <v>525</v>
      </c>
      <c r="C511" s="32"/>
      <c r="D511" s="33">
        <v>1</v>
      </c>
      <c r="E511" s="38">
        <f t="shared" si="80"/>
        <v>0</v>
      </c>
      <c r="F511" s="32"/>
      <c r="G511" s="29">
        <f t="shared" si="81"/>
        <v>0</v>
      </c>
      <c r="H511" s="33">
        <v>4</v>
      </c>
      <c r="I511" s="29">
        <f t="shared" si="82"/>
        <v>0</v>
      </c>
    </row>
    <row r="512" s="16" customFormat="1" customHeight="1" spans="1:9">
      <c r="A512" s="25">
        <v>507</v>
      </c>
      <c r="B512" s="31" t="s">
        <v>526</v>
      </c>
      <c r="C512" s="32"/>
      <c r="D512" s="33">
        <v>1</v>
      </c>
      <c r="E512" s="38">
        <f t="shared" si="80"/>
        <v>0</v>
      </c>
      <c r="F512" s="32"/>
      <c r="G512" s="29">
        <f t="shared" si="81"/>
        <v>0</v>
      </c>
      <c r="H512" s="33">
        <v>12.5</v>
      </c>
      <c r="I512" s="29">
        <f t="shared" si="82"/>
        <v>0</v>
      </c>
    </row>
    <row r="513" s="17" customFormat="1" customHeight="1" spans="1:9">
      <c r="A513" s="25">
        <v>508</v>
      </c>
      <c r="B513" s="31" t="s">
        <v>527</v>
      </c>
      <c r="C513" s="32"/>
      <c r="D513" s="33">
        <v>1</v>
      </c>
      <c r="E513" s="38">
        <f t="shared" si="80"/>
        <v>0</v>
      </c>
      <c r="F513" s="32"/>
      <c r="G513" s="29">
        <f t="shared" si="81"/>
        <v>0</v>
      </c>
      <c r="H513" s="30"/>
      <c r="I513" s="32"/>
    </row>
    <row r="514" customHeight="1" spans="1:9">
      <c r="A514" s="25">
        <v>509</v>
      </c>
      <c r="B514" s="34" t="s">
        <v>528</v>
      </c>
      <c r="C514" s="29">
        <f>SUM(C515:C538)</f>
        <v>0</v>
      </c>
      <c r="D514" s="30"/>
      <c r="E514" s="29">
        <f>SUM(E515:E538)</f>
        <v>0</v>
      </c>
      <c r="F514" s="29">
        <f>SUM(F515:F538)</f>
        <v>0</v>
      </c>
      <c r="G514" s="29">
        <f>SUM(G515:G538)</f>
        <v>0</v>
      </c>
      <c r="H514" s="37"/>
      <c r="I514" s="29">
        <f>SUM(I515:I538)</f>
        <v>0</v>
      </c>
    </row>
    <row r="515" s="16" customFormat="1" customHeight="1" spans="1:9">
      <c r="A515" s="25">
        <v>510</v>
      </c>
      <c r="B515" s="31" t="s">
        <v>529</v>
      </c>
      <c r="C515" s="32"/>
      <c r="D515" s="33">
        <v>1</v>
      </c>
      <c r="E515" s="38">
        <f t="shared" ref="E515:E538" si="83">C515*D515</f>
        <v>0</v>
      </c>
      <c r="F515" s="32"/>
      <c r="G515" s="29">
        <f t="shared" ref="G515:G538" si="84">E515-F515</f>
        <v>0</v>
      </c>
      <c r="H515" s="33">
        <v>0</v>
      </c>
      <c r="I515" s="29">
        <f t="shared" ref="I515:I537" si="85">G515*H515</f>
        <v>0</v>
      </c>
    </row>
    <row r="516" s="16" customFormat="1" customHeight="1" spans="1:9">
      <c r="A516" s="25">
        <v>511</v>
      </c>
      <c r="B516" s="31" t="s">
        <v>530</v>
      </c>
      <c r="C516" s="32"/>
      <c r="D516" s="33">
        <v>1</v>
      </c>
      <c r="E516" s="38">
        <f t="shared" si="83"/>
        <v>0</v>
      </c>
      <c r="F516" s="32"/>
      <c r="G516" s="29">
        <f t="shared" si="84"/>
        <v>0</v>
      </c>
      <c r="H516" s="33">
        <v>0.1</v>
      </c>
      <c r="I516" s="29">
        <f t="shared" si="85"/>
        <v>0</v>
      </c>
    </row>
    <row r="517" s="16" customFormat="1" customHeight="1" spans="1:9">
      <c r="A517" s="25">
        <v>512</v>
      </c>
      <c r="B517" s="31" t="s">
        <v>531</v>
      </c>
      <c r="C517" s="32"/>
      <c r="D517" s="33">
        <v>1</v>
      </c>
      <c r="E517" s="38">
        <f t="shared" si="83"/>
        <v>0</v>
      </c>
      <c r="F517" s="32"/>
      <c r="G517" s="29">
        <f t="shared" si="84"/>
        <v>0</v>
      </c>
      <c r="H517" s="33">
        <v>0.15</v>
      </c>
      <c r="I517" s="29">
        <f t="shared" si="85"/>
        <v>0</v>
      </c>
    </row>
    <row r="518" s="16" customFormat="1" customHeight="1" spans="1:9">
      <c r="A518" s="25">
        <v>513</v>
      </c>
      <c r="B518" s="31" t="s">
        <v>532</v>
      </c>
      <c r="C518" s="32"/>
      <c r="D518" s="33">
        <v>1</v>
      </c>
      <c r="E518" s="38">
        <f t="shared" si="83"/>
        <v>0</v>
      </c>
      <c r="F518" s="32"/>
      <c r="G518" s="29">
        <f t="shared" si="84"/>
        <v>0</v>
      </c>
      <c r="H518" s="33">
        <v>0.2</v>
      </c>
      <c r="I518" s="29">
        <f t="shared" si="85"/>
        <v>0</v>
      </c>
    </row>
    <row r="519" s="16" customFormat="1" customHeight="1" spans="1:9">
      <c r="A519" s="25">
        <v>514</v>
      </c>
      <c r="B519" s="31" t="s">
        <v>533</v>
      </c>
      <c r="C519" s="32"/>
      <c r="D519" s="33">
        <v>1</v>
      </c>
      <c r="E519" s="38">
        <f t="shared" si="83"/>
        <v>0</v>
      </c>
      <c r="F519" s="32"/>
      <c r="G519" s="29">
        <f t="shared" si="84"/>
        <v>0</v>
      </c>
      <c r="H519" s="33">
        <v>0.25</v>
      </c>
      <c r="I519" s="29">
        <f t="shared" si="85"/>
        <v>0</v>
      </c>
    </row>
    <row r="520" s="16" customFormat="1" customHeight="1" spans="1:9">
      <c r="A520" s="25">
        <v>515</v>
      </c>
      <c r="B520" s="31" t="s">
        <v>534</v>
      </c>
      <c r="C520" s="32"/>
      <c r="D520" s="33">
        <v>1</v>
      </c>
      <c r="E520" s="38">
        <f t="shared" si="83"/>
        <v>0</v>
      </c>
      <c r="F520" s="32"/>
      <c r="G520" s="29">
        <f t="shared" si="84"/>
        <v>0</v>
      </c>
      <c r="H520" s="33">
        <v>0.3</v>
      </c>
      <c r="I520" s="29">
        <f t="shared" si="85"/>
        <v>0</v>
      </c>
    </row>
    <row r="521" s="16" customFormat="1" customHeight="1" spans="1:9">
      <c r="A521" s="25">
        <v>516</v>
      </c>
      <c r="B521" s="31" t="s">
        <v>535</v>
      </c>
      <c r="C521" s="32"/>
      <c r="D521" s="33">
        <v>1</v>
      </c>
      <c r="E521" s="38">
        <f t="shared" si="83"/>
        <v>0</v>
      </c>
      <c r="F521" s="32"/>
      <c r="G521" s="29">
        <f t="shared" si="84"/>
        <v>0</v>
      </c>
      <c r="H521" s="33">
        <v>0.35</v>
      </c>
      <c r="I521" s="29">
        <f t="shared" si="85"/>
        <v>0</v>
      </c>
    </row>
    <row r="522" s="16" customFormat="1" customHeight="1" spans="1:9">
      <c r="A522" s="25">
        <v>517</v>
      </c>
      <c r="B522" s="31" t="s">
        <v>536</v>
      </c>
      <c r="C522" s="32"/>
      <c r="D522" s="33">
        <v>1</v>
      </c>
      <c r="E522" s="38">
        <f t="shared" si="83"/>
        <v>0</v>
      </c>
      <c r="F522" s="32"/>
      <c r="G522" s="29">
        <f t="shared" si="84"/>
        <v>0</v>
      </c>
      <c r="H522" s="33">
        <v>0.4</v>
      </c>
      <c r="I522" s="29">
        <f t="shared" si="85"/>
        <v>0</v>
      </c>
    </row>
    <row r="523" s="16" customFormat="1" customHeight="1" spans="1:9">
      <c r="A523" s="25">
        <v>518</v>
      </c>
      <c r="B523" s="31" t="s">
        <v>537</v>
      </c>
      <c r="C523" s="32"/>
      <c r="D523" s="33">
        <v>1</v>
      </c>
      <c r="E523" s="38">
        <f t="shared" si="83"/>
        <v>0</v>
      </c>
      <c r="F523" s="32"/>
      <c r="G523" s="29">
        <f t="shared" si="84"/>
        <v>0</v>
      </c>
      <c r="H523" s="33">
        <v>0.45</v>
      </c>
      <c r="I523" s="29">
        <f t="shared" si="85"/>
        <v>0</v>
      </c>
    </row>
    <row r="524" s="16" customFormat="1" customHeight="1" spans="1:9">
      <c r="A524" s="25">
        <v>519</v>
      </c>
      <c r="B524" s="31" t="s">
        <v>538</v>
      </c>
      <c r="C524" s="32"/>
      <c r="D524" s="33">
        <v>1</v>
      </c>
      <c r="E524" s="38">
        <f t="shared" si="83"/>
        <v>0</v>
      </c>
      <c r="F524" s="32"/>
      <c r="G524" s="29">
        <f t="shared" si="84"/>
        <v>0</v>
      </c>
      <c r="H524" s="33">
        <v>0.5</v>
      </c>
      <c r="I524" s="29">
        <f t="shared" si="85"/>
        <v>0</v>
      </c>
    </row>
    <row r="525" s="16" customFormat="1" customHeight="1" spans="1:9">
      <c r="A525" s="25">
        <v>520</v>
      </c>
      <c r="B525" s="31" t="s">
        <v>539</v>
      </c>
      <c r="C525" s="32"/>
      <c r="D525" s="33">
        <v>1</v>
      </c>
      <c r="E525" s="38">
        <f t="shared" si="83"/>
        <v>0</v>
      </c>
      <c r="F525" s="32"/>
      <c r="G525" s="29">
        <f t="shared" si="84"/>
        <v>0</v>
      </c>
      <c r="H525" s="33">
        <v>0.6</v>
      </c>
      <c r="I525" s="29">
        <f t="shared" si="85"/>
        <v>0</v>
      </c>
    </row>
    <row r="526" s="16" customFormat="1" customHeight="1" spans="1:9">
      <c r="A526" s="25">
        <v>521</v>
      </c>
      <c r="B526" s="31" t="s">
        <v>540</v>
      </c>
      <c r="C526" s="32"/>
      <c r="D526" s="33">
        <v>1</v>
      </c>
      <c r="E526" s="38">
        <f t="shared" si="83"/>
        <v>0</v>
      </c>
      <c r="F526" s="32"/>
      <c r="G526" s="29">
        <f t="shared" si="84"/>
        <v>0</v>
      </c>
      <c r="H526" s="33">
        <v>0.65</v>
      </c>
      <c r="I526" s="29">
        <f t="shared" si="85"/>
        <v>0</v>
      </c>
    </row>
    <row r="527" s="16" customFormat="1" customHeight="1" spans="1:9">
      <c r="A527" s="25">
        <v>522</v>
      </c>
      <c r="B527" s="31" t="s">
        <v>541</v>
      </c>
      <c r="C527" s="32"/>
      <c r="D527" s="33">
        <v>1</v>
      </c>
      <c r="E527" s="38">
        <f t="shared" si="83"/>
        <v>0</v>
      </c>
      <c r="F527" s="32"/>
      <c r="G527" s="29">
        <f t="shared" si="84"/>
        <v>0</v>
      </c>
      <c r="H527" s="33">
        <v>0.75</v>
      </c>
      <c r="I527" s="29">
        <f t="shared" si="85"/>
        <v>0</v>
      </c>
    </row>
    <row r="528" s="16" customFormat="1" customHeight="1" spans="1:9">
      <c r="A528" s="25">
        <v>523</v>
      </c>
      <c r="B528" s="31" t="s">
        <v>542</v>
      </c>
      <c r="C528" s="32"/>
      <c r="D528" s="33">
        <v>1</v>
      </c>
      <c r="E528" s="38">
        <f t="shared" si="83"/>
        <v>0</v>
      </c>
      <c r="F528" s="32"/>
      <c r="G528" s="29">
        <f t="shared" si="84"/>
        <v>0</v>
      </c>
      <c r="H528" s="33">
        <v>0.85</v>
      </c>
      <c r="I528" s="29">
        <f t="shared" si="85"/>
        <v>0</v>
      </c>
    </row>
    <row r="529" s="16" customFormat="1" customHeight="1" spans="1:9">
      <c r="A529" s="25">
        <v>524</v>
      </c>
      <c r="B529" s="31" t="s">
        <v>543</v>
      </c>
      <c r="C529" s="32"/>
      <c r="D529" s="33">
        <v>1</v>
      </c>
      <c r="E529" s="38">
        <f t="shared" si="83"/>
        <v>0</v>
      </c>
      <c r="F529" s="32"/>
      <c r="G529" s="29">
        <f t="shared" si="84"/>
        <v>0</v>
      </c>
      <c r="H529" s="33">
        <v>0.9</v>
      </c>
      <c r="I529" s="29">
        <f t="shared" si="85"/>
        <v>0</v>
      </c>
    </row>
    <row r="530" s="16" customFormat="1" customHeight="1" spans="1:9">
      <c r="A530" s="25">
        <v>525</v>
      </c>
      <c r="B530" s="31" t="s">
        <v>544</v>
      </c>
      <c r="C530" s="32"/>
      <c r="D530" s="33">
        <v>1</v>
      </c>
      <c r="E530" s="38">
        <f t="shared" si="83"/>
        <v>0</v>
      </c>
      <c r="F530" s="32"/>
      <c r="G530" s="29">
        <f t="shared" si="84"/>
        <v>0</v>
      </c>
      <c r="H530" s="33">
        <v>1</v>
      </c>
      <c r="I530" s="29">
        <f t="shared" si="85"/>
        <v>0</v>
      </c>
    </row>
    <row r="531" s="16" customFormat="1" customHeight="1" spans="1:9">
      <c r="A531" s="25">
        <v>526</v>
      </c>
      <c r="B531" s="31" t="s">
        <v>545</v>
      </c>
      <c r="C531" s="32"/>
      <c r="D531" s="33">
        <v>1</v>
      </c>
      <c r="E531" s="38">
        <f t="shared" si="83"/>
        <v>0</v>
      </c>
      <c r="F531" s="32"/>
      <c r="G531" s="29">
        <f t="shared" si="84"/>
        <v>0</v>
      </c>
      <c r="H531" s="33">
        <v>1.05</v>
      </c>
      <c r="I531" s="29">
        <f t="shared" si="85"/>
        <v>0</v>
      </c>
    </row>
    <row r="532" s="16" customFormat="1" customHeight="1" spans="1:9">
      <c r="A532" s="25">
        <v>527</v>
      </c>
      <c r="B532" s="31" t="s">
        <v>546</v>
      </c>
      <c r="C532" s="32"/>
      <c r="D532" s="33">
        <v>1</v>
      </c>
      <c r="E532" s="38">
        <f t="shared" si="83"/>
        <v>0</v>
      </c>
      <c r="F532" s="32"/>
      <c r="G532" s="29">
        <f t="shared" si="84"/>
        <v>0</v>
      </c>
      <c r="H532" s="33">
        <v>1.1</v>
      </c>
      <c r="I532" s="29">
        <f t="shared" si="85"/>
        <v>0</v>
      </c>
    </row>
    <row r="533" s="16" customFormat="1" customHeight="1" spans="1:9">
      <c r="A533" s="25">
        <v>528</v>
      </c>
      <c r="B533" s="31" t="s">
        <v>547</v>
      </c>
      <c r="C533" s="32"/>
      <c r="D533" s="33">
        <v>1</v>
      </c>
      <c r="E533" s="38">
        <f t="shared" si="83"/>
        <v>0</v>
      </c>
      <c r="F533" s="32"/>
      <c r="G533" s="29">
        <f t="shared" si="84"/>
        <v>0</v>
      </c>
      <c r="H533" s="33">
        <v>1.3</v>
      </c>
      <c r="I533" s="29">
        <f t="shared" si="85"/>
        <v>0</v>
      </c>
    </row>
    <row r="534" s="16" customFormat="1" customHeight="1" spans="1:9">
      <c r="A534" s="25">
        <v>529</v>
      </c>
      <c r="B534" s="31" t="s">
        <v>548</v>
      </c>
      <c r="C534" s="32"/>
      <c r="D534" s="33">
        <v>1</v>
      </c>
      <c r="E534" s="38">
        <f t="shared" si="83"/>
        <v>0</v>
      </c>
      <c r="F534" s="32"/>
      <c r="G534" s="29">
        <f t="shared" si="84"/>
        <v>0</v>
      </c>
      <c r="H534" s="33">
        <v>1.5</v>
      </c>
      <c r="I534" s="29">
        <f t="shared" si="85"/>
        <v>0</v>
      </c>
    </row>
    <row r="535" s="16" customFormat="1" customHeight="1" spans="1:9">
      <c r="A535" s="25">
        <v>530</v>
      </c>
      <c r="B535" s="31" t="s">
        <v>549</v>
      </c>
      <c r="C535" s="32"/>
      <c r="D535" s="33">
        <v>1</v>
      </c>
      <c r="E535" s="38">
        <f t="shared" si="83"/>
        <v>0</v>
      </c>
      <c r="F535" s="32"/>
      <c r="G535" s="29">
        <f t="shared" si="84"/>
        <v>0</v>
      </c>
      <c r="H535" s="33">
        <v>2.5</v>
      </c>
      <c r="I535" s="29">
        <f t="shared" si="85"/>
        <v>0</v>
      </c>
    </row>
    <row r="536" s="16" customFormat="1" customHeight="1" spans="1:9">
      <c r="A536" s="25">
        <v>531</v>
      </c>
      <c r="B536" s="31" t="s">
        <v>550</v>
      </c>
      <c r="C536" s="32"/>
      <c r="D536" s="33">
        <v>1</v>
      </c>
      <c r="E536" s="38">
        <f t="shared" si="83"/>
        <v>0</v>
      </c>
      <c r="F536" s="32"/>
      <c r="G536" s="29">
        <f t="shared" si="84"/>
        <v>0</v>
      </c>
      <c r="H536" s="33">
        <v>4</v>
      </c>
      <c r="I536" s="29">
        <f t="shared" si="85"/>
        <v>0</v>
      </c>
    </row>
    <row r="537" s="16" customFormat="1" customHeight="1" spans="1:9">
      <c r="A537" s="25">
        <v>532</v>
      </c>
      <c r="B537" s="31" t="s">
        <v>551</v>
      </c>
      <c r="C537" s="32"/>
      <c r="D537" s="33">
        <v>1</v>
      </c>
      <c r="E537" s="38">
        <f t="shared" si="83"/>
        <v>0</v>
      </c>
      <c r="F537" s="32"/>
      <c r="G537" s="29">
        <f t="shared" si="84"/>
        <v>0</v>
      </c>
      <c r="H537" s="33">
        <v>12.5</v>
      </c>
      <c r="I537" s="29">
        <f t="shared" si="85"/>
        <v>0</v>
      </c>
    </row>
    <row r="538" s="17" customFormat="1" customHeight="1" spans="1:9">
      <c r="A538" s="25">
        <v>533</v>
      </c>
      <c r="B538" s="31" t="s">
        <v>552</v>
      </c>
      <c r="C538" s="32"/>
      <c r="D538" s="33">
        <v>1</v>
      </c>
      <c r="E538" s="38">
        <f t="shared" si="83"/>
        <v>0</v>
      </c>
      <c r="F538" s="32"/>
      <c r="G538" s="29">
        <f t="shared" si="84"/>
        <v>0</v>
      </c>
      <c r="H538" s="30"/>
      <c r="I538" s="32"/>
    </row>
    <row r="539" customHeight="1" spans="1:9">
      <c r="A539" s="25">
        <v>534</v>
      </c>
      <c r="B539" s="34" t="s">
        <v>553</v>
      </c>
      <c r="C539" s="29">
        <f>C540+C562</f>
        <v>0</v>
      </c>
      <c r="D539" s="30"/>
      <c r="E539" s="29">
        <f>E540+E562</f>
        <v>0</v>
      </c>
      <c r="F539" s="29">
        <f>F540+F562</f>
        <v>0</v>
      </c>
      <c r="G539" s="29">
        <f>G540+G562</f>
        <v>0</v>
      </c>
      <c r="H539" s="30"/>
      <c r="I539" s="29">
        <f>I540+I562</f>
        <v>0</v>
      </c>
    </row>
    <row r="540" s="18" customFormat="1" customHeight="1" spans="1:9">
      <c r="A540" s="25">
        <v>535</v>
      </c>
      <c r="B540" s="28" t="s">
        <v>554</v>
      </c>
      <c r="C540" s="29">
        <f>SUM(C541:C561)</f>
        <v>0</v>
      </c>
      <c r="D540" s="30"/>
      <c r="E540" s="29">
        <f>SUM(E541:E561)</f>
        <v>0</v>
      </c>
      <c r="F540" s="29">
        <f>SUM(F541:F561)</f>
        <v>0</v>
      </c>
      <c r="G540" s="29">
        <f>SUM(G541:G561)</f>
        <v>0</v>
      </c>
      <c r="H540" s="30"/>
      <c r="I540" s="29">
        <f>SUM(I541:I561)</f>
        <v>0</v>
      </c>
    </row>
    <row r="541" s="18" customFormat="1" customHeight="1" spans="1:9">
      <c r="A541" s="25">
        <v>536</v>
      </c>
      <c r="B541" s="31" t="s">
        <v>555</v>
      </c>
      <c r="C541" s="32"/>
      <c r="D541" s="33">
        <v>1</v>
      </c>
      <c r="E541" s="29">
        <f>C541*D541</f>
        <v>0</v>
      </c>
      <c r="F541" s="32"/>
      <c r="G541" s="29">
        <f>E541-F541</f>
        <v>0</v>
      </c>
      <c r="H541" s="33">
        <v>0</v>
      </c>
      <c r="I541" s="29">
        <f>G541*H541</f>
        <v>0</v>
      </c>
    </row>
    <row r="542" s="18" customFormat="1" customHeight="1" spans="1:9">
      <c r="A542" s="25">
        <v>537</v>
      </c>
      <c r="B542" s="31" t="s">
        <v>556</v>
      </c>
      <c r="C542" s="32"/>
      <c r="D542" s="33">
        <v>1</v>
      </c>
      <c r="E542" s="29">
        <f t="shared" ref="E542:E556" si="86">C542*D542</f>
        <v>0</v>
      </c>
      <c r="F542" s="32"/>
      <c r="G542" s="29">
        <f t="shared" ref="G542:G556" si="87">E542-F542</f>
        <v>0</v>
      </c>
      <c r="H542" s="33">
        <v>0.1</v>
      </c>
      <c r="I542" s="29">
        <f t="shared" ref="I542:I560" si="88">G542*H542</f>
        <v>0</v>
      </c>
    </row>
    <row r="543" s="18" customFormat="1" customHeight="1" spans="1:9">
      <c r="A543" s="25">
        <v>538</v>
      </c>
      <c r="B543" s="31" t="s">
        <v>557</v>
      </c>
      <c r="C543" s="32"/>
      <c r="D543" s="33">
        <v>1</v>
      </c>
      <c r="E543" s="29">
        <f t="shared" si="86"/>
        <v>0</v>
      </c>
      <c r="F543" s="32"/>
      <c r="G543" s="29">
        <f t="shared" si="87"/>
        <v>0</v>
      </c>
      <c r="H543" s="33">
        <v>0.15</v>
      </c>
      <c r="I543" s="29">
        <f t="shared" si="88"/>
        <v>0</v>
      </c>
    </row>
    <row r="544" s="18" customFormat="1" customHeight="1" spans="1:9">
      <c r="A544" s="25">
        <v>539</v>
      </c>
      <c r="B544" s="31" t="s">
        <v>558</v>
      </c>
      <c r="C544" s="32"/>
      <c r="D544" s="33">
        <v>1</v>
      </c>
      <c r="E544" s="29">
        <f t="shared" si="86"/>
        <v>0</v>
      </c>
      <c r="F544" s="32"/>
      <c r="G544" s="29">
        <f t="shared" si="87"/>
        <v>0</v>
      </c>
      <c r="H544" s="33">
        <v>0.2</v>
      </c>
      <c r="I544" s="29">
        <f t="shared" si="88"/>
        <v>0</v>
      </c>
    </row>
    <row r="545" s="18" customFormat="1" customHeight="1" spans="1:9">
      <c r="A545" s="25">
        <v>540</v>
      </c>
      <c r="B545" s="31" t="s">
        <v>559</v>
      </c>
      <c r="C545" s="32"/>
      <c r="D545" s="33">
        <v>1</v>
      </c>
      <c r="E545" s="29">
        <f t="shared" si="86"/>
        <v>0</v>
      </c>
      <c r="F545" s="32"/>
      <c r="G545" s="29">
        <f t="shared" si="87"/>
        <v>0</v>
      </c>
      <c r="H545" s="33">
        <v>0.25</v>
      </c>
      <c r="I545" s="29">
        <f t="shared" si="88"/>
        <v>0</v>
      </c>
    </row>
    <row r="546" s="18" customFormat="1" customHeight="1" spans="1:9">
      <c r="A546" s="25">
        <v>541</v>
      </c>
      <c r="B546" s="31" t="s">
        <v>560</v>
      </c>
      <c r="C546" s="32"/>
      <c r="D546" s="33">
        <v>1</v>
      </c>
      <c r="E546" s="29">
        <f t="shared" si="86"/>
        <v>0</v>
      </c>
      <c r="F546" s="32"/>
      <c r="G546" s="29">
        <f t="shared" si="87"/>
        <v>0</v>
      </c>
      <c r="H546" s="33">
        <v>0.3</v>
      </c>
      <c r="I546" s="29">
        <f t="shared" si="88"/>
        <v>0</v>
      </c>
    </row>
    <row r="547" s="18" customFormat="1" customHeight="1" spans="1:9">
      <c r="A547" s="25">
        <v>542</v>
      </c>
      <c r="B547" s="31" t="s">
        <v>561</v>
      </c>
      <c r="C547" s="32"/>
      <c r="D547" s="33">
        <v>1</v>
      </c>
      <c r="E547" s="29">
        <f t="shared" si="86"/>
        <v>0</v>
      </c>
      <c r="F547" s="32"/>
      <c r="G547" s="29">
        <f t="shared" si="87"/>
        <v>0</v>
      </c>
      <c r="H547" s="33">
        <v>0.35</v>
      </c>
      <c r="I547" s="29">
        <f t="shared" si="88"/>
        <v>0</v>
      </c>
    </row>
    <row r="548" s="18" customFormat="1" customHeight="1" spans="1:9">
      <c r="A548" s="25">
        <v>543</v>
      </c>
      <c r="B548" s="31" t="s">
        <v>562</v>
      </c>
      <c r="C548" s="32"/>
      <c r="D548" s="33">
        <v>1</v>
      </c>
      <c r="E548" s="29">
        <f t="shared" si="86"/>
        <v>0</v>
      </c>
      <c r="F548" s="32"/>
      <c r="G548" s="29">
        <f t="shared" si="87"/>
        <v>0</v>
      </c>
      <c r="H548" s="33">
        <v>0.4</v>
      </c>
      <c r="I548" s="29">
        <f t="shared" si="88"/>
        <v>0</v>
      </c>
    </row>
    <row r="549" s="18" customFormat="1" customHeight="1" spans="1:9">
      <c r="A549" s="25">
        <v>544</v>
      </c>
      <c r="B549" s="31" t="s">
        <v>563</v>
      </c>
      <c r="C549" s="32"/>
      <c r="D549" s="33">
        <v>1</v>
      </c>
      <c r="E549" s="29">
        <f t="shared" si="86"/>
        <v>0</v>
      </c>
      <c r="F549" s="32"/>
      <c r="G549" s="29">
        <f t="shared" si="87"/>
        <v>0</v>
      </c>
      <c r="H549" s="33">
        <v>0.45</v>
      </c>
      <c r="I549" s="29">
        <f t="shared" si="88"/>
        <v>0</v>
      </c>
    </row>
    <row r="550" s="18" customFormat="1" customHeight="1" spans="1:9">
      <c r="A550" s="25">
        <v>545</v>
      </c>
      <c r="B550" s="31" t="s">
        <v>564</v>
      </c>
      <c r="C550" s="32"/>
      <c r="D550" s="33">
        <v>1</v>
      </c>
      <c r="E550" s="29">
        <f t="shared" si="86"/>
        <v>0</v>
      </c>
      <c r="F550" s="32"/>
      <c r="G550" s="29">
        <f t="shared" si="87"/>
        <v>0</v>
      </c>
      <c r="H550" s="33">
        <v>0.5</v>
      </c>
      <c r="I550" s="29">
        <f t="shared" si="88"/>
        <v>0</v>
      </c>
    </row>
    <row r="551" s="18" customFormat="1" customHeight="1" spans="1:9">
      <c r="A551" s="25">
        <v>546</v>
      </c>
      <c r="B551" s="31" t="s">
        <v>565</v>
      </c>
      <c r="C551" s="32"/>
      <c r="D551" s="33">
        <v>1</v>
      </c>
      <c r="E551" s="29">
        <f t="shared" si="86"/>
        <v>0</v>
      </c>
      <c r="F551" s="32"/>
      <c r="G551" s="29">
        <f t="shared" si="87"/>
        <v>0</v>
      </c>
      <c r="H551" s="33">
        <v>0.6</v>
      </c>
      <c r="I551" s="29">
        <f t="shared" si="88"/>
        <v>0</v>
      </c>
    </row>
    <row r="552" s="18" customFormat="1" customHeight="1" spans="1:9">
      <c r="A552" s="25">
        <v>547</v>
      </c>
      <c r="B552" s="31" t="s">
        <v>566</v>
      </c>
      <c r="C552" s="32"/>
      <c r="D552" s="33">
        <v>1</v>
      </c>
      <c r="E552" s="29">
        <f t="shared" si="86"/>
        <v>0</v>
      </c>
      <c r="F552" s="32"/>
      <c r="G552" s="29">
        <f t="shared" si="87"/>
        <v>0</v>
      </c>
      <c r="H552" s="33">
        <v>0.65</v>
      </c>
      <c r="I552" s="29">
        <f t="shared" si="88"/>
        <v>0</v>
      </c>
    </row>
    <row r="553" s="18" customFormat="1" customHeight="1" spans="1:9">
      <c r="A553" s="25">
        <v>548</v>
      </c>
      <c r="B553" s="31" t="s">
        <v>567</v>
      </c>
      <c r="C553" s="32"/>
      <c r="D553" s="33">
        <v>1</v>
      </c>
      <c r="E553" s="29">
        <f t="shared" si="86"/>
        <v>0</v>
      </c>
      <c r="F553" s="32"/>
      <c r="G553" s="29">
        <f t="shared" si="87"/>
        <v>0</v>
      </c>
      <c r="H553" s="33">
        <v>0.75</v>
      </c>
      <c r="I553" s="29">
        <f t="shared" si="88"/>
        <v>0</v>
      </c>
    </row>
    <row r="554" s="18" customFormat="1" customHeight="1" spans="1:9">
      <c r="A554" s="25">
        <v>549</v>
      </c>
      <c r="B554" s="31" t="s">
        <v>568</v>
      </c>
      <c r="C554" s="32"/>
      <c r="D554" s="33">
        <v>1</v>
      </c>
      <c r="E554" s="29">
        <f t="shared" si="86"/>
        <v>0</v>
      </c>
      <c r="F554" s="32"/>
      <c r="G554" s="29">
        <f t="shared" si="87"/>
        <v>0</v>
      </c>
      <c r="H554" s="33">
        <v>0.85</v>
      </c>
      <c r="I554" s="29">
        <f t="shared" si="88"/>
        <v>0</v>
      </c>
    </row>
    <row r="555" s="18" customFormat="1" customHeight="1" spans="1:9">
      <c r="A555" s="25">
        <v>550</v>
      </c>
      <c r="B555" s="31" t="s">
        <v>569</v>
      </c>
      <c r="C555" s="32"/>
      <c r="D555" s="33">
        <v>1</v>
      </c>
      <c r="E555" s="29">
        <f t="shared" si="86"/>
        <v>0</v>
      </c>
      <c r="F555" s="32"/>
      <c r="G555" s="29">
        <f t="shared" si="87"/>
        <v>0</v>
      </c>
      <c r="H555" s="33">
        <v>0.9</v>
      </c>
      <c r="I555" s="29">
        <f t="shared" si="88"/>
        <v>0</v>
      </c>
    </row>
    <row r="556" s="18" customFormat="1" customHeight="1" spans="1:9">
      <c r="A556" s="25">
        <v>551</v>
      </c>
      <c r="B556" s="31" t="s">
        <v>570</v>
      </c>
      <c r="C556" s="32"/>
      <c r="D556" s="33">
        <v>1</v>
      </c>
      <c r="E556" s="29">
        <f t="shared" si="86"/>
        <v>0</v>
      </c>
      <c r="F556" s="32"/>
      <c r="G556" s="29">
        <f t="shared" si="87"/>
        <v>0</v>
      </c>
      <c r="H556" s="33">
        <v>1</v>
      </c>
      <c r="I556" s="29">
        <f t="shared" si="88"/>
        <v>0</v>
      </c>
    </row>
    <row r="557" s="18" customFormat="1" customHeight="1" spans="1:9">
      <c r="A557" s="25">
        <v>552</v>
      </c>
      <c r="B557" s="31" t="s">
        <v>571</v>
      </c>
      <c r="C557" s="32"/>
      <c r="D557" s="33">
        <v>1</v>
      </c>
      <c r="E557" s="29">
        <f t="shared" ref="E557:E561" si="89">C557*D557</f>
        <v>0</v>
      </c>
      <c r="F557" s="32"/>
      <c r="G557" s="29">
        <f t="shared" ref="G557:G561" si="90">E557-F557</f>
        <v>0</v>
      </c>
      <c r="H557" s="33">
        <v>1.05</v>
      </c>
      <c r="I557" s="29">
        <f t="shared" si="88"/>
        <v>0</v>
      </c>
    </row>
    <row r="558" s="18" customFormat="1" customHeight="1" spans="1:9">
      <c r="A558" s="25">
        <v>553</v>
      </c>
      <c r="B558" s="31" t="s">
        <v>572</v>
      </c>
      <c r="C558" s="32"/>
      <c r="D558" s="33">
        <v>1</v>
      </c>
      <c r="E558" s="29">
        <f t="shared" si="89"/>
        <v>0</v>
      </c>
      <c r="F558" s="32"/>
      <c r="G558" s="29">
        <f t="shared" si="90"/>
        <v>0</v>
      </c>
      <c r="H558" s="33">
        <v>1.1</v>
      </c>
      <c r="I558" s="29">
        <f t="shared" si="88"/>
        <v>0</v>
      </c>
    </row>
    <row r="559" s="18" customFormat="1" customHeight="1" spans="1:9">
      <c r="A559" s="25">
        <v>554</v>
      </c>
      <c r="B559" s="31" t="s">
        <v>573</v>
      </c>
      <c r="C559" s="32"/>
      <c r="D559" s="33">
        <v>1</v>
      </c>
      <c r="E559" s="29">
        <f t="shared" si="89"/>
        <v>0</v>
      </c>
      <c r="F559" s="32"/>
      <c r="G559" s="29">
        <f t="shared" si="90"/>
        <v>0</v>
      </c>
      <c r="H559" s="33">
        <v>1.3</v>
      </c>
      <c r="I559" s="29">
        <f t="shared" si="88"/>
        <v>0</v>
      </c>
    </row>
    <row r="560" s="18" customFormat="1" customHeight="1" spans="1:9">
      <c r="A560" s="25">
        <v>555</v>
      </c>
      <c r="B560" s="31" t="s">
        <v>574</v>
      </c>
      <c r="C560" s="32"/>
      <c r="D560" s="33">
        <v>1</v>
      </c>
      <c r="E560" s="29">
        <f t="shared" si="89"/>
        <v>0</v>
      </c>
      <c r="F560" s="32"/>
      <c r="G560" s="29">
        <f t="shared" si="90"/>
        <v>0</v>
      </c>
      <c r="H560" s="33">
        <v>1.5</v>
      </c>
      <c r="I560" s="29">
        <f t="shared" si="88"/>
        <v>0</v>
      </c>
    </row>
    <row r="561" s="18" customFormat="1" customHeight="1" spans="1:9">
      <c r="A561" s="25">
        <v>556</v>
      </c>
      <c r="B561" s="31" t="s">
        <v>575</v>
      </c>
      <c r="C561" s="32"/>
      <c r="D561" s="33">
        <v>1</v>
      </c>
      <c r="E561" s="29">
        <f t="shared" si="89"/>
        <v>0</v>
      </c>
      <c r="F561" s="32"/>
      <c r="G561" s="29">
        <f t="shared" si="90"/>
        <v>0</v>
      </c>
      <c r="H561" s="30"/>
      <c r="I561" s="32"/>
    </row>
    <row r="562" s="18" customFormat="1" customHeight="1" spans="1:9">
      <c r="A562" s="25">
        <v>557</v>
      </c>
      <c r="B562" s="34" t="s">
        <v>576</v>
      </c>
      <c r="C562" s="29">
        <f>SUM(C563:C583)</f>
        <v>0</v>
      </c>
      <c r="D562" s="30"/>
      <c r="E562" s="29">
        <f>SUM(E563:E583)</f>
        <v>0</v>
      </c>
      <c r="F562" s="29">
        <f>SUM(F563:F583)</f>
        <v>0</v>
      </c>
      <c r="G562" s="29">
        <f>SUM(G563:G583)</f>
        <v>0</v>
      </c>
      <c r="H562" s="30"/>
      <c r="I562" s="29">
        <f>SUM(I563:I583)</f>
        <v>0</v>
      </c>
    </row>
    <row r="563" s="16" customFormat="1" customHeight="1" spans="1:9">
      <c r="A563" s="25">
        <v>558</v>
      </c>
      <c r="B563" s="31" t="s">
        <v>577</v>
      </c>
      <c r="C563" s="32"/>
      <c r="D563" s="33">
        <v>1</v>
      </c>
      <c r="E563" s="38">
        <f t="shared" ref="E563:E583" si="91">C563*D563</f>
        <v>0</v>
      </c>
      <c r="F563" s="32"/>
      <c r="G563" s="29">
        <f t="shared" ref="G563:G583" si="92">E563-F563</f>
        <v>0</v>
      </c>
      <c r="H563" s="33">
        <v>0</v>
      </c>
      <c r="I563" s="29">
        <f t="shared" ref="I563:I582" si="93">G563*H563</f>
        <v>0</v>
      </c>
    </row>
    <row r="564" s="16" customFormat="1" customHeight="1" spans="1:9">
      <c r="A564" s="25">
        <v>559</v>
      </c>
      <c r="B564" s="31" t="s">
        <v>578</v>
      </c>
      <c r="C564" s="32"/>
      <c r="D564" s="33">
        <v>1</v>
      </c>
      <c r="E564" s="38">
        <f t="shared" si="91"/>
        <v>0</v>
      </c>
      <c r="F564" s="32"/>
      <c r="G564" s="29">
        <f t="shared" si="92"/>
        <v>0</v>
      </c>
      <c r="H564" s="33">
        <v>0.1</v>
      </c>
      <c r="I564" s="29">
        <f t="shared" si="93"/>
        <v>0</v>
      </c>
    </row>
    <row r="565" s="16" customFormat="1" customHeight="1" spans="1:9">
      <c r="A565" s="25">
        <v>560</v>
      </c>
      <c r="B565" s="31" t="s">
        <v>579</v>
      </c>
      <c r="C565" s="32"/>
      <c r="D565" s="33">
        <v>1</v>
      </c>
      <c r="E565" s="38">
        <f t="shared" si="91"/>
        <v>0</v>
      </c>
      <c r="F565" s="32"/>
      <c r="G565" s="29">
        <f t="shared" si="92"/>
        <v>0</v>
      </c>
      <c r="H565" s="33">
        <v>0.15</v>
      </c>
      <c r="I565" s="29">
        <f t="shared" si="93"/>
        <v>0</v>
      </c>
    </row>
    <row r="566" s="16" customFormat="1" customHeight="1" spans="1:9">
      <c r="A566" s="25">
        <v>561</v>
      </c>
      <c r="B566" s="31" t="s">
        <v>580</v>
      </c>
      <c r="C566" s="32"/>
      <c r="D566" s="33">
        <v>1</v>
      </c>
      <c r="E566" s="38">
        <f t="shared" si="91"/>
        <v>0</v>
      </c>
      <c r="F566" s="32"/>
      <c r="G566" s="29">
        <f t="shared" si="92"/>
        <v>0</v>
      </c>
      <c r="H566" s="33">
        <v>0.2</v>
      </c>
      <c r="I566" s="29">
        <f t="shared" si="93"/>
        <v>0</v>
      </c>
    </row>
    <row r="567" s="16" customFormat="1" customHeight="1" spans="1:9">
      <c r="A567" s="25">
        <v>562</v>
      </c>
      <c r="B567" s="31" t="s">
        <v>581</v>
      </c>
      <c r="C567" s="32"/>
      <c r="D567" s="33">
        <v>1</v>
      </c>
      <c r="E567" s="38">
        <f t="shared" si="91"/>
        <v>0</v>
      </c>
      <c r="F567" s="32"/>
      <c r="G567" s="29">
        <f t="shared" si="92"/>
        <v>0</v>
      </c>
      <c r="H567" s="33">
        <v>0.25</v>
      </c>
      <c r="I567" s="29">
        <f t="shared" si="93"/>
        <v>0</v>
      </c>
    </row>
    <row r="568" s="16" customFormat="1" customHeight="1" spans="1:9">
      <c r="A568" s="25">
        <v>563</v>
      </c>
      <c r="B568" s="31" t="s">
        <v>582</v>
      </c>
      <c r="C568" s="32"/>
      <c r="D568" s="33">
        <v>1</v>
      </c>
      <c r="E568" s="38">
        <f t="shared" si="91"/>
        <v>0</v>
      </c>
      <c r="F568" s="32"/>
      <c r="G568" s="29">
        <f t="shared" si="92"/>
        <v>0</v>
      </c>
      <c r="H568" s="33">
        <v>0.3</v>
      </c>
      <c r="I568" s="29">
        <f t="shared" si="93"/>
        <v>0</v>
      </c>
    </row>
    <row r="569" s="16" customFormat="1" customHeight="1" spans="1:9">
      <c r="A569" s="25">
        <v>564</v>
      </c>
      <c r="B569" s="31" t="s">
        <v>583</v>
      </c>
      <c r="C569" s="32"/>
      <c r="D569" s="33">
        <v>1</v>
      </c>
      <c r="E569" s="38">
        <f t="shared" si="91"/>
        <v>0</v>
      </c>
      <c r="F569" s="32"/>
      <c r="G569" s="29">
        <f t="shared" si="92"/>
        <v>0</v>
      </c>
      <c r="H569" s="33">
        <v>0.35</v>
      </c>
      <c r="I569" s="29">
        <f t="shared" si="93"/>
        <v>0</v>
      </c>
    </row>
    <row r="570" s="16" customFormat="1" customHeight="1" spans="1:9">
      <c r="A570" s="25">
        <v>565</v>
      </c>
      <c r="B570" s="31" t="s">
        <v>584</v>
      </c>
      <c r="C570" s="32"/>
      <c r="D570" s="33">
        <v>1</v>
      </c>
      <c r="E570" s="38">
        <f t="shared" si="91"/>
        <v>0</v>
      </c>
      <c r="F570" s="32"/>
      <c r="G570" s="29">
        <f t="shared" si="92"/>
        <v>0</v>
      </c>
      <c r="H570" s="33">
        <v>0.4</v>
      </c>
      <c r="I570" s="29">
        <f t="shared" si="93"/>
        <v>0</v>
      </c>
    </row>
    <row r="571" s="16" customFormat="1" customHeight="1" spans="1:9">
      <c r="A571" s="25">
        <v>566</v>
      </c>
      <c r="B571" s="31" t="s">
        <v>585</v>
      </c>
      <c r="C571" s="32"/>
      <c r="D571" s="33">
        <v>1</v>
      </c>
      <c r="E571" s="38">
        <f t="shared" si="91"/>
        <v>0</v>
      </c>
      <c r="F571" s="32"/>
      <c r="G571" s="29">
        <f t="shared" si="92"/>
        <v>0</v>
      </c>
      <c r="H571" s="33">
        <v>0.45</v>
      </c>
      <c r="I571" s="29">
        <f t="shared" si="93"/>
        <v>0</v>
      </c>
    </row>
    <row r="572" s="16" customFormat="1" customHeight="1" spans="1:9">
      <c r="A572" s="25">
        <v>567</v>
      </c>
      <c r="B572" s="31" t="s">
        <v>586</v>
      </c>
      <c r="C572" s="32"/>
      <c r="D572" s="33">
        <v>1</v>
      </c>
      <c r="E572" s="38">
        <f t="shared" si="91"/>
        <v>0</v>
      </c>
      <c r="F572" s="32"/>
      <c r="G572" s="29">
        <f t="shared" si="92"/>
        <v>0</v>
      </c>
      <c r="H572" s="33">
        <v>0.5</v>
      </c>
      <c r="I572" s="29">
        <f t="shared" si="93"/>
        <v>0</v>
      </c>
    </row>
    <row r="573" s="16" customFormat="1" customHeight="1" spans="1:9">
      <c r="A573" s="25">
        <v>568</v>
      </c>
      <c r="B573" s="31" t="s">
        <v>587</v>
      </c>
      <c r="C573" s="32"/>
      <c r="D573" s="33">
        <v>1</v>
      </c>
      <c r="E573" s="38">
        <f t="shared" si="91"/>
        <v>0</v>
      </c>
      <c r="F573" s="32"/>
      <c r="G573" s="29">
        <f t="shared" si="92"/>
        <v>0</v>
      </c>
      <c r="H573" s="33">
        <v>0.6</v>
      </c>
      <c r="I573" s="29">
        <f t="shared" si="93"/>
        <v>0</v>
      </c>
    </row>
    <row r="574" s="16" customFormat="1" customHeight="1" spans="1:9">
      <c r="A574" s="25">
        <v>569</v>
      </c>
      <c r="B574" s="31" t="s">
        <v>588</v>
      </c>
      <c r="C574" s="32"/>
      <c r="D574" s="33">
        <v>1</v>
      </c>
      <c r="E574" s="38">
        <f t="shared" si="91"/>
        <v>0</v>
      </c>
      <c r="F574" s="32"/>
      <c r="G574" s="29">
        <f t="shared" si="92"/>
        <v>0</v>
      </c>
      <c r="H574" s="33">
        <v>0.65</v>
      </c>
      <c r="I574" s="29">
        <f t="shared" si="93"/>
        <v>0</v>
      </c>
    </row>
    <row r="575" s="16" customFormat="1" customHeight="1" spans="1:9">
      <c r="A575" s="25">
        <v>570</v>
      </c>
      <c r="B575" s="31" t="s">
        <v>589</v>
      </c>
      <c r="C575" s="32"/>
      <c r="D575" s="33">
        <v>1</v>
      </c>
      <c r="E575" s="38">
        <f t="shared" si="91"/>
        <v>0</v>
      </c>
      <c r="F575" s="32"/>
      <c r="G575" s="29">
        <f t="shared" si="92"/>
        <v>0</v>
      </c>
      <c r="H575" s="33">
        <v>0.75</v>
      </c>
      <c r="I575" s="29">
        <f t="shared" si="93"/>
        <v>0</v>
      </c>
    </row>
    <row r="576" s="16" customFormat="1" customHeight="1" spans="1:9">
      <c r="A576" s="25">
        <v>571</v>
      </c>
      <c r="B576" s="31" t="s">
        <v>590</v>
      </c>
      <c r="C576" s="32"/>
      <c r="D576" s="33">
        <v>1</v>
      </c>
      <c r="E576" s="38">
        <f t="shared" si="91"/>
        <v>0</v>
      </c>
      <c r="F576" s="32"/>
      <c r="G576" s="29">
        <f t="shared" si="92"/>
        <v>0</v>
      </c>
      <c r="H576" s="33">
        <v>0.85</v>
      </c>
      <c r="I576" s="29">
        <f t="shared" si="93"/>
        <v>0</v>
      </c>
    </row>
    <row r="577" s="16" customFormat="1" customHeight="1" spans="1:9">
      <c r="A577" s="25">
        <v>572</v>
      </c>
      <c r="B577" s="31" t="s">
        <v>591</v>
      </c>
      <c r="C577" s="32"/>
      <c r="D577" s="33">
        <v>1</v>
      </c>
      <c r="E577" s="38">
        <f t="shared" si="91"/>
        <v>0</v>
      </c>
      <c r="F577" s="32"/>
      <c r="G577" s="29">
        <f t="shared" si="92"/>
        <v>0</v>
      </c>
      <c r="H577" s="33">
        <v>0.9</v>
      </c>
      <c r="I577" s="29">
        <f t="shared" si="93"/>
        <v>0</v>
      </c>
    </row>
    <row r="578" s="16" customFormat="1" customHeight="1" spans="1:9">
      <c r="A578" s="25">
        <v>573</v>
      </c>
      <c r="B578" s="31" t="s">
        <v>592</v>
      </c>
      <c r="C578" s="32"/>
      <c r="D578" s="33">
        <v>1</v>
      </c>
      <c r="E578" s="38">
        <f t="shared" si="91"/>
        <v>0</v>
      </c>
      <c r="F578" s="32"/>
      <c r="G578" s="29">
        <f t="shared" si="92"/>
        <v>0</v>
      </c>
      <c r="H578" s="33">
        <v>1</v>
      </c>
      <c r="I578" s="29">
        <f t="shared" si="93"/>
        <v>0</v>
      </c>
    </row>
    <row r="579" s="16" customFormat="1" customHeight="1" spans="1:9">
      <c r="A579" s="25">
        <v>574</v>
      </c>
      <c r="B579" s="31" t="s">
        <v>593</v>
      </c>
      <c r="C579" s="32"/>
      <c r="D579" s="33">
        <v>1</v>
      </c>
      <c r="E579" s="38">
        <f t="shared" si="91"/>
        <v>0</v>
      </c>
      <c r="F579" s="32"/>
      <c r="G579" s="29">
        <f t="shared" si="92"/>
        <v>0</v>
      </c>
      <c r="H579" s="33">
        <v>1.05</v>
      </c>
      <c r="I579" s="29">
        <f t="shared" si="93"/>
        <v>0</v>
      </c>
    </row>
    <row r="580" s="16" customFormat="1" customHeight="1" spans="1:9">
      <c r="A580" s="25">
        <v>575</v>
      </c>
      <c r="B580" s="31" t="s">
        <v>594</v>
      </c>
      <c r="C580" s="32"/>
      <c r="D580" s="33">
        <v>1</v>
      </c>
      <c r="E580" s="38">
        <f t="shared" si="91"/>
        <v>0</v>
      </c>
      <c r="F580" s="32"/>
      <c r="G580" s="29">
        <f t="shared" si="92"/>
        <v>0</v>
      </c>
      <c r="H580" s="33">
        <v>1.1</v>
      </c>
      <c r="I580" s="29">
        <f t="shared" si="93"/>
        <v>0</v>
      </c>
    </row>
    <row r="581" s="16" customFormat="1" customHeight="1" spans="1:9">
      <c r="A581" s="25">
        <v>576</v>
      </c>
      <c r="B581" s="31" t="s">
        <v>595</v>
      </c>
      <c r="C581" s="32"/>
      <c r="D581" s="33">
        <v>1</v>
      </c>
      <c r="E581" s="38">
        <f t="shared" si="91"/>
        <v>0</v>
      </c>
      <c r="F581" s="32"/>
      <c r="G581" s="29">
        <f t="shared" si="92"/>
        <v>0</v>
      </c>
      <c r="H581" s="33">
        <v>1.3</v>
      </c>
      <c r="I581" s="29">
        <f t="shared" si="93"/>
        <v>0</v>
      </c>
    </row>
    <row r="582" s="16" customFormat="1" customHeight="1" spans="1:9">
      <c r="A582" s="25">
        <v>577</v>
      </c>
      <c r="B582" s="31" t="s">
        <v>596</v>
      </c>
      <c r="C582" s="32"/>
      <c r="D582" s="33">
        <v>1</v>
      </c>
      <c r="E582" s="38">
        <f t="shared" si="91"/>
        <v>0</v>
      </c>
      <c r="F582" s="32"/>
      <c r="G582" s="29">
        <f t="shared" si="92"/>
        <v>0</v>
      </c>
      <c r="H582" s="33">
        <v>1.5</v>
      </c>
      <c r="I582" s="29">
        <f t="shared" si="93"/>
        <v>0</v>
      </c>
    </row>
    <row r="583" s="16" customFormat="1" customHeight="1" spans="1:9">
      <c r="A583" s="25">
        <v>578</v>
      </c>
      <c r="B583" s="31" t="s">
        <v>597</v>
      </c>
      <c r="C583" s="32"/>
      <c r="D583" s="33">
        <v>1</v>
      </c>
      <c r="E583" s="38">
        <f t="shared" si="91"/>
        <v>0</v>
      </c>
      <c r="F583" s="32"/>
      <c r="G583" s="29">
        <f t="shared" si="92"/>
        <v>0</v>
      </c>
      <c r="H583" s="30"/>
      <c r="I583" s="32"/>
    </row>
    <row r="584" s="16" customFormat="1" customHeight="1" spans="1:9">
      <c r="A584" s="25">
        <v>579</v>
      </c>
      <c r="B584" s="31" t="s">
        <v>598</v>
      </c>
      <c r="C584" s="32"/>
      <c r="D584" s="30"/>
      <c r="E584" s="59"/>
      <c r="F584" s="60"/>
      <c r="G584" s="32"/>
      <c r="H584" s="30"/>
      <c r="I584" s="32"/>
    </row>
    <row r="585" s="16" customFormat="1" customHeight="1" spans="1:9">
      <c r="A585" s="25">
        <v>580</v>
      </c>
      <c r="B585" s="31" t="s">
        <v>599</v>
      </c>
      <c r="C585" s="32"/>
      <c r="D585" s="33">
        <v>1</v>
      </c>
      <c r="E585" s="38">
        <f>C585*D585</f>
        <v>0</v>
      </c>
      <c r="F585" s="32"/>
      <c r="G585" s="29">
        <f>E585-F585</f>
        <v>0</v>
      </c>
      <c r="H585" s="30"/>
      <c r="I585" s="32"/>
    </row>
    <row r="586" customHeight="1" spans="1:9">
      <c r="A586" s="25">
        <v>581</v>
      </c>
      <c r="B586" s="34" t="s">
        <v>600</v>
      </c>
      <c r="C586" s="29">
        <f>SUM(C6,C73,C118,C208,C365,C442,C467,C489,C514,C539,C584,C585)</f>
        <v>0</v>
      </c>
      <c r="D586" s="37"/>
      <c r="E586" s="29">
        <f>SUM(E6,E73,E118,E208,E365,E442,E467,E489,E514,E539,E584,E585)</f>
        <v>0</v>
      </c>
      <c r="F586" s="29">
        <f>SUM(F6,F73,F118,F208,F365,F442,F467,F489,F514,F539,F584,F585)</f>
        <v>0</v>
      </c>
      <c r="G586" s="29">
        <f>SUM(G6,G73,G118,G208,G365,G442,G467,G489,G514,G539,G584,G585)</f>
        <v>0</v>
      </c>
      <c r="H586" s="37"/>
      <c r="I586" s="29">
        <f>SUM(I6,I73,I118,I208,I365,I442,I467,I489,I514,I539,I584,I585)</f>
        <v>0</v>
      </c>
    </row>
    <row r="587" s="19" customFormat="1" customHeight="1" spans="1:9">
      <c r="A587" s="51" t="s">
        <v>601</v>
      </c>
      <c r="B587" s="51"/>
      <c r="C587" s="52" t="s">
        <v>602</v>
      </c>
      <c r="D587" s="53"/>
      <c r="E587" s="53"/>
      <c r="F587" s="53"/>
      <c r="G587" s="53"/>
      <c r="H587" s="52" t="s">
        <v>603</v>
      </c>
      <c r="I587" s="52"/>
    </row>
    <row r="588" customHeight="1" spans="1:3">
      <c r="A588" s="54"/>
      <c r="B588" s="55" t="s">
        <v>604</v>
      </c>
      <c r="C588" s="16"/>
    </row>
    <row r="589" customHeight="1" spans="1:3">
      <c r="A589" s="56"/>
      <c r="B589" s="55" t="s">
        <v>605</v>
      </c>
      <c r="C589" s="16"/>
    </row>
    <row r="590" customHeight="1" spans="1:2">
      <c r="A590" s="57" t="s">
        <v>606</v>
      </c>
      <c r="B590" s="58">
        <v>241</v>
      </c>
    </row>
  </sheetData>
  <sheetProtection sort="0" autoFilter="0" pivotTables="0"/>
  <protectedRanges>
    <protectedRange sqref="C227" name="区域8"/>
    <protectedRange sqref="F227 C584:C586 F563:G563 C539 C563:C571 I586 J184 F320:G320 E164:G164 I164 E186:G186 I186 E208:G208 I208 F209:G209 E210:G210 I210 F256:G256 E255:G255 I255 F278:G278 E277:G277 I277 E299:G299 I299 E321:G321 I321 E343:G343 I343 E366:G366 I366 E442:G442 I442 E467:G467 I467 E489:G489 I489 E514:G514 I514 E539:G539 I539 F584:G585 E586:G586 F257:F258 F279:F282 F468:G468 F133:F136 F131 I142 F177:F180 F175 F187:G207 E118:G120 I118:I120 F233:G233 F234:F238 G334 F379:F381 G379:G382 G405 F469:F472 G502 F564:F571 G27:G28 F27 C62:C71 F64:G72 F181:G185 C229:C238 F229:G231 G527:G538 C503:C511 F503:G513 F486:G488 F456:G466 C456:C472 F384:G390 F357:G365 F335:G342 F290:G298 F270:G276 F250:G254 C8:C27 F8:G26 F30:G50 C30:C50 G52:G63 F62:F63 F75:G95 C75:C94 F97:G117 C97:C131 F121:G130 G131:G136 F137:G163 C133:C175 F165:G174 G175:G180 C177:C210 F240:F249 G234:G249 C240:C258 F263:F269 G257:G269 C263:C282 F285:F289 G279:G289 C285:C318 F300:G318 C320:C333 F322:G333 C335:C355 F344:G355 C357:C381 F367:G378 F393:G404 F443:G454 F475:F485 G469:G485 C475:C501 F490:G501 C514:C526 F515:G526 C541:C561 F541:F561 G564:G583 G430 C406:C416 F406:G416 C431:C454 F431:G441 C384:C404 F418:G429 C418:C429 E391:G392 I391:I392 E232 G232 I232 F232" name="区域1"/>
  </protectedRanges>
  <mergeCells count="12">
    <mergeCell ref="A1:I1"/>
    <mergeCell ref="A2:B2"/>
    <mergeCell ref="F2:H2"/>
    <mergeCell ref="N2:O2"/>
    <mergeCell ref="C4:C5"/>
    <mergeCell ref="D4:D5"/>
    <mergeCell ref="E4:E5"/>
    <mergeCell ref="F4:F5"/>
    <mergeCell ref="G4:G5"/>
    <mergeCell ref="H4:H5"/>
    <mergeCell ref="I4:I5"/>
    <mergeCell ref="A3:B5"/>
  </mergeCells>
  <dataValidations count="1">
    <dataValidation type="decimal" operator="between" allowBlank="1" showInputMessage="1" showErrorMessage="1" sqref="D29:E29 G29 C48 F48 D51:E51 G51 C64 F64 E71:G71 C87 F87 C91 F91 C93 F93 C109 F109 C113 F113 C115 F115 C133 C137 F137 C139 F139 C177 C181 F181 C199 F199 C203 F203 D210 H210 C230 F230 E231:F231 G231 I231 E232 F232 G232 I232 D238 D239:E239 C268 F268 C289:E289 D290 C294 F294 I297 F319 D356:E356 C357:D357 C360 F360 C406 C409 E412:F412 E413:H413 D417 C431 C434 E437:F437 E438:H438 D455 C456:D456 D457 C459 E462:H462 E486 C21:C29 C51:C61 C69:C71 C121:C131 C141:C175 C210:C226 C240:C242 C248:C249 C261:C265 C271:C272 C278:C280 C285:C286 C320:C321 C334:C340 C384:C385 C416:C417 C468:C470 C475:C476 C481:C482 D121:D138 D140:D164 D320:D337 D358:D359 D486:D487 E141:E142 E164:E179 E240:E242 F17:F29 F51:F61 F69:F70 F121:F133 F141:F177 F239:F242 F248:F249 F261:F265 F271:F272 F278:F284 F334:F338 F356:F357 F383:F385 F405:F406 F409:F411 F430:F431 F434:F436 F455:F456 F459:F461 F468:F476 F481:F482 G121:G136 G141:G142 G164:G180 G233:G249 G278:G289 G300:G318 G468:G486 H17:H27 H39:H51 H61:H70 H84:H94 H106:H116 H130:H142 H152:H164 H174:H184 H196:H206 H220:H232 H242:H252 H265:H275 H287:H297 H309:H319 H331:H343 H353:H363 H376:H386 H402:H412 H427:H437 H452:H461 H477:H486 H499:H508 H524:H533 H550:H559 H572:H581 I50:I51 I117:I136 I141:I142 I163:I180 I210:I228 I275:I291 I339:I357 I441:I454 I466:I486 E317:F318 C317:D319 E339:G340 H71:I74 H28:I29 C6:I7 C298:I299 C95:I96 C185:I186 C207:I209 C390:I392 C253:I255 C364:I366 C72:G74 C231:D237 C117:H120 C441:H442 C276:H277 C466:H467 E320:I321 E416:I417 E210:G228 D278:E288 C300:F316 C341:G355 C443:G454 D468:E485 E233:F238">
      <formula1>-9999999999</formula1>
      <formula2>9999999999</formula2>
    </dataValidation>
  </dataValidation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J140"/>
  <sheetViews>
    <sheetView topLeftCell="C1" workbookViewId="0">
      <selection activeCell="F25" sqref="F25"/>
    </sheetView>
  </sheetViews>
  <sheetFormatPr defaultColWidth="9" defaultRowHeight="14" customHeight="1"/>
  <cols>
    <col min="1" max="1" width="57" customWidth="1"/>
    <col min="2" max="2" width="30.5" customWidth="1"/>
    <col min="4" max="4" width="35.8333333333333" customWidth="1"/>
    <col min="5" max="5" width="15.6666666666667" customWidth="1"/>
    <col min="8" max="8" width="22.6666666666667" customWidth="1"/>
  </cols>
  <sheetData>
    <row r="1" customHeight="1" spans="1:8">
      <c r="A1" s="1" t="s">
        <v>607</v>
      </c>
      <c r="B1" s="2" t="s">
        <v>608</v>
      </c>
      <c r="D1" s="1" t="s">
        <v>607</v>
      </c>
      <c r="E1" s="2" t="s">
        <v>609</v>
      </c>
      <c r="G1" s="8" t="s">
        <v>608</v>
      </c>
      <c r="H1" s="8" t="s">
        <v>610</v>
      </c>
    </row>
    <row r="2" customHeight="1" spans="1:10">
      <c r="A2" s="3" t="s">
        <v>611</v>
      </c>
      <c r="B2" s="4"/>
      <c r="D2" s="5" t="s">
        <v>20</v>
      </c>
      <c r="E2" s="6">
        <v>1</v>
      </c>
      <c r="G2" s="9">
        <v>0</v>
      </c>
      <c r="H2" s="10" t="s">
        <v>612</v>
      </c>
      <c r="I2" s="9">
        <v>0</v>
      </c>
      <c r="J2" s="12" t="s">
        <v>612</v>
      </c>
    </row>
    <row r="3" customHeight="1" spans="1:10">
      <c r="A3" s="5" t="s">
        <v>613</v>
      </c>
      <c r="B3" s="6">
        <v>0</v>
      </c>
      <c r="D3" s="5" t="s">
        <v>614</v>
      </c>
      <c r="E3" s="7"/>
      <c r="G3" s="9">
        <v>0.2</v>
      </c>
      <c r="H3" s="10" t="s">
        <v>615</v>
      </c>
      <c r="I3" s="9">
        <v>0.2</v>
      </c>
      <c r="J3" s="12" t="s">
        <v>615</v>
      </c>
    </row>
    <row r="4" customHeight="1" spans="1:10">
      <c r="A4" s="5" t="s">
        <v>616</v>
      </c>
      <c r="B4" s="6">
        <v>0</v>
      </c>
      <c r="D4" s="5" t="s">
        <v>617</v>
      </c>
      <c r="E4" s="6">
        <v>0.1</v>
      </c>
      <c r="G4" s="9">
        <v>0.3</v>
      </c>
      <c r="H4" s="11" t="s">
        <v>618</v>
      </c>
      <c r="I4" s="9">
        <v>0.3</v>
      </c>
      <c r="J4" s="13" t="s">
        <v>618</v>
      </c>
    </row>
    <row r="5" customHeight="1" spans="1:10">
      <c r="A5" s="5" t="s">
        <v>619</v>
      </c>
      <c r="B5" s="6">
        <v>0</v>
      </c>
      <c r="D5" s="5" t="s">
        <v>620</v>
      </c>
      <c r="E5" s="6">
        <v>0.4</v>
      </c>
      <c r="G5" s="9">
        <v>0.4</v>
      </c>
      <c r="H5" s="11" t="s">
        <v>621</v>
      </c>
      <c r="I5" s="9">
        <v>0.4</v>
      </c>
      <c r="J5" s="13" t="s">
        <v>621</v>
      </c>
    </row>
    <row r="6" customHeight="1" spans="1:10">
      <c r="A6" s="3" t="s">
        <v>622</v>
      </c>
      <c r="B6" s="7"/>
      <c r="D6" s="5" t="s">
        <v>623</v>
      </c>
      <c r="E6" s="7"/>
      <c r="G6" s="9">
        <v>0.45</v>
      </c>
      <c r="H6" s="11" t="s">
        <v>624</v>
      </c>
      <c r="I6" s="9">
        <v>0.45</v>
      </c>
      <c r="J6" s="13" t="s">
        <v>624</v>
      </c>
    </row>
    <row r="7" customHeight="1" spans="1:10">
      <c r="A7" s="5" t="s">
        <v>625</v>
      </c>
      <c r="B7" s="6">
        <v>0</v>
      </c>
      <c r="D7" s="5" t="s">
        <v>626</v>
      </c>
      <c r="E7" s="6">
        <v>0.4</v>
      </c>
      <c r="G7" s="9">
        <v>0.5</v>
      </c>
      <c r="H7" s="11" t="s">
        <v>627</v>
      </c>
      <c r="I7" s="9">
        <v>0.5</v>
      </c>
      <c r="J7" s="13" t="s">
        <v>627</v>
      </c>
    </row>
    <row r="8" customHeight="1" spans="1:10">
      <c r="A8" s="5" t="s">
        <v>628</v>
      </c>
      <c r="B8" s="6">
        <v>0</v>
      </c>
      <c r="D8" s="5" t="s">
        <v>629</v>
      </c>
      <c r="E8" s="6">
        <v>0.2</v>
      </c>
      <c r="G8" s="9">
        <v>0.75</v>
      </c>
      <c r="H8" s="11" t="s">
        <v>630</v>
      </c>
      <c r="I8" s="9">
        <v>0.6</v>
      </c>
      <c r="J8" s="13" t="s">
        <v>631</v>
      </c>
    </row>
    <row r="9" customHeight="1" spans="1:10">
      <c r="A9" s="5" t="s">
        <v>632</v>
      </c>
      <c r="B9" s="6">
        <v>0</v>
      </c>
      <c r="D9" s="5" t="s">
        <v>633</v>
      </c>
      <c r="E9" s="6">
        <v>0.5</v>
      </c>
      <c r="G9" s="9">
        <v>0.85</v>
      </c>
      <c r="H9" s="11" t="s">
        <v>634</v>
      </c>
      <c r="I9" s="9">
        <v>0.65</v>
      </c>
      <c r="J9" s="13" t="s">
        <v>635</v>
      </c>
    </row>
    <row r="10" customHeight="1" spans="1:10">
      <c r="A10" s="5" t="s">
        <v>636</v>
      </c>
      <c r="B10" s="6">
        <v>0.2</v>
      </c>
      <c r="D10" s="5" t="s">
        <v>637</v>
      </c>
      <c r="E10" s="6">
        <v>0.5</v>
      </c>
      <c r="G10" s="9">
        <v>1</v>
      </c>
      <c r="H10" s="11" t="s">
        <v>638</v>
      </c>
      <c r="I10" s="9">
        <v>0.75</v>
      </c>
      <c r="J10" s="13" t="s">
        <v>639</v>
      </c>
    </row>
    <row r="11" customHeight="1" spans="1:10">
      <c r="A11" s="5" t="s">
        <v>640</v>
      </c>
      <c r="B11" s="6">
        <v>0.5</v>
      </c>
      <c r="D11" s="5" t="s">
        <v>641</v>
      </c>
      <c r="E11" s="6">
        <v>0.4</v>
      </c>
      <c r="G11" s="9">
        <v>1.5</v>
      </c>
      <c r="H11" s="11" t="s">
        <v>642</v>
      </c>
      <c r="I11" s="9">
        <v>0.85</v>
      </c>
      <c r="J11" s="13" t="s">
        <v>634</v>
      </c>
    </row>
    <row r="12" customHeight="1" spans="1:10">
      <c r="A12" s="5" t="s">
        <v>643</v>
      </c>
      <c r="B12" s="6">
        <v>1</v>
      </c>
      <c r="D12" s="5" t="s">
        <v>644</v>
      </c>
      <c r="E12" s="6">
        <v>1</v>
      </c>
      <c r="G12" s="9">
        <v>2.5</v>
      </c>
      <c r="H12" s="11" t="s">
        <v>645</v>
      </c>
      <c r="I12" s="9">
        <v>1</v>
      </c>
      <c r="J12" s="13" t="s">
        <v>646</v>
      </c>
    </row>
    <row r="13" customHeight="1" spans="1:10">
      <c r="A13" s="5" t="s">
        <v>647</v>
      </c>
      <c r="B13" s="6">
        <v>1.5</v>
      </c>
      <c r="D13" s="5" t="s">
        <v>648</v>
      </c>
      <c r="E13" s="7"/>
      <c r="G13" s="9">
        <v>4</v>
      </c>
      <c r="H13" s="11" t="s">
        <v>649</v>
      </c>
      <c r="I13" s="9">
        <v>1.5</v>
      </c>
      <c r="J13" s="13" t="s">
        <v>650</v>
      </c>
    </row>
    <row r="14" customHeight="1" spans="1:10">
      <c r="A14" s="5" t="s">
        <v>651</v>
      </c>
      <c r="B14" s="6">
        <v>1</v>
      </c>
      <c r="D14" s="5" t="s">
        <v>652</v>
      </c>
      <c r="E14" s="6">
        <v>1</v>
      </c>
      <c r="G14" s="9">
        <v>12.5</v>
      </c>
      <c r="H14" s="11" t="s">
        <v>653</v>
      </c>
      <c r="I14" s="9">
        <v>2.5</v>
      </c>
      <c r="J14" s="13"/>
    </row>
    <row r="15" customHeight="1" spans="1:10">
      <c r="A15" s="5" t="s">
        <v>654</v>
      </c>
      <c r="B15" s="6">
        <v>0</v>
      </c>
      <c r="D15" s="5" t="s">
        <v>655</v>
      </c>
      <c r="E15" s="6">
        <v>0.2</v>
      </c>
      <c r="G15" s="9">
        <v>0.6</v>
      </c>
      <c r="H15" s="11" t="s">
        <v>656</v>
      </c>
      <c r="I15" s="9">
        <v>4</v>
      </c>
      <c r="J15" s="13"/>
    </row>
    <row r="16" customHeight="1" spans="1:10">
      <c r="A16" s="3" t="s">
        <v>657</v>
      </c>
      <c r="B16" s="7"/>
      <c r="D16" s="5" t="s">
        <v>658</v>
      </c>
      <c r="E16" s="6">
        <v>0.5</v>
      </c>
      <c r="G16" s="9">
        <v>0.65</v>
      </c>
      <c r="H16" s="11" t="s">
        <v>659</v>
      </c>
      <c r="I16" s="9">
        <v>12.5</v>
      </c>
      <c r="J16" s="13" t="s">
        <v>653</v>
      </c>
    </row>
    <row r="17" customHeight="1" spans="1:8">
      <c r="A17" s="5" t="s">
        <v>660</v>
      </c>
      <c r="B17" s="7"/>
      <c r="D17" s="5" t="s">
        <v>661</v>
      </c>
      <c r="E17" s="6">
        <v>1</v>
      </c>
      <c r="G17" s="9">
        <v>0.7</v>
      </c>
      <c r="H17" s="11" t="s">
        <v>662</v>
      </c>
    </row>
    <row r="18" customHeight="1" spans="1:8">
      <c r="A18" s="5" t="s">
        <v>663</v>
      </c>
      <c r="B18" s="6">
        <v>0</v>
      </c>
      <c r="D18" s="5" t="s">
        <v>664</v>
      </c>
      <c r="E18" s="6">
        <v>1</v>
      </c>
      <c r="G18" s="9">
        <v>0.9</v>
      </c>
      <c r="H18" s="11" t="s">
        <v>665</v>
      </c>
    </row>
    <row r="19" customHeight="1" spans="1:8">
      <c r="A19" s="5" t="s">
        <v>666</v>
      </c>
      <c r="B19" s="7"/>
      <c r="D19" s="5" t="s">
        <v>667</v>
      </c>
      <c r="E19" s="6">
        <v>1</v>
      </c>
      <c r="G19" s="9">
        <v>1.05</v>
      </c>
      <c r="H19" s="11" t="s">
        <v>668</v>
      </c>
    </row>
    <row r="20" customHeight="1" spans="1:8">
      <c r="A20" s="5" t="s">
        <v>669</v>
      </c>
      <c r="B20" s="6">
        <v>0.1</v>
      </c>
      <c r="G20" s="9">
        <v>1.1</v>
      </c>
      <c r="H20" s="11" t="s">
        <v>670</v>
      </c>
    </row>
    <row r="21" customHeight="1" spans="1:8">
      <c r="A21" s="5" t="s">
        <v>671</v>
      </c>
      <c r="B21" s="6">
        <v>0.2</v>
      </c>
      <c r="G21" s="9">
        <v>0.1</v>
      </c>
      <c r="H21" s="11" t="s">
        <v>672</v>
      </c>
    </row>
    <row r="22" customHeight="1" spans="1:8">
      <c r="A22" s="5" t="s">
        <v>673</v>
      </c>
      <c r="B22" s="6">
        <v>0.2</v>
      </c>
      <c r="G22" s="9">
        <v>0.15</v>
      </c>
      <c r="H22" s="11" t="s">
        <v>672</v>
      </c>
    </row>
    <row r="23" customHeight="1" spans="1:8">
      <c r="A23" s="5" t="s">
        <v>674</v>
      </c>
      <c r="B23" s="7" t="s">
        <v>675</v>
      </c>
      <c r="G23" s="9">
        <v>0.35</v>
      </c>
      <c r="H23" s="11" t="s">
        <v>672</v>
      </c>
    </row>
    <row r="24" customHeight="1" spans="1:8">
      <c r="A24" s="5" t="s">
        <v>676</v>
      </c>
      <c r="B24" s="6">
        <v>0.5</v>
      </c>
      <c r="G24" s="9">
        <v>1.3</v>
      </c>
      <c r="H24" s="11" t="s">
        <v>677</v>
      </c>
    </row>
    <row r="25" customHeight="1" spans="1:2">
      <c r="A25" s="3" t="s">
        <v>678</v>
      </c>
      <c r="B25" s="6">
        <v>0</v>
      </c>
    </row>
    <row r="26" customHeight="1" spans="1:2">
      <c r="A26" s="3" t="s">
        <v>679</v>
      </c>
      <c r="B26" s="7"/>
    </row>
    <row r="27" customHeight="1" spans="1:2">
      <c r="A27" s="5" t="s">
        <v>680</v>
      </c>
      <c r="B27" s="6">
        <v>0.2</v>
      </c>
    </row>
    <row r="28" customHeight="1" spans="1:2">
      <c r="A28" s="5" t="s">
        <v>681</v>
      </c>
      <c r="B28" s="6">
        <v>0.5</v>
      </c>
    </row>
    <row r="29" customHeight="1" spans="1:2">
      <c r="A29" s="5" t="s">
        <v>682</v>
      </c>
      <c r="B29" s="6">
        <v>1</v>
      </c>
    </row>
    <row r="30" customHeight="1" spans="1:2">
      <c r="A30" s="5" t="s">
        <v>683</v>
      </c>
      <c r="B30" s="6">
        <v>1.5</v>
      </c>
    </row>
    <row r="31" customHeight="1" spans="1:2">
      <c r="A31" s="5" t="s">
        <v>684</v>
      </c>
      <c r="B31" s="6">
        <v>1</v>
      </c>
    </row>
    <row r="32" customHeight="1" spans="1:2">
      <c r="A32" s="3" t="s">
        <v>685</v>
      </c>
      <c r="B32" s="7"/>
    </row>
    <row r="33" customHeight="1" spans="1:2">
      <c r="A33" s="5" t="s">
        <v>686</v>
      </c>
      <c r="B33" s="6">
        <v>0</v>
      </c>
    </row>
    <row r="34" customHeight="1" spans="1:2">
      <c r="A34" s="5" t="s">
        <v>687</v>
      </c>
      <c r="B34" s="6">
        <v>0.2</v>
      </c>
    </row>
    <row r="35" customHeight="1" spans="1:2">
      <c r="A35" s="5" t="s">
        <v>688</v>
      </c>
      <c r="B35" s="6">
        <v>0.3</v>
      </c>
    </row>
    <row r="36" customHeight="1" spans="1:2">
      <c r="A36" s="5" t="s">
        <v>689</v>
      </c>
      <c r="B36" s="6">
        <v>0.5</v>
      </c>
    </row>
    <row r="37" customHeight="1" spans="1:2">
      <c r="A37" s="5" t="s">
        <v>690</v>
      </c>
      <c r="B37" s="6">
        <v>1</v>
      </c>
    </row>
    <row r="38" customHeight="1" spans="1:2">
      <c r="A38" s="5" t="s">
        <v>691</v>
      </c>
      <c r="B38" s="6">
        <v>1.5</v>
      </c>
    </row>
    <row r="39" customHeight="1" spans="1:2">
      <c r="A39" s="5" t="s">
        <v>692</v>
      </c>
      <c r="B39" s="6">
        <v>0.5</v>
      </c>
    </row>
    <row r="40" customHeight="1" spans="1:2">
      <c r="A40" s="3" t="s">
        <v>693</v>
      </c>
      <c r="B40" s="7"/>
    </row>
    <row r="41" customHeight="1" spans="1:2">
      <c r="A41" s="5" t="s">
        <v>694</v>
      </c>
      <c r="B41" s="7"/>
    </row>
    <row r="42" customHeight="1" spans="1:2">
      <c r="A42" s="5" t="s">
        <v>695</v>
      </c>
      <c r="B42" s="7"/>
    </row>
    <row r="43" customHeight="1" spans="1:2">
      <c r="A43" s="5" t="s">
        <v>696</v>
      </c>
      <c r="B43" s="6">
        <v>0.2</v>
      </c>
    </row>
    <row r="44" customHeight="1" spans="1:2">
      <c r="A44" s="5" t="s">
        <v>697</v>
      </c>
      <c r="B44" s="6">
        <v>0.3</v>
      </c>
    </row>
    <row r="45" customHeight="1" spans="1:2">
      <c r="A45" s="5" t="s">
        <v>698</v>
      </c>
      <c r="B45" s="7"/>
    </row>
    <row r="46" customHeight="1" spans="1:2">
      <c r="A46" s="5" t="s">
        <v>699</v>
      </c>
      <c r="B46" s="6">
        <v>0.2</v>
      </c>
    </row>
    <row r="47" customHeight="1" spans="1:2">
      <c r="A47" s="5" t="s">
        <v>700</v>
      </c>
      <c r="B47" s="6">
        <v>0.4</v>
      </c>
    </row>
    <row r="48" customHeight="1" spans="1:2">
      <c r="A48" s="5" t="s">
        <v>701</v>
      </c>
      <c r="B48" s="7"/>
    </row>
    <row r="49" customHeight="1" spans="1:2">
      <c r="A49" s="5" t="s">
        <v>702</v>
      </c>
      <c r="B49" s="6">
        <v>0.5</v>
      </c>
    </row>
    <row r="50" customHeight="1" spans="1:2">
      <c r="A50" s="5" t="s">
        <v>703</v>
      </c>
      <c r="B50" s="6">
        <v>0.75</v>
      </c>
    </row>
    <row r="51" customHeight="1" spans="1:2">
      <c r="A51" s="5" t="s">
        <v>704</v>
      </c>
      <c r="B51" s="6">
        <v>1.5</v>
      </c>
    </row>
    <row r="52" customHeight="1" spans="1:2">
      <c r="A52" s="5" t="s">
        <v>705</v>
      </c>
      <c r="B52" s="7"/>
    </row>
    <row r="53" customHeight="1" spans="1:2">
      <c r="A53" s="5" t="s">
        <v>706</v>
      </c>
      <c r="B53" s="6">
        <v>0.75</v>
      </c>
    </row>
    <row r="54" customHeight="1" spans="1:2">
      <c r="A54" s="5" t="s">
        <v>707</v>
      </c>
      <c r="B54" s="6">
        <v>1</v>
      </c>
    </row>
    <row r="55" customHeight="1" spans="1:2">
      <c r="A55" s="3" t="s">
        <v>708</v>
      </c>
      <c r="B55" s="7"/>
    </row>
    <row r="56" customHeight="1" spans="1:2">
      <c r="A56" s="5" t="s">
        <v>709</v>
      </c>
      <c r="B56" s="7"/>
    </row>
    <row r="57" customHeight="1" spans="1:2">
      <c r="A57" s="5" t="s">
        <v>710</v>
      </c>
      <c r="B57" s="6">
        <v>0.75</v>
      </c>
    </row>
    <row r="58" customHeight="1" spans="1:2">
      <c r="A58" s="5" t="s">
        <v>711</v>
      </c>
      <c r="B58" s="6">
        <v>0.85</v>
      </c>
    </row>
    <row r="59" customHeight="1" spans="1:2">
      <c r="A59" s="5" t="s">
        <v>712</v>
      </c>
      <c r="B59" s="6">
        <v>0.75</v>
      </c>
    </row>
    <row r="60" customHeight="1" spans="1:2">
      <c r="A60" s="5" t="s">
        <v>713</v>
      </c>
      <c r="B60" s="6">
        <v>1</v>
      </c>
    </row>
    <row r="61" customHeight="1" spans="1:2">
      <c r="A61" s="5" t="s">
        <v>714</v>
      </c>
      <c r="B61" s="7"/>
    </row>
    <row r="62" customHeight="1" spans="1:2">
      <c r="A62" s="5" t="s">
        <v>715</v>
      </c>
      <c r="B62" s="7"/>
    </row>
    <row r="63" customHeight="1" spans="1:2">
      <c r="A63" s="5" t="s">
        <v>716</v>
      </c>
      <c r="B63" s="6">
        <v>1.3</v>
      </c>
    </row>
    <row r="64" customHeight="1" spans="1:2">
      <c r="A64" s="5" t="s">
        <v>717</v>
      </c>
      <c r="B64" s="6">
        <v>1</v>
      </c>
    </row>
    <row r="65" customHeight="1" spans="1:2">
      <c r="A65" s="5" t="s">
        <v>718</v>
      </c>
      <c r="B65" s="6">
        <v>1</v>
      </c>
    </row>
    <row r="66" customHeight="1" spans="1:2">
      <c r="A66" s="5" t="s">
        <v>719</v>
      </c>
      <c r="B66" s="6">
        <v>1</v>
      </c>
    </row>
    <row r="67" customHeight="1" spans="1:2">
      <c r="A67" s="3" t="s">
        <v>720</v>
      </c>
      <c r="B67" s="7"/>
    </row>
    <row r="68" customHeight="1" spans="1:2">
      <c r="A68" s="5" t="s">
        <v>721</v>
      </c>
      <c r="B68" s="7"/>
    </row>
    <row r="69" customHeight="1" spans="1:2">
      <c r="A69" s="5" t="s">
        <v>722</v>
      </c>
      <c r="B69" s="7"/>
    </row>
    <row r="70" customHeight="1" spans="1:2">
      <c r="A70" s="5" t="s">
        <v>723</v>
      </c>
      <c r="B70" s="6">
        <v>0.45</v>
      </c>
    </row>
    <row r="71" customHeight="1" spans="1:2">
      <c r="A71" s="5" t="s">
        <v>724</v>
      </c>
      <c r="B71" s="6">
        <v>0.75</v>
      </c>
    </row>
    <row r="72" customHeight="1" spans="1:2">
      <c r="A72" s="5" t="s">
        <v>725</v>
      </c>
      <c r="B72" s="6">
        <v>1</v>
      </c>
    </row>
    <row r="73" customHeight="1" spans="1:2">
      <c r="A73" s="5" t="s">
        <v>726</v>
      </c>
      <c r="B73" s="6">
        <v>1.5</v>
      </c>
    </row>
    <row r="74" customHeight="1" spans="1:2">
      <c r="A74" s="3" t="s">
        <v>727</v>
      </c>
      <c r="B74" s="7"/>
    </row>
    <row r="75" customHeight="1" spans="1:2">
      <c r="A75" s="5" t="s">
        <v>728</v>
      </c>
      <c r="B75" s="6">
        <v>1</v>
      </c>
    </row>
    <row r="76" customHeight="1" spans="1:2">
      <c r="A76" s="5" t="s">
        <v>729</v>
      </c>
      <c r="B76" s="6">
        <v>1.5</v>
      </c>
    </row>
    <row r="77" customHeight="1" spans="1:2">
      <c r="A77" s="3" t="s">
        <v>730</v>
      </c>
      <c r="B77" s="7"/>
    </row>
    <row r="78" customHeight="1" spans="1:2">
      <c r="A78" s="5" t="s">
        <v>731</v>
      </c>
      <c r="B78" s="7"/>
    </row>
    <row r="79" customHeight="1" spans="1:2">
      <c r="A79" s="5" t="s">
        <v>732</v>
      </c>
      <c r="B79" s="7"/>
    </row>
    <row r="80" customHeight="1" spans="1:2">
      <c r="A80" s="5" t="s">
        <v>733</v>
      </c>
      <c r="B80" s="6">
        <v>0.4</v>
      </c>
    </row>
    <row r="81" customHeight="1" spans="1:2">
      <c r="A81" s="5" t="s">
        <v>734</v>
      </c>
      <c r="B81" s="6">
        <v>0.45</v>
      </c>
    </row>
    <row r="82" customHeight="1" spans="1:2">
      <c r="A82" s="5" t="s">
        <v>735</v>
      </c>
      <c r="B82" s="6">
        <v>0.7</v>
      </c>
    </row>
    <row r="83" customHeight="1" spans="1:2">
      <c r="A83" s="5" t="s">
        <v>736</v>
      </c>
      <c r="B83" s="6">
        <v>0.75</v>
      </c>
    </row>
    <row r="84" customHeight="1" spans="1:2">
      <c r="A84" s="5" t="s">
        <v>737</v>
      </c>
      <c r="B84" s="7" t="s">
        <v>738</v>
      </c>
    </row>
    <row r="85" customHeight="1" spans="1:2">
      <c r="A85" s="5" t="s">
        <v>739</v>
      </c>
      <c r="B85" s="7" t="s">
        <v>738</v>
      </c>
    </row>
    <row r="86" customHeight="1" spans="1:2">
      <c r="A86" s="5" t="s">
        <v>740</v>
      </c>
      <c r="B86" s="7"/>
    </row>
    <row r="87" customHeight="1" spans="1:2">
      <c r="A87" s="5" t="s">
        <v>741</v>
      </c>
      <c r="B87" s="7"/>
    </row>
    <row r="88" customHeight="1" spans="1:2">
      <c r="A88" s="5" t="s">
        <v>742</v>
      </c>
      <c r="B88" s="6">
        <v>0.5</v>
      </c>
    </row>
    <row r="89" customHeight="1" spans="1:2">
      <c r="A89" s="5" t="s">
        <v>743</v>
      </c>
      <c r="B89" s="6">
        <v>0.6</v>
      </c>
    </row>
    <row r="90" customHeight="1" spans="1:2">
      <c r="A90" s="5" t="s">
        <v>744</v>
      </c>
      <c r="B90" s="6">
        <v>0.75</v>
      </c>
    </row>
    <row r="91" customHeight="1" spans="1:2">
      <c r="A91" s="5" t="s">
        <v>745</v>
      </c>
      <c r="B91" s="6">
        <v>1.05</v>
      </c>
    </row>
    <row r="92" customHeight="1" spans="1:2">
      <c r="A92" s="5" t="s">
        <v>746</v>
      </c>
      <c r="B92" s="6">
        <v>1.5</v>
      </c>
    </row>
    <row r="93" customHeight="1" spans="1:2">
      <c r="A93" s="5" t="s">
        <v>747</v>
      </c>
      <c r="B93" s="6">
        <v>1.5</v>
      </c>
    </row>
    <row r="94" customHeight="1" spans="1:2">
      <c r="A94" s="3" t="s">
        <v>748</v>
      </c>
      <c r="B94" s="7"/>
    </row>
    <row r="95" customHeight="1" spans="1:2">
      <c r="A95" s="5" t="s">
        <v>749</v>
      </c>
      <c r="B95" s="7"/>
    </row>
    <row r="96" customHeight="1" spans="1:2">
      <c r="A96" s="5" t="s">
        <v>750</v>
      </c>
      <c r="B96" s="7"/>
    </row>
    <row r="97" customHeight="1" spans="1:2">
      <c r="A97" s="5" t="s">
        <v>751</v>
      </c>
      <c r="B97" s="6">
        <v>0.65</v>
      </c>
    </row>
    <row r="98" customHeight="1" spans="1:2">
      <c r="A98" s="5" t="s">
        <v>752</v>
      </c>
      <c r="B98" s="7" t="s">
        <v>738</v>
      </c>
    </row>
    <row r="99" customHeight="1" spans="1:2">
      <c r="A99" s="5" t="s">
        <v>753</v>
      </c>
      <c r="B99" s="7" t="s">
        <v>738</v>
      </c>
    </row>
    <row r="100" customHeight="1" spans="1:2">
      <c r="A100" s="5" t="s">
        <v>754</v>
      </c>
      <c r="B100" s="7"/>
    </row>
    <row r="101" customHeight="1" spans="1:2">
      <c r="A101" s="5" t="s">
        <v>755</v>
      </c>
      <c r="B101" s="7"/>
    </row>
    <row r="102" customHeight="1" spans="1:2">
      <c r="A102" s="5" t="s">
        <v>756</v>
      </c>
      <c r="B102" s="6">
        <v>0.75</v>
      </c>
    </row>
    <row r="103" customHeight="1" spans="1:2">
      <c r="A103" s="5" t="s">
        <v>757</v>
      </c>
      <c r="B103" s="7" t="s">
        <v>758</v>
      </c>
    </row>
    <row r="104" customHeight="1" spans="1:2">
      <c r="A104" s="5" t="s">
        <v>759</v>
      </c>
      <c r="B104" s="6">
        <v>1.1</v>
      </c>
    </row>
    <row r="105" customHeight="1" spans="1:2">
      <c r="A105" s="5" t="s">
        <v>760</v>
      </c>
      <c r="B105" s="6">
        <v>1.5</v>
      </c>
    </row>
    <row r="106" customHeight="1" spans="1:2">
      <c r="A106" s="3" t="s">
        <v>761</v>
      </c>
      <c r="B106" s="7"/>
    </row>
    <row r="107" customHeight="1" spans="1:2">
      <c r="A107" s="5" t="s">
        <v>762</v>
      </c>
      <c r="B107" s="6">
        <v>1</v>
      </c>
    </row>
    <row r="108" customHeight="1" spans="1:2">
      <c r="A108" s="5" t="s">
        <v>763</v>
      </c>
      <c r="B108" s="7"/>
    </row>
    <row r="109" customHeight="1" spans="1:2">
      <c r="A109" s="5" t="s">
        <v>764</v>
      </c>
      <c r="B109" s="6">
        <v>1</v>
      </c>
    </row>
    <row r="110" customHeight="1" spans="1:2">
      <c r="A110" s="5" t="s">
        <v>765</v>
      </c>
      <c r="B110" s="6">
        <v>4</v>
      </c>
    </row>
    <row r="111" customHeight="1" spans="1:2">
      <c r="A111" s="3" t="s">
        <v>766</v>
      </c>
      <c r="B111" s="6">
        <v>1</v>
      </c>
    </row>
    <row r="112" customHeight="1" spans="1:2">
      <c r="A112" s="3" t="s">
        <v>767</v>
      </c>
      <c r="B112" s="7"/>
    </row>
    <row r="113" customHeight="1" spans="1:2">
      <c r="A113" s="5" t="s">
        <v>768</v>
      </c>
      <c r="B113" s="6">
        <v>12.5</v>
      </c>
    </row>
    <row r="114" customHeight="1" spans="1:2">
      <c r="A114" s="5" t="s">
        <v>769</v>
      </c>
      <c r="B114" s="6">
        <v>4</v>
      </c>
    </row>
    <row r="115" customHeight="1" spans="1:2">
      <c r="A115" s="5" t="s">
        <v>770</v>
      </c>
      <c r="B115" s="6">
        <v>1</v>
      </c>
    </row>
    <row r="116" customHeight="1" spans="1:2">
      <c r="A116" s="5" t="s">
        <v>771</v>
      </c>
      <c r="B116" s="6">
        <v>2.5</v>
      </c>
    </row>
    <row r="117" customHeight="1" spans="1:2">
      <c r="A117" s="3" t="s">
        <v>772</v>
      </c>
      <c r="B117" s="7"/>
    </row>
    <row r="118" customHeight="1" spans="1:2">
      <c r="A118" s="5" t="s">
        <v>773</v>
      </c>
      <c r="B118" s="6">
        <v>1.5</v>
      </c>
    </row>
    <row r="119" customHeight="1" spans="1:2">
      <c r="A119" s="5" t="s">
        <v>774</v>
      </c>
      <c r="B119" s="6">
        <v>1.5</v>
      </c>
    </row>
    <row r="120" customHeight="1" spans="1:2">
      <c r="A120" s="5" t="s">
        <v>775</v>
      </c>
      <c r="B120" s="6">
        <v>1.5</v>
      </c>
    </row>
    <row r="121" customHeight="1" spans="1:2">
      <c r="A121" s="5" t="s">
        <v>776</v>
      </c>
      <c r="B121" s="6">
        <v>1.5</v>
      </c>
    </row>
    <row r="122" customHeight="1" spans="1:2">
      <c r="A122" s="3" t="s">
        <v>777</v>
      </c>
      <c r="B122" s="7"/>
    </row>
    <row r="123" customHeight="1" spans="1:2">
      <c r="A123" s="5" t="s">
        <v>778</v>
      </c>
      <c r="B123" s="7"/>
    </row>
    <row r="124" customHeight="1" spans="1:2">
      <c r="A124" s="5" t="s">
        <v>779</v>
      </c>
      <c r="B124" s="6">
        <v>0.1</v>
      </c>
    </row>
    <row r="125" customHeight="1" spans="1:2">
      <c r="A125" s="5" t="s">
        <v>780</v>
      </c>
      <c r="B125" s="6">
        <v>0.2</v>
      </c>
    </row>
    <row r="126" customHeight="1" spans="1:2">
      <c r="A126" s="5" t="s">
        <v>781</v>
      </c>
      <c r="B126" s="6">
        <v>0.5</v>
      </c>
    </row>
    <row r="127" customHeight="1" spans="1:2">
      <c r="A127" s="5" t="s">
        <v>782</v>
      </c>
      <c r="B127" s="6">
        <v>1</v>
      </c>
    </row>
    <row r="128" customHeight="1" spans="1:2">
      <c r="A128" s="5" t="s">
        <v>783</v>
      </c>
      <c r="B128" s="7"/>
    </row>
    <row r="129" customHeight="1" spans="1:2">
      <c r="A129" s="5" t="s">
        <v>784</v>
      </c>
      <c r="B129" s="6">
        <v>0.15</v>
      </c>
    </row>
    <row r="130" customHeight="1" spans="1:2">
      <c r="A130" s="5" t="s">
        <v>785</v>
      </c>
      <c r="B130" s="6">
        <v>0.2</v>
      </c>
    </row>
    <row r="131" customHeight="1" spans="1:2">
      <c r="A131" s="5" t="s">
        <v>786</v>
      </c>
      <c r="B131" s="6">
        <v>0.35</v>
      </c>
    </row>
    <row r="132" customHeight="1" spans="1:2">
      <c r="A132" s="5" t="s">
        <v>787</v>
      </c>
      <c r="B132" s="6">
        <v>1</v>
      </c>
    </row>
    <row r="133" customHeight="1" spans="1:2">
      <c r="A133" s="3" t="s">
        <v>788</v>
      </c>
      <c r="B133" s="7"/>
    </row>
    <row r="134" customHeight="1" spans="1:2">
      <c r="A134" s="5" t="s">
        <v>789</v>
      </c>
      <c r="B134" s="6">
        <v>1</v>
      </c>
    </row>
    <row r="135" customHeight="1" spans="1:2">
      <c r="A135" s="5" t="s">
        <v>790</v>
      </c>
      <c r="B135" s="7"/>
    </row>
    <row r="136" customHeight="1" spans="1:2">
      <c r="A136" s="5" t="s">
        <v>791</v>
      </c>
      <c r="B136" s="6">
        <v>1.5</v>
      </c>
    </row>
    <row r="137" customHeight="1" spans="1:2">
      <c r="A137" s="5" t="s">
        <v>792</v>
      </c>
      <c r="B137" s="6">
        <v>1</v>
      </c>
    </row>
    <row r="138" customHeight="1" spans="1:2">
      <c r="A138" s="3" t="s">
        <v>793</v>
      </c>
      <c r="B138" s="7"/>
    </row>
    <row r="139" customHeight="1" spans="1:2">
      <c r="A139" s="5" t="s">
        <v>794</v>
      </c>
      <c r="B139" s="6">
        <v>2.5</v>
      </c>
    </row>
    <row r="140" customHeight="1" spans="1:2">
      <c r="A140" s="5" t="s">
        <v>795</v>
      </c>
      <c r="B140" s="6">
        <v>1</v>
      </c>
    </row>
  </sheetData>
  <dataValidations count="1">
    <dataValidation type="decimal" operator="between" allowBlank="1" showInputMessage="1" showErrorMessage="1" sqref="G5 I5 G6 I6 G7 I7 G8 I8 G9 I9 I10 I11 G15 G16 G17 G18 G19 G20 G21 G22 G23 G2:G4 G10:G12 G13:G14 I2:I4 I12:I16">
      <formula1>-9999999999</formula1>
      <formula2>9999999999</formula2>
    </dataValidation>
  </dataValidation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6" master="">
    <arrUserId title="区域8" rangeCreator="" othersAccessPermission="edit"/>
    <arrUserId title="区域1" rangeCreator="" othersAccessPermission="edit"/>
  </rangeList>
  <rangeList sheetStid="5"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G4B_2（第一档）</vt:lpstr>
      <vt:lpstr>RW&amp;CCF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陈静</cp:lastModifiedBy>
  <dcterms:created xsi:type="dcterms:W3CDTF">1996-12-19T09:32:00Z</dcterms:created>
  <dcterms:modified xsi:type="dcterms:W3CDTF">2024-12-13T14:49:54Z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pId">
    <vt:lpwstr>969</vt:lpwstr>
  </property>
  <property fmtid="{D5CDD505-2E9C-101B-9397-08002B2CF9AE}" pid="3" name="ver">
    <vt:lpwstr>141</vt:lpwstr>
  </property>
  <property fmtid="{D5CDD505-2E9C-101B-9397-08002B2CF9AE}" pid="4" name="KSOProductBuildVer">
    <vt:lpwstr>2052-11.8.2.11764</vt:lpwstr>
  </property>
  <property fmtid="{D5CDD505-2E9C-101B-9397-08002B2CF9AE}" pid="5" name="ICV">
    <vt:lpwstr>821C07C9BBF34B2EBB789105A6DD1DFD_13</vt:lpwstr>
  </property>
  <property fmtid="{D5CDD505-2E9C-101B-9397-08002B2CF9AE}" pid="6" name="EM_Doc_Temp_ID">
    <vt:lpwstr>d73aa306</vt:lpwstr>
  </property>
</Properties>
</file>