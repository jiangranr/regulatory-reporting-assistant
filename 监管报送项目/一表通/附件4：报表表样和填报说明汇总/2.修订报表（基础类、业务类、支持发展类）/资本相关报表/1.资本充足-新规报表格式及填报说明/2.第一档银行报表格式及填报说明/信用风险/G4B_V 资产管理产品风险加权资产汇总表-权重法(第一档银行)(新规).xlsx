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B-5（第一档）" sheetId="11" r:id="rId1"/>
    <sheet name="Sheet2" sheetId="9" state="hidden" r:id="rId2"/>
  </sheets>
  <definedNames>
    <definedName name="_xlnm._FilterDatabase" localSheetId="0" hidden="1">'G4B-5（第一档）'!$A$7:$O$35</definedName>
    <definedName name="_xlnm.Print_Titles" localSheetId="0">'G4B-5（第一档）'!$3:$4</definedName>
    <definedName name="Z_EEB39285_1378_4F4C_B72A_68261139B9F0_.wvu.FilterData" localSheetId="0" hidden="1">'G4B-5（第一档）'!$A$7:$O$35</definedName>
  </definedNames>
  <calcPr calcId="144525"/>
</workbook>
</file>

<file path=xl/sharedStrings.xml><?xml version="1.0" encoding="utf-8"?>
<sst xmlns="http://schemas.openxmlformats.org/spreadsheetml/2006/main" count="78" uniqueCount="72">
  <si>
    <r>
      <rPr>
        <b/>
        <sz val="16"/>
        <rFont val="Times New Roman"/>
        <charset val="134"/>
      </rPr>
      <t xml:space="preserve">G4B_V </t>
    </r>
    <r>
      <rPr>
        <b/>
        <sz val="16"/>
        <rFont val="宋体"/>
        <charset val="134"/>
      </rPr>
      <t>资产管理产品风险加权资产汇总表</t>
    </r>
    <r>
      <rPr>
        <b/>
        <sz val="16"/>
        <rFont val="Times New Roman"/>
        <charset val="134"/>
      </rPr>
      <t>-</t>
    </r>
    <r>
      <rPr>
        <b/>
        <sz val="16"/>
        <rFont val="宋体"/>
        <charset val="134"/>
      </rPr>
      <t>权重法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第一档银行</t>
    </r>
    <r>
      <rPr>
        <b/>
        <sz val="16"/>
        <rFont val="Times New Roman"/>
        <charset val="134"/>
      </rPr>
      <t>)(</t>
    </r>
    <r>
      <rPr>
        <b/>
        <sz val="16"/>
        <rFont val="宋体"/>
        <charset val="134"/>
      </rPr>
      <t>新规</t>
    </r>
    <r>
      <rPr>
        <b/>
        <sz val="16"/>
        <rFont val="Times New Roman"/>
        <charset val="134"/>
      </rPr>
      <t>)</t>
    </r>
  </si>
  <si>
    <t>填报机构：</t>
  </si>
  <si>
    <t>报表日期：  年  月  日</t>
  </si>
  <si>
    <t>货币单位：万元</t>
  </si>
  <si>
    <t>项目/方法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</si>
  <si>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</si>
  <si>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</si>
  <si>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</si>
  <si>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</si>
  <si>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</si>
  <si>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</si>
  <si>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</si>
  <si>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</si>
  <si>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</si>
  <si>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</si>
  <si>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</si>
  <si>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</si>
  <si>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</si>
  <si>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投资金额</t>
  </si>
  <si>
    <t>适用穿透法部分</t>
  </si>
  <si>
    <t>适用授权基础法部分</t>
  </si>
  <si>
    <r>
      <rPr>
        <b/>
        <sz val="10"/>
        <color theme="1"/>
        <rFont val="宋体"/>
        <charset val="134"/>
      </rPr>
      <t>适用</t>
    </r>
    <r>
      <rPr>
        <b/>
        <sz val="10"/>
        <color theme="1"/>
        <rFont val="Arial"/>
        <charset val="134"/>
      </rPr>
      <t>1250%</t>
    </r>
    <r>
      <rPr>
        <b/>
        <sz val="10"/>
        <color theme="1"/>
        <rFont val="宋体"/>
        <charset val="134"/>
      </rPr>
      <t>风险权重部分</t>
    </r>
  </si>
  <si>
    <t>其他风险</t>
  </si>
  <si>
    <t>持有部分风险加权资产</t>
  </si>
  <si>
    <t>自行穿透部分</t>
  </si>
  <si>
    <t>通过第三方计算部分</t>
  </si>
  <si>
    <t>风险暴露</t>
  </si>
  <si>
    <t>风险加权资产</t>
  </si>
  <si>
    <t>交易对手信用风险加权资产</t>
  </si>
  <si>
    <t>信用估值调整风险加权资产</t>
  </si>
  <si>
    <t>调整前风险加权资产</t>
  </si>
  <si>
    <t>调整后风险加权资产</t>
  </si>
  <si>
    <t>1.表内资产</t>
  </si>
  <si>
    <r>
      <rPr>
        <sz val="10"/>
        <color theme="1"/>
        <rFont val="宋体"/>
        <charset val="134"/>
        <scheme val="minor"/>
      </rPr>
      <t xml:space="preserve">  1.1</t>
    </r>
    <r>
      <rPr>
        <sz val="10"/>
        <color indexed="8"/>
        <rFont val="宋体"/>
        <charset val="134"/>
        <scheme val="minor"/>
      </rPr>
      <t>公募基金</t>
    </r>
  </si>
  <si>
    <r>
      <rPr>
        <sz val="10"/>
        <color theme="1"/>
        <rFont val="宋体"/>
        <charset val="134"/>
        <scheme val="minor"/>
      </rPr>
      <t xml:space="preserve">     1.1.1</t>
    </r>
    <r>
      <rPr>
        <sz val="10"/>
        <color rgb="FF000000"/>
        <rFont val="宋体"/>
        <charset val="134"/>
        <scheme val="minor"/>
      </rPr>
      <t>货币市场基金</t>
    </r>
  </si>
  <si>
    <r>
      <rPr>
        <sz val="10"/>
        <color theme="1"/>
        <rFont val="宋体"/>
        <charset val="134"/>
        <scheme val="minor"/>
      </rPr>
      <t xml:space="preserve">     1.1.2</t>
    </r>
    <r>
      <rPr>
        <sz val="10"/>
        <color rgb="FF000000"/>
        <rFont val="宋体"/>
        <charset val="134"/>
        <scheme val="minor"/>
      </rPr>
      <t>债券基金</t>
    </r>
  </si>
  <si>
    <r>
      <rPr>
        <sz val="10"/>
        <color theme="1"/>
        <rFont val="宋体"/>
        <charset val="134"/>
        <scheme val="minor"/>
      </rPr>
      <t xml:space="preserve">     1.1.3</t>
    </r>
    <r>
      <rPr>
        <sz val="10"/>
        <color rgb="FF000000"/>
        <rFont val="宋体"/>
        <charset val="134"/>
        <scheme val="minor"/>
      </rPr>
      <t>其他公募基金</t>
    </r>
  </si>
  <si>
    <r>
      <rPr>
        <sz val="10"/>
        <color theme="1"/>
        <rFont val="宋体"/>
        <charset val="134"/>
        <scheme val="minor"/>
      </rPr>
      <t xml:space="preserve">  1.2 非保本</t>
    </r>
    <r>
      <rPr>
        <sz val="10"/>
        <color rgb="FF000000"/>
        <rFont val="宋体"/>
        <charset val="134"/>
        <scheme val="minor"/>
      </rPr>
      <t>理财产品</t>
    </r>
  </si>
  <si>
    <r>
      <rPr>
        <sz val="10"/>
        <color theme="1"/>
        <rFont val="宋体"/>
        <charset val="134"/>
        <scheme val="minor"/>
      </rPr>
      <t xml:space="preserve">  1.3</t>
    </r>
    <r>
      <rPr>
        <sz val="10"/>
        <color rgb="FF000000"/>
        <rFont val="宋体"/>
        <charset val="134"/>
        <scheme val="minor"/>
      </rPr>
      <t>证券业资管产品（除公募基金）</t>
    </r>
  </si>
  <si>
    <t xml:space="preserve">  1.4信托产品</t>
  </si>
  <si>
    <r>
      <rPr>
        <sz val="10"/>
        <color theme="1"/>
        <rFont val="宋体"/>
        <charset val="134"/>
        <scheme val="minor"/>
      </rPr>
      <t xml:space="preserve">  1.5</t>
    </r>
    <r>
      <rPr>
        <sz val="10"/>
        <color indexed="8"/>
        <rFont val="宋体"/>
        <charset val="134"/>
        <scheme val="minor"/>
      </rPr>
      <t>保险业资管产品</t>
    </r>
  </si>
  <si>
    <t xml:space="preserve">  1.6私募投资基金</t>
  </si>
  <si>
    <t xml:space="preserve">  1.7其他资管产品</t>
  </si>
  <si>
    <t>2.表外资产</t>
  </si>
  <si>
    <t xml:space="preserve">  2.1公募基金</t>
  </si>
  <si>
    <t xml:space="preserve">     2.1.1货币市场基金</t>
  </si>
  <si>
    <t xml:space="preserve">     2.1.2债券基金</t>
  </si>
  <si>
    <t xml:space="preserve">     2.1.3其他公募基金</t>
  </si>
  <si>
    <t xml:space="preserve">  2.2 非保本理财产品</t>
  </si>
  <si>
    <t xml:space="preserve">  2.3证券业资管产品（除公募基金）</t>
  </si>
  <si>
    <t xml:space="preserve">  2.4信托产品</t>
  </si>
  <si>
    <t xml:space="preserve">  2.5保险业资管产品</t>
  </si>
  <si>
    <t xml:space="preserve">  2.6私募投资基金</t>
  </si>
  <si>
    <t xml:space="preserve">  2.7其他资管产品</t>
  </si>
  <si>
    <t>3.合计</t>
  </si>
  <si>
    <t>填表人：</t>
  </si>
  <si>
    <t>复核人：</t>
  </si>
  <si>
    <t>负责人：</t>
  </si>
  <si>
    <t>版本号：</t>
  </si>
  <si>
    <t>无数据部分</t>
  </si>
  <si>
    <t>需填列的表格</t>
  </si>
  <si>
    <t>自动计算部分</t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</si>
  <si>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货币市场基金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</si>
  <si>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债券基金</t>
    </r>
  </si>
  <si>
    <r>
      <rPr>
        <sz val="10"/>
        <color theme="1"/>
        <rFont val="宋体"/>
        <charset val="134"/>
      </rPr>
      <t>公募基金</t>
    </r>
    <r>
      <rPr>
        <sz val="10"/>
        <color theme="1"/>
        <rFont val="Arial"/>
        <charset val="134"/>
      </rPr>
      <t>-</t>
    </r>
    <r>
      <rPr>
        <sz val="10"/>
        <color rgb="FF000000"/>
        <rFont val="宋体"/>
        <charset val="134"/>
      </rPr>
      <t>其他公募基金</t>
    </r>
  </si>
  <si>
    <r>
      <rPr>
        <sz val="10"/>
        <color theme="1"/>
        <rFont val="宋体"/>
        <charset val="134"/>
      </rPr>
      <t>非保本</t>
    </r>
    <r>
      <rPr>
        <sz val="10"/>
        <color rgb="FF000000"/>
        <rFont val="宋体"/>
        <charset val="134"/>
      </rPr>
      <t>理财产品</t>
    </r>
  </si>
  <si>
    <t>证券业资管产品（除公募基金）</t>
  </si>
  <si>
    <t>信托产品</t>
  </si>
  <si>
    <t>保险业资管产品</t>
  </si>
  <si>
    <t>其他资管产品</t>
  </si>
  <si>
    <t>私募投资基金</t>
  </si>
  <si>
    <t>银行、证券、保险、信托、基金、理财公司、期货、金融资产投资公司、其他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</si>
</sst>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_-* #,##0.00_-;\-* #,##0.00_-;_-* &quot;-&quot;??_-;_-@_-"/>
    <numFmt numFmtId="43" formatCode="_ * #,##0.00_ ;_ * \-#,##0.00_ ;_ * &quot;-&quot;??_ ;_ @_ "/>
  </numFmts>
  <fonts count="95"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b/>
      <sz val="16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6"/>
      <name val="Times New Roman"/>
      <charset val="134"/>
    </font>
    <font>
      <b/>
      <sz val="10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Arial"/>
      <charset val="134"/>
    </font>
    <font>
      <sz val="10"/>
      <name val="仿宋_GB2312"/>
      <charset val="134"/>
    </font>
    <font>
      <sz val="10"/>
      <color theme="1"/>
      <name val="Arial"/>
      <charset val="134"/>
    </font>
    <font>
      <sz val="10"/>
      <color rgb="FFFF0000"/>
      <name val="宋体"/>
      <charset val="134"/>
    </font>
    <font>
      <b/>
      <sz val="11"/>
      <color indexed="52"/>
      <name val="宋体"/>
      <charset val="134"/>
    </font>
    <font>
      <sz val="11"/>
      <color indexed="57"/>
      <name val="Tahoma"/>
      <charset val="134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2"/>
      <color indexed="8"/>
      <name val="新細明體"/>
      <charset val="136"/>
    </font>
    <font>
      <sz val="11"/>
      <color indexed="10"/>
      <name val="Tahoma"/>
      <charset val="134"/>
    </font>
    <font>
      <sz val="11"/>
      <color indexed="8"/>
      <name val="Tahoma"/>
      <charset val="134"/>
    </font>
    <font>
      <sz val="11"/>
      <color indexed="62"/>
      <name val="宋体"/>
      <charset val="134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b/>
      <sz val="18"/>
      <color indexed="62"/>
      <name val="宋体"/>
      <charset val="134"/>
    </font>
    <font>
      <sz val="10"/>
      <name val="Arial"/>
      <charset val="134"/>
    </font>
    <font>
      <b/>
      <sz val="15"/>
      <color indexed="56"/>
      <name val="宋体"/>
      <charset val="134"/>
    </font>
    <font>
      <i/>
      <sz val="11"/>
      <color indexed="23"/>
      <name val="Tahoma"/>
      <charset val="134"/>
    </font>
    <font>
      <sz val="12"/>
      <color indexed="62"/>
      <name val="新細明體"/>
      <charset val="136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sz val="12"/>
      <color indexed="8"/>
      <name val="新細明體"/>
      <charset val="136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sz val="11"/>
      <color theme="1"/>
      <name val="宋体"/>
      <charset val="134"/>
      <scheme val="minor"/>
    </font>
    <font>
      <sz val="11"/>
      <color indexed="17"/>
      <name val="Tahoma"/>
      <charset val="134"/>
    </font>
    <font>
      <b/>
      <sz val="11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i/>
      <sz val="12"/>
      <color indexed="23"/>
      <name val="新細明體"/>
      <charset val="136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b/>
      <sz val="11"/>
      <color theme="1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52"/>
      <name val="Tahoma"/>
      <charset val="134"/>
    </font>
    <font>
      <sz val="11"/>
      <color indexed="52"/>
      <name val="宋体"/>
      <charset val="134"/>
    </font>
    <font>
      <sz val="11"/>
      <color indexed="20"/>
      <name val="Tahoma"/>
      <charset val="134"/>
    </font>
    <font>
      <b/>
      <sz val="18"/>
      <color indexed="56"/>
      <name val="新細明體"/>
      <charset val="136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sz val="12"/>
      <color indexed="9"/>
      <name val="新細明體"/>
      <charset val="136"/>
    </font>
    <font>
      <b/>
      <sz val="11"/>
      <color indexed="8"/>
      <name val="Tahoma"/>
      <charset val="134"/>
    </font>
    <font>
      <sz val="11"/>
      <color indexed="60"/>
      <name val="宋体"/>
      <charset val="134"/>
    </font>
    <font>
      <b/>
      <sz val="13"/>
      <color indexed="62"/>
      <name val="Tahoma"/>
      <charset val="134"/>
    </font>
    <font>
      <b/>
      <sz val="11"/>
      <color indexed="56"/>
      <name val="新細明體"/>
      <charset val="136"/>
    </font>
    <font>
      <b/>
      <sz val="15"/>
      <color indexed="62"/>
      <name val="Tahoma"/>
      <charset val="134"/>
    </font>
    <font>
      <b/>
      <sz val="15"/>
      <color indexed="56"/>
      <name val="新細明體"/>
      <charset val="136"/>
    </font>
    <font>
      <sz val="11"/>
      <color indexed="62"/>
      <name val="Tahoma"/>
      <charset val="134"/>
    </font>
    <font>
      <b/>
      <sz val="11"/>
      <color indexed="62"/>
      <name val="Tahoma"/>
      <charset val="134"/>
    </font>
    <font>
      <sz val="12"/>
      <color indexed="20"/>
      <name val="新細明體"/>
      <charset val="136"/>
    </font>
    <font>
      <sz val="12"/>
      <color indexed="17"/>
      <name val="新細明體"/>
      <charset val="136"/>
    </font>
    <font>
      <sz val="12"/>
      <color indexed="60"/>
      <name val="新細明體"/>
      <charset val="136"/>
    </font>
    <font>
      <sz val="11"/>
      <color indexed="60"/>
      <name val="Tahoma"/>
      <charset val="134"/>
    </font>
    <font>
      <u/>
      <sz val="12"/>
      <color indexed="12"/>
      <name val="宋体"/>
      <charset val="134"/>
    </font>
    <font>
      <b/>
      <sz val="12"/>
      <color indexed="52"/>
      <name val="新細明體"/>
      <charset val="136"/>
    </font>
    <font>
      <b/>
      <sz val="13"/>
      <color indexed="56"/>
      <name val="新細明體"/>
      <charset val="136"/>
    </font>
    <font>
      <b/>
      <sz val="13"/>
      <color theme="3"/>
      <name val="宋体"/>
      <charset val="134"/>
      <scheme val="minor"/>
    </font>
    <font>
      <sz val="10"/>
      <name val="Arial"/>
      <charset val="0"/>
    </font>
    <font>
      <b/>
      <sz val="11"/>
      <color indexed="63"/>
      <name val="Tahoma"/>
      <charset val="134"/>
    </font>
    <font>
      <i/>
      <sz val="11"/>
      <color rgb="FF7F7F7F"/>
      <name val="宋体"/>
      <charset val="0"/>
      <scheme val="minor"/>
    </font>
    <font>
      <u/>
      <sz val="12"/>
      <color indexed="36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indexed="57"/>
      <name val="Tahoma"/>
      <charset val="134"/>
    </font>
    <font>
      <b/>
      <sz val="12"/>
      <color indexed="9"/>
      <name val="新細明體"/>
      <charset val="136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2"/>
      <name val="Times New Roman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indexed="52"/>
      <name val="新細明體"/>
      <charset val="136"/>
    </font>
    <font>
      <sz val="11"/>
      <color rgb="FF9C0006"/>
      <name val="宋体"/>
      <charset val="0"/>
      <scheme val="minor"/>
    </font>
    <font>
      <b/>
      <sz val="11"/>
      <color indexed="52"/>
      <name val="Tahoma"/>
      <charset val="134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6"/>
      <name val="宋体"/>
      <charset val="134"/>
    </font>
    <font>
      <b/>
      <sz val="10"/>
      <color theme="1"/>
      <name val="Arial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869">
    <xf numFmtId="0" fontId="0" fillId="0" borderId="0"/>
    <xf numFmtId="0" fontId="69" fillId="0" borderId="0">
      <alignment vertical="center"/>
    </xf>
    <xf numFmtId="0" fontId="35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67" fillId="0" borderId="22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3" fillId="0" borderId="22" applyNumberFormat="0" applyFill="0" applyAlignment="0" applyProtection="0">
      <alignment vertical="center"/>
    </xf>
    <xf numFmtId="0" fontId="57" fillId="0" borderId="3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21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21" applyNumberFormat="0" applyFill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21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6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78" fillId="0" borderId="0"/>
    <xf numFmtId="0" fontId="19" fillId="27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66" fillId="4" borderId="1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7" fillId="0" borderId="0"/>
    <xf numFmtId="0" fontId="19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7" fillId="0" borderId="0"/>
    <xf numFmtId="0" fontId="19" fillId="3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7" fillId="0" borderId="3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7" fillId="0" borderId="30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27" fillId="0" borderId="0"/>
    <xf numFmtId="0" fontId="22" fillId="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18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27" fillId="0" borderId="0"/>
    <xf numFmtId="0" fontId="35" fillId="0" borderId="2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31" fillId="35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59" fillId="12" borderId="17" applyNumberFormat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68" fillId="0" borderId="18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79" fillId="46" borderId="33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37" fillId="43" borderId="32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7" fillId="0" borderId="30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34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81" fillId="0" borderId="27" applyNumberFormat="0" applyFill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83" fillId="16" borderId="17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70" fillId="16" borderId="28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80" fillId="0" borderId="0" applyNumberFormat="0" applyFill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9" fillId="12" borderId="17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83" fillId="16" borderId="17" applyNumberFormat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9" fillId="12" borderId="1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74" fillId="14" borderId="20" applyNumberFormat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85" fillId="24" borderId="35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3" fillId="16" borderId="17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86" fillId="0" borderId="36" applyNumberFormat="0" applyFill="0" applyAlignment="0" applyProtection="0">
      <alignment vertical="center"/>
    </xf>
    <xf numFmtId="0" fontId="74" fillId="14" borderId="20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53" fillId="0" borderId="29" applyNumberFormat="0" applyFill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4" fillId="14" borderId="20" applyNumberFormat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70" fillId="16" borderId="28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3" fillId="16" borderId="17" applyNumberFormat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74" fillId="14" borderId="20" applyNumberFormat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59" fillId="12" borderId="1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5" fillId="14" borderId="20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7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7" fillId="0" borderId="0"/>
    <xf numFmtId="0" fontId="25" fillId="14" borderId="2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7" fillId="0" borderId="0"/>
    <xf numFmtId="0" fontId="1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8" fillId="4" borderId="28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70" fillId="16" borderId="28" applyNumberForma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7" fillId="0" borderId="0"/>
    <xf numFmtId="0" fontId="36" fillId="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7" fillId="0" borderId="0"/>
    <xf numFmtId="0" fontId="18" fillId="8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90" fillId="57" borderId="35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2" fillId="23" borderId="24" applyNumberFormat="0" applyFont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23" borderId="24" applyNumberFormat="0" applyFon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1" fillId="4" borderId="28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0" fillId="16" borderId="28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2" fillId="23" borderId="24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7" fillId="0" borderId="0"/>
    <xf numFmtId="0" fontId="35" fillId="0" borderId="2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23" borderId="24" applyNumberFormat="0" applyFont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3" borderId="24" applyNumberFormat="0" applyFon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2" fillId="23" borderId="24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2" borderId="1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7" fillId="0" borderId="0">
      <alignment vertical="center"/>
    </xf>
    <xf numFmtId="0" fontId="18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4" borderId="20" applyNumberFormat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0" xfId="96" applyFont="1" applyAlignment="1" applyProtection="1">
      <alignment vertical="center"/>
    </xf>
    <xf numFmtId="0" fontId="4" fillId="0" borderId="0" xfId="96" applyFont="1" applyAlignment="1" applyProtection="1">
      <alignment vertical="center"/>
    </xf>
    <xf numFmtId="0" fontId="5" fillId="0" borderId="0" xfId="96" applyFont="1" applyAlignment="1" applyProtection="1">
      <alignment vertical="center"/>
    </xf>
    <xf numFmtId="0" fontId="4" fillId="0" borderId="0" xfId="1" applyFont="1" applyAlignment="1">
      <alignment vertical="center"/>
    </xf>
    <xf numFmtId="0" fontId="0" fillId="0" borderId="0" xfId="0" applyFill="1"/>
    <xf numFmtId="0" fontId="4" fillId="0" borderId="0" xfId="51" applyFont="1" applyProtection="1"/>
    <xf numFmtId="0" fontId="0" fillId="0" borderId="0" xfId="96" applyFont="1" applyFill="1" applyAlignment="1" applyProtection="1">
      <alignment horizontal="center" vertical="center"/>
    </xf>
    <xf numFmtId="0" fontId="0" fillId="0" borderId="0" xfId="96" applyFont="1" applyProtection="1"/>
    <xf numFmtId="0" fontId="6" fillId="0" borderId="0" xfId="96" applyFont="1" applyAlignment="1" applyProtection="1">
      <alignment horizontal="center" vertical="center"/>
    </xf>
    <xf numFmtId="0" fontId="4" fillId="0" borderId="0" xfId="69" applyFont="1" applyFill="1" applyAlignment="1" applyProtection="1">
      <alignment vertical="center"/>
    </xf>
    <xf numFmtId="0" fontId="4" fillId="0" borderId="0" xfId="69" applyFont="1" applyAlignment="1" applyProtection="1">
      <alignment vertical="center"/>
    </xf>
    <xf numFmtId="0" fontId="4" fillId="0" borderId="2" xfId="96" applyFont="1" applyBorder="1" applyAlignment="1" applyProtection="1">
      <alignment horizontal="center" vertical="center" wrapText="1"/>
    </xf>
    <xf numFmtId="0" fontId="4" fillId="0" borderId="3" xfId="96" applyFont="1" applyBorder="1" applyAlignment="1" applyProtection="1">
      <alignment horizontal="center" vertical="center" wrapText="1"/>
    </xf>
    <xf numFmtId="0" fontId="4" fillId="0" borderId="4" xfId="96" applyFont="1" applyBorder="1" applyAlignment="1" applyProtection="1">
      <alignment horizontal="center" vertical="center"/>
    </xf>
    <xf numFmtId="0" fontId="4" fillId="0" borderId="5" xfId="96" applyFont="1" applyBorder="1" applyAlignment="1" applyProtection="1">
      <alignment horizontal="center" vertical="center" wrapText="1"/>
    </xf>
    <xf numFmtId="0" fontId="4" fillId="0" borderId="6" xfId="96" applyFont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4" fillId="0" borderId="5" xfId="96" applyFont="1" applyBorder="1" applyAlignment="1" applyProtection="1">
      <alignment vertical="center" wrapText="1"/>
    </xf>
    <xf numFmtId="0" fontId="4" fillId="0" borderId="6" xfId="96" applyFont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9" fillId="2" borderId="1" xfId="96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9" xfId="96" applyFont="1" applyBorder="1" applyAlignment="1" applyProtection="1">
      <alignment vertical="center" wrapText="1"/>
    </xf>
    <xf numFmtId="0" fontId="4" fillId="0" borderId="10" xfId="96" applyFont="1" applyBorder="1" applyAlignment="1" applyProtection="1">
      <alignment vertical="center" wrapText="1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1" xfId="96" applyFont="1" applyFill="1" applyBorder="1" applyAlignment="1" applyProtection="1">
      <alignment horizontal="center" vertical="center"/>
    </xf>
    <xf numFmtId="0" fontId="5" fillId="0" borderId="1" xfId="96" applyFont="1" applyFill="1" applyBorder="1" applyAlignment="1" applyProtection="1">
      <alignment vertical="center" wrapText="1"/>
    </xf>
    <xf numFmtId="2" fontId="4" fillId="3" borderId="1" xfId="96" applyNumberFormat="1" applyFont="1" applyFill="1" applyBorder="1" applyAlignment="1" applyProtection="1">
      <alignment horizontal="right" vertical="center"/>
    </xf>
    <xf numFmtId="0" fontId="10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vertical="center"/>
      <protection locked="0"/>
    </xf>
    <xf numFmtId="0" fontId="12" fillId="0" borderId="0" xfId="1" applyFont="1" applyFill="1" applyBorder="1" applyAlignment="1">
      <alignment horizontal="left"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13" fillId="0" borderId="0" xfId="0" applyFont="1" applyFill="1" applyAlignment="1" applyProtection="1">
      <alignment horizontal="left" vertical="center" wrapText="1"/>
      <protection locked="0"/>
    </xf>
    <xf numFmtId="2" fontId="4" fillId="0" borderId="0" xfId="96" applyNumberFormat="1" applyFont="1" applyFill="1" applyAlignment="1" applyProtection="1">
      <alignment horizontal="right" vertical="center"/>
    </xf>
    <xf numFmtId="0" fontId="11" fillId="0" borderId="0" xfId="0" applyFont="1" applyFill="1" applyAlignment="1" applyProtection="1">
      <alignment horizontal="center" vertical="center" wrapText="1"/>
      <protection locked="0"/>
    </xf>
    <xf numFmtId="2" fontId="4" fillId="4" borderId="1" xfId="96" applyNumberFormat="1" applyFont="1" applyFill="1" applyBorder="1" applyAlignment="1" applyProtection="1">
      <alignment horizontal="right" vertical="center"/>
    </xf>
    <xf numFmtId="0" fontId="4" fillId="0" borderId="0" xfId="51" applyFont="1" applyAlignment="1" applyProtection="1">
      <alignment vertical="center"/>
    </xf>
    <xf numFmtId="2" fontId="4" fillId="5" borderId="1" xfId="96" applyNumberFormat="1" applyFont="1" applyFill="1" applyBorder="1" applyAlignment="1" applyProtection="1">
      <alignment horizontal="right" vertical="center"/>
    </xf>
    <xf numFmtId="0" fontId="0" fillId="3" borderId="1" xfId="96" applyFont="1" applyFill="1" applyBorder="1" applyAlignment="1" applyProtection="1">
      <alignment horizontal="center" vertical="center"/>
    </xf>
    <xf numFmtId="0" fontId="14" fillId="0" borderId="4" xfId="96" applyFont="1" applyBorder="1" applyAlignment="1" applyProtection="1">
      <alignment horizontal="center" vertical="center"/>
    </xf>
    <xf numFmtId="0" fontId="14" fillId="0" borderId="12" xfId="96" applyFont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>
      <alignment horizontal="left" vertical="center" indent="1"/>
    </xf>
    <xf numFmtId="0" fontId="4" fillId="0" borderId="13" xfId="96" applyFont="1" applyBorder="1" applyAlignment="1" applyProtection="1">
      <alignment horizontal="left" vertical="center"/>
    </xf>
    <xf numFmtId="0" fontId="4" fillId="0" borderId="13" xfId="96" applyFont="1" applyBorder="1" applyAlignment="1" applyProtection="1">
      <alignment vertical="center"/>
    </xf>
    <xf numFmtId="0" fontId="8" fillId="2" borderId="14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 wrapText="1"/>
    </xf>
    <xf numFmtId="2" fontId="4" fillId="0" borderId="1" xfId="96" applyNumberFormat="1" applyFont="1" applyFill="1" applyBorder="1" applyAlignment="1" applyProtection="1">
      <alignment horizontal="right" vertical="center"/>
    </xf>
    <xf numFmtId="0" fontId="0" fillId="0" borderId="0" xfId="96" applyFont="1" applyFill="1" applyProtection="1"/>
  </cellXfs>
  <cellStyles count="869">
    <cellStyle name="常规" xfId="0" builtinId="0"/>
    <cellStyle name="常规_G01" xfId="1"/>
    <cellStyle name="标题 3 2 5" xfId="2"/>
    <cellStyle name="强调文字颜色 5 3 4" xfId="3"/>
    <cellStyle name="好 3_G4B-3（b）证券融资交易对手信用风险计算表(0621)" xfId="4"/>
    <cellStyle name="标题 3 2 4" xfId="5"/>
    <cellStyle name="輔色6" xfId="6"/>
    <cellStyle name="标题 3 2 3" xfId="7"/>
    <cellStyle name="警告文本 2 6" xfId="8"/>
    <cellStyle name="輔色5" xfId="9"/>
    <cellStyle name="20% - 强调文字颜色 2 2 6" xfId="10"/>
    <cellStyle name="标题 3 2 2" xfId="11"/>
    <cellStyle name="警告文本 2 5" xfId="12"/>
    <cellStyle name="标题 3 2" xfId="13"/>
    <cellStyle name="标题 2 5" xfId="14"/>
    <cellStyle name="標題 2" xfId="15"/>
    <cellStyle name="标题 2 4" xfId="16"/>
    <cellStyle name="標題 1" xfId="17"/>
    <cellStyle name="标题 2 3" xfId="18"/>
    <cellStyle name="强调文字颜色 4 3_G4B-3（b）证券融资交易对手信用风险计算表(0621)" xfId="19"/>
    <cellStyle name="輔色2" xfId="20"/>
    <cellStyle name="20% - 强调文字颜色 2 2 3" xfId="21"/>
    <cellStyle name="标题 2 2_G4B-4 资产证券化业务风险加权资产表" xfId="22"/>
    <cellStyle name="输出 2_G4B-3（b）证券融资交易对手信用风险计算表(0621)" xfId="23"/>
    <cellStyle name="标题 2 2 6" xfId="24"/>
    <cellStyle name="标题 2 2 5" xfId="25"/>
    <cellStyle name="标题 2 2 4" xfId="26"/>
    <cellStyle name="标题 2 2 3" xfId="27"/>
    <cellStyle name="标题 2 2 2" xfId="28"/>
    <cellStyle name="强调文字颜色 3 4" xfId="29"/>
    <cellStyle name="千位_股东贷款" xfId="30"/>
    <cellStyle name="标题 2 2" xfId="31"/>
    <cellStyle name="标题 1 4" xfId="32"/>
    <cellStyle name="标题 1 3" xfId="33"/>
    <cellStyle name="标题 1 2 6" xfId="34"/>
    <cellStyle name="常规 7" xfId="35"/>
    <cellStyle name="标题 1 2 5" xfId="36"/>
    <cellStyle name="常规 6" xfId="37"/>
    <cellStyle name="标题 1 2 4" xfId="38"/>
    <cellStyle name="標題" xfId="39"/>
    <cellStyle name="常规 5" xfId="40"/>
    <cellStyle name="标题 1 2 3" xfId="41"/>
    <cellStyle name="60% - 輔色6" xfId="42"/>
    <cellStyle name="常规 4" xfId="43"/>
    <cellStyle name="标题 1 2 2" xfId="44"/>
    <cellStyle name="60% - 輔色5" xfId="45"/>
    <cellStyle name="检查单元格 2 5" xfId="46"/>
    <cellStyle name="强调文字颜色 6_G4B-3（a）场外衍生工具交易对手信用风险计算表(权重法)" xfId="47"/>
    <cellStyle name="百分比 3" xfId="48"/>
    <cellStyle name="好 2 3" xfId="49"/>
    <cellStyle name="适中 7" xfId="50"/>
    <cellStyle name="Normal_G10revised-20050118" xfId="51"/>
    <cellStyle name="Normal_--------------±-￡---------￡-_S11" xfId="52"/>
    <cellStyle name="Followed Hyperlink" xfId="53"/>
    <cellStyle name="强调文字颜色 2 6" xfId="54"/>
    <cellStyle name="60% - 强调文字颜色 6 6" xfId="55"/>
    <cellStyle name="20% - 强调文字颜色 1 2 5" xfId="56"/>
    <cellStyle name="20% - 强调文字颜色 4 3 2" xfId="57"/>
    <cellStyle name="标题 4 7" xfId="58"/>
    <cellStyle name="60% - 强调文字颜色 6 3 5" xfId="59"/>
    <cellStyle name="标题 4 6" xfId="60"/>
    <cellStyle name="60% - 强调文字颜色 6 3 4" xfId="61"/>
    <cellStyle name="标题 4 5" xfId="62"/>
    <cellStyle name="60% - 强调文字颜色 6 3 3" xfId="63"/>
    <cellStyle name="标题 4 4" xfId="64"/>
    <cellStyle name="60% - 强调文字颜色 6 3 2" xfId="65"/>
    <cellStyle name="解释性文本 3 4" xfId="66"/>
    <cellStyle name="60% - 强调文字颜色 6 2_G4B-3（b）证券融资交易对手信用风险计算表(0621)" xfId="67"/>
    <cellStyle name="输出 3 4" xfId="68"/>
    <cellStyle name="常规_G4B-1 表内信用风险加权资产计算表（权重法）" xfId="69"/>
    <cellStyle name="强调文字颜色 2 3_G4B-3（b）证券融资交易对手信用风险计算表(0621)" xfId="70"/>
    <cellStyle name="适中 2 4" xfId="71"/>
    <cellStyle name="計算方式" xfId="72"/>
    <cellStyle name="60% - 强调文字颜色 6 2 6" xfId="73"/>
    <cellStyle name="标题 3 7" xfId="74"/>
    <cellStyle name="20% - 强调文字颜色 4 2 2" xfId="75"/>
    <cellStyle name="60% - 强调文字颜色 6 2 5" xfId="76"/>
    <cellStyle name="标题 3 6" xfId="77"/>
    <cellStyle name="60% - 强调文字颜色 6 2 4" xfId="78"/>
    <cellStyle name="标题 3 5" xfId="79"/>
    <cellStyle name="60% - 强调文字颜色 6 2 3" xfId="80"/>
    <cellStyle name="20% - 强调文字颜色 1_G4B-3（a）场外衍生工具交易对手信用风险计算表(权重法)" xfId="81"/>
    <cellStyle name="标题 3 4" xfId="82"/>
    <cellStyle name="60% - 强调文字颜色 6 2 2" xfId="83"/>
    <cellStyle name="汇总 2 6" xfId="84"/>
    <cellStyle name="60% - 强调文字颜色 5 6" xfId="85"/>
    <cellStyle name="汇总 2 5" xfId="86"/>
    <cellStyle name="60% - 强调文字颜色 5 5" xfId="87"/>
    <cellStyle name="60% - 强调文字颜色 4 3 5" xfId="88"/>
    <cellStyle name="汇总 2 4" xfId="89"/>
    <cellStyle name="20% - 强调文字颜色 5 2_G4B-3（b）证券融资交易对手信用风险计算表(0621)" xfId="90"/>
    <cellStyle name="60% - 强调文字颜色 5 4" xfId="91"/>
    <cellStyle name="60% - 强调文字颜色 4 3 4" xfId="92"/>
    <cellStyle name="标题 1 2" xfId="93"/>
    <cellStyle name="60% - 强调文字颜色 5 3_G4B-3（b）证券融资交易对手信用风险计算表(0621)" xfId="94"/>
    <cellStyle name="60% - 强调文字颜色 5 3 5" xfId="95"/>
    <cellStyle name="常规_表内风险资产" xfId="96"/>
    <cellStyle name="解释性文本 7" xfId="97"/>
    <cellStyle name="60% - 强调文字颜色 5 3 4" xfId="98"/>
    <cellStyle name="解释性文本 5" xfId="99"/>
    <cellStyle name="60% - 强调文字颜色 5 3 2" xfId="100"/>
    <cellStyle name="汇总 2 3" xfId="101"/>
    <cellStyle name="60% - 强调文字颜色 5 3" xfId="102"/>
    <cellStyle name="60% - 强调文字颜色 4 3 3" xfId="103"/>
    <cellStyle name="_ET_STYLE_NoName_00_" xfId="104"/>
    <cellStyle name="60% - 强调文字颜色 5 2 6" xfId="105"/>
    <cellStyle name="40% - 强调文字颜色 6 5" xfId="106"/>
    <cellStyle name="60% - 强调文字颜色 5 2 4" xfId="107"/>
    <cellStyle name="40% - 强调文字颜色 6 3" xfId="108"/>
    <cellStyle name="60% - 强调文字颜色 5 2 2" xfId="109"/>
    <cellStyle name="20% - 强调文字颜色 4 2 6" xfId="110"/>
    <cellStyle name="汇总 2 2" xfId="111"/>
    <cellStyle name="计算 3_G4B-3（b）证券融资交易对手信用风险计算表(0621)" xfId="112"/>
    <cellStyle name="60% - 强调文字颜色 5 2" xfId="113"/>
    <cellStyle name="60% - 强调文字颜色 4 3 2" xfId="114"/>
    <cellStyle name="60% - 强调文字颜色 4 6" xfId="115"/>
    <cellStyle name="60% - 强调文字颜色 4 2 6" xfId="116"/>
    <cellStyle name="60% - 强调文字颜色 4 5" xfId="117"/>
    <cellStyle name="60% - 强调文字颜色 4 2 5" xfId="118"/>
    <cellStyle name="计算 2 4" xfId="119"/>
    <cellStyle name="60% - 强调文字颜色 4 2_G4B-3（b）证券融资交易对手信用风险计算表(0621)" xfId="120"/>
    <cellStyle name="强调文字颜色 6 4" xfId="121"/>
    <cellStyle name="标题 4 3 5" xfId="122"/>
    <cellStyle name="标题 4 3 4" xfId="123"/>
    <cellStyle name="40% - 强调文字颜色 2 5" xfId="124"/>
    <cellStyle name="20% - 强调文字颜色 6 3 4" xfId="125"/>
    <cellStyle name="强调文字颜色 1 3 3" xfId="126"/>
    <cellStyle name="壞" xfId="127"/>
    <cellStyle name="40% - 强调文字颜色 1 2 5" xfId="128"/>
    <cellStyle name="20% - 强调文字颜色 6 3 2" xfId="129"/>
    <cellStyle name="40% - 强调文字颜色 1 2 3" xfId="130"/>
    <cellStyle name="20% - 强调文字颜色 6 2 6" xfId="131"/>
    <cellStyle name="警告文本 7" xfId="132"/>
    <cellStyle name="强调文字颜色 1 2 5" xfId="133"/>
    <cellStyle name="40% - 强调文字颜色 2 3 5" xfId="134"/>
    <cellStyle name="40% - 强调文字颜色 2 3 4" xfId="135"/>
    <cellStyle name="20% - 强调文字颜色 5 3 5" xfId="136"/>
    <cellStyle name="20% - 强调文字颜色 5 3 4" xfId="137"/>
    <cellStyle name="20% - 强调文字颜色 5 3 3" xfId="138"/>
    <cellStyle name="60% - 强调文字颜色 3 2_G4B-3（b）证券融资交易对手信用风险计算表(0621)" xfId="139"/>
    <cellStyle name="强调文字颜色 1 7" xfId="140"/>
    <cellStyle name="20% - 强调文字颜色 5 2 6" xfId="141"/>
    <cellStyle name="40% - 强调文字颜色 1 3 5" xfId="142"/>
    <cellStyle name="40% - 强调文字颜色 1 2 6" xfId="143"/>
    <cellStyle name="20% - 强调文字颜色 3_G4B-3（a）场外衍生工具交易对手信用风险计算表(权重法)" xfId="144"/>
    <cellStyle name="输入 3 3" xfId="145"/>
    <cellStyle name="汇总 3" xfId="146"/>
    <cellStyle name="20% - 强调文字颜色 4 2 3" xfId="147"/>
    <cellStyle name="60% - 輔色4" xfId="148"/>
    <cellStyle name="40% - 强调文字颜色 1 3_G4B-3（b）证券融资交易对手信用风险计算表(0621)" xfId="149"/>
    <cellStyle name="60% - 强调文字颜色 1 3 3" xfId="150"/>
    <cellStyle name="标题 1 3 2" xfId="151"/>
    <cellStyle name="强调文字颜色 3 2 5" xfId="152"/>
    <cellStyle name="60% - 强调文字颜色 2 3" xfId="153"/>
    <cellStyle name="20% - 强调文字颜色 5 2" xfId="154"/>
    <cellStyle name="60% - 强调文字颜色 2 7" xfId="155"/>
    <cellStyle name="20% - 强调文字颜色 5 6" xfId="156"/>
    <cellStyle name="40% - 强调文字颜色 6 6" xfId="157"/>
    <cellStyle name="40% - 强调文字颜色 4 2 6" xfId="158"/>
    <cellStyle name="60% - 强调文字颜色 2 6" xfId="159"/>
    <cellStyle name="20% - 强调文字颜色 5 5" xfId="160"/>
    <cellStyle name="警告文本 2 4" xfId="161"/>
    <cellStyle name="40% - 强调文字颜色 4 2 5" xfId="162"/>
    <cellStyle name="60% - 强调文字颜色 6_G4B-3（a）场外衍生工具交易对手信用风险计算表(权重法)" xfId="163"/>
    <cellStyle name="千位分隔 6" xfId="164"/>
    <cellStyle name="40% - 强调文字颜色 1_G4B-3（a）场外衍生工具交易对手信用风险计算表(权重法)" xfId="165"/>
    <cellStyle name="40% - 强调文字颜色 2 2 4" xfId="166"/>
    <cellStyle name="60% - 强调文字颜色 2 3_G4B-3（b）证券融资交易对手信用风险计算表(0621)" xfId="167"/>
    <cellStyle name="60% - 强调文字颜色 2 5" xfId="168"/>
    <cellStyle name="20% - 强调文字颜色 5 4" xfId="169"/>
    <cellStyle name="40% - 强调文字颜色 6 3_G4B-3（b）证券融资交易对手信用风险计算表(0621)" xfId="170"/>
    <cellStyle name="常规 2 2 6" xfId="171"/>
    <cellStyle name="60% - 强调文字颜色 1 2 4" xfId="172"/>
    <cellStyle name="60% - 强调文字颜色 1 2 3" xfId="173"/>
    <cellStyle name="标题 1 3 5" xfId="174"/>
    <cellStyle name="20% - 强调文字颜色 5 3" xfId="175"/>
    <cellStyle name="强调文字颜色 3_G4B-3（a）场外衍生工具交易对手信用风险计算表(权重法)" xfId="176"/>
    <cellStyle name="60% - 强调文字颜色 3 2" xfId="177"/>
    <cellStyle name="强调文字颜色 3 3 4" xfId="178"/>
    <cellStyle name="40% - 强调文字颜色 6 2 4" xfId="179"/>
    <cellStyle name="好_资产证券化监管报表_G4B-3（a）场外衍生工具交易对手信用风险计算表(权重法)" xfId="180"/>
    <cellStyle name="60% - 强调文字颜色 2 3 3" xfId="181"/>
    <cellStyle name="20% - 强调文字颜色 5 2 3" xfId="182"/>
    <cellStyle name="40% - 强调文字颜色 6 2 3" xfId="183"/>
    <cellStyle name="60% - 强调文字颜色 5 2_G4B-3（b）证券融资交易对手信用风险计算表(0621)" xfId="184"/>
    <cellStyle name="40% - 强调文字颜色 4 2 2" xfId="185"/>
    <cellStyle name="标题 1 6" xfId="186"/>
    <cellStyle name="千位分隔 3" xfId="187"/>
    <cellStyle name="20% - 强调文字颜色 4 5" xfId="188"/>
    <cellStyle name="40% - 强调文字颜色 5 2 2" xfId="189"/>
    <cellStyle name="60% - 强调文字颜色 1 6" xfId="190"/>
    <cellStyle name="60% - 强调文字颜色 1 3 2" xfId="191"/>
    <cellStyle name="60% - 輔色3" xfId="192"/>
    <cellStyle name="40% - 强调文字颜色 5 5" xfId="193"/>
    <cellStyle name="检查单元格 3 2" xfId="194"/>
    <cellStyle name="40% - 强调文字颜色 3 2" xfId="195"/>
    <cellStyle name="强调文字颜色 5 6" xfId="196"/>
    <cellStyle name="20% - 强调文字颜色 1 3_G4B-3（b）证券融资交易对手信用风险计算表(0621)" xfId="197"/>
    <cellStyle name="60% - 强调文字颜色 1 4" xfId="198"/>
    <cellStyle name="20% - 强调文字颜色 4 3" xfId="199"/>
    <cellStyle name="40% - 强调文字颜色 5 2 5" xfId="200"/>
    <cellStyle name="20% - 輔色2" xfId="201"/>
    <cellStyle name="20% - 强调文字颜色 1 5" xfId="202"/>
    <cellStyle name="强调文字颜色 2 2 5" xfId="203"/>
    <cellStyle name="链接单元格 2 4" xfId="204"/>
    <cellStyle name="40% - 强调文字颜色 3 2 6" xfId="205"/>
    <cellStyle name="好_资产证券化监管报表" xfId="206"/>
    <cellStyle name="差_G4B-3（b）证券融资交易对手信用风险计算表(0621)" xfId="207"/>
    <cellStyle name="计算 3 5" xfId="208"/>
    <cellStyle name="20% - 强调文字颜色 1 4" xfId="209"/>
    <cellStyle name="强调文字颜色 2 2 4" xfId="210"/>
    <cellStyle name="标题 1 7" xfId="211"/>
    <cellStyle name="40% - 强调文字颜色 4 2 3" xfId="212"/>
    <cellStyle name="40% - 强调文字颜色 5 2 3" xfId="213"/>
    <cellStyle name="千位分隔 4" xfId="214"/>
    <cellStyle name="20% - 强调文字颜色 4 6" xfId="215"/>
    <cellStyle name="60% - 强调文字颜色 1 7" xfId="216"/>
    <cellStyle name="好 3 4" xfId="217"/>
    <cellStyle name="常规 2 2 2" xfId="218"/>
    <cellStyle name="40% - 强调文字颜色 4_G4B-3（a）场外衍生工具交易对手信用风险计算表(权重法)" xfId="219"/>
    <cellStyle name="40% - 强调文字颜色 6 2 5" xfId="220"/>
    <cellStyle name="20% - 强调文字颜色 5 2 5" xfId="221"/>
    <cellStyle name="標題 3" xfId="222"/>
    <cellStyle name="标题 2 6" xfId="223"/>
    <cellStyle name="40% - 强调文字颜色 4 3 2" xfId="224"/>
    <cellStyle name="40% - 輔色4" xfId="225"/>
    <cellStyle name="40% - 强调文字颜色 4 6" xfId="226"/>
    <cellStyle name="標題 4" xfId="227"/>
    <cellStyle name="标题 2 7" xfId="228"/>
    <cellStyle name="40% - 强调文字颜色 4 3 3" xfId="229"/>
    <cellStyle name="40% - 輔色5" xfId="230"/>
    <cellStyle name="40% - 强调文字颜色 3 5" xfId="231"/>
    <cellStyle name="40% - 强调文字颜色 3 4" xfId="232"/>
    <cellStyle name="强调文字颜色 3 3_G4B-3（b）证券融资交易对手信用风险计算表(0621)" xfId="233"/>
    <cellStyle name="40% - 强调文字颜色 3 3" xfId="234"/>
    <cellStyle name="强调文字颜色 1 2 6" xfId="235"/>
    <cellStyle name="40% - 强调文字颜色 2 3_G4B-3（b）证券融资交易对手信用风险计算表(0621)" xfId="236"/>
    <cellStyle name="40% - 强调文字颜色 1 2_G4B-3（b）证券融资交易对手信用风险计算表(0621)" xfId="237"/>
    <cellStyle name="40% - 强调文字颜色 4 2 4" xfId="238"/>
    <cellStyle name="计算 3 4" xfId="239"/>
    <cellStyle name="强调文字颜色 2 2 3" xfId="240"/>
    <cellStyle name="20% - 强调文字颜色 1 3" xfId="241"/>
    <cellStyle name="40% - 强调文字颜色 4 5" xfId="242"/>
    <cellStyle name="40% - 强调文字颜色 6_G4B-3（a）场外衍生工具交易对手信用风险计算表(权重法)" xfId="243"/>
    <cellStyle name="40% - 强调文字颜色 4" xfId="244" builtinId="43"/>
    <cellStyle name="40% - 强调文字颜色 2 2 5" xfId="245"/>
    <cellStyle name="输入 2" xfId="246"/>
    <cellStyle name="标题 4 2 2" xfId="247"/>
    <cellStyle name="60% - 輔色1" xfId="248"/>
    <cellStyle name="标题 5" xfId="249"/>
    <cellStyle name="标题 6 5" xfId="250"/>
    <cellStyle name="40% - 强调文字颜色 1 7" xfId="251"/>
    <cellStyle name="?鹎%U龡&amp;H?_x0008__x001c__x001c_?_x0007__x0001__x0001_" xfId="252"/>
    <cellStyle name="常规 2 2 4" xfId="253"/>
    <cellStyle name="20% - 强调文字颜色 3 2" xfId="254"/>
    <cellStyle name="标题 5_G4B-4 资产证券化业务风险加权资产表" xfId="255"/>
    <cellStyle name="标题 7" xfId="256"/>
    <cellStyle name="强调文字颜色 1 3" xfId="257"/>
    <cellStyle name="標題_G4B-3（a）场外衍生工具交易对手信用风险计算表(权重法)" xfId="258"/>
    <cellStyle name="差_G4B-3（a）场外衍生工具交易对手信用风险计算表(权重法)" xfId="259"/>
    <cellStyle name="好 2_G4B-3（b）证券融资交易对手信用风险计算表(0621)" xfId="260"/>
    <cellStyle name="40% - 輔色6" xfId="261"/>
    <cellStyle name="差 2 2" xfId="262"/>
    <cellStyle name="链接单元格 7" xfId="263"/>
    <cellStyle name="常规 2 3" xfId="264"/>
    <cellStyle name="标题 3 3_G4B-2" xfId="265"/>
    <cellStyle name="40% - 强调文字颜色 2 6" xfId="266"/>
    <cellStyle name="好 5" xfId="267"/>
    <cellStyle name="40% - 强调文字颜色 6 7" xfId="268"/>
    <cellStyle name="40% - 强调文字颜色 3 3 2" xfId="269"/>
    <cellStyle name="链接单元格 3 2" xfId="270"/>
    <cellStyle name="强调文字颜色 4_G4B-3（a）场外衍生工具交易对手信用风险计算表(权重法)" xfId="271"/>
    <cellStyle name="链接单元格 3 4" xfId="272"/>
    <cellStyle name="强调文字颜色 1 3_G4B-3（b）证券融资交易对手信用风险计算表(0621)" xfId="273"/>
    <cellStyle name="20% - 强调文字颜色 2 3 3" xfId="274"/>
    <cellStyle name="20% - 强调文字颜色 3" xfId="275" builtinId="38"/>
    <cellStyle name="强调文字颜色 2 4" xfId="276"/>
    <cellStyle name="40% - 强调文字颜色 3 2_G4B-3（b）证券融资交易对手信用风险计算表(0621)" xfId="277"/>
    <cellStyle name="强调文字颜色 1 5" xfId="278"/>
    <cellStyle name="40% - 强调文字颜色 2" xfId="279" builtinId="35"/>
    <cellStyle name="适中 2 6" xfId="280"/>
    <cellStyle name="40% - 輔色2" xfId="281"/>
    <cellStyle name="20% - 强调文字颜色 1 3 4" xfId="282"/>
    <cellStyle name="好 2 6" xfId="283"/>
    <cellStyle name="百分比 6" xfId="284"/>
    <cellStyle name="解释性文本 2 2" xfId="285"/>
    <cellStyle name="强调文字颜色 1 6" xfId="286"/>
    <cellStyle name="40% - 强调文字颜色 3" xfId="287" builtinId="39"/>
    <cellStyle name="解释性文本 2 3" xfId="288"/>
    <cellStyle name="链接单元格 6" xfId="289"/>
    <cellStyle name="40% - 强调文字颜色 2_G4B-3（a）场外衍生工具交易对手信用风险计算表(权重法)" xfId="290"/>
    <cellStyle name="40% - 强调文字颜色 6" xfId="291" builtinId="51"/>
    <cellStyle name="强调文字颜色 1 3 5" xfId="292"/>
    <cellStyle name="解释性文本 4" xfId="293"/>
    <cellStyle name="警告文本 3 4" xfId="294"/>
    <cellStyle name="40% - 輔色3" xfId="295"/>
    <cellStyle name="20% - 强调文字颜色 1 3 5" xfId="296"/>
    <cellStyle name="解释性文本 2 6" xfId="297"/>
    <cellStyle name="计算 2" xfId="298"/>
    <cellStyle name="链接单元格 2 3" xfId="299"/>
    <cellStyle name="强调文字颜色 1 4" xfId="300"/>
    <cellStyle name="40% - 强调文字颜色 1" xfId="301" builtinId="31"/>
    <cellStyle name="中等" xfId="302"/>
    <cellStyle name="Hyperlink" xfId="303"/>
    <cellStyle name="强调文字颜色 6" xfId="304" builtinId="49"/>
    <cellStyle name="40% - 强调文字颜色 5" xfId="305" builtinId="47"/>
    <cellStyle name="输出 2 6" xfId="306"/>
    <cellStyle name="注释 3 3" xfId="307"/>
    <cellStyle name="解释性文本 2 5" xfId="308"/>
    <cellStyle name="60% - 强调文字颜色 4 7" xfId="309"/>
    <cellStyle name="好 2" xfId="310"/>
    <cellStyle name="百分比" xfId="311" builtinId="5"/>
    <cellStyle name="40% - 强调文字颜色 5 3 3" xfId="312"/>
    <cellStyle name="输出 3" xfId="313"/>
    <cellStyle name="适中 2" xfId="314"/>
    <cellStyle name="千位分隔" xfId="315" builtinId="3"/>
    <cellStyle name="20% - 强调文字颜色 1" xfId="316" builtinId="30"/>
    <cellStyle name="强调文字颜色 2 2" xfId="317"/>
    <cellStyle name="注释 3 4" xfId="318"/>
    <cellStyle name="强调文字颜色 5" xfId="319" builtinId="45"/>
    <cellStyle name="解释性文本 2 4" xfId="320"/>
    <cellStyle name="解释性文本 2" xfId="321"/>
    <cellStyle name="输入 2 5" xfId="322"/>
    <cellStyle name="链接单元格 5" xfId="323"/>
    <cellStyle name="输入 7" xfId="324"/>
    <cellStyle name="好_G4B-4 资产证券化业务风险加权资产表" xfId="325"/>
    <cellStyle name="20% - 强调文字颜色 2 7" xfId="326"/>
    <cellStyle name="常规 2 5" xfId="327"/>
    <cellStyle name="解释性文本" xfId="328" builtinId="53"/>
    <cellStyle name="20% - 强调文字颜色 4 2 4" xfId="329"/>
    <cellStyle name="60% - 强调文字颜色 1 3 4" xfId="330"/>
    <cellStyle name="链接单元格 3 5" xfId="331"/>
    <cellStyle name="强调文字颜色 1 3 4" xfId="332"/>
    <cellStyle name="20% - 强调文字颜色 6 3 5" xfId="333"/>
    <cellStyle name="标题 2" xfId="334" builtinId="17"/>
    <cellStyle name="40% - 强调文字颜色 1 4" xfId="335"/>
    <cellStyle name="标题 6 2" xfId="336"/>
    <cellStyle name="40% - 强调文字颜色 3 3 5" xfId="337"/>
    <cellStyle name="标题 5 4" xfId="338"/>
    <cellStyle name="汇总 6" xfId="339"/>
    <cellStyle name="60% - 强调文字颜色 4 2 2" xfId="340"/>
    <cellStyle name="60% - 强调文字颜色 4 2" xfId="341"/>
    <cellStyle name="60% - 强调文字颜色 4" xfId="342" builtinId="44"/>
    <cellStyle name="检查单元格" xfId="343" builtinId="23"/>
    <cellStyle name="强调文字颜色 2 3" xfId="344"/>
    <cellStyle name="警告文本 2_G4B-4 资产证券化业务风险加权资产表" xfId="345"/>
    <cellStyle name="差 2 4" xfId="346"/>
    <cellStyle name="警告文字" xfId="347"/>
    <cellStyle name="注释" xfId="348" builtinId="10"/>
    <cellStyle name="60% - 强调文字颜色 4 3_G4B-3（b）证券融资交易对手信用风险计算表(0621)" xfId="349"/>
    <cellStyle name="标题 1 5" xfId="350"/>
    <cellStyle name="20% - 强调文字颜色 2 2_G4B-3（b）证券融资交易对手信用风险计算表(0621)" xfId="351"/>
    <cellStyle name="百分比 4" xfId="352"/>
    <cellStyle name="好 2 4" xfId="353"/>
    <cellStyle name="检查单元格 2 6" xfId="354"/>
    <cellStyle name="警告文本" xfId="355" builtinId="11"/>
    <cellStyle name="标题 3" xfId="356" builtinId="18"/>
    <cellStyle name="40% - 强调文字颜色 1 5" xfId="357"/>
    <cellStyle name="标题 6 3" xfId="358"/>
    <cellStyle name="强调文字颜色 1 2_G4B-3（b）证券融资交易对手信用风险计算表(0621)" xfId="359"/>
    <cellStyle name="汇总 7" xfId="360"/>
    <cellStyle name="计算 2 3" xfId="361"/>
    <cellStyle name="链接单元格 2_G4B-2" xfId="362"/>
    <cellStyle name="20% - 强调文字颜色 2 2 4" xfId="363"/>
    <cellStyle name="輔色3" xfId="364"/>
    <cellStyle name="强调文字颜色 5 5" xfId="365"/>
    <cellStyle name="20% - 强调文字颜色 5 3 2" xfId="366"/>
    <cellStyle name="超链接" xfId="367" builtinId="8"/>
    <cellStyle name="标题 4 2_G4B-4 资产证券化业务风险加权资产表" xfId="368"/>
    <cellStyle name="40% - 强调文字颜色 1 3 4" xfId="369"/>
    <cellStyle name="差 3 2" xfId="370"/>
    <cellStyle name="60% - 强调文字颜色 4 4" xfId="371"/>
    <cellStyle name="60% - 强调文字颜色 4 2 4" xfId="372"/>
    <cellStyle name="60% - 强调文字颜色 6" xfId="373" builtinId="52"/>
    <cellStyle name="链接单元格 2 2" xfId="374"/>
    <cellStyle name="40% - 强调文字颜色 5 3 2" xfId="375"/>
    <cellStyle name="输出 2" xfId="376"/>
    <cellStyle name="連結的儲存格" xfId="377"/>
    <cellStyle name="差" xfId="378" builtinId="27"/>
    <cellStyle name="40% - 强调文字颜色 6 2" xfId="379"/>
    <cellStyle name="60% - 强调文字颜色 5 2 3" xfId="380"/>
    <cellStyle name="强调文字颜色 1 2" xfId="381"/>
    <cellStyle name="强调文字颜色 2 5" xfId="382"/>
    <cellStyle name="强调文字颜色 4" xfId="383" builtinId="41"/>
    <cellStyle name="强调文字颜色 4 7" xfId="384"/>
    <cellStyle name="标题 5 6" xfId="385"/>
    <cellStyle name="20% - 强调文字颜色 6" xfId="386" builtinId="50"/>
    <cellStyle name="强调文字颜色 2 7" xfId="387"/>
    <cellStyle name="好 4" xfId="388"/>
    <cellStyle name="60% - 强调文字颜色 1" xfId="389" builtinId="32"/>
    <cellStyle name="计算 6" xfId="390"/>
    <cellStyle name="链接单元格 2 6" xfId="391"/>
    <cellStyle name="检查单元格 2 3" xfId="392"/>
    <cellStyle name="适中 5" xfId="393"/>
    <cellStyle name="输出 6" xfId="394"/>
    <cellStyle name="链接单元格 3_G4B-2" xfId="395"/>
    <cellStyle name="20% - 强调文字颜色 2_G4B-3（a）场外衍生工具交易对手信用风险计算表(权重法)" xfId="396"/>
    <cellStyle name="适中 3_G4B-3（b）证券融资交易对手信用风险计算表(0621)" xfId="397"/>
    <cellStyle name="60% - 强调文字颜色 2_G4B-3（a）场外衍生工具交易对手信用风险计算表(权重法)" xfId="398"/>
    <cellStyle name="好 6" xfId="399"/>
    <cellStyle name="60% - 强调文字颜色 3" xfId="400" builtinId="40"/>
    <cellStyle name="标题" xfId="401" builtinId="15"/>
    <cellStyle name="40% - 强调文字颜色 2 2_G4B-3（b）证券融资交易对手信用风险计算表(0621)" xfId="402"/>
    <cellStyle name="标题 6" xfId="403"/>
    <cellStyle name="解释性文本 3 2" xfId="404"/>
    <cellStyle name="40% - 强调文字颜色 3 2 2" xfId="405"/>
    <cellStyle name="差 3" xfId="406"/>
    <cellStyle name="适中 3 2" xfId="407"/>
    <cellStyle name="差 3 3" xfId="408"/>
    <cellStyle name="20% - 强调文字颜色 2 3" xfId="409"/>
    <cellStyle name="常规 3 4" xfId="410"/>
    <cellStyle name="标题 4" xfId="411" builtinId="19"/>
    <cellStyle name="强调文字颜色 4 4" xfId="412"/>
    <cellStyle name="60% - 輔色2" xfId="413"/>
    <cellStyle name="标题 4 2 5" xfId="414"/>
    <cellStyle name="输入 5" xfId="415"/>
    <cellStyle name="链接单元格 3" xfId="416"/>
    <cellStyle name="适中" xfId="417" builtinId="28"/>
    <cellStyle name="强调文字颜色 2" xfId="418" builtinId="33"/>
    <cellStyle name="强调文字颜色 4 5" xfId="419"/>
    <cellStyle name="20% - 强调文字颜色 3 2 2" xfId="420"/>
    <cellStyle name="强调文字颜色 1_G4B-3（a）场外衍生工具交易对手信用风险计算表(权重法)" xfId="421"/>
    <cellStyle name="计算 7" xfId="422"/>
    <cellStyle name="强调文字颜色 3" xfId="423" builtinId="37"/>
    <cellStyle name="强调文字颜色 4 6" xfId="424"/>
    <cellStyle name="解释性文本 3 3" xfId="425"/>
    <cellStyle name="40% - 强调文字颜色 3 2 3" xfId="426"/>
    <cellStyle name="差 3 4" xfId="427"/>
    <cellStyle name="20% - 强调文字颜色 2 4" xfId="428"/>
    <cellStyle name="60% - 强调文字颜色 4 3" xfId="429"/>
    <cellStyle name="60% - 强调文字颜色 4 2 3" xfId="430"/>
    <cellStyle name="标题 1 3_G4B-2" xfId="431"/>
    <cellStyle name="60% - 强调文字颜色 5" xfId="432" builtinId="48"/>
    <cellStyle name="输入 3 2" xfId="433"/>
    <cellStyle name="汇总 2" xfId="434"/>
    <cellStyle name="链接单元格 2" xfId="435"/>
    <cellStyle name="标题 4 2 4" xfId="436"/>
    <cellStyle name="输入 4" xfId="437"/>
    <cellStyle name="解释性文本 2_G4B-4 资产证券化业务风险加权资产表" xfId="438"/>
    <cellStyle name="60% - 强调文字颜色 6 7" xfId="439"/>
    <cellStyle name="20% - 强调文字颜色 1 2 6" xfId="440"/>
    <cellStyle name="汇总 3 5" xfId="441"/>
    <cellStyle name="差 2" xfId="442"/>
    <cellStyle name="强调文字颜色 5 3 3" xfId="443"/>
    <cellStyle name="检查单元格 7" xfId="444"/>
    <cellStyle name="千位分隔[0]" xfId="445" builtinId="6"/>
    <cellStyle name="标题 4 3" xfId="446"/>
    <cellStyle name="20% - 强调文字颜色 2 5" xfId="447"/>
    <cellStyle name="计算" xfId="448" builtinId="22"/>
    <cellStyle name="计算 3 2" xfId="449"/>
    <cellStyle name="好 3 3" xfId="450"/>
    <cellStyle name="检查单元格 3 5" xfId="451"/>
    <cellStyle name="40% - 强调文字颜色 6 2 6" xfId="452"/>
    <cellStyle name="标题 1 3 3" xfId="453"/>
    <cellStyle name="60% - 强调文字颜色 2 4" xfId="454"/>
    <cellStyle name="强调文字颜色 3 2 6" xfId="455"/>
    <cellStyle name="计算 5" xfId="456"/>
    <cellStyle name="计算 3" xfId="457"/>
    <cellStyle name="计算 2 6" xfId="458"/>
    <cellStyle name="60% - 强调文字颜色 1 2 5" xfId="459"/>
    <cellStyle name="40% - 强调文字颜色 6 3 4" xfId="460"/>
    <cellStyle name="20% - 强调文字颜色 5 2 2" xfId="461"/>
    <cellStyle name="60% - 强调文字颜色 2 3 2" xfId="462"/>
    <cellStyle name="计算 2 5" xfId="463"/>
    <cellStyle name="40% - 强调文字颜色 3 3 4" xfId="464"/>
    <cellStyle name="标题 5 3" xfId="465"/>
    <cellStyle name="输入 2 3" xfId="466"/>
    <cellStyle name="汇总 5" xfId="467"/>
    <cellStyle name="输入 3 5" xfId="468"/>
    <cellStyle name="链接单元格" xfId="469" builtinId="24"/>
    <cellStyle name="检查单元格 6" xfId="470"/>
    <cellStyle name="40% - 强调文字颜色 3 3 3" xfId="471"/>
    <cellStyle name="标题 5 2" xfId="472"/>
    <cellStyle name="输入 2 2" xfId="473"/>
    <cellStyle name="汇总 4" xfId="474"/>
    <cellStyle name="输入 3 4" xfId="475"/>
    <cellStyle name="强调文字颜色 2 3 5" xfId="476"/>
    <cellStyle name="检查单元格 5" xfId="477"/>
    <cellStyle name="汇总 3_G4B-2" xfId="478"/>
    <cellStyle name="适中 3" xfId="479"/>
    <cellStyle name="输出 4" xfId="480"/>
    <cellStyle name="40% - 强调文字颜色 5 3 4" xfId="481"/>
    <cellStyle name="20% - 强调文字颜色 5 7" xfId="482"/>
    <cellStyle name="好_资产证券化监管报表_G4B-4 资产证券化业务风险加权资产表" xfId="483"/>
    <cellStyle name="40% - 强调文字颜色 4 3_G4B-3（b）证券融资交易对手信用风险计算表(0621)" xfId="484"/>
    <cellStyle name="强调文字颜色 4 3 2" xfId="485"/>
    <cellStyle name="差_G4B-4 资产证券化业务风险加权资产表" xfId="486"/>
    <cellStyle name="标题 5 5" xfId="487"/>
    <cellStyle name="差 5" xfId="488"/>
    <cellStyle name="壞_G4B-4 资产证券化业务风险加权资产表" xfId="489"/>
    <cellStyle name="适中 3 4" xfId="490"/>
    <cellStyle name="40% - 强调文字颜色 3 2 4" xfId="491"/>
    <cellStyle name="差 3 5" xfId="492"/>
    <cellStyle name="壞_G4B-3（a）场外衍生工具交易对手信用风险计算表(权重法)" xfId="493"/>
    <cellStyle name="警告文本 2" xfId="494"/>
    <cellStyle name="计算 4" xfId="495"/>
    <cellStyle name="差 2_G4B-3（b）证券融资交易对手信用风险计算表(0621)" xfId="496"/>
    <cellStyle name="好_资产证券化监管报表_G4B-3交易对手信用风险汇总表" xfId="497"/>
    <cellStyle name="20% - 强调文字颜色 2 2 5" xfId="498"/>
    <cellStyle name="輔色4" xfId="499"/>
    <cellStyle name="标题 4 3 3" xfId="500"/>
    <cellStyle name="强调文字颜色 6 2 6" xfId="501"/>
    <cellStyle name="好_资产证券化监管报表_G4B-3（b）证券融资交易对手信用风险计算表(0621)" xfId="502"/>
    <cellStyle name="常规 2 7" xfId="503"/>
    <cellStyle name="强调文字颜色 2 3 4" xfId="504"/>
    <cellStyle name="检查单元格 4" xfId="505"/>
    <cellStyle name="链接单元格 4" xfId="506"/>
    <cellStyle name="输入 6" xfId="507"/>
    <cellStyle name="标题 4 2 6" xfId="508"/>
    <cellStyle name="60% - 强调文字颜色 2 3 5" xfId="509"/>
    <cellStyle name="警告文本 3 2" xfId="510"/>
    <cellStyle name="好_G4B-3（b）证券融资交易对手信用风险计算表(0621)" xfId="511"/>
    <cellStyle name="20% - 强调文字颜色 6 4" xfId="512"/>
    <cellStyle name="注释 2" xfId="513"/>
    <cellStyle name="60% - 强调文字颜色 3 5" xfId="514"/>
    <cellStyle name="链接单元格 3 3" xfId="515"/>
    <cellStyle name="40% - 强调文字颜色 5 2_G4B-3（b）证券融资交易对手信用风险计算表(0621)" xfId="516"/>
    <cellStyle name="好_G4B-3（a）场外衍生工具交易对手信用风险计算表(权重法)" xfId="517"/>
    <cellStyle name="强调文字颜色 3 2" xfId="518"/>
    <cellStyle name="好 7" xfId="519"/>
    <cellStyle name="40% - 强调文字颜色 3_G4B-3（a）场外衍生工具交易对手信用风险计算表(权重法)" xfId="520"/>
    <cellStyle name="好 3" xfId="521"/>
    <cellStyle name="輔色1" xfId="522"/>
    <cellStyle name="20% - 强调文字颜色 2 2 2" xfId="523"/>
    <cellStyle name="40% - 强调文字颜色 4 4" xfId="524"/>
    <cellStyle name="常规 3 5" xfId="525"/>
    <cellStyle name="60% - 强调文字颜色 2 2_G4B-3（b）证券融资交易对手信用风险计算表(0621)" xfId="526"/>
    <cellStyle name="标题 3 3 3" xfId="527"/>
    <cellStyle name="强调文字颜色 2_G4B-3（a）场外衍生工具交易对手信用风险计算表(权重法)" xfId="528"/>
    <cellStyle name="常规 3 3" xfId="529"/>
    <cellStyle name="警告文本 3 5" xfId="530"/>
    <cellStyle name="40% - 强调文字颜色 5 3_G4B-3（b）证券融资交易对手信用风险计算表(0621)" xfId="531"/>
    <cellStyle name="标题 3 3 2" xfId="532"/>
    <cellStyle name="强调文字颜色 5 2 5" xfId="533"/>
    <cellStyle name="常规 3 2" xfId="534"/>
    <cellStyle name="标题 9" xfId="535"/>
    <cellStyle name="常规 3" xfId="536"/>
    <cellStyle name="解释性文本 3 5" xfId="537"/>
    <cellStyle name="40% - 强调文字颜色 3 6" xfId="538"/>
    <cellStyle name="常规 2_G4B-3（a）场外衍生工具交易对手信用风险计算表(权重法)" xfId="539"/>
    <cellStyle name="60% - 强调文字颜色 1_G4B-3（a）场外衍生工具交易对手信用风险计算表(权重法)" xfId="540"/>
    <cellStyle name="强调文字颜色 4 2 4" xfId="541"/>
    <cellStyle name="檢查儲存格" xfId="542"/>
    <cellStyle name="强调文字颜色 5 3" xfId="543"/>
    <cellStyle name="差_G4B-3交易对手信用风险汇总表" xfId="544"/>
    <cellStyle name="常规 2 6" xfId="545"/>
    <cellStyle name="强调文字颜色 2 3 3" xfId="546"/>
    <cellStyle name="检查单元格 3" xfId="547"/>
    <cellStyle name="检查单元格 2" xfId="548"/>
    <cellStyle name="差 3_G4B-3（b）证券融资交易对手信用风险计算表(0621)" xfId="549"/>
    <cellStyle name="强调文字颜色 2 3 2" xfId="550"/>
    <cellStyle name="20% - 强调文字颜色 2 2" xfId="551"/>
    <cellStyle name="40% - 强调文字颜色 3 3_G4B-3（b）证券融资交易对手信用风险计算表(0621)" xfId="552"/>
    <cellStyle name="常规 2 2_G4B-4 资产证券化业务风险加权资产表" xfId="553"/>
    <cellStyle name="20% - 强调文字颜色 4 2_G4B-3（b）证券融资交易对手信用风险计算表(0621)" xfId="554"/>
    <cellStyle name="汇总 2_G4B-2" xfId="555"/>
    <cellStyle name="常规 2 2 5" xfId="556"/>
    <cellStyle name="检查单元格 2_G4B-3（b）证券融资交易对手信用风险计算表(0621)" xfId="557"/>
    <cellStyle name="标题 8" xfId="558"/>
    <cellStyle name="20% - 强调文字颜色 5 3_G4B-3（b）证券融资交易对手信用风险计算表(0621)" xfId="559"/>
    <cellStyle name="常规 2" xfId="560"/>
    <cellStyle name="40% - 强调文字颜色 5 2 4" xfId="561"/>
    <cellStyle name="千位分隔 5" xfId="562"/>
    <cellStyle name="20% - 强调文字颜色 4 7" xfId="563"/>
    <cellStyle name="20% - 輔色1" xfId="564"/>
    <cellStyle name="20% - 强调文字颜色 4 2 5" xfId="565"/>
    <cellStyle name="60% - 强调文字颜色 1 3 5" xfId="566"/>
    <cellStyle name="适中 2_G4B-3（b）证券融资交易对手信用风险计算表(0621)" xfId="567"/>
    <cellStyle name="强调文字颜色 6 2 5" xfId="568"/>
    <cellStyle name="标题 1 2_G4B-2" xfId="569"/>
    <cellStyle name="标题 4 3 2" xfId="570"/>
    <cellStyle name="输出 2 2" xfId="571"/>
    <cellStyle name="货币[0]" xfId="572" builtinId="7"/>
    <cellStyle name="40% - 强调文字颜色 4 3 5" xfId="573"/>
    <cellStyle name="标题 3 3 4" xfId="574"/>
    <cellStyle name="60% - 强调文字颜色 3 2 2" xfId="575"/>
    <cellStyle name="60% - 强调文字颜色 1 2 6" xfId="576"/>
    <cellStyle name="輸出" xfId="577"/>
    <cellStyle name="强调文字颜色 3 3" xfId="578"/>
    <cellStyle name="注释 2 4" xfId="579"/>
    <cellStyle name="40% - 强调文字颜色 3 2 5" xfId="580"/>
    <cellStyle name="注释 2 5" xfId="581"/>
    <cellStyle name="输出 2 3" xfId="582"/>
    <cellStyle name="注释 2 6" xfId="583"/>
    <cellStyle name="强调文字颜色 4 2 2" xfId="584"/>
    <cellStyle name="检查单元格 2 2" xfId="585"/>
    <cellStyle name="适中 4" xfId="586"/>
    <cellStyle name="40% - 强调文字颜色 5 3 5" xfId="587"/>
    <cellStyle name="输出 5" xfId="588"/>
    <cellStyle name="60% - 强调文字颜色 3_G4B-3（a）场外衍生工具交易对手信用风险计算表(权重法)" xfId="589"/>
    <cellStyle name="链接单元格 2 5" xfId="590"/>
    <cellStyle name="强调文字颜色 5 3_G4B-3（b）证券融资交易对手信用风险计算表(0621)" xfId="591"/>
    <cellStyle name="常规 2 2 3" xfId="592"/>
    <cellStyle name="好 3 5" xfId="593"/>
    <cellStyle name="标题 6 4" xfId="594"/>
    <cellStyle name="40% - 强调文字颜色 1 6" xfId="595"/>
    <cellStyle name="好 2 5" xfId="596"/>
    <cellStyle name="百分比 5" xfId="597"/>
    <cellStyle name="差 2 6" xfId="598"/>
    <cellStyle name="输出 2 4" xfId="599"/>
    <cellStyle name="强调文字颜色 6 7" xfId="600"/>
    <cellStyle name="20% - 强调文字颜色 1 3 3" xfId="601"/>
    <cellStyle name="40% - 輔色1" xfId="602"/>
    <cellStyle name="输出 3_G4B-3（b）证券融资交易对手信用风险计算表(0621)" xfId="603"/>
    <cellStyle name="注释 2_G4B-3（b）证券融资交易对手信用风险计算表(0621)" xfId="604"/>
    <cellStyle name="60% - 强调文字颜色 5 7" xfId="605"/>
    <cellStyle name="强调文字颜色 6 5" xfId="606"/>
    <cellStyle name="40% - 强调文字颜色 1 2" xfId="607"/>
    <cellStyle name="注释 3 5" xfId="608"/>
    <cellStyle name="强调文字颜色 3 3 5" xfId="609"/>
    <cellStyle name="60% - 强调文字颜色 3 3" xfId="610"/>
    <cellStyle name="强调文字颜色 5 2 6" xfId="611"/>
    <cellStyle name="20% - 强调文字颜色 6 2" xfId="612"/>
    <cellStyle name="输入 2 4" xfId="613"/>
    <cellStyle name="20% - 强调文字颜色 5_G4B-3（a）场外衍生工具交易对手信用风险计算表(权重法)" xfId="614"/>
    <cellStyle name="差 7" xfId="615"/>
    <cellStyle name="60% - 强调文字颜色 3 3 3" xfId="616"/>
    <cellStyle name="40% - 强调文字颜色 5 6" xfId="617"/>
    <cellStyle name="强调文字颜色 5_G4B-3（a）场外衍生工具交易对手信用风险计算表(权重法)" xfId="618"/>
    <cellStyle name="检查单元格 3 3" xfId="619"/>
    <cellStyle name="20% - 强调文字颜色 4" xfId="620" builtinId="42"/>
    <cellStyle name="20% - 强调文字颜色 2 3 4" xfId="621"/>
    <cellStyle name="注释 3" xfId="622"/>
    <cellStyle name="20% - 强调文字颜色 6 5" xfId="623"/>
    <cellStyle name="60% - 强调文字颜色 3 6" xfId="624"/>
    <cellStyle name="输入 2_G4B-3（b）证券融资交易对手信用风险计算表(0621)" xfId="625"/>
    <cellStyle name="40% - 强调文字颜色 6 2 2" xfId="626"/>
    <cellStyle name="样式 1" xfId="627"/>
    <cellStyle name="40% - 强调文字颜色 2 3 3" xfId="628"/>
    <cellStyle name="注释 2 2" xfId="629"/>
    <cellStyle name="标题 2 3 4" xfId="630"/>
    <cellStyle name="60% - 强调文字颜色 2 2 2" xfId="631"/>
    <cellStyle name="输出 2 5" xfId="632"/>
    <cellStyle name="注释 3 2" xfId="633"/>
    <cellStyle name="强调文字颜色 3 3 3" xfId="634"/>
    <cellStyle name="输入" xfId="635" builtinId="20"/>
    <cellStyle name="标题 4 2" xfId="636"/>
    <cellStyle name="20% - 强调文字颜色 5 2 4" xfId="637"/>
    <cellStyle name="60% - 强调文字颜色 2 3 4" xfId="638"/>
    <cellStyle name="强调文字颜色 2 2 6" xfId="639"/>
    <cellStyle name="20% - 强调文字颜色 1 6" xfId="640"/>
    <cellStyle name="40% - 强调文字颜色 3 7" xfId="641"/>
    <cellStyle name="强调文字颜色 3 3 2" xfId="642"/>
    <cellStyle name="千位分隔 2" xfId="643"/>
    <cellStyle name="20% - 强调文字颜色 4 4" xfId="644"/>
    <cellStyle name="60% - 强调文字颜色 1 5" xfId="645"/>
    <cellStyle name="注释 5" xfId="646"/>
    <cellStyle name="注释 2 3" xfId="647"/>
    <cellStyle name="60% - 强调文字颜色 3 4" xfId="648"/>
    <cellStyle name="20% - 强调文字颜色 6 3" xfId="649"/>
    <cellStyle name="60% - 强调文字颜色 1 3_G4B-3（b）证券融资交易对手信用风险计算表(0621)" xfId="650"/>
    <cellStyle name="输出 3 2" xfId="651"/>
    <cellStyle name="适中 2 2" xfId="652"/>
    <cellStyle name="壞_G4B-3交易对手信用风险汇总表" xfId="653"/>
    <cellStyle name="差 2 3" xfId="654"/>
    <cellStyle name="强调文字颜色 5 3 5" xfId="655"/>
    <cellStyle name="20% - 强调文字颜色 3 2_G4B-3（b）证券融资交易对手信用风险计算表(0621)" xfId="656"/>
    <cellStyle name="适中 3 3" xfId="657"/>
    <cellStyle name="差 4" xfId="658"/>
    <cellStyle name="强调文字颜色 3 6" xfId="659"/>
    <cellStyle name="强调文字颜色 4 2 3" xfId="660"/>
    <cellStyle name="60% - 强调文字颜色 1 2 2" xfId="661"/>
    <cellStyle name="输入 2 6" xfId="662"/>
    <cellStyle name="20% - 强调文字颜色 2 3_G4B-3（b）证券融资交易对手信用风险计算表(0621)" xfId="663"/>
    <cellStyle name="解释性文本 3" xfId="664"/>
    <cellStyle name="注释 4" xfId="665"/>
    <cellStyle name="60% - 强调文字颜色 3 7" xfId="666"/>
    <cellStyle name="强调文字颜色 5 3 2" xfId="667"/>
    <cellStyle name="适中 2 5" xfId="668"/>
    <cellStyle name="输出 3 5" xfId="669"/>
    <cellStyle name="强调文字颜色 3 2_G4B-3（b）证券融资交易对手信用风险计算表(0621)" xfId="670"/>
    <cellStyle name="标题 3 3 5" xfId="671"/>
    <cellStyle name="60% - 强调文字颜色 3 2 3" xfId="672"/>
    <cellStyle name="60% - 强调文字颜色 1 2_G4B-3（b）证券融资交易对手信用风险计算表(0621)" xfId="673"/>
    <cellStyle name="强调文字颜色 6 3 5" xfId="674"/>
    <cellStyle name="适中 2 3" xfId="675"/>
    <cellStyle name="输出 3 3" xfId="676"/>
    <cellStyle name="强调文字颜色 6 3_G4B-3（b）证券融资交易对手信用风险计算表(0621)" xfId="677"/>
    <cellStyle name="强调文字颜色 6 3" xfId="678"/>
    <cellStyle name="强调文字颜色 3 2 2" xfId="679"/>
    <cellStyle name="强调文字颜色 6 3 4" xfId="680"/>
    <cellStyle name="强调文字颜色 6 2 2" xfId="681"/>
    <cellStyle name="强调文字颜色 6 2" xfId="682"/>
    <cellStyle name="强调文字颜色 6 3 3" xfId="683"/>
    <cellStyle name="60% - 强调文字颜色 3 3 2" xfId="684"/>
    <cellStyle name="适中 3 5" xfId="685"/>
    <cellStyle name="差 6" xfId="686"/>
    <cellStyle name="警告文本 3" xfId="687"/>
    <cellStyle name="20% - 强调文字颜色 6 2 2" xfId="688"/>
    <cellStyle name="40% - 强调文字颜色 5 4" xfId="689"/>
    <cellStyle name="20% - 强调文字颜色 2" xfId="690" builtinId="34"/>
    <cellStyle name="20% - 强调文字颜色 2 3 2" xfId="691"/>
    <cellStyle name="强调文字颜色 5 7" xfId="692"/>
    <cellStyle name="适中 6" xfId="693"/>
    <cellStyle name="好 2 2" xfId="694"/>
    <cellStyle name="检查单元格 2 4" xfId="695"/>
    <cellStyle name="百分比 2" xfId="696"/>
    <cellStyle name="输出 7" xfId="697"/>
    <cellStyle name="强调文字颜色 2 2_G4B-3（b）证券融资交易对手信用风险计算表(0621)" xfId="698"/>
    <cellStyle name="强调文字颜色 4 3 5" xfId="699"/>
    <cellStyle name="40% - 强调文字颜色 5 2" xfId="700"/>
    <cellStyle name="60% - 强调文字颜色 1 3" xfId="701"/>
    <cellStyle name="60% - 强调文字颜色 3 2 5" xfId="702"/>
    <cellStyle name="60% - 强调文字颜色 1 2" xfId="703"/>
    <cellStyle name="强调文字颜色 5 4" xfId="704"/>
    <cellStyle name="60% - 强调文字颜色 3 2 4" xfId="705"/>
    <cellStyle name="检查单元格 3_G4B-3（b）证券融资交易对手信用风险计算表(0621)" xfId="706"/>
    <cellStyle name="强调文字颜色 6 2 4" xfId="707"/>
    <cellStyle name="强调文字颜色 5 2_G4B-3（b）证券融资交易对手信用风险计算表(0621)" xfId="708"/>
    <cellStyle name="强调文字颜色 6 6" xfId="709"/>
    <cellStyle name="强调文字颜色 5 2 4" xfId="710"/>
    <cellStyle name="强调文字颜色 5 2 3" xfId="711"/>
    <cellStyle name="强调文字颜色 5 2 2" xfId="712"/>
    <cellStyle name="20% - 强调文字颜色 6 2_G4B-3（b）证券融资交易对手信用风险计算表(0621)" xfId="713"/>
    <cellStyle name="强调文字颜色 4 2_G4B-3（b）证券融资交易对手信用风险计算表(0621)" xfId="714"/>
    <cellStyle name="强调文字颜色 5 2" xfId="715"/>
    <cellStyle name="强调文字颜色 4 3 4" xfId="716"/>
    <cellStyle name="强调文字颜色 4 3 3" xfId="717"/>
    <cellStyle name="40% - 强调文字颜色 6 3 2" xfId="718"/>
    <cellStyle name="注释 6" xfId="719"/>
    <cellStyle name="强调文字颜色 4 2" xfId="720"/>
    <cellStyle name="强调文字颜色 3 5" xfId="721"/>
    <cellStyle name="常规 2 2" xfId="722"/>
    <cellStyle name="标题 3 2_G4B-2" xfId="723"/>
    <cellStyle name="40% - 强调文字颜色 2 2 6" xfId="724"/>
    <cellStyle name="强调文字颜色 3 2 3" xfId="725"/>
    <cellStyle name="汇总" xfId="726" builtinId="25"/>
    <cellStyle name="输入 3" xfId="727"/>
    <cellStyle name="标题 4 2 3" xfId="728"/>
    <cellStyle name="20% - 强调文字颜色 4 2" xfId="729"/>
    <cellStyle name="40% - 强调文字颜色 6 2_G4B-3（b）证券融资交易对手信用风险计算表(0621)" xfId="730"/>
    <cellStyle name="60% - 强调文字颜色 6 5" xfId="731"/>
    <cellStyle name="20% - 强调文字颜色 1 2 4" xfId="732"/>
    <cellStyle name="汇总 3 3" xfId="733"/>
    <cellStyle name="60% - 强调文字颜色 6 2" xfId="734"/>
    <cellStyle name="汇总 3 2" xfId="735"/>
    <cellStyle name="60% - 强调文字颜色 6 3" xfId="736"/>
    <cellStyle name="20% - 强调文字颜色 1 2 2" xfId="737"/>
    <cellStyle name="20% - 强调文字颜色 1 2" xfId="738"/>
    <cellStyle name="计算 3 3" xfId="739"/>
    <cellStyle name="强调文字颜色 2 2 2" xfId="740"/>
    <cellStyle name="40% - 强调文字颜色 1 2 4" xfId="741"/>
    <cellStyle name="强调文字颜色 1 3 2" xfId="742"/>
    <cellStyle name="20% - 强调文字颜色 6 3 3" xfId="743"/>
    <cellStyle name="20% - 强调文字颜色 1 3 2" xfId="744"/>
    <cellStyle name="備註" xfId="745"/>
    <cellStyle name="差 2 5" xfId="746"/>
    <cellStyle name="20% - 强调文字颜色 5" xfId="747" builtinId="46"/>
    <cellStyle name="說明文字" xfId="748"/>
    <cellStyle name="20% - 强调文字颜色 2 3 5" xfId="749"/>
    <cellStyle name="20% - 强调文字颜色 6 3_G4B-3（b）证券融资交易对手信用风险计算表(0621)" xfId="750"/>
    <cellStyle name="强调文字颜色 3 7" xfId="751"/>
    <cellStyle name="20% - 强调文字颜色 1 7" xfId="752"/>
    <cellStyle name="40% - 强调文字颜色 4 2_G4B-3（b）证券融资交易对手信用风险计算表(0621)" xfId="753"/>
    <cellStyle name="20% - 輔色3" xfId="754"/>
    <cellStyle name="40% - 强调文字颜色 5 2 6" xfId="755"/>
    <cellStyle name="输出" xfId="756" builtinId="21"/>
    <cellStyle name="40% - 强调文字颜色 5 3" xfId="757"/>
    <cellStyle name="40% - 强调文字颜色 5_G4B-3（a）场外衍生工具交易对手信用风险计算表(权重法)" xfId="758"/>
    <cellStyle name="20% - 强调文字颜色 3 5" xfId="759"/>
    <cellStyle name="注释 3_G4B-3（b）证券融资交易对手信用风险计算表(0621)" xfId="760"/>
    <cellStyle name="20% - 强调文字颜色 3 3 4" xfId="761"/>
    <cellStyle name="20% - 强调文字颜色 1 2 3" xfId="762"/>
    <cellStyle name="60% - 强调文字颜色 6 4" xfId="763"/>
    <cellStyle name="汇总 3 4" xfId="764"/>
    <cellStyle name="60% - 强调文字颜色 2 2 3" xfId="765"/>
    <cellStyle name="标题 2 3 5" xfId="766"/>
    <cellStyle name="40% - 强调文字颜色 4 2" xfId="767"/>
    <cellStyle name="强调文字颜色 4 2 5" xfId="768"/>
    <cellStyle name="标题 2 3 2" xfId="769"/>
    <cellStyle name="40% - 强调文字颜色 5 7" xfId="770"/>
    <cellStyle name="40% - 强调文字颜色 1 3 2" xfId="771"/>
    <cellStyle name="标题 3 2 6" xfId="772"/>
    <cellStyle name="好_G4B-3交易对手信用风险汇总表" xfId="773"/>
    <cellStyle name="60% - 强调文字颜色 2 2 4" xfId="774"/>
    <cellStyle name="20% - 强调文字颜色 3 3_G4B-3（b）证券融资交易对手信用风险计算表(0621)" xfId="775"/>
    <cellStyle name="常规 2 4" xfId="776"/>
    <cellStyle name="20% - 强调文字颜色 4 3 4" xfId="777"/>
    <cellStyle name="警告文本 2 2" xfId="778"/>
    <cellStyle name="60% - 强调文字颜色 2 2 5" xfId="779"/>
    <cellStyle name="40% - 强调文字颜色 4 3 4" xfId="780"/>
    <cellStyle name="千位[0]_股东贷款" xfId="781"/>
    <cellStyle name="注释 7" xfId="782"/>
    <cellStyle name="强调文字颜色 4 3" xfId="783"/>
    <cellStyle name="20% - 强调文字颜色 4 3_G4B-3（b）证券融资交易对手信用风险计算表(0621)" xfId="784"/>
    <cellStyle name="货币" xfId="785" builtinId="4"/>
    <cellStyle name="40% - 强调文字颜色 4 7" xfId="786"/>
    <cellStyle name="40% - 强调文字颜色 1 2 2" xfId="787"/>
    <cellStyle name="警告文本 2 3" xfId="788"/>
    <cellStyle name="60% - 强调文字颜色 2 2 6" xfId="789"/>
    <cellStyle name="标题 3 3" xfId="790"/>
    <cellStyle name="40% - 强调文字颜色 2 3 2" xfId="791"/>
    <cellStyle name="强调文字颜色 6 2_G4B-3（b）证券融资交易对手信用风险计算表(0621)" xfId="792"/>
    <cellStyle name="20% - 輔色4" xfId="793"/>
    <cellStyle name="标题 2 3 3" xfId="794"/>
    <cellStyle name="强调文字颜色 4 2 6" xfId="795"/>
    <cellStyle name="40% - 强调文字颜色 4 3" xfId="796"/>
    <cellStyle name="已访问的超链接" xfId="797" builtinId="9"/>
    <cellStyle name="40% - 强调文字颜色 6 3 3" xfId="798"/>
    <cellStyle name="20% - 强调文字颜色 6 7" xfId="799"/>
    <cellStyle name="40% - 强调文字颜色 2 2 3" xfId="800"/>
    <cellStyle name="60% - 强调文字颜色 3 3_G4B-3（b）证券融资交易对手信用风险计算表(0621)" xfId="801"/>
    <cellStyle name="60% - 强调文字颜色 3 2 6" xfId="802"/>
    <cellStyle name="40% - 强调文字颜色 2 2" xfId="803"/>
    <cellStyle name="20% - 强调文字颜色 6_G4B-3（a）场外衍生工具交易对手信用风险计算表(权重法)" xfId="804"/>
    <cellStyle name="强调文字颜色 1" xfId="805" builtinId="29"/>
    <cellStyle name="40% - 强调文字颜色 6 3 5" xfId="806"/>
    <cellStyle name="60% - 强调文字颜色 3 3 4" xfId="807"/>
    <cellStyle name="60% - 强调文字颜色 6 3_G4B-3（b）证券融资交易对手信用风险计算表(0621)" xfId="808"/>
    <cellStyle name="60% - 强调文字颜色 2" xfId="809" builtinId="36"/>
    <cellStyle name="輸入" xfId="810"/>
    <cellStyle name="60% - 强调文字颜色 5 3 3" xfId="811"/>
    <cellStyle name="解释性文本 6" xfId="812"/>
    <cellStyle name="强调文字颜色 6 2 3" xfId="813"/>
    <cellStyle name="20% - 强调文字颜色 4_G4B-3（a）场外衍生工具交易对手信用风险计算表(权重法)" xfId="814"/>
    <cellStyle name="40% - 强调文字颜色 6 4" xfId="815"/>
    <cellStyle name="60% - 强调文字颜色 5 2 5" xfId="816"/>
    <cellStyle name="标题 1 3 4" xfId="817"/>
    <cellStyle name="" xfId="818"/>
    <cellStyle name="40% - 强调文字颜色 1 3" xfId="819"/>
    <cellStyle name="标题 10" xfId="820"/>
    <cellStyle name="检查单元格 3 4" xfId="821"/>
    <cellStyle name="好 3 2" xfId="822"/>
    <cellStyle name="警告文本 3 3" xfId="823"/>
    <cellStyle name="计算 2_G4B-3（b）证券融资交易对手信用风险计算表(0621)" xfId="824"/>
    <cellStyle name="强调文字颜色 6 3 2" xfId="825"/>
    <cellStyle name="20% - 强调文字颜色 6 6" xfId="826"/>
    <cellStyle name="40% - 强调文字颜色 2 2 2" xfId="827"/>
    <cellStyle name="输入 3_G4B-3（b）证券融资交易对手信用风险计算表(0621)" xfId="828"/>
    <cellStyle name="20% - 强调文字颜色 3 7" xfId="829"/>
    <cellStyle name="20% - 强调文字颜色 3 3 2" xfId="830"/>
    <cellStyle name="40% - 强调文字颜色 2 3" xfId="831"/>
    <cellStyle name="40% - 强调文字颜色 2 4" xfId="832"/>
    <cellStyle name="警告文本 6" xfId="833"/>
    <cellStyle name="强调文字颜色 1 2 4" xfId="834"/>
    <cellStyle name="20% - 强调文字颜色 6 2 5" xfId="835"/>
    <cellStyle name="好" xfId="836" builtinId="26"/>
    <cellStyle name="60% - 强调文字颜色 3 3 5" xfId="837"/>
    <cellStyle name="60% - 强调文字颜色 4_G4B-3（a）场外衍生工具交易对手信用风险计算表(权重法)" xfId="838"/>
    <cellStyle name="20% - 强调文字颜色 3 3" xfId="839"/>
    <cellStyle name="20% - 强调文字颜色 1 2_G4B-3（b）证券融资交易对手信用风险计算表(0621)" xfId="840"/>
    <cellStyle name="20% - 强调文字颜色 3 2 3" xfId="841"/>
    <cellStyle name="20% - 强调文字颜色 3 2 4" xfId="842"/>
    <cellStyle name="20% - 强调文字颜色 3 2 5" xfId="843"/>
    <cellStyle name="合計" xfId="844"/>
    <cellStyle name="强调文字颜色 3 2 4" xfId="845"/>
    <cellStyle name="60% - 强调文字颜色 2 2" xfId="846"/>
    <cellStyle name="20% - 强调文字颜色 3 2 6" xfId="847"/>
    <cellStyle name="20% - 强调文字颜色 3 3 3" xfId="848"/>
    <cellStyle name="20% - 强调文字颜色 3 3 5" xfId="849"/>
    <cellStyle name="20% - 强调文字颜色 3 4" xfId="850"/>
    <cellStyle name="20% - 强调文字颜色 3 6" xfId="851"/>
    <cellStyle name="壞_G4B-3（b）证券融资交易对手信用风险计算表(0621)" xfId="852"/>
    <cellStyle name="20% - 輔色5" xfId="853"/>
    <cellStyle name="警告文本 4" xfId="854"/>
    <cellStyle name="20% - 强调文字颜色 6 2 3" xfId="855"/>
    <cellStyle name="强调文字颜色 1 2 2" xfId="856"/>
    <cellStyle name="20% - 强调文字颜色 4 3 3" xfId="857"/>
    <cellStyle name="20% - 强调文字颜色 4 3 5" xfId="858"/>
    <cellStyle name="标题 1" xfId="859" builtinId="16"/>
    <cellStyle name="60% - 强调文字颜色 5_G4B-3（a）场外衍生工具交易对手信用风险计算表(权重法)" xfId="860"/>
    <cellStyle name="计算 2 2" xfId="861"/>
    <cellStyle name="20% - 强调文字颜色 2 6" xfId="862"/>
    <cellStyle name="40% - 强调文字颜色 2 7" xfId="863"/>
    <cellStyle name="20% - 輔色6" xfId="864"/>
    <cellStyle name="警告文本 5" xfId="865"/>
    <cellStyle name="20% - 强调文字颜色 6 2 4" xfId="866"/>
    <cellStyle name="强调文字颜色 1 2 3" xfId="867"/>
    <cellStyle name="40% - 强调文字颜色 1 3 3" xfId="868"/>
  </cellStyles>
  <dxfs count="3">
    <dxf>
      <fill>
        <patternFill patternType="solid">
          <bgColor theme="0"/>
        </patternFill>
      </fill>
    </dxf>
    <dxf>
      <font>
        <color rgb="FFAA322F"/>
      </font>
      <fill>
        <patternFill patternType="solid">
          <bgColor theme="0"/>
        </patternFill>
      </fill>
    </dxf>
    <dxf>
      <font>
        <b val="1"/>
        <i val="0"/>
        <strike val="0"/>
        <color rgb="FFAA322F"/>
      </font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00FFFFFF"/>
      <color rgb="004472C4"/>
      <color rgb="00C0C0C0"/>
      <color rgb="00FFC000"/>
      <color rgb="0092D050"/>
      <color rgb="0000B0F0"/>
      <color rgb="00000000"/>
      <color rgb="00CC99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O36"/>
  <sheetViews>
    <sheetView showGridLines="0" tabSelected="1" view="pageBreakPreview" zoomScaleNormal="100" workbookViewId="0">
      <pane xSplit="2" ySplit="7" topLeftCell="C24" activePane="bottomRight" state="frozen"/>
      <selection/>
      <selection pane="topRight"/>
      <selection pane="bottomLeft"/>
      <selection pane="bottomRight" activeCell="B35" sqref="B35"/>
    </sheetView>
  </sheetViews>
  <sheetFormatPr defaultColWidth="9" defaultRowHeight="14.25"/>
  <cols>
    <col min="1" max="1" width="5.16666666666667" style="11" customWidth="1"/>
    <col min="2" max="2" width="33.1666666666667" style="12" customWidth="1"/>
    <col min="3" max="3" width="16.6666666666667" style="12" customWidth="1"/>
    <col min="4" max="4" width="17" style="12" customWidth="1"/>
    <col min="5" max="7" width="16.6666666666667" style="12" customWidth="1"/>
    <col min="8" max="8" width="15.2083333333333" style="12" customWidth="1"/>
    <col min="9" max="9" width="16.6666666666667" style="12" customWidth="1"/>
    <col min="10" max="11" width="16" style="12" customWidth="1"/>
    <col min="12" max="12" width="17.6666666666667" style="12" customWidth="1"/>
    <col min="13" max="13" width="19.3333333333333" style="12" customWidth="1"/>
    <col min="14" max="14" width="15.6666666666667" style="12" customWidth="1"/>
    <col min="15" max="15" width="16.3333333333333" style="12" customWidth="1"/>
    <col min="16" max="241" width="9" style="12"/>
    <col min="246" max="16384" width="9" style="12"/>
  </cols>
  <sheetData>
    <row r="1" s="5" customFormat="1" ht="29" customHeight="1" spans="1: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="6" customFormat="1" ht="20" customHeight="1" spans="1:15">
      <c r="A2" s="14" t="s">
        <v>1</v>
      </c>
      <c r="B2" s="15"/>
      <c r="J2" s="52" t="s">
        <v>2</v>
      </c>
      <c r="K2" s="52"/>
      <c r="L2" s="53"/>
      <c r="O2" s="6" t="s">
        <v>3</v>
      </c>
    </row>
    <row r="3" s="7" customFormat="1" ht="20" customHeight="1" spans="1:15">
      <c r="A3" s="16" t="s">
        <v>4</v>
      </c>
      <c r="B3" s="17"/>
      <c r="C3" s="18" t="s">
        <v>5</v>
      </c>
      <c r="D3" s="18" t="s">
        <v>6</v>
      </c>
      <c r="E3" s="18" t="s">
        <v>7</v>
      </c>
      <c r="F3" s="47" t="s">
        <v>8</v>
      </c>
      <c r="G3" s="47" t="s">
        <v>9</v>
      </c>
      <c r="H3" s="48" t="s">
        <v>10</v>
      </c>
      <c r="I3" s="47" t="s">
        <v>11</v>
      </c>
      <c r="J3" s="48" t="s">
        <v>12</v>
      </c>
      <c r="K3" s="47" t="s">
        <v>13</v>
      </c>
      <c r="L3" s="47" t="s">
        <v>14</v>
      </c>
      <c r="M3" s="47" t="s">
        <v>15</v>
      </c>
      <c r="N3" s="47" t="s">
        <v>16</v>
      </c>
      <c r="O3" s="47" t="s">
        <v>17</v>
      </c>
    </row>
    <row r="4" s="6" customFormat="1" ht="20" customHeight="1" spans="1:15">
      <c r="A4" s="19"/>
      <c r="B4" s="20"/>
      <c r="C4" s="21" t="s">
        <v>18</v>
      </c>
      <c r="D4" s="22" t="s">
        <v>19</v>
      </c>
      <c r="E4" s="22"/>
      <c r="F4" s="22"/>
      <c r="G4" s="22"/>
      <c r="H4" s="49" t="s">
        <v>20</v>
      </c>
      <c r="I4" s="49"/>
      <c r="J4" s="54" t="s">
        <v>21</v>
      </c>
      <c r="K4" s="55"/>
      <c r="L4" s="22" t="s">
        <v>22</v>
      </c>
      <c r="M4" s="22"/>
      <c r="N4" s="27" t="s">
        <v>23</v>
      </c>
      <c r="O4" s="27"/>
    </row>
    <row r="5" s="6" customFormat="1" ht="20" customHeight="1" spans="1:15">
      <c r="A5" s="23"/>
      <c r="B5" s="24"/>
      <c r="C5" s="25"/>
      <c r="D5" s="26" t="s">
        <v>24</v>
      </c>
      <c r="E5" s="26"/>
      <c r="F5" s="26" t="s">
        <v>25</v>
      </c>
      <c r="G5" s="26"/>
      <c r="H5" s="49"/>
      <c r="I5" s="49"/>
      <c r="J5" s="56"/>
      <c r="K5" s="57"/>
      <c r="L5" s="22"/>
      <c r="M5" s="22"/>
      <c r="N5" s="27"/>
      <c r="O5" s="27"/>
    </row>
    <row r="6" s="6" customFormat="1" ht="20" customHeight="1" spans="1:15">
      <c r="A6" s="23"/>
      <c r="B6" s="24"/>
      <c r="C6" s="25"/>
      <c r="D6" s="27" t="s">
        <v>26</v>
      </c>
      <c r="E6" s="27" t="s">
        <v>27</v>
      </c>
      <c r="F6" s="50" t="s">
        <v>26</v>
      </c>
      <c r="G6" s="50" t="s">
        <v>27</v>
      </c>
      <c r="H6" s="27" t="s">
        <v>26</v>
      </c>
      <c r="I6" s="27" t="s">
        <v>27</v>
      </c>
      <c r="J6" s="27" t="s">
        <v>26</v>
      </c>
      <c r="K6" s="27" t="s">
        <v>27</v>
      </c>
      <c r="L6" s="27" t="s">
        <v>28</v>
      </c>
      <c r="M6" s="27" t="s">
        <v>29</v>
      </c>
      <c r="N6" s="27" t="s">
        <v>30</v>
      </c>
      <c r="O6" s="27" t="s">
        <v>31</v>
      </c>
    </row>
    <row r="7" s="6" customFormat="1" ht="24" customHeight="1" spans="1:15">
      <c r="A7" s="28"/>
      <c r="B7" s="29"/>
      <c r="C7" s="30"/>
      <c r="D7" s="27"/>
      <c r="E7" s="27"/>
      <c r="F7" s="50"/>
      <c r="G7" s="50"/>
      <c r="H7" s="27"/>
      <c r="I7" s="27"/>
      <c r="J7" s="27"/>
      <c r="K7" s="27"/>
      <c r="L7" s="27"/>
      <c r="M7" s="27"/>
      <c r="N7" s="27"/>
      <c r="O7" s="27"/>
    </row>
    <row r="8" s="6" customFormat="1" ht="24" customHeight="1" spans="1:15">
      <c r="A8" s="31">
        <v>1</v>
      </c>
      <c r="B8" s="32" t="s">
        <v>32</v>
      </c>
      <c r="C8" s="33">
        <f t="shared" ref="C8:G8" si="0">SUM(C9,C13:C18)</f>
        <v>0</v>
      </c>
      <c r="D8" s="33">
        <f t="shared" si="0"/>
        <v>0</v>
      </c>
      <c r="E8" s="33">
        <f t="shared" si="0"/>
        <v>0</v>
      </c>
      <c r="F8" s="33">
        <f t="shared" si="0"/>
        <v>0</v>
      </c>
      <c r="G8" s="33">
        <f t="shared" si="0"/>
        <v>0</v>
      </c>
      <c r="H8" s="33">
        <f t="shared" ref="H8:O8" si="1">SUM(H9,H13:H18)</f>
        <v>0</v>
      </c>
      <c r="I8" s="33">
        <f t="shared" si="1"/>
        <v>0</v>
      </c>
      <c r="J8" s="33">
        <f t="shared" si="1"/>
        <v>0</v>
      </c>
      <c r="K8" s="33">
        <f t="shared" si="1"/>
        <v>0</v>
      </c>
      <c r="L8" s="33">
        <f t="shared" si="1"/>
        <v>0</v>
      </c>
      <c r="M8" s="33">
        <f t="shared" si="1"/>
        <v>0</v>
      </c>
      <c r="N8" s="33">
        <f t="shared" si="1"/>
        <v>0</v>
      </c>
      <c r="O8" s="33">
        <f t="shared" si="1"/>
        <v>0</v>
      </c>
    </row>
    <row r="9" s="6" customFormat="1" ht="22" customHeight="1" spans="1:15">
      <c r="A9" s="31">
        <v>2</v>
      </c>
      <c r="B9" s="34" t="s">
        <v>33</v>
      </c>
      <c r="C9" s="33">
        <f t="shared" ref="C9:G9" si="2">SUM(C10:C12)</f>
        <v>0</v>
      </c>
      <c r="D9" s="33">
        <f t="shared" si="2"/>
        <v>0</v>
      </c>
      <c r="E9" s="33">
        <f t="shared" si="2"/>
        <v>0</v>
      </c>
      <c r="F9" s="33">
        <f t="shared" si="2"/>
        <v>0</v>
      </c>
      <c r="G9" s="33">
        <f t="shared" si="2"/>
        <v>0</v>
      </c>
      <c r="H9" s="33">
        <f t="shared" ref="H9:O9" si="3">SUM(H10:H12)</f>
        <v>0</v>
      </c>
      <c r="I9" s="33">
        <f t="shared" si="3"/>
        <v>0</v>
      </c>
      <c r="J9" s="33">
        <f t="shared" si="3"/>
        <v>0</v>
      </c>
      <c r="K9" s="33">
        <f t="shared" si="3"/>
        <v>0</v>
      </c>
      <c r="L9" s="33">
        <f t="shared" si="3"/>
        <v>0</v>
      </c>
      <c r="M9" s="33">
        <f t="shared" si="3"/>
        <v>0</v>
      </c>
      <c r="N9" s="33">
        <f t="shared" si="3"/>
        <v>0</v>
      </c>
      <c r="O9" s="33">
        <f t="shared" si="3"/>
        <v>0</v>
      </c>
    </row>
    <row r="10" s="6" customFormat="1" ht="22" customHeight="1" spans="1:15">
      <c r="A10" s="31">
        <v>3</v>
      </c>
      <c r="B10" s="34" t="s">
        <v>34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60"/>
    </row>
    <row r="11" s="6" customFormat="1" ht="22" customHeight="1" spans="1:15">
      <c r="A11" s="31">
        <v>4</v>
      </c>
      <c r="B11" s="34" t="s">
        <v>35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60"/>
    </row>
    <row r="12" s="6" customFormat="1" ht="22" customHeight="1" spans="1:15">
      <c r="A12" s="31">
        <v>5</v>
      </c>
      <c r="B12" s="34" t="s">
        <v>36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60"/>
    </row>
    <row r="13" s="6" customFormat="1" ht="22" customHeight="1" spans="1:15">
      <c r="A13" s="31">
        <v>6</v>
      </c>
      <c r="B13" s="36" t="s">
        <v>37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60"/>
    </row>
    <row r="14" s="6" customFormat="1" ht="22" customHeight="1" spans="1:15">
      <c r="A14" s="31">
        <v>7</v>
      </c>
      <c r="B14" s="36" t="s">
        <v>38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60"/>
    </row>
    <row r="15" s="6" customFormat="1" ht="22" customHeight="1" spans="1:15">
      <c r="A15" s="31">
        <v>8</v>
      </c>
      <c r="B15" s="36" t="s">
        <v>39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60"/>
    </row>
    <row r="16" s="6" customFormat="1" ht="22" customHeight="1" spans="1:15">
      <c r="A16" s="31">
        <v>9</v>
      </c>
      <c r="B16" s="34" t="s">
        <v>40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60"/>
    </row>
    <row r="17" s="6" customFormat="1" ht="22" customHeight="1" spans="1:15">
      <c r="A17" s="31">
        <v>10</v>
      </c>
      <c r="B17" s="36" t="s">
        <v>41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60"/>
    </row>
    <row r="18" s="6" customFormat="1" ht="22" customHeight="1" spans="1:15">
      <c r="A18" s="31">
        <v>11</v>
      </c>
      <c r="B18" s="34" t="s">
        <v>42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60"/>
    </row>
    <row r="19" s="6" customFormat="1" ht="22" customHeight="1" spans="1:15">
      <c r="A19" s="31">
        <v>12</v>
      </c>
      <c r="B19" s="32" t="s">
        <v>43</v>
      </c>
      <c r="C19" s="33">
        <f t="shared" ref="C19:G19" si="4">SUM(C20,C24:C29)</f>
        <v>0</v>
      </c>
      <c r="D19" s="33">
        <f t="shared" si="4"/>
        <v>0</v>
      </c>
      <c r="E19" s="33">
        <f t="shared" si="4"/>
        <v>0</v>
      </c>
      <c r="F19" s="33">
        <f t="shared" si="4"/>
        <v>0</v>
      </c>
      <c r="G19" s="33">
        <f t="shared" si="4"/>
        <v>0</v>
      </c>
      <c r="H19" s="33">
        <f t="shared" ref="H19:O19" si="5">SUM(H20,H24:H29)</f>
        <v>0</v>
      </c>
      <c r="I19" s="33">
        <f t="shared" si="5"/>
        <v>0</v>
      </c>
      <c r="J19" s="33">
        <f t="shared" si="5"/>
        <v>0</v>
      </c>
      <c r="K19" s="33">
        <f t="shared" si="5"/>
        <v>0</v>
      </c>
      <c r="L19" s="33">
        <f t="shared" si="5"/>
        <v>0</v>
      </c>
      <c r="M19" s="33">
        <f t="shared" si="5"/>
        <v>0</v>
      </c>
      <c r="N19" s="33">
        <f t="shared" si="5"/>
        <v>0</v>
      </c>
      <c r="O19" s="33">
        <f t="shared" si="5"/>
        <v>0</v>
      </c>
    </row>
    <row r="20" s="6" customFormat="1" ht="22" customHeight="1" spans="1:15">
      <c r="A20" s="31">
        <v>13</v>
      </c>
      <c r="B20" s="34" t="s">
        <v>44</v>
      </c>
      <c r="C20" s="33">
        <f t="shared" ref="C20:G20" si="6">SUM(C21:C23)</f>
        <v>0</v>
      </c>
      <c r="D20" s="33">
        <f t="shared" si="6"/>
        <v>0</v>
      </c>
      <c r="E20" s="33">
        <f t="shared" si="6"/>
        <v>0</v>
      </c>
      <c r="F20" s="33">
        <f t="shared" si="6"/>
        <v>0</v>
      </c>
      <c r="G20" s="33">
        <f t="shared" si="6"/>
        <v>0</v>
      </c>
      <c r="H20" s="33">
        <f t="shared" ref="H20:O20" si="7">SUM(H21:H23)</f>
        <v>0</v>
      </c>
      <c r="I20" s="33">
        <f t="shared" si="7"/>
        <v>0</v>
      </c>
      <c r="J20" s="33">
        <f t="shared" si="7"/>
        <v>0</v>
      </c>
      <c r="K20" s="33">
        <f t="shared" si="7"/>
        <v>0</v>
      </c>
      <c r="L20" s="33">
        <f t="shared" si="7"/>
        <v>0</v>
      </c>
      <c r="M20" s="33">
        <f t="shared" si="7"/>
        <v>0</v>
      </c>
      <c r="N20" s="33">
        <f t="shared" si="7"/>
        <v>0</v>
      </c>
      <c r="O20" s="33">
        <f t="shared" si="7"/>
        <v>0</v>
      </c>
    </row>
    <row r="21" s="6" customFormat="1" ht="22" customHeight="1" spans="1:15">
      <c r="A21" s="31">
        <v>14</v>
      </c>
      <c r="B21" s="34" t="s">
        <v>45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60"/>
    </row>
    <row r="22" s="6" customFormat="1" ht="22" customHeight="1" spans="1:15">
      <c r="A22" s="31">
        <v>15</v>
      </c>
      <c r="B22" s="34" t="s">
        <v>46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60"/>
    </row>
    <row r="23" s="6" customFormat="1" ht="22" customHeight="1" spans="1:15">
      <c r="A23" s="31">
        <v>16</v>
      </c>
      <c r="B23" s="34" t="s">
        <v>47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60"/>
    </row>
    <row r="24" s="6" customFormat="1" ht="22" customHeight="1" spans="1:15">
      <c r="A24" s="31">
        <v>17</v>
      </c>
      <c r="B24" s="36" t="s">
        <v>48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60"/>
    </row>
    <row r="25" s="6" customFormat="1" ht="22" customHeight="1" spans="1:15">
      <c r="A25" s="31">
        <v>18</v>
      </c>
      <c r="B25" s="36" t="s">
        <v>49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60"/>
    </row>
    <row r="26" s="6" customFormat="1" ht="22" customHeight="1" spans="1:15">
      <c r="A26" s="31">
        <v>19</v>
      </c>
      <c r="B26" s="36" t="s">
        <v>50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60"/>
    </row>
    <row r="27" s="6" customFormat="1" ht="22" customHeight="1" spans="1:15">
      <c r="A27" s="31">
        <v>20</v>
      </c>
      <c r="B27" s="34" t="s">
        <v>51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60"/>
    </row>
    <row r="28" s="6" customFormat="1" ht="22" customHeight="1" spans="1:15">
      <c r="A28" s="31">
        <v>21</v>
      </c>
      <c r="B28" s="36" t="s">
        <v>52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60"/>
    </row>
    <row r="29" ht="25" customHeight="1" spans="1:15">
      <c r="A29" s="31">
        <v>22</v>
      </c>
      <c r="B29" s="34" t="s">
        <v>53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60"/>
    </row>
    <row r="30" s="6" customFormat="1" ht="22" customHeight="1" spans="1:15">
      <c r="A30" s="31">
        <v>23</v>
      </c>
      <c r="B30" s="32" t="s">
        <v>54</v>
      </c>
      <c r="C30" s="33">
        <f t="shared" ref="C30:G30" si="8">C8+C19</f>
        <v>0</v>
      </c>
      <c r="D30" s="33">
        <f t="shared" si="8"/>
        <v>0</v>
      </c>
      <c r="E30" s="33">
        <f t="shared" si="8"/>
        <v>0</v>
      </c>
      <c r="F30" s="33">
        <f t="shared" si="8"/>
        <v>0</v>
      </c>
      <c r="G30" s="33">
        <f t="shared" si="8"/>
        <v>0</v>
      </c>
      <c r="H30" s="33">
        <f t="shared" ref="H30:O30" si="9">H8+H19</f>
        <v>0</v>
      </c>
      <c r="I30" s="33">
        <f t="shared" si="9"/>
        <v>0</v>
      </c>
      <c r="J30" s="33">
        <f t="shared" si="9"/>
        <v>0</v>
      </c>
      <c r="K30" s="33">
        <f t="shared" si="9"/>
        <v>0</v>
      </c>
      <c r="L30" s="33">
        <f t="shared" si="9"/>
        <v>0</v>
      </c>
      <c r="M30" s="33">
        <f t="shared" si="9"/>
        <v>0</v>
      </c>
      <c r="N30" s="33">
        <f t="shared" si="9"/>
        <v>0</v>
      </c>
      <c r="O30" s="33">
        <f t="shared" si="9"/>
        <v>0</v>
      </c>
    </row>
    <row r="31" s="8" customFormat="1" ht="20.1" customHeight="1" spans="1:10">
      <c r="A31" s="37" t="s">
        <v>55</v>
      </c>
      <c r="B31" s="38"/>
      <c r="C31" s="39" t="s">
        <v>56</v>
      </c>
      <c r="D31" s="39"/>
      <c r="E31" s="38" t="s">
        <v>57</v>
      </c>
      <c r="F31" s="8"/>
      <c r="G31" s="51"/>
      <c r="H31" s="8"/>
      <c r="I31" s="58"/>
      <c r="J31" s="59"/>
    </row>
    <row r="32" s="8" customFormat="1" ht="20.1" customHeight="1" spans="1:10">
      <c r="A32" s="37" t="s">
        <v>58</v>
      </c>
      <c r="B32" s="39">
        <v>241</v>
      </c>
      <c r="C32" s="39"/>
      <c r="D32" s="39"/>
      <c r="E32" s="38"/>
      <c r="F32" s="8"/>
      <c r="G32" s="51"/>
      <c r="H32" s="8"/>
      <c r="I32" s="58"/>
      <c r="J32" s="59"/>
    </row>
    <row r="33" s="9" customFormat="1" ht="25" customHeight="1" spans="1:249">
      <c r="A33" s="11"/>
      <c r="B33" s="40"/>
      <c r="C33" s="41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1"/>
      <c r="O33" s="4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L33" s="61"/>
      <c r="IM33" s="61"/>
      <c r="IN33" s="61"/>
      <c r="IO33" s="61"/>
    </row>
    <row r="34" s="10" customFormat="1" ht="20" customHeight="1" spans="1:2">
      <c r="A34" s="43"/>
      <c r="B34" s="44" t="s">
        <v>59</v>
      </c>
    </row>
    <row r="35" s="10" customFormat="1" ht="20" customHeight="1" spans="1:2">
      <c r="A35" s="45"/>
      <c r="B35" s="44" t="s">
        <v>60</v>
      </c>
    </row>
    <row r="36" ht="18.75" customHeight="1" spans="1:2">
      <c r="A36" s="46"/>
      <c r="B36" s="44" t="s">
        <v>61</v>
      </c>
    </row>
  </sheetData>
  <sheetProtection formatColumns="0" formatRows="0"/>
  <protectedRanges>
    <protectedRange sqref="J30:O30 J20:O20 J9:O9 I9 I20 I30 D30:E30 H30 D9:E9 H9 D20:E20 H20 F20:G20 F9:G9 F30:G30" name="区域2"/>
    <protectedRange sqref="J16:K18 O16:O18 J27:K29 O27:O29" name="区域14"/>
    <protectedRange sqref="C30" name="区域2_1"/>
  </protectedRanges>
  <mergeCells count="22">
    <mergeCell ref="A1:O1"/>
    <mergeCell ref="J2:K2"/>
    <mergeCell ref="D4:G4"/>
    <mergeCell ref="D5:E5"/>
    <mergeCell ref="F5:G5"/>
    <mergeCell ref="C4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H4:I5"/>
    <mergeCell ref="J4:K5"/>
    <mergeCell ref="L4:M5"/>
    <mergeCell ref="N4:O5"/>
  </mergeCells>
  <conditionalFormatting sqref="H4">
    <cfRule type="cellIs" dxfId="0" priority="1" stopIfTrue="1" operator="equal">
      <formula>"Pass"</formula>
    </cfRule>
    <cfRule type="cellIs" dxfId="1" priority="2" stopIfTrue="1" operator="equal">
      <formula>"please check"</formula>
    </cfRule>
    <cfRule type="cellIs" dxfId="2" priority="3" stopIfTrue="1" operator="equal">
      <formula>"Fail"</formula>
    </cfRule>
  </conditionalFormatting>
  <dataValidations count="1">
    <dataValidation type="decimal" operator="between" allowBlank="1" showInputMessage="1" showErrorMessage="1" sqref="C30:E30 F30:G30 H30:O30">
      <formula1>-9999999999</formula1>
      <formula2>9999999999</formula2>
    </dataValidation>
  </dataValidations>
  <printOptions horizontalCentered="1"/>
  <pageMargins left="0.16" right="0.2" top="0.16" bottom="0.39" header="0.2" footer="0.16"/>
  <pageSetup paperSize="8" scale="57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1"/>
  <sheetViews>
    <sheetView workbookViewId="0">
      <selection activeCell="E17" sqref="E17"/>
    </sheetView>
  </sheetViews>
  <sheetFormatPr defaultColWidth="9.16666666666667" defaultRowHeight="14.25"/>
  <cols>
    <col min="1" max="1" width="29.8333333333333" customWidth="1"/>
    <col min="2" max="2" width="30.3333333333333" customWidth="1"/>
  </cols>
  <sheetData>
    <row r="1" spans="1:1">
      <c r="A1" s="1" t="s">
        <v>62</v>
      </c>
    </row>
    <row r="2" spans="1:1">
      <c r="A2" s="1" t="s">
        <v>63</v>
      </c>
    </row>
    <row r="3" spans="1:1">
      <c r="A3" s="1" t="s">
        <v>64</v>
      </c>
    </row>
    <row r="4" spans="1:1">
      <c r="A4" s="2" t="s">
        <v>65</v>
      </c>
    </row>
    <row r="5" spans="1:1">
      <c r="A5" s="3" t="s">
        <v>66</v>
      </c>
    </row>
    <row r="6" spans="1:1">
      <c r="A6" s="2" t="s">
        <v>67</v>
      </c>
    </row>
    <row r="7" spans="1:1">
      <c r="A7" s="4" t="s">
        <v>68</v>
      </c>
    </row>
    <row r="8" spans="1:1">
      <c r="A8" s="3" t="s">
        <v>69</v>
      </c>
    </row>
    <row r="9" spans="1:1">
      <c r="A9" s="4" t="s">
        <v>70</v>
      </c>
    </row>
    <row r="11" spans="1:1">
      <c r="A11" t="s">
        <v>71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>
    <arrUserId title="区域2" rangeCreator="" othersAccessPermission="edit"/>
    <arrUserId title="区域14" rangeCreator="" othersAccessPermission="edit"/>
    <arrUserId title="区域2_1" rangeCreator="" othersAccessPermission="edit"/>
  </rangeList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 (Beijing) Limited</Company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G4B-5（第一档）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杨光</dc:creator>
  <cp:lastModifiedBy>陈静</cp:lastModifiedBy>
  <dcterms:created xsi:type="dcterms:W3CDTF">2013-10-01T01:14:00Z</dcterms:created>
  <dcterms:modified xsi:type="dcterms:W3CDTF">2024-12-13T14:50:49Z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806F9ACADC264DFD987C1C4BAE1934A7_13</vt:lpwstr>
  </property>
</Properties>
</file>