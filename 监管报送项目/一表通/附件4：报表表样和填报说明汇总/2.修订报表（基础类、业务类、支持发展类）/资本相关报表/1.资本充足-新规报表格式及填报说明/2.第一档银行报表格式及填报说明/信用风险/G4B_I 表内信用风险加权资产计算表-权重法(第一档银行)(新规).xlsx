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25" activeTab="1"/>
  </bookViews>
  <sheets>
    <sheet name="G4B-1修订（第一档和第二档整合版）" sheetId="1" state="hidden" r:id="rId1"/>
    <sheet name="G4B-1（第一档）" sheetId="2" r:id="rId2"/>
  </sheets>
  <definedNames>
    <definedName name="_xlnm._FilterDatabase" localSheetId="1" hidden="1">'G4B-1（第一档）'!$A$8:$BL$232</definedName>
  </definedNames>
  <calcPr calcId="144525"/>
</workbook>
</file>

<file path=xl/sharedStrings.xml><?xml version="1.0" encoding="utf-8"?>
<sst xmlns="http://schemas.openxmlformats.org/spreadsheetml/2006/main" count="846" uniqueCount="451">
  <si>
    <t>G4B-1表内信用风险加权资产计算表(权重法）</t>
  </si>
  <si>
    <t>填报机构：</t>
  </si>
  <si>
    <t>货币单位：万元</t>
  </si>
  <si>
    <t>修订说明</t>
  </si>
  <si>
    <t>新增</t>
  </si>
  <si>
    <t>新增，考虑回购业务风险权重底线豁免至10%的场景；</t>
  </si>
  <si>
    <t>新增，考虑合格质物的风险权重底线不可豁免的场景；</t>
  </si>
  <si>
    <t>新增，考虑风险权重底线不可豁免的场景；</t>
  </si>
  <si>
    <t>仅针对保证或信用衍生工具部分，合格质押物的风险权重底线不可豁免</t>
  </si>
  <si>
    <r>
      <rPr>
        <sz val="10"/>
        <rFont val="宋体"/>
        <charset val="134"/>
      </rPr>
      <t>新增，考虑回购业务风险权重底线豁免至</t>
    </r>
    <r>
      <rPr>
        <sz val="10"/>
        <rFont val="Times New Roman"/>
        <charset val="134"/>
      </rPr>
      <t>10%</t>
    </r>
    <r>
      <rPr>
        <sz val="10"/>
        <rFont val="宋体"/>
        <charset val="134"/>
      </rPr>
      <t>的场景；</t>
    </r>
  </si>
  <si>
    <t>调整，合格质押物的风险权重底线不可豁免</t>
  </si>
  <si>
    <t>新增，视同我国主权的风险暴露</t>
  </si>
  <si>
    <t>调整，视同我国主权的风险暴露，类似现行下我国公共部门实体</t>
  </si>
  <si>
    <t>调整风险权重</t>
  </si>
  <si>
    <t>调整，按照标准信用等级划分境内外商业银行</t>
  </si>
  <si>
    <t>仅针对保证或信用衍生工具部分，合格质物的风险权重底线不可豁免</t>
  </si>
  <si>
    <t>新增，合格质物的风险权重底线不可豁免</t>
  </si>
  <si>
    <t>新增，其他多边开发银行</t>
  </si>
  <si>
    <r>
      <rPr>
        <sz val="10"/>
        <rFont val="宋体"/>
        <charset val="134"/>
      </rPr>
      <t>项目</t>
    </r>
    <r>
      <rPr>
        <sz val="10"/>
        <rFont val="Times New Roman"/>
        <charset val="134"/>
      </rPr>
      <t>/</t>
    </r>
    <r>
      <rPr>
        <sz val="10"/>
        <rFont val="宋体"/>
        <charset val="134"/>
      </rPr>
      <t>权重</t>
    </r>
  </si>
  <si>
    <t>AA</t>
  </si>
  <si>
    <t>AB</t>
  </si>
  <si>
    <t>AC</t>
  </si>
  <si>
    <t>AD</t>
  </si>
  <si>
    <t>AE</t>
  </si>
  <si>
    <t>AF</t>
  </si>
  <si>
    <t>AG</t>
  </si>
  <si>
    <t>AH</t>
  </si>
  <si>
    <t>AI</t>
  </si>
  <si>
    <t>AJ</t>
  </si>
  <si>
    <t>AK</t>
  </si>
  <si>
    <t>AL</t>
  </si>
  <si>
    <t>AM</t>
  </si>
  <si>
    <t>AN</t>
  </si>
  <si>
    <t>AO</t>
  </si>
  <si>
    <t>AP</t>
  </si>
  <si>
    <t>AQ</t>
  </si>
  <si>
    <t>AR</t>
  </si>
  <si>
    <t>AS</t>
  </si>
  <si>
    <t>AT</t>
  </si>
  <si>
    <t>本期余额</t>
  </si>
  <si>
    <t>各项减值准备</t>
  </si>
  <si>
    <t>风险暴露</t>
  </si>
  <si>
    <t>其中，资产管理产品风险暴露（杠杆调整后）</t>
  </si>
  <si>
    <r>
      <rPr>
        <sz val="10"/>
        <rFont val="宋体"/>
        <charset val="134"/>
      </rPr>
      <t>其中：因下列因素或以下列因素为保证或抵质押或</t>
    </r>
    <r>
      <rPr>
        <sz val="10"/>
        <color rgb="FFFF0000"/>
        <rFont val="宋体"/>
        <charset val="134"/>
      </rPr>
      <t>信用衍生工具</t>
    </r>
    <r>
      <rPr>
        <sz val="10"/>
        <rFont val="宋体"/>
        <charset val="134"/>
      </rPr>
      <t>，可得以风险缓释后的本期资产余额：</t>
    </r>
  </si>
  <si>
    <t>未缓释风险暴露</t>
  </si>
  <si>
    <t>权重</t>
  </si>
  <si>
    <t>风险加权资产余额</t>
  </si>
  <si>
    <r>
      <rPr>
        <sz val="10"/>
        <rFont val="宋体"/>
        <charset val="134"/>
      </rPr>
      <t xml:space="preserve">风险加权资产比例
</t>
    </r>
    <r>
      <rPr>
        <sz val="10"/>
        <rFont val="Times New Roman"/>
        <charset val="134"/>
      </rPr>
      <t>(%)</t>
    </r>
  </si>
  <si>
    <t>现金类资产</t>
  </si>
  <si>
    <t>我国中央政府</t>
  </si>
  <si>
    <t>中国人民银行</t>
  </si>
  <si>
    <r>
      <rPr>
        <sz val="10"/>
        <rFont val="宋体"/>
        <charset val="134"/>
      </rPr>
      <t>我国政策性和</t>
    </r>
    <r>
      <rPr>
        <sz val="10"/>
        <color rgb="FFFF0000"/>
        <rFont val="宋体"/>
        <charset val="134"/>
      </rPr>
      <t>开发性</t>
    </r>
    <r>
      <rPr>
        <sz val="10"/>
        <rFont val="宋体"/>
        <charset val="134"/>
      </rPr>
      <t>银行</t>
    </r>
  </si>
  <si>
    <t>省级（直辖市、自治区）及计划单列市人民政府-一般债券</t>
  </si>
  <si>
    <t>省级（直辖市、自治区）及计划单列市人民政府-专项债券</t>
  </si>
  <si>
    <t>其他收入主要源于中央财政的公共部门实体</t>
  </si>
  <si>
    <t>经银保监会认定的我国一般公共部门实体</t>
  </si>
  <si>
    <t>金融资产管理公司为收购国有银行不良贷款而定向发行的债券</t>
  </si>
  <si>
    <t>评级AA-以上（含）的国家和地区的中央政府和中央银行</t>
  </si>
  <si>
    <r>
      <rPr>
        <sz val="10"/>
        <rFont val="宋体"/>
        <charset val="134"/>
      </rPr>
      <t>评级AA-以下，A-</t>
    </r>
    <r>
      <rPr>
        <sz val="10"/>
        <color rgb="FFFF0000"/>
        <rFont val="宋体"/>
        <charset val="134"/>
      </rPr>
      <t>（含）</t>
    </r>
    <r>
      <rPr>
        <sz val="10"/>
        <rFont val="宋体"/>
        <charset val="134"/>
      </rPr>
      <t>以上的国家和地区的中央政府和中央银行</t>
    </r>
  </si>
  <si>
    <r>
      <rPr>
        <sz val="10"/>
        <rFont val="宋体"/>
        <charset val="134"/>
      </rPr>
      <t>评级A-以下，BBB-</t>
    </r>
    <r>
      <rPr>
        <sz val="10"/>
        <color rgb="FFFF0000"/>
        <rFont val="宋体"/>
        <charset val="134"/>
      </rPr>
      <t>（含）</t>
    </r>
    <r>
      <rPr>
        <sz val="10"/>
        <rFont val="宋体"/>
        <charset val="134"/>
      </rPr>
      <t>以上的国家和地区的中央政府和中央银行</t>
    </r>
  </si>
  <si>
    <r>
      <rPr>
        <sz val="10"/>
        <rFont val="宋体"/>
        <charset val="134"/>
      </rPr>
      <t>评级AA-</t>
    </r>
    <r>
      <rPr>
        <sz val="10"/>
        <color rgb="FFFF0000"/>
        <rFont val="宋体"/>
        <charset val="134"/>
      </rPr>
      <t>（含）</t>
    </r>
    <r>
      <rPr>
        <sz val="10"/>
        <rFont val="宋体"/>
        <charset val="134"/>
      </rPr>
      <t>及以上国家和地区注册的公共部门实体</t>
    </r>
  </si>
  <si>
    <r>
      <rPr>
        <sz val="10"/>
        <rFont val="宋体"/>
        <charset val="134"/>
      </rPr>
      <t>评级AA-以下，A-</t>
    </r>
    <r>
      <rPr>
        <sz val="10"/>
        <color rgb="FFFF0000"/>
        <rFont val="宋体"/>
        <charset val="134"/>
      </rPr>
      <t>（含）</t>
    </r>
    <r>
      <rPr>
        <sz val="10"/>
        <rFont val="宋体"/>
        <charset val="134"/>
      </rPr>
      <t>以上国家和地区注册的公共部门实体</t>
    </r>
  </si>
  <si>
    <t>A+级境内外商业银行</t>
  </si>
  <si>
    <t>A级境内外商业银行</t>
  </si>
  <si>
    <t>B级境内外商业银行</t>
  </si>
  <si>
    <r>
      <rPr>
        <sz val="10"/>
        <color rgb="FFFF0000"/>
        <rFont val="宋体"/>
        <charset val="134"/>
      </rPr>
      <t>合格</t>
    </r>
    <r>
      <rPr>
        <sz val="10"/>
        <rFont val="宋体"/>
        <charset val="134"/>
      </rPr>
      <t>多边开发银行</t>
    </r>
  </si>
  <si>
    <t>评级AA-（含）以上的其他多边开发银行</t>
  </si>
  <si>
    <t>对评级AA-以下，A-（含）以上的其他多边开发银行</t>
  </si>
  <si>
    <t>评级A-以下，BBB-（含）以上的其他多边开发银行</t>
  </si>
  <si>
    <r>
      <rPr>
        <sz val="10"/>
        <rFont val="宋体"/>
        <charset val="134"/>
      </rPr>
      <t>国际清算银行、</t>
    </r>
    <r>
      <rPr>
        <sz val="10"/>
        <color rgb="FFFF0000"/>
        <rFont val="宋体"/>
        <charset val="134"/>
      </rPr>
      <t>国际货币基金组织、欧洲中央银行、欧盟、欧洲稳定机制和欧洲金融稳定机制</t>
    </r>
  </si>
  <si>
    <t>第二档银行填报</t>
  </si>
  <si>
    <t>1.现金类资产</t>
  </si>
  <si>
    <t>1.1现金(0%)</t>
  </si>
  <si>
    <t>1.2黄金(0%)</t>
  </si>
  <si>
    <t>1.3存放中国人民银行款项(0%)</t>
  </si>
  <si>
    <r>
      <rPr>
        <b/>
        <sz val="10"/>
        <rFont val="宋体"/>
        <charset val="134"/>
      </rPr>
      <t>2.对</t>
    </r>
    <r>
      <rPr>
        <b/>
        <sz val="10"/>
        <color rgb="FFFF0000"/>
        <rFont val="宋体"/>
        <charset val="134"/>
      </rPr>
      <t>主权的风险暴露</t>
    </r>
  </si>
  <si>
    <r>
      <rPr>
        <sz val="10"/>
        <rFont val="宋体"/>
        <charset val="134"/>
      </rPr>
      <t>2.1对我国中央政府的</t>
    </r>
    <r>
      <rPr>
        <sz val="10"/>
        <color rgb="FFFF0000"/>
        <rFont val="宋体"/>
        <charset val="134"/>
      </rPr>
      <t>风险暴露</t>
    </r>
    <r>
      <rPr>
        <sz val="10"/>
        <rFont val="宋体"/>
        <charset val="134"/>
      </rPr>
      <t>(0%)</t>
    </r>
  </si>
  <si>
    <r>
      <rPr>
        <sz val="10"/>
        <rFont val="宋体"/>
        <charset val="134"/>
      </rPr>
      <t>2.2对中国人民银行的</t>
    </r>
    <r>
      <rPr>
        <sz val="10"/>
        <color rgb="FFFF0000"/>
        <rFont val="宋体"/>
        <charset val="134"/>
      </rPr>
      <t>风险暴露</t>
    </r>
    <r>
      <rPr>
        <sz val="10"/>
        <rFont val="宋体"/>
        <charset val="134"/>
      </rPr>
      <t>(0%)</t>
    </r>
  </si>
  <si>
    <r>
      <rPr>
        <sz val="10"/>
        <rFont val="宋体"/>
        <charset val="134"/>
      </rPr>
      <t>2.3对评级AA-</t>
    </r>
    <r>
      <rPr>
        <sz val="10"/>
        <color rgb="FFFF0000"/>
        <rFont val="宋体"/>
        <charset val="134"/>
      </rPr>
      <t>（含）</t>
    </r>
    <r>
      <rPr>
        <sz val="10"/>
        <rFont val="宋体"/>
        <charset val="134"/>
      </rPr>
      <t>以上的国家或地区的中央政府和中央银行的</t>
    </r>
    <r>
      <rPr>
        <sz val="10"/>
        <color rgb="FFFF0000"/>
        <rFont val="宋体"/>
        <charset val="134"/>
      </rPr>
      <t>风险暴露</t>
    </r>
    <r>
      <rPr>
        <sz val="10"/>
        <rFont val="宋体"/>
        <charset val="134"/>
      </rPr>
      <t>(0%)</t>
    </r>
  </si>
  <si>
    <r>
      <rPr>
        <sz val="10"/>
        <rFont val="宋体"/>
        <charset val="134"/>
      </rPr>
      <t>2.4对评级AA-以下，A-</t>
    </r>
    <r>
      <rPr>
        <sz val="10"/>
        <color rgb="FFFF0000"/>
        <rFont val="宋体"/>
        <charset val="134"/>
      </rPr>
      <t>（含）</t>
    </r>
    <r>
      <rPr>
        <sz val="10"/>
        <rFont val="宋体"/>
        <charset val="134"/>
      </rPr>
      <t>以上的国家或地区的中央政府和中央银行的风险暴露(20%)</t>
    </r>
  </si>
  <si>
    <r>
      <rPr>
        <sz val="10"/>
        <rFont val="宋体"/>
        <charset val="134"/>
      </rPr>
      <t>2.5对评级A-以下，BBB-</t>
    </r>
    <r>
      <rPr>
        <sz val="10"/>
        <color rgb="FFFF0000"/>
        <rFont val="宋体"/>
        <charset val="134"/>
      </rPr>
      <t>（含）</t>
    </r>
    <r>
      <rPr>
        <sz val="10"/>
        <rFont val="宋体"/>
        <charset val="134"/>
      </rPr>
      <t>以上的国家或地区的中央政府和中央银行的</t>
    </r>
    <r>
      <rPr>
        <sz val="10"/>
        <color rgb="FFFF0000"/>
        <rFont val="宋体"/>
        <charset val="134"/>
      </rPr>
      <t>风险暴露</t>
    </r>
    <r>
      <rPr>
        <sz val="10"/>
        <rFont val="宋体"/>
        <charset val="134"/>
      </rPr>
      <t>(50%)</t>
    </r>
  </si>
  <si>
    <r>
      <rPr>
        <sz val="10"/>
        <rFont val="宋体"/>
        <charset val="134"/>
      </rPr>
      <t>2.6对评级BBB-以下，B-</t>
    </r>
    <r>
      <rPr>
        <sz val="10"/>
        <color rgb="FFFF0000"/>
        <rFont val="宋体"/>
        <charset val="134"/>
      </rPr>
      <t>（含）</t>
    </r>
    <r>
      <rPr>
        <sz val="10"/>
        <rFont val="宋体"/>
        <charset val="134"/>
      </rPr>
      <t>以上的国家或地区的中央政府和中央银行的</t>
    </r>
    <r>
      <rPr>
        <sz val="10"/>
        <color rgb="FFFF0000"/>
        <rFont val="宋体"/>
        <charset val="134"/>
      </rPr>
      <t>风险暴露</t>
    </r>
    <r>
      <rPr>
        <sz val="10"/>
        <rFont val="宋体"/>
        <charset val="134"/>
      </rPr>
      <t>(100%)</t>
    </r>
  </si>
  <si>
    <t>2.7对评级B-以下的国家或地区的中央政府和中央银行的风险暴露(150%)</t>
  </si>
  <si>
    <r>
      <rPr>
        <sz val="10"/>
        <rFont val="宋体"/>
        <charset val="134"/>
      </rPr>
      <t>2.8对未评级的国家或地区的中央政府和中央银行的</t>
    </r>
    <r>
      <rPr>
        <sz val="10"/>
        <color rgb="FFFF0000"/>
        <rFont val="宋体"/>
        <charset val="134"/>
      </rPr>
      <t>风险暴露</t>
    </r>
    <r>
      <rPr>
        <sz val="10"/>
        <rFont val="宋体"/>
        <charset val="134"/>
      </rPr>
      <t>(100%)</t>
    </r>
  </si>
  <si>
    <t>调整风险暴露所属，从现行【5对在其他国家/地区注册金融机构的债权】的拆分出国际组织后调整到此行。</t>
  </si>
  <si>
    <t>2.9对国际清算银行、国际货币基金组织、欧洲中央银行、欧盟、欧洲稳定机制和欧洲金融稳定机制等的风险暴露（0%）</t>
  </si>
  <si>
    <r>
      <rPr>
        <b/>
        <sz val="10"/>
        <color indexed="8"/>
        <rFont val="宋体"/>
        <charset val="134"/>
      </rPr>
      <t>3.对</t>
    </r>
    <r>
      <rPr>
        <b/>
        <sz val="10"/>
        <color rgb="FFFF0000"/>
        <rFont val="宋体"/>
        <charset val="134"/>
      </rPr>
      <t>我国</t>
    </r>
    <r>
      <rPr>
        <b/>
        <sz val="10"/>
        <color indexed="8"/>
        <rFont val="宋体"/>
        <charset val="134"/>
      </rPr>
      <t>公共部门实体的</t>
    </r>
    <r>
      <rPr>
        <b/>
        <sz val="10"/>
        <color rgb="FFFF0000"/>
        <rFont val="宋体"/>
        <charset val="134"/>
      </rPr>
      <t>风险暴露</t>
    </r>
  </si>
  <si>
    <t>3.1视同我国主权的公共部门实体风险暴露</t>
  </si>
  <si>
    <t>调整风险暴露所属，从现行【4对我国金融机构的债权】下4.1.2的细项移动到此行。</t>
  </si>
  <si>
    <t>3.1.1对我国中央政府投资的金融资产管理公司为收购国有银行不良贷款而定向发行的债券（0%）</t>
  </si>
  <si>
    <r>
      <rPr>
        <sz val="10"/>
        <color rgb="FFFF0000"/>
        <rFont val="宋体"/>
        <charset val="134"/>
      </rPr>
      <t>3.1.2</t>
    </r>
    <r>
      <rPr>
        <sz val="10"/>
        <color indexed="8"/>
        <rFont val="宋体"/>
        <charset val="134"/>
      </rPr>
      <t>对省级（直辖市、自治区）及计划单列市人民政府的</t>
    </r>
    <r>
      <rPr>
        <sz val="10"/>
        <color rgb="FFFF0000"/>
        <rFont val="宋体"/>
        <charset val="134"/>
      </rPr>
      <t>风险暴露</t>
    </r>
  </si>
  <si>
    <t>3.1.2.1一般债券（10%）</t>
  </si>
  <si>
    <t>3.1.2.2专项债券（20%）</t>
  </si>
  <si>
    <t>3.1.3对除财政部和中国人民银行外，其他收入主要源于中央财政的公共部门实体的风险暴露（20%）</t>
  </si>
  <si>
    <t>3.1.4对其他经国务院认定可视同我国主权的公共部门实体的风险暴露（另行规定）</t>
  </si>
  <si>
    <t>3.2对经银保监会认定的我国一般公共部门实体风险暴露（50%）</t>
  </si>
  <si>
    <t>调整风险暴露所属，从现行【4对我国金融机构的债权】下4.1.1的细项移动到此行。</t>
  </si>
  <si>
    <r>
      <rPr>
        <b/>
        <sz val="10"/>
        <color rgb="FFFF0000"/>
        <rFont val="宋体"/>
        <charset val="134"/>
      </rPr>
      <t>4</t>
    </r>
    <r>
      <rPr>
        <b/>
        <sz val="10"/>
        <color indexed="8"/>
        <rFont val="宋体"/>
        <charset val="134"/>
      </rPr>
      <t>.对我国</t>
    </r>
    <r>
      <rPr>
        <b/>
        <sz val="10"/>
        <color rgb="FFFF0000"/>
        <rFont val="宋体"/>
        <charset val="134"/>
      </rPr>
      <t>开发性金融机构</t>
    </r>
    <r>
      <rPr>
        <b/>
        <sz val="10"/>
        <color indexed="8"/>
        <rFont val="宋体"/>
        <charset val="134"/>
      </rPr>
      <t>和政策性银行的</t>
    </r>
    <r>
      <rPr>
        <b/>
        <sz val="10"/>
        <color rgb="FFFF0000"/>
        <rFont val="宋体"/>
        <charset val="134"/>
      </rPr>
      <t>风险暴露</t>
    </r>
    <r>
      <rPr>
        <b/>
        <sz val="10"/>
        <color indexed="8"/>
        <rFont val="宋体"/>
        <charset val="134"/>
      </rPr>
      <t>（不包括次级债权）（0%）</t>
    </r>
  </si>
  <si>
    <t>5.对在其他国家或地区注册的公共部门实体的风险暴露</t>
  </si>
  <si>
    <r>
      <rPr>
        <sz val="10"/>
        <rFont val="宋体"/>
        <charset val="134"/>
      </rPr>
      <t>5.1对评级AA-</t>
    </r>
    <r>
      <rPr>
        <sz val="10"/>
        <color rgb="FFFF0000"/>
        <rFont val="宋体"/>
        <charset val="134"/>
      </rPr>
      <t>（含）</t>
    </r>
    <r>
      <rPr>
        <sz val="10"/>
        <rFont val="宋体"/>
        <charset val="134"/>
      </rPr>
      <t>以上国家或地区注册的公共部门实体的</t>
    </r>
    <r>
      <rPr>
        <sz val="10"/>
        <color rgb="FFFF0000"/>
        <rFont val="宋体"/>
        <charset val="134"/>
      </rPr>
      <t>风险暴露(20%)</t>
    </r>
  </si>
  <si>
    <r>
      <rPr>
        <sz val="10"/>
        <rFont val="宋体"/>
        <charset val="134"/>
      </rPr>
      <t>5.2对评级AA-以下，A-</t>
    </r>
    <r>
      <rPr>
        <sz val="10"/>
        <color rgb="FFFF0000"/>
        <rFont val="宋体"/>
        <charset val="134"/>
      </rPr>
      <t>（含）</t>
    </r>
    <r>
      <rPr>
        <sz val="10"/>
        <rFont val="宋体"/>
        <charset val="134"/>
      </rPr>
      <t>以上国家或地区注册的公共部门实体的</t>
    </r>
    <r>
      <rPr>
        <sz val="10"/>
        <color rgb="FFFF0000"/>
        <rFont val="宋体"/>
        <charset val="134"/>
      </rPr>
      <t>风险暴露</t>
    </r>
    <r>
      <rPr>
        <sz val="10"/>
        <rFont val="宋体"/>
        <charset val="134"/>
      </rPr>
      <t>(50%)</t>
    </r>
  </si>
  <si>
    <r>
      <rPr>
        <sz val="10"/>
        <rFont val="宋体"/>
        <charset val="134"/>
      </rPr>
      <t>5.3对评级A-以下，B-</t>
    </r>
    <r>
      <rPr>
        <sz val="10"/>
        <color rgb="FFFF0000"/>
        <rFont val="宋体"/>
        <charset val="134"/>
      </rPr>
      <t>（含）</t>
    </r>
    <r>
      <rPr>
        <sz val="10"/>
        <rFont val="宋体"/>
        <charset val="134"/>
      </rPr>
      <t>以上国家或地区注册的公共部门实体的</t>
    </r>
    <r>
      <rPr>
        <sz val="10"/>
        <color rgb="FFFF0000"/>
        <rFont val="宋体"/>
        <charset val="134"/>
      </rPr>
      <t>风险暴露</t>
    </r>
    <r>
      <rPr>
        <sz val="10"/>
        <rFont val="宋体"/>
        <charset val="134"/>
      </rPr>
      <t>(100%)</t>
    </r>
  </si>
  <si>
    <r>
      <rPr>
        <sz val="10"/>
        <rFont val="宋体"/>
        <charset val="134"/>
      </rPr>
      <t>5.4对评级B-以下国家或地区注册的公共部门实体的</t>
    </r>
    <r>
      <rPr>
        <sz val="10"/>
        <color rgb="FFFF0000"/>
        <rFont val="宋体"/>
        <charset val="134"/>
      </rPr>
      <t>风险暴露</t>
    </r>
    <r>
      <rPr>
        <sz val="10"/>
        <rFont val="宋体"/>
        <charset val="134"/>
      </rPr>
      <t>(150%)</t>
    </r>
  </si>
  <si>
    <r>
      <rPr>
        <sz val="10"/>
        <rFont val="宋体"/>
        <charset val="134"/>
      </rPr>
      <t>5.5对未评级的国家或地区注册的公共部门实体的</t>
    </r>
    <r>
      <rPr>
        <sz val="10"/>
        <color rgb="FFFF0000"/>
        <rFont val="宋体"/>
        <charset val="134"/>
      </rPr>
      <t>风险暴露</t>
    </r>
    <r>
      <rPr>
        <sz val="10"/>
        <rFont val="宋体"/>
        <charset val="134"/>
      </rPr>
      <t>(100%)</t>
    </r>
  </si>
  <si>
    <t>调整风险暴露所属，从现行【5对在其他国家/地区注册金融机构的债权】的拆分出多边开发银行后调整到此行。</t>
  </si>
  <si>
    <t>6.对多边开发银行的风险暴露</t>
  </si>
  <si>
    <t>6.1对合格多边开发银行的风险暴露（0%）</t>
  </si>
  <si>
    <t>6.2对评级AA-（含）以上的其他多边开发银行的风险暴露（20%）</t>
  </si>
  <si>
    <t>6.3对评级AA-以下，A-（含）以上的其他多边开发银行的风险暴露（30%）</t>
  </si>
  <si>
    <t>6.4对评级A-以下，BBB-（含）以上的其他多边开发银行的风险暴露（50%）</t>
  </si>
  <si>
    <t>6.5对评级BBB-以下，B-（含）以上的其他多边开发银行的风险暴露（100%）</t>
  </si>
  <si>
    <t>6.6对评级B-以下的其他多边开发银行的风险暴露（150%）</t>
  </si>
  <si>
    <t>6.7对未评级的其他多边开发银行的风险暴露（50%）</t>
  </si>
  <si>
    <t>合并境内外，从现行【4对我国金融机构的债权】和【5对在其他国家/地区注册金融机构的债权】合并到此行</t>
  </si>
  <si>
    <t>7.对境内外金融机构的风险暴露（不含次级债权）</t>
  </si>
  <si>
    <r>
      <rPr>
        <sz val="10"/>
        <color rgb="FFFF0000"/>
        <rFont val="宋体"/>
        <charset val="134"/>
      </rPr>
      <t>7.1对境内</t>
    </r>
    <r>
      <rPr>
        <sz val="10"/>
        <rFont val="宋体"/>
        <charset val="134"/>
      </rPr>
      <t>商业银行</t>
    </r>
    <r>
      <rPr>
        <sz val="10"/>
        <color rgb="FFFF0000"/>
        <rFont val="宋体"/>
        <charset val="134"/>
      </rPr>
      <t>的风险暴露</t>
    </r>
  </si>
  <si>
    <t>7.1.1对A+级商业银行的风险暴露</t>
  </si>
  <si>
    <t>7.1.1.1对A+级商业银行原始期限三个月以内（含），或因跨境货物贸易而产生的原始期限六个月以内（含）的风险暴露（20%）</t>
  </si>
  <si>
    <t>7.1.1.2对A+级商业银行的其他风险暴露（30%）</t>
  </si>
  <si>
    <t>7.1.2对A级商业银行的风险暴露</t>
  </si>
  <si>
    <t>7.1.2.1对A级商业银行原始期限三个月以内（含），或因跨境货物贸易而产生的原始期限六个月以内（含）的风险暴露（20%）</t>
  </si>
  <si>
    <t>7.1.2.2对A级商业银行的其他风险暴露（40%）</t>
  </si>
  <si>
    <t>7.1.3对B级商业银行的风险暴露</t>
  </si>
  <si>
    <t>7.1.3.1对B级商业银行原始期限三个月以内（含），或因跨境跨境货物贸易而产生的原始期限六个月以内（含）的风险暴露（50%）</t>
  </si>
  <si>
    <t>7.1.3.2对B级商业银行的其他风险暴露（75%）</t>
  </si>
  <si>
    <t>7.1.4对C级商业银行的风险暴露（150%）</t>
  </si>
  <si>
    <r>
      <rPr>
        <sz val="10"/>
        <color rgb="FFFF0000"/>
        <rFont val="宋体"/>
        <charset val="134"/>
      </rPr>
      <t>7.2对境外</t>
    </r>
    <r>
      <rPr>
        <sz val="10"/>
        <rFont val="宋体"/>
        <charset val="134"/>
      </rPr>
      <t>商业银行</t>
    </r>
    <r>
      <rPr>
        <sz val="10"/>
        <color rgb="FFFF0000"/>
        <rFont val="宋体"/>
        <charset val="134"/>
      </rPr>
      <t>的风险暴露</t>
    </r>
  </si>
  <si>
    <t>7.2.1对A+级商业银行的风险暴露</t>
  </si>
  <si>
    <t>7.2.1.1对A+级商业银行原始期限三个月以内（含），或因跨境商品贸易而产生的原始期限六个月以内（含）的风险暴露（20%）</t>
  </si>
  <si>
    <t>7.2.1.2对A+级商业银行的其他风险暴露（30%）</t>
  </si>
  <si>
    <t>7.2.1.3对A+级商业银行的其他风险暴露（50%）</t>
  </si>
  <si>
    <t>7.2.1.4对A+级商业银行的其他风险暴露（100%）</t>
  </si>
  <si>
    <t>7.2.1.5对A+级商业银行的其他风险暴露（150%）</t>
  </si>
  <si>
    <t>7.2.2对A级商业银行的风险暴露</t>
  </si>
  <si>
    <t>7.2.2.1对A级商业银行原始期限三个月以内（含），或因跨境商品贸易而产生的原始期限六个月以内（含）的风险暴露（20%）</t>
  </si>
  <si>
    <t>7.2.2.2对A级商业银行的其他风险暴露（40%）</t>
  </si>
  <si>
    <t>7.2.2.3对A级商业银行的其他风险暴露（50%）</t>
  </si>
  <si>
    <t>7.2.2.4对A级商业银行的其他风险暴露（100%）</t>
  </si>
  <si>
    <t>7.2.2.5对A级商业银行的其他风险暴露（150%）</t>
  </si>
  <si>
    <t>7.2.3对B级商业银行的风险暴露</t>
  </si>
  <si>
    <t>7.2.3.1对B级商业银行原始期限三个月以内（含），或因跨境商品贸易而产生的原始期限六个月以内（含）的风险暴露（50%）</t>
  </si>
  <si>
    <t>7.2.3.2对B级商业银行的其他风险暴露（75%）</t>
  </si>
  <si>
    <t>7.2.3.3对B级商业银行的其他风险暴露（100%）</t>
  </si>
  <si>
    <t>7.2.3.4对B级商业银行的其他风险暴露（150%）</t>
  </si>
  <si>
    <t>7.2.4对C级商业银行的风险暴露（150%）</t>
  </si>
  <si>
    <t>仅第二档银行填报</t>
  </si>
  <si>
    <t>7.3对境内商业银行的风险暴露（仅第二档商业银行填报）</t>
  </si>
  <si>
    <t>7.3.1对境内商业银行原始期限三个月以内（含），或因跨境货物贸易而产生的原始期限六个月以内（含）的风险暴露（20%）</t>
  </si>
  <si>
    <t>7.3.2对境内商业银行的其他风险暴露（40%）</t>
  </si>
  <si>
    <t>7.4对境外商业银行的风险暴露（仅第二档商业银行填报）</t>
  </si>
  <si>
    <t>7.4.1对境外商业银行原始期限三个月以内（含），或因跨境商品贸易而产生的原始期限六个月以内（含）的风险暴露（20%）</t>
  </si>
  <si>
    <t>7.4.2对境外商业银行的其他风险暴露（40%）</t>
  </si>
  <si>
    <t>7.4.3对境外商业银行的其他风险暴露（50%）</t>
  </si>
  <si>
    <t>7.4.4对境外商业银行的其他风险暴露（100%）</t>
  </si>
  <si>
    <t>7.4.5对境外商业银行的其他风险暴露（150%）</t>
  </si>
  <si>
    <r>
      <rPr>
        <sz val="10"/>
        <color rgb="FFFF0000"/>
        <rFont val="宋体"/>
        <charset val="134"/>
      </rPr>
      <t>7.5</t>
    </r>
    <r>
      <rPr>
        <sz val="10"/>
        <rFont val="宋体"/>
        <charset val="134"/>
      </rPr>
      <t>对境内外</t>
    </r>
    <r>
      <rPr>
        <sz val="10"/>
        <color rgb="FFFF0000"/>
        <rFont val="宋体"/>
        <charset val="134"/>
      </rPr>
      <t>其他</t>
    </r>
    <r>
      <rPr>
        <sz val="10"/>
        <rFont val="宋体"/>
        <charset val="134"/>
      </rPr>
      <t>金融机构的</t>
    </r>
    <r>
      <rPr>
        <sz val="10"/>
        <color rgb="FFFF0000"/>
        <rFont val="宋体"/>
        <charset val="134"/>
      </rPr>
      <t>风险暴露</t>
    </r>
  </si>
  <si>
    <t>7.5.1对投资级其他金融机构的风险暴露（75%）</t>
  </si>
  <si>
    <r>
      <rPr>
        <sz val="10"/>
        <color rgb="FFFF0000"/>
        <rFont val="宋体"/>
        <charset val="134"/>
      </rPr>
      <t>7.5.2</t>
    </r>
    <r>
      <rPr>
        <sz val="10"/>
        <color indexed="8"/>
        <rFont val="宋体"/>
        <charset val="134"/>
      </rPr>
      <t>对</t>
    </r>
    <r>
      <rPr>
        <sz val="10"/>
        <color rgb="FFFF0000"/>
        <rFont val="宋体"/>
        <charset val="134"/>
      </rPr>
      <t>一般其他</t>
    </r>
    <r>
      <rPr>
        <sz val="10"/>
        <color indexed="8"/>
        <rFont val="宋体"/>
        <charset val="134"/>
      </rPr>
      <t>金融机构的</t>
    </r>
    <r>
      <rPr>
        <sz val="10"/>
        <color rgb="FFFF0000"/>
        <rFont val="宋体"/>
        <charset val="134"/>
      </rPr>
      <t>风险暴露</t>
    </r>
    <r>
      <rPr>
        <sz val="10"/>
        <color indexed="8"/>
        <rFont val="宋体"/>
        <charset val="134"/>
      </rPr>
      <t>（100%）</t>
    </r>
  </si>
  <si>
    <t>第二档银行填报，
增加对公房地产抵押追加贷款(150%)（包括居住用和商用房地产）</t>
  </si>
  <si>
    <r>
      <rPr>
        <b/>
        <sz val="10"/>
        <color rgb="FFFF0000"/>
        <rFont val="宋体"/>
        <charset val="134"/>
      </rPr>
      <t>8.</t>
    </r>
    <r>
      <rPr>
        <b/>
        <sz val="10"/>
        <rFont val="宋体"/>
        <charset val="134"/>
      </rPr>
      <t>对</t>
    </r>
    <r>
      <rPr>
        <b/>
        <sz val="10"/>
        <color rgb="FFFF0000"/>
        <rFont val="宋体"/>
        <charset val="134"/>
      </rPr>
      <t>公司</t>
    </r>
    <r>
      <rPr>
        <b/>
        <sz val="10"/>
        <rFont val="宋体"/>
        <charset val="134"/>
      </rPr>
      <t>的</t>
    </r>
    <r>
      <rPr>
        <b/>
        <sz val="10"/>
        <color rgb="FFFF0000"/>
        <rFont val="宋体"/>
        <charset val="134"/>
      </rPr>
      <t>风险暴露</t>
    </r>
  </si>
  <si>
    <r>
      <rPr>
        <sz val="10"/>
        <color rgb="FFFF0000"/>
        <rFont val="宋体"/>
        <charset val="134"/>
      </rPr>
      <t xml:space="preserve">8.1 </t>
    </r>
    <r>
      <rPr>
        <sz val="10"/>
        <rFont val="宋体"/>
        <charset val="134"/>
      </rPr>
      <t>对</t>
    </r>
    <r>
      <rPr>
        <sz val="10"/>
        <color rgb="FFFF0000"/>
        <rFont val="宋体"/>
        <charset val="134"/>
      </rPr>
      <t>一般公司</t>
    </r>
    <r>
      <rPr>
        <sz val="10"/>
        <rFont val="宋体"/>
        <charset val="134"/>
      </rPr>
      <t>的</t>
    </r>
    <r>
      <rPr>
        <sz val="10"/>
        <color rgb="FFFF0000"/>
        <rFont val="宋体"/>
        <charset val="134"/>
      </rPr>
      <t>风险暴露</t>
    </r>
  </si>
  <si>
    <t>8.1.1对投资级公司的风险暴露（75%）</t>
  </si>
  <si>
    <t>参考内评法新增</t>
  </si>
  <si>
    <t>8.1.2对中小企业的风险暴露（85%）</t>
  </si>
  <si>
    <r>
      <rPr>
        <sz val="10"/>
        <color rgb="FFFF0000"/>
        <rFont val="宋体"/>
        <charset val="134"/>
      </rPr>
      <t>8.1.3</t>
    </r>
    <r>
      <rPr>
        <sz val="10"/>
        <color indexed="8"/>
        <rFont val="宋体"/>
        <charset val="134"/>
      </rPr>
      <t>对</t>
    </r>
    <r>
      <rPr>
        <sz val="10"/>
        <color rgb="FFFF0000"/>
        <rFont val="宋体"/>
        <charset val="134"/>
      </rPr>
      <t>小微企业的风险暴露</t>
    </r>
    <r>
      <rPr>
        <sz val="10"/>
        <color indexed="8"/>
        <rFont val="宋体"/>
        <charset val="134"/>
      </rPr>
      <t>（75%）</t>
    </r>
  </si>
  <si>
    <r>
      <rPr>
        <sz val="10"/>
        <color rgb="FFFF0000"/>
        <rFont val="宋体"/>
        <charset val="134"/>
      </rPr>
      <t>8.1.4</t>
    </r>
    <r>
      <rPr>
        <sz val="10"/>
        <color indexed="8"/>
        <rFont val="宋体"/>
        <charset val="134"/>
      </rPr>
      <t>对</t>
    </r>
    <r>
      <rPr>
        <sz val="10"/>
        <color rgb="FFFF0000"/>
        <rFont val="宋体"/>
        <charset val="134"/>
      </rPr>
      <t>其他一般公司</t>
    </r>
    <r>
      <rPr>
        <sz val="10"/>
        <color indexed="8"/>
        <rFont val="宋体"/>
        <charset val="134"/>
      </rPr>
      <t>的</t>
    </r>
    <r>
      <rPr>
        <sz val="10"/>
        <color rgb="FFFF0000"/>
        <rFont val="宋体"/>
        <charset val="134"/>
      </rPr>
      <t>风险暴露</t>
    </r>
    <r>
      <rPr>
        <sz val="10"/>
        <color indexed="8"/>
        <rFont val="宋体"/>
        <charset val="134"/>
      </rPr>
      <t>（100%）</t>
    </r>
  </si>
  <si>
    <t>8.1.5对公司的房产抵押追加贷款（仅第二档商业银行填报）（150%）</t>
  </si>
  <si>
    <t>8.2对专业贷款的风险暴露</t>
  </si>
  <si>
    <t>8.2.1对项目融资的风险暴露</t>
  </si>
  <si>
    <t>8.2.1.1运营前阶段的项目融资（130%）</t>
  </si>
  <si>
    <t>8.2.1.2运营阶段的项目融资（100%）</t>
  </si>
  <si>
    <t>8.2.2对物品融资的风险暴露（100%）</t>
  </si>
  <si>
    <t>8.2.3对商品融资的风险暴露（100%）</t>
  </si>
  <si>
    <t>第二档银行填报,增加
9.1个人住房抵押贷款(50%)；
9.2个人住房抵押追加贷款(150%)（包括居住用和商用房地产）</t>
  </si>
  <si>
    <r>
      <rPr>
        <b/>
        <sz val="10"/>
        <color rgb="FFFF0000"/>
        <rFont val="宋体"/>
        <charset val="134"/>
      </rPr>
      <t>9.</t>
    </r>
    <r>
      <rPr>
        <b/>
        <sz val="10"/>
        <rFont val="宋体"/>
        <charset val="134"/>
      </rPr>
      <t>对个人的</t>
    </r>
    <r>
      <rPr>
        <b/>
        <sz val="10"/>
        <color rgb="FFFF0000"/>
        <rFont val="宋体"/>
        <charset val="134"/>
      </rPr>
      <t>风险暴露</t>
    </r>
  </si>
  <si>
    <t>9.1对个人的风险暴露</t>
  </si>
  <si>
    <t>9.1.1对监管零售个人风险暴露</t>
  </si>
  <si>
    <r>
      <rPr>
        <sz val="10"/>
        <color rgb="FFFF0000"/>
        <rFont val="宋体"/>
        <charset val="134"/>
      </rPr>
      <t>9.1.1.1对合格交易者的信用卡个人循环风险暴露</t>
    </r>
    <r>
      <rPr>
        <sz val="11"/>
        <color rgb="FFFF0000"/>
        <rFont val="宋体"/>
        <charset val="134"/>
      </rPr>
      <t>（45%）</t>
    </r>
  </si>
  <si>
    <r>
      <rPr>
        <sz val="10"/>
        <color rgb="FFFF0000"/>
        <rFont val="宋体"/>
        <charset val="134"/>
      </rPr>
      <t>9.1.1.2对其他监管零售个人风险暴露</t>
    </r>
    <r>
      <rPr>
        <sz val="11"/>
        <color rgb="FFFF0000"/>
        <rFont val="宋体"/>
        <charset val="134"/>
      </rPr>
      <t>（75%）</t>
    </r>
  </si>
  <si>
    <t>9.1.2对其他个人风险暴露（100%）</t>
  </si>
  <si>
    <t>9.2对存在币种错配情形的个人风险暴露（150%）</t>
  </si>
  <si>
    <t>9.3对个人的风险暴露（仅第二档商业银行填报）</t>
  </si>
  <si>
    <t>9.3.1个人住房抵押贷款（50%）</t>
  </si>
  <si>
    <t>9.3.2个人房产的抵押贷款追加贷款（150%）</t>
  </si>
  <si>
    <t>9.3.3对监管零售个人风险暴露</t>
  </si>
  <si>
    <r>
      <rPr>
        <sz val="10"/>
        <color rgb="FFFF0000"/>
        <rFont val="宋体"/>
        <charset val="134"/>
      </rPr>
      <t>9.3.3.1对合格交易者的信用卡个人循环风险暴露</t>
    </r>
    <r>
      <rPr>
        <sz val="11"/>
        <color rgb="FFFF0000"/>
        <rFont val="宋体"/>
        <charset val="134"/>
      </rPr>
      <t>（45%）</t>
    </r>
  </si>
  <si>
    <r>
      <rPr>
        <sz val="10"/>
        <color rgb="FFFF0000"/>
        <rFont val="宋体"/>
        <charset val="134"/>
      </rPr>
      <t>9.3.3.2对其他监管零售个人风险暴露</t>
    </r>
    <r>
      <rPr>
        <sz val="11"/>
        <color rgb="FFFF0000"/>
        <rFont val="宋体"/>
        <charset val="134"/>
      </rPr>
      <t>（75%）</t>
    </r>
  </si>
  <si>
    <t>9.3.4对其他个人风险暴露（100%）</t>
  </si>
  <si>
    <r>
      <rPr>
        <b/>
        <sz val="10"/>
        <color rgb="FFFF0000"/>
        <rFont val="宋体"/>
        <charset val="134"/>
      </rPr>
      <t>10.</t>
    </r>
    <r>
      <rPr>
        <b/>
        <sz val="11"/>
        <color rgb="FFFF0000"/>
        <rFont val="宋体"/>
        <charset val="134"/>
      </rPr>
      <t>房地产开发风险暴露</t>
    </r>
  </si>
  <si>
    <r>
      <rPr>
        <sz val="10"/>
        <color rgb="FFFF0000"/>
        <rFont val="宋体"/>
        <charset val="134"/>
      </rPr>
      <t>10.1</t>
    </r>
    <r>
      <rPr>
        <sz val="11"/>
        <color rgb="FFFF0000"/>
        <rFont val="宋体"/>
        <charset val="134"/>
      </rPr>
      <t>对符合审慎要求的房地产开发风险暴露</t>
    </r>
    <r>
      <rPr>
        <sz val="10"/>
        <color rgb="FFFF0000"/>
        <rFont val="宋体"/>
        <charset val="134"/>
      </rPr>
      <t>（100%）</t>
    </r>
  </si>
  <si>
    <r>
      <rPr>
        <sz val="10"/>
        <color rgb="FFFF0000"/>
        <rFont val="宋体"/>
        <charset val="134"/>
      </rPr>
      <t>10.2</t>
    </r>
    <r>
      <rPr>
        <sz val="11"/>
        <color rgb="FFFF0000"/>
        <rFont val="宋体"/>
        <charset val="134"/>
      </rPr>
      <t>对其他房地产开发风险暴露</t>
    </r>
    <r>
      <rPr>
        <sz val="10"/>
        <color rgb="FFFF0000"/>
        <rFont val="宋体"/>
        <charset val="134"/>
      </rPr>
      <t>（150%）</t>
    </r>
  </si>
  <si>
    <r>
      <rPr>
        <b/>
        <sz val="10"/>
        <color rgb="FFFF0000"/>
        <rFont val="宋体"/>
        <charset val="134"/>
      </rPr>
      <t>11.</t>
    </r>
    <r>
      <rPr>
        <b/>
        <sz val="11"/>
        <color rgb="FFFF0000"/>
        <rFont val="宋体"/>
        <charset val="134"/>
      </rPr>
      <t>居住用房地产风险暴露</t>
    </r>
  </si>
  <si>
    <t>11.1还款不实质依赖于房地产所产生的现金流的居住用房地产风险暴露</t>
  </si>
  <si>
    <t>11.1.1符合审慎要求的居住用房地产风险暴露</t>
  </si>
  <si>
    <t>11.1.1.1贷款价值比在60%（含）以下（40%）</t>
  </si>
  <si>
    <t>11.1.1.2贷款价值比在60%至80%（含）（45%）</t>
  </si>
  <si>
    <t>11.1.1.3贷款价值比在80%至90%（含）（70%）</t>
  </si>
  <si>
    <t>11.1.1.4贷款价值比在90%至100%（含）（75%）</t>
  </si>
  <si>
    <t>11.1.1.5贷款价值比在100%（不含）以上</t>
  </si>
  <si>
    <t>11.1.1.5.1贷款价值比在100%（不含）以上（75%）</t>
  </si>
  <si>
    <t>11.1.1.5.2贷款价值比在100%（不含）以上（85%）</t>
  </si>
  <si>
    <t>11.1.1.5.3贷款价值比在100%（不含）以上（100%）</t>
  </si>
  <si>
    <t>11.1.2不符合审慎要求的居住用房地产风险暴露</t>
  </si>
  <si>
    <t>11.1.2.1不符合审慎要求的居住用房地产风险暴露（75%）</t>
  </si>
  <si>
    <t>11.1.2.2不符合审慎要求的居住用房地产风险暴露（85%）</t>
  </si>
  <si>
    <t>11.1.2.3不符合审慎要求的居住用房地产风险暴露（100%）</t>
  </si>
  <si>
    <t>11.2还款实质依赖于房地产所产生的现金流的居住用房地产风险暴露</t>
  </si>
  <si>
    <t>11.2.1符合审慎要求的居住用房地产风险暴露</t>
  </si>
  <si>
    <t>11.2.1.1贷款价值比在60%（含）以下（50%）</t>
  </si>
  <si>
    <t>11.2.1.2贷款价值比在60%至80%（含）（60%）</t>
  </si>
  <si>
    <t>11.2.1.3贷款价值比在80%至90%（含）（75%）</t>
  </si>
  <si>
    <t>11.2.1.4贷款价值比在90%（不含）以上（105%）</t>
  </si>
  <si>
    <t>11.2.2不符合审慎要求的居住用房地产风险暴露（150%）</t>
  </si>
  <si>
    <t>11.3向个人发放的存在币种错配情形的居住用房地产风险暴露（150%）</t>
  </si>
  <si>
    <r>
      <rPr>
        <b/>
        <sz val="10"/>
        <color rgb="FFFF0000"/>
        <rFont val="宋体"/>
        <charset val="134"/>
      </rPr>
      <t>12.商用</t>
    </r>
    <r>
      <rPr>
        <b/>
        <sz val="11"/>
        <color rgb="FFFF0000"/>
        <rFont val="宋体"/>
        <charset val="134"/>
      </rPr>
      <t>房地产风险暴露</t>
    </r>
  </si>
  <si>
    <t>12.1还款不实质依赖于房地产所产生的现金流的商用房地产风险暴露</t>
  </si>
  <si>
    <t>12.1.1符合审慎要求的商用房地产风险暴露</t>
  </si>
  <si>
    <t>12.1.1.1贷款价值比在60%（含）以下（65%）</t>
  </si>
  <si>
    <t>12.1.1.2贷款价值比在60%（不含）以上</t>
  </si>
  <si>
    <t>12.1.1.2.1贷款价值比在60%（不含）以上（75%）</t>
  </si>
  <si>
    <t>12.1.1.2.2贷款价值比在60%（不含）以上（85%）</t>
  </si>
  <si>
    <t>12.1.1.2.3贷款价值比在60%（不含）以上（100%）</t>
  </si>
  <si>
    <t>12.1.2不符合审慎要求的商用房地产风险暴露</t>
  </si>
  <si>
    <t>12.1.2.1不符合审慎要求的商用房地产风险暴露（75%）</t>
  </si>
  <si>
    <t>12.1.2.2不符合审慎要求的商用房地产风险暴露（85%）</t>
  </si>
  <si>
    <t>12.1.2.3不符合审慎要求的商用房地产风险暴露（100%）</t>
  </si>
  <si>
    <t>12.2还款实质依赖于房地产所产生的现金流的商用房地产风险暴露</t>
  </si>
  <si>
    <t>12.2.1符合审慎要求的商用房地产风险暴露</t>
  </si>
  <si>
    <t>12.2.1.1贷款价值比在60%（含）以下（75%）</t>
  </si>
  <si>
    <t>12.2.1.2贷款价值比在60%至80%（含）</t>
  </si>
  <si>
    <t>12.2.1.2.1贷款价值比在60%至80%（含）（90%）</t>
  </si>
  <si>
    <t>12.2.1.2.2贷款价值比在60%至80%（含）（100%）</t>
  </si>
  <si>
    <t>12.2.1.3贷款价值比在80%（不含）以上（110%）</t>
  </si>
  <si>
    <t>12.2.2不符合审慎要求的商用房地产风险暴露（150%）</t>
  </si>
  <si>
    <t>13.商业银行持有的不动产</t>
  </si>
  <si>
    <t>13.1商业银行自用不动产（100%）</t>
  </si>
  <si>
    <r>
      <rPr>
        <sz val="10"/>
        <color rgb="FFFF0000"/>
        <rFont val="宋体"/>
        <charset val="134"/>
      </rPr>
      <t>13.2</t>
    </r>
    <r>
      <rPr>
        <sz val="10"/>
        <rFont val="宋体"/>
        <charset val="134"/>
      </rPr>
      <t>商业银行非自用不动产</t>
    </r>
  </si>
  <si>
    <r>
      <rPr>
        <sz val="10"/>
        <color rgb="FFFF0000"/>
        <rFont val="宋体"/>
        <charset val="134"/>
      </rPr>
      <t>13.2.1</t>
    </r>
    <r>
      <rPr>
        <sz val="10"/>
        <color indexed="8"/>
        <rFont val="宋体"/>
        <charset val="134"/>
      </rPr>
      <t>因行使抵押权而持有并在法律规定处分期限内的非自用不动产（100%）</t>
    </r>
  </si>
  <si>
    <r>
      <rPr>
        <sz val="10"/>
        <color rgb="FFFF0000"/>
        <rFont val="宋体"/>
        <charset val="134"/>
      </rPr>
      <t>13.2.2</t>
    </r>
    <r>
      <rPr>
        <sz val="10"/>
        <color indexed="8"/>
        <rFont val="宋体"/>
        <charset val="134"/>
      </rPr>
      <t>其他非自用不动产</t>
    </r>
    <r>
      <rPr>
        <sz val="10"/>
        <color rgb="FFFF0000"/>
        <rFont val="宋体"/>
        <charset val="134"/>
      </rPr>
      <t>（400%）</t>
    </r>
  </si>
  <si>
    <r>
      <rPr>
        <b/>
        <sz val="10"/>
        <color rgb="FFFF0000"/>
        <rFont val="宋体"/>
        <charset val="134"/>
      </rPr>
      <t>14.</t>
    </r>
    <r>
      <rPr>
        <b/>
        <sz val="10"/>
        <rFont val="宋体"/>
        <charset val="134"/>
      </rPr>
      <t>租赁资产余值(100%)</t>
    </r>
  </si>
  <si>
    <r>
      <rPr>
        <b/>
        <sz val="10"/>
        <color rgb="FFFF0000"/>
        <rFont val="宋体"/>
        <charset val="134"/>
      </rPr>
      <t>15.</t>
    </r>
    <r>
      <rPr>
        <b/>
        <sz val="10"/>
        <rFont val="宋体"/>
        <charset val="134"/>
      </rPr>
      <t>股权</t>
    </r>
  </si>
  <si>
    <t>15.1对大额工商企业股权投资超过限额部分（1250%）</t>
  </si>
  <si>
    <t>15.2对投机性非上市公司股权投资（400%）</t>
  </si>
  <si>
    <t>15.3对获得国家重大补贴，并受到政府监督的股权投资（100%）</t>
  </si>
  <si>
    <t>15.4其他股权投资（250%）</t>
  </si>
  <si>
    <t>16.对次级债权（未扣除部分）</t>
  </si>
  <si>
    <r>
      <rPr>
        <sz val="10"/>
        <color rgb="FFFF0000"/>
        <rFont val="宋体"/>
        <charset val="134"/>
      </rPr>
      <t>16.1</t>
    </r>
    <r>
      <rPr>
        <sz val="10"/>
        <rFont val="宋体"/>
        <charset val="134"/>
      </rPr>
      <t>对我国</t>
    </r>
    <r>
      <rPr>
        <sz val="10"/>
        <color rgb="FFFF0000"/>
        <rFont val="宋体"/>
        <charset val="134"/>
      </rPr>
      <t>政策性、开发性银行</t>
    </r>
    <r>
      <rPr>
        <sz val="10"/>
        <rFont val="宋体"/>
        <charset val="134"/>
      </rPr>
      <t>的次级债权（未扣除部分）（150%）</t>
    </r>
  </si>
  <si>
    <t>调整风险暴露所属，从现行【4对我国金融机构的债权】下4.4的细项移动到此行。</t>
  </si>
  <si>
    <r>
      <rPr>
        <sz val="10"/>
        <color rgb="FFFF0000"/>
        <rFont val="宋体"/>
        <charset val="134"/>
      </rPr>
      <t>16.2</t>
    </r>
    <r>
      <rPr>
        <sz val="10"/>
        <rFont val="宋体"/>
        <charset val="134"/>
      </rPr>
      <t>对我国商业银行的次级债权（未扣除部分）（150%）</t>
    </r>
  </si>
  <si>
    <t>16.3对我国其他金融机构的次级债权（未扣除部分）（150%）</t>
  </si>
  <si>
    <t>16.4持有全球系统重要性银行发行的总损失吸收能力（TLAC）债务工具（150%）</t>
  </si>
  <si>
    <t>16.5其他次级债权（150%）</t>
  </si>
  <si>
    <t>17.对合格资产担保债券的风险暴露</t>
  </si>
  <si>
    <r>
      <rPr>
        <sz val="10"/>
        <color rgb="FFFF0000"/>
        <rFont val="宋体"/>
        <charset val="134"/>
      </rPr>
      <t>17.1</t>
    </r>
    <r>
      <rPr>
        <sz val="11"/>
        <color rgb="FFFF0000"/>
        <rFont val="宋体"/>
        <charset val="134"/>
      </rPr>
      <t>具</t>
    </r>
    <r>
      <rPr>
        <sz val="10"/>
        <color rgb="FFFF0000"/>
        <rFont val="宋体"/>
        <charset val="134"/>
      </rPr>
      <t>有外部信用评级的债券</t>
    </r>
  </si>
  <si>
    <t>17.1.1评级为AA-（含）以上（10%）</t>
  </si>
  <si>
    <t>17.1.2评级为AA-以下，BBB-（含）以上（20%）</t>
  </si>
  <si>
    <t>17.1.3评级为BBB-以下，B-（含）以上（50%）</t>
  </si>
  <si>
    <t>17.1.4评级为B-以下（100%）</t>
  </si>
  <si>
    <t>17.2不具有外部信用评级的债券</t>
  </si>
  <si>
    <t>17.2.1债券发行银行风险级别为A+级（15%）</t>
  </si>
  <si>
    <t>17.2.2债券发行银行风险级别为A级（20%）</t>
  </si>
  <si>
    <t>17.2.3债券发行银行风险级别为B级（35%）</t>
  </si>
  <si>
    <t>17.2.4债券发行银行风险级别为C级（100%）</t>
  </si>
  <si>
    <t>18.已违约风险暴露（不含股权投资）</t>
  </si>
  <si>
    <t>18.1对以居住用房地产为抵押、还款不实质性依赖于房地产所产生的现金流的已违约风险暴露（100%）</t>
  </si>
  <si>
    <t>18.2对其他已违约风险暴露</t>
  </si>
  <si>
    <t>18.2.1减值准备低于资产账面价值的20%（150%）</t>
  </si>
  <si>
    <t>18.2.2减值准备不低于资产账面价值的20%（100%）</t>
  </si>
  <si>
    <r>
      <rPr>
        <b/>
        <sz val="10"/>
        <color rgb="FFFF0000"/>
        <rFont val="宋体"/>
        <charset val="134"/>
      </rPr>
      <t>19.</t>
    </r>
    <r>
      <rPr>
        <b/>
        <sz val="10"/>
        <rFont val="宋体"/>
        <charset val="134"/>
      </rPr>
      <t>其他</t>
    </r>
  </si>
  <si>
    <r>
      <rPr>
        <sz val="10"/>
        <color rgb="FFFF0000"/>
        <rFont val="宋体"/>
        <charset val="134"/>
      </rPr>
      <t>19.1</t>
    </r>
    <r>
      <rPr>
        <sz val="10"/>
        <rFont val="宋体"/>
        <charset val="134"/>
      </rPr>
      <t>联行往来、外汇买卖及同城票据交换等零风险款项(0%)</t>
    </r>
  </si>
  <si>
    <r>
      <rPr>
        <sz val="10"/>
        <color rgb="FFFF0000"/>
        <rFont val="宋体"/>
        <charset val="134"/>
      </rPr>
      <t>19.2</t>
    </r>
    <r>
      <rPr>
        <sz val="10"/>
        <rFont val="宋体"/>
        <charset val="134"/>
      </rPr>
      <t>依赖于银行未来盈利的净递延税资产（未扣除部分）(250%)</t>
    </r>
  </si>
  <si>
    <r>
      <rPr>
        <sz val="10"/>
        <color rgb="FFFF0000"/>
        <rFont val="宋体"/>
        <charset val="134"/>
      </rPr>
      <t>19.3</t>
    </r>
    <r>
      <rPr>
        <sz val="10"/>
        <rFont val="宋体"/>
        <charset val="134"/>
      </rPr>
      <t>其他表内资产</t>
    </r>
  </si>
  <si>
    <r>
      <rPr>
        <sz val="10"/>
        <color rgb="FFFF0000"/>
        <rFont val="宋体"/>
        <charset val="134"/>
      </rPr>
      <t>19.3.1</t>
    </r>
    <r>
      <rPr>
        <sz val="10"/>
        <color indexed="8"/>
        <rFont val="宋体"/>
        <charset val="134"/>
      </rPr>
      <t>适用0%风险权重的资产</t>
    </r>
  </si>
  <si>
    <r>
      <rPr>
        <sz val="10"/>
        <color rgb="FFFF0000"/>
        <rFont val="宋体"/>
        <charset val="134"/>
      </rPr>
      <t>19.3.2</t>
    </r>
    <r>
      <rPr>
        <sz val="10"/>
        <rFont val="宋体"/>
        <charset val="134"/>
      </rPr>
      <t>适用20%风险权重的资产</t>
    </r>
  </si>
  <si>
    <t>19.3.3适用30%风险权重的资产</t>
  </si>
  <si>
    <t>19.3.4适用40%风险权重的资产</t>
  </si>
  <si>
    <t>19.3.5适用45%风险权重的资产</t>
  </si>
  <si>
    <r>
      <rPr>
        <sz val="10"/>
        <color rgb="FFFF0000"/>
        <rFont val="宋体"/>
        <charset val="134"/>
      </rPr>
      <t>19.3.6</t>
    </r>
    <r>
      <rPr>
        <sz val="10"/>
        <color indexed="8"/>
        <rFont val="宋体"/>
        <charset val="134"/>
      </rPr>
      <t>适用50%风险权重的资产</t>
    </r>
  </si>
  <si>
    <r>
      <rPr>
        <sz val="10"/>
        <color rgb="FFFF0000"/>
        <rFont val="宋体"/>
        <charset val="134"/>
      </rPr>
      <t>19.3.7</t>
    </r>
    <r>
      <rPr>
        <sz val="10"/>
        <color indexed="8"/>
        <rFont val="宋体"/>
        <charset val="134"/>
      </rPr>
      <t>适用75%风险权重的资产</t>
    </r>
  </si>
  <si>
    <t>19.3.8适用85%风险权重的资产</t>
  </si>
  <si>
    <r>
      <rPr>
        <sz val="10"/>
        <color rgb="FFFF0000"/>
        <rFont val="宋体"/>
        <charset val="134"/>
      </rPr>
      <t>19.3.9</t>
    </r>
    <r>
      <rPr>
        <sz val="10"/>
        <color indexed="8"/>
        <rFont val="宋体"/>
        <charset val="134"/>
      </rPr>
      <t>适用100%风险权重的资产</t>
    </r>
  </si>
  <si>
    <r>
      <rPr>
        <sz val="10"/>
        <color rgb="FFFF0000"/>
        <rFont val="宋体"/>
        <charset val="134"/>
      </rPr>
      <t>19.3.10</t>
    </r>
    <r>
      <rPr>
        <sz val="10"/>
        <color indexed="8"/>
        <rFont val="宋体"/>
        <charset val="134"/>
      </rPr>
      <t>适用150%风险权重的资产</t>
    </r>
  </si>
  <si>
    <r>
      <rPr>
        <sz val="10"/>
        <color rgb="FFFF0000"/>
        <rFont val="宋体"/>
        <charset val="134"/>
      </rPr>
      <t>19.3.11</t>
    </r>
    <r>
      <rPr>
        <sz val="10"/>
        <color indexed="8"/>
        <rFont val="宋体"/>
        <charset val="134"/>
      </rPr>
      <t>适用250%风险权重的资产</t>
    </r>
  </si>
  <si>
    <r>
      <rPr>
        <sz val="10"/>
        <color rgb="FFFF0000"/>
        <rFont val="宋体"/>
        <charset val="134"/>
      </rPr>
      <t>19.3.12</t>
    </r>
    <r>
      <rPr>
        <sz val="10"/>
        <color indexed="8"/>
        <rFont val="宋体"/>
        <charset val="134"/>
      </rPr>
      <t>适用400%风险权重的资产</t>
    </r>
  </si>
  <si>
    <r>
      <rPr>
        <sz val="10"/>
        <color rgb="FFFF0000"/>
        <rFont val="宋体"/>
        <charset val="134"/>
      </rPr>
      <t>19.3.13</t>
    </r>
    <r>
      <rPr>
        <sz val="10"/>
        <color indexed="8"/>
        <rFont val="宋体"/>
        <charset val="134"/>
      </rPr>
      <t>适用1250%风险权重的资产</t>
    </r>
  </si>
  <si>
    <r>
      <rPr>
        <b/>
        <sz val="10"/>
        <color rgb="FFFF0000"/>
        <rFont val="宋体"/>
        <charset val="134"/>
      </rPr>
      <t>20.</t>
    </r>
    <r>
      <rPr>
        <b/>
        <sz val="10"/>
        <rFont val="宋体"/>
        <charset val="134"/>
      </rPr>
      <t>证券、商品、外汇交易清算过程中形成的风险暴露</t>
    </r>
  </si>
  <si>
    <r>
      <rPr>
        <sz val="10"/>
        <color rgb="FFFF0000"/>
        <rFont val="宋体"/>
        <charset val="134"/>
      </rPr>
      <t>20.1</t>
    </r>
    <r>
      <rPr>
        <sz val="10"/>
        <rFont val="宋体"/>
        <charset val="134"/>
      </rPr>
      <t>货款对付模式下</t>
    </r>
  </si>
  <si>
    <r>
      <rPr>
        <sz val="10"/>
        <color rgb="FFFF0000"/>
        <rFont val="宋体"/>
        <charset val="134"/>
      </rPr>
      <t>20.1.1</t>
    </r>
    <r>
      <rPr>
        <sz val="10"/>
        <color indexed="8"/>
        <rFont val="宋体"/>
        <charset val="134"/>
      </rPr>
      <t>货款对付模式下4（含）个交易日以内（0%）</t>
    </r>
  </si>
  <si>
    <r>
      <rPr>
        <sz val="10"/>
        <color rgb="FFFF0000"/>
        <rFont val="宋体"/>
        <charset val="134"/>
      </rPr>
      <t>20.1.2</t>
    </r>
    <r>
      <rPr>
        <sz val="10"/>
        <color indexed="8"/>
        <rFont val="宋体"/>
        <charset val="134"/>
      </rPr>
      <t>货款对付模式下5至15个交易日之间（100%）</t>
    </r>
  </si>
  <si>
    <r>
      <rPr>
        <sz val="10"/>
        <color rgb="FFFF0000"/>
        <rFont val="宋体"/>
        <charset val="134"/>
      </rPr>
      <t>20.1.3</t>
    </r>
    <r>
      <rPr>
        <sz val="10"/>
        <color indexed="8"/>
        <rFont val="宋体"/>
        <charset val="134"/>
      </rPr>
      <t>货款对付模式下16至30个交易日之间（625%）</t>
    </r>
  </si>
  <si>
    <r>
      <rPr>
        <sz val="10"/>
        <color rgb="FFFF0000"/>
        <rFont val="宋体"/>
        <charset val="134"/>
      </rPr>
      <t>20.1.4</t>
    </r>
    <r>
      <rPr>
        <sz val="10"/>
        <color indexed="8"/>
        <rFont val="宋体"/>
        <charset val="134"/>
      </rPr>
      <t>货款对付模式下31至45个交易日之间（937.5%）</t>
    </r>
  </si>
  <si>
    <r>
      <rPr>
        <sz val="10"/>
        <color rgb="FFFF0000"/>
        <rFont val="宋体"/>
        <charset val="134"/>
      </rPr>
      <t>20.1.5</t>
    </r>
    <r>
      <rPr>
        <sz val="10"/>
        <color indexed="8"/>
        <rFont val="宋体"/>
        <charset val="134"/>
      </rPr>
      <t>货款对付模式下46个交易日以上（1250%）</t>
    </r>
  </si>
  <si>
    <r>
      <rPr>
        <sz val="10"/>
        <color rgb="FFFF0000"/>
        <rFont val="宋体"/>
        <charset val="134"/>
      </rPr>
      <t>20.2</t>
    </r>
    <r>
      <rPr>
        <sz val="10"/>
        <rFont val="宋体"/>
        <charset val="134"/>
      </rPr>
      <t>非货款对付模式下5（含）个交易日后（1250%）</t>
    </r>
  </si>
  <si>
    <r>
      <rPr>
        <b/>
        <sz val="10"/>
        <color rgb="FFFF0000"/>
        <rFont val="宋体"/>
        <charset val="134"/>
      </rPr>
      <t>21.</t>
    </r>
    <r>
      <rPr>
        <b/>
        <sz val="10"/>
        <rFont val="宋体"/>
        <charset val="134"/>
      </rPr>
      <t>资产证券化表内项目</t>
    </r>
  </si>
  <si>
    <t>单独列示</t>
  </si>
  <si>
    <t>22.资产管理产品项目（不含穿透法计量部分）</t>
  </si>
  <si>
    <t>22.1使用授权基础法计量的资产管理产品</t>
  </si>
  <si>
    <t>22.2使用1250%方法计量的资产管理产品</t>
  </si>
  <si>
    <t>22.3杠杆调整</t>
  </si>
  <si>
    <t>23.小计</t>
  </si>
  <si>
    <r>
      <rPr>
        <b/>
        <sz val="10"/>
        <rFont val="宋体"/>
        <charset val="134"/>
      </rPr>
      <t>24.计入二级资本的</t>
    </r>
    <r>
      <rPr>
        <b/>
        <sz val="10"/>
        <color rgb="FFFF0000"/>
        <rFont val="宋体"/>
        <charset val="134"/>
      </rPr>
      <t>超额损失准备</t>
    </r>
  </si>
  <si>
    <r>
      <rPr>
        <b/>
        <sz val="10"/>
        <rFont val="宋体"/>
        <charset val="134"/>
      </rPr>
      <t>25.从资本中扣除的</t>
    </r>
    <r>
      <rPr>
        <b/>
        <sz val="10"/>
        <color rgb="FFFF0000"/>
        <rFont val="宋体"/>
        <charset val="134"/>
      </rPr>
      <t>损失准备缺口</t>
    </r>
  </si>
  <si>
    <t>26.表内信用风险加权资产</t>
  </si>
  <si>
    <t>附注项目：</t>
  </si>
  <si>
    <t>1.已计算市场风险资本的表内交易账户资产</t>
  </si>
  <si>
    <t>2.资本扣减项</t>
  </si>
  <si>
    <t>3.衍生金融资产（银行账户）</t>
  </si>
  <si>
    <t>4.已计算交易对手信用风险的证券融资交易业务（银行账户）</t>
  </si>
  <si>
    <t>5.未纳入监管并表的附属公司的资产</t>
  </si>
  <si>
    <r>
      <rPr>
        <b/>
        <sz val="18"/>
        <color theme="1"/>
        <rFont val="Times New Roman"/>
        <charset val="134"/>
      </rPr>
      <t xml:space="preserve">G4B_I </t>
    </r>
    <r>
      <rPr>
        <b/>
        <sz val="18"/>
        <color theme="1"/>
        <rFont val="宋体"/>
        <charset val="134"/>
      </rPr>
      <t>表内信用风险加权资产计算表</t>
    </r>
    <r>
      <rPr>
        <b/>
        <sz val="18"/>
        <color theme="1"/>
        <rFont val="Times New Roman"/>
        <charset val="134"/>
      </rPr>
      <t>-</t>
    </r>
    <r>
      <rPr>
        <b/>
        <sz val="18"/>
        <color theme="1"/>
        <rFont val="宋体"/>
        <charset val="134"/>
      </rPr>
      <t>权重法</t>
    </r>
    <r>
      <rPr>
        <b/>
        <sz val="18"/>
        <color theme="1"/>
        <rFont val="Times New Roman"/>
        <charset val="134"/>
      </rPr>
      <t>(</t>
    </r>
    <r>
      <rPr>
        <b/>
        <sz val="18"/>
        <color theme="1"/>
        <rFont val="宋体"/>
        <charset val="134"/>
      </rPr>
      <t>第一档银行</t>
    </r>
    <r>
      <rPr>
        <b/>
        <sz val="18"/>
        <color theme="1"/>
        <rFont val="Times New Roman"/>
        <charset val="134"/>
      </rPr>
      <t>)(</t>
    </r>
    <r>
      <rPr>
        <b/>
        <sz val="18"/>
        <color theme="1"/>
        <rFont val="宋体"/>
        <charset val="134"/>
      </rPr>
      <t>新规</t>
    </r>
    <r>
      <rPr>
        <b/>
        <sz val="18"/>
        <color theme="1"/>
        <rFont val="Times New Roman"/>
        <charset val="134"/>
      </rPr>
      <t>)</t>
    </r>
  </si>
  <si>
    <t>报表日期：  年  月  日</t>
  </si>
  <si>
    <t>单位：万元</t>
  </si>
  <si>
    <r>
      <rPr>
        <sz val="10"/>
        <color theme="1"/>
        <rFont val="宋体"/>
        <charset val="134"/>
      </rPr>
      <t>项目</t>
    </r>
    <r>
      <rPr>
        <sz val="10"/>
        <color theme="1"/>
        <rFont val="Times New Roman"/>
        <charset val="134"/>
      </rPr>
      <t>/</t>
    </r>
    <r>
      <rPr>
        <sz val="10"/>
        <color theme="1"/>
        <rFont val="宋体"/>
        <charset val="134"/>
      </rPr>
      <t>权重</t>
    </r>
  </si>
  <si>
    <t>其中，资产管理产品风险暴露</t>
  </si>
  <si>
    <t>其中：因下列因素或以下列因素为保证或抵质押或信用衍生工具，可得以风险缓释后的本期资产余额：</t>
  </si>
  <si>
    <r>
      <rPr>
        <sz val="10"/>
        <color theme="1"/>
        <rFont val="宋体"/>
        <charset val="134"/>
      </rPr>
      <t xml:space="preserve">风险加权资产比例
</t>
    </r>
    <r>
      <rPr>
        <sz val="10"/>
        <color theme="1"/>
        <rFont val="Times New Roman"/>
        <charset val="134"/>
      </rPr>
      <t>(%)</t>
    </r>
  </si>
  <si>
    <t>我国开发性金融机构和政策性银行</t>
  </si>
  <si>
    <t>省级（自治区、直辖市）及计划单列市人民政府-一般债券</t>
  </si>
  <si>
    <t>省级（自治区、直辖市）及计划单列市人民政府-专项债券</t>
  </si>
  <si>
    <t>经金融监管总局认定的我国一般公共部门实体</t>
  </si>
  <si>
    <t>评级AA-以下，A-（含）以上的国家和地区的中央政府和中央银行</t>
  </si>
  <si>
    <t>评级A-以下，BBB-（含）以上的国家和地区的中央政府和中央银行</t>
  </si>
  <si>
    <t>评级AA-（含）及以上国家和地区注册的公共部门实体</t>
  </si>
  <si>
    <t>评级AA-以下，A-（含）以上国家和地区注册的公共部门实体</t>
  </si>
  <si>
    <t>A+级和A级境内外商业银行（短期）</t>
  </si>
  <si>
    <t>合格多边开发银行</t>
  </si>
  <si>
    <t>国际清算银行、国际货币基金组织、欧洲中央银行、欧盟、欧洲稳定机制和欧洲金融稳定机制</t>
  </si>
  <si>
    <t>1.1现金（0%）</t>
  </si>
  <si>
    <t>1.2黄金（0%）</t>
  </si>
  <si>
    <t>1.3存放中国人民银行款项（0%）</t>
  </si>
  <si>
    <t>2.对主权的风险暴露</t>
  </si>
  <si>
    <t>2.1对我国中央政府的风险暴露（0%）</t>
  </si>
  <si>
    <t>2.2对中国人民银行的风险暴露（0%）</t>
  </si>
  <si>
    <t>2.3对评级AA-（含）以上的国家或地区的中央政府和中央银行的风险暴露（0%）</t>
  </si>
  <si>
    <t>2.4对评级AA-以下，A-（含）以上的国家或地区的中央政府和中央银行的风险暴露（20%）</t>
  </si>
  <si>
    <t>2.5对评级A-以下，BBB-（含）以上的国家或地区的中央政府和中央银行的风险暴露（50%）</t>
  </si>
  <si>
    <t>2.6对评级BBB-以下，B-（含）以上的国家或地区的中央政府和中央银行的风险暴露（100%）</t>
  </si>
  <si>
    <t>2.7对评级B-以下的国家或地区的中央政府和中央银行的风险暴露（150%）</t>
  </si>
  <si>
    <t>2.8对未评级的国家或地区的中央政府和中央银行的风险暴露（100%）</t>
  </si>
  <si>
    <t>3.对我国公共部门实体的风险暴露</t>
  </si>
  <si>
    <t>3.1.2对省级（自治区、直辖市）及计划单列市人民政府的风险暴露</t>
  </si>
  <si>
    <t>3.1.2.3其他（仅用于并表填报）（20%）</t>
  </si>
  <si>
    <t>3.2对经金融监管总局认定的我国一般公共部门实体风险暴露（50%）</t>
  </si>
  <si>
    <t>4.对我国开发性金融机构和政策性银行的风险暴露（不包括次级债权）（0%）</t>
  </si>
  <si>
    <t>5.1对评级AA-（含）以上国家或地区注册的公共部门实体的风险暴露（20%）</t>
  </si>
  <si>
    <t>5.2对评级AA-以下，A-（含）以上国家或地区注册的公共部门实体的风险暴露（50%）</t>
  </si>
  <si>
    <t>5.3对评级A-以下，B-（含）以上国家或地区注册的公共部门实体的风险暴露（100%）</t>
  </si>
  <si>
    <t>5.4对评级B-以下国家或地区注册的公共部门实体的风险暴露（150%）</t>
  </si>
  <si>
    <t>5.5对未评级的国家或地区注册的公共部门实体的风险暴露（100%）</t>
  </si>
  <si>
    <t>7.1对境内商业银行的风险暴露</t>
  </si>
  <si>
    <t>7.1.5其他（仅用于并表填报）</t>
  </si>
  <si>
    <t>7.2对境外商业银行的风险暴露</t>
  </si>
  <si>
    <t>7.2.5其他（仅用于并表填报）</t>
  </si>
  <si>
    <t>7.3对境内外其他金融机构的风险暴露</t>
  </si>
  <si>
    <t>7.3.1对投资级其他金融机构的风险暴露（75%）</t>
  </si>
  <si>
    <t>7.3.2对一般其他金融机构的风险暴露（100%）</t>
  </si>
  <si>
    <t>7.3.3其他（仅用于并表填报）（100%）</t>
  </si>
  <si>
    <t>8.对公司的风险暴露</t>
  </si>
  <si>
    <t>8.1 对一般公司的风险暴露</t>
  </si>
  <si>
    <t>8.1.3对小微企业的风险暴露（75%）</t>
  </si>
  <si>
    <t>8.1.4对其他一般公司的风险暴露（100%）</t>
  </si>
  <si>
    <t>8.3其他（仅用于并表填报）</t>
  </si>
  <si>
    <t>9.对个人的风险暴露</t>
  </si>
  <si>
    <t>9.1对个人的风险暴露（不存在币种错配情形）</t>
  </si>
  <si>
    <t>9.1.1.1对合格交易者个人风险暴露（45%）</t>
  </si>
  <si>
    <t>9.1.1.2对其他监管零售个人风险暴露（75%）</t>
  </si>
  <si>
    <t>9.2对存在币种错配情形的个人风险暴露</t>
  </si>
  <si>
    <t>9.3其他（仅用于并表填报）</t>
  </si>
  <si>
    <t>10.房地产开发风险暴露</t>
  </si>
  <si>
    <t>10.1对符合审慎要求的房地产开发风险暴露（100%）</t>
  </si>
  <si>
    <t>10.2对其他房地产开发风险暴露（150%）</t>
  </si>
  <si>
    <t>11.居住用房地产风险暴露</t>
  </si>
  <si>
    <t>11.1.1.1贷款价值比在50%（含）以下（20%）</t>
  </si>
  <si>
    <t>11.1.1.2贷款价值比在50%至60%（含）（25%）</t>
  </si>
  <si>
    <t>11.1.1.3贷款价值比在60%至70%（含）（30%）</t>
  </si>
  <si>
    <t>11.1.1.4贷款价值比在70%至80%（含）（35%）</t>
  </si>
  <si>
    <t>11.1.1.5贷款价值比在80%至90%（含）（40%）</t>
  </si>
  <si>
    <t>11.1.1.6贷款价值比在90%至100%（含）（50%）</t>
  </si>
  <si>
    <t>11.1.1.7贷款价值比在100%（不含）以上</t>
  </si>
  <si>
    <t>11.1.1.7.1贷款价值比在100%（不含）以上（75%）</t>
  </si>
  <si>
    <t>11.1.1.7.2贷款价值比在100%（不含）以上（85%）</t>
  </si>
  <si>
    <t>11.1.1.7.3贷款价值比在100%（不含）以上（100%）</t>
  </si>
  <si>
    <t>11.2.1.1贷款价值比在50%（含）以下（30%）</t>
  </si>
  <si>
    <t>11.2.1.2贷款价值比在50%至60%（含）（35%）</t>
  </si>
  <si>
    <t>11.2.1.3贷款价值比在60%至70%（含）（45%）</t>
  </si>
  <si>
    <t>11.2.1.4贷款价值比在70%至80%（含）（50%）</t>
  </si>
  <si>
    <t>11.2.1.5贷款价值比在80%至90%（含）（60%）</t>
  </si>
  <si>
    <t>11.2.1.6贷款价值比在90%至100%（含）（75%）</t>
  </si>
  <si>
    <t>11.2.1.7贷款价值比在100%（不含）以上（105%）</t>
  </si>
  <si>
    <t>11.3向个人发放的存在币种错配情形的居住用房地产风险暴露</t>
  </si>
  <si>
    <t>12.商用房地产风险暴露</t>
  </si>
  <si>
    <t>13.2商业银行非自用不动产</t>
  </si>
  <si>
    <t>13.2.1因行使抵押权而持有并在法律规定处分期限内的非自用不动产（100%）</t>
  </si>
  <si>
    <t>13.2.2其他非自用不动产（400%）</t>
  </si>
  <si>
    <t>14.租赁资产余值(100%)</t>
  </si>
  <si>
    <t>15.股权</t>
  </si>
  <si>
    <t>15.1对金融机构的股权投资（未扣除部分）（250%）</t>
  </si>
  <si>
    <t>15.2被动持有的对工商企业的股权投资在法律规定处分期限内（250%）</t>
  </si>
  <si>
    <t>15.3因市场化债转股持有的工商企业股权投资（250%）</t>
  </si>
  <si>
    <t>15.4对获得国家重大补贴，并受到政府监督的股权投资（250%）</t>
  </si>
  <si>
    <t>15.5对工商企业的其他股权投资（1250%）</t>
  </si>
  <si>
    <t>16.1对我国开发性金融机构和政策性银行的次级债权（未扣除部分）（100%）</t>
  </si>
  <si>
    <t>16.2对我国商业银行的次级债权（未扣除部分）（150%）</t>
  </si>
  <si>
    <t>17.对合格资产担保债券</t>
  </si>
  <si>
    <t>17.1具有外部信用评级的债券</t>
  </si>
  <si>
    <t>17.2.1债券发行银行的标准信用风险评估结果为A+级（15%）</t>
  </si>
  <si>
    <t>17.2.2债券发行银行的标准信用风险评估结果为A级（20%）</t>
  </si>
  <si>
    <t>17.2.3债券发行银行的标准信用风险评估结果为B级（35%）</t>
  </si>
  <si>
    <t>17.2.4债券发行银行的标准信用风险评估结果为C级（100%）</t>
  </si>
  <si>
    <t>18.2.1损失准备低于资产账面价值的20%（150%）</t>
  </si>
  <si>
    <t>18.2.2损失准备不低于资产账面价值的20%（100%）</t>
  </si>
  <si>
    <t>19.其他</t>
  </si>
  <si>
    <t>19.1联行往来、外汇买卖及同城票据交换等零风险款项（0%）</t>
  </si>
  <si>
    <t>19.2依赖于银行未来盈利的净递延税资产（未扣除部分）(250%)</t>
  </si>
  <si>
    <t>19.3其他表内资产</t>
  </si>
  <si>
    <t>19.3.1适用0%风险权重的资产</t>
  </si>
  <si>
    <t>19.3.2适用2%风险权重的资产</t>
  </si>
  <si>
    <t>19.3.3适用4%风险权重的资产</t>
  </si>
  <si>
    <t>19.3.4适用20%风险权重的资产</t>
  </si>
  <si>
    <t>19.3.5适用30%风险权重的资产</t>
  </si>
  <si>
    <t>19.3.6适用40%风险权重的资产</t>
  </si>
  <si>
    <t>19.3.7适用45%风险权重的资产</t>
  </si>
  <si>
    <t>19.3.8适用50%风险权重的资产</t>
  </si>
  <si>
    <t>19.3.9适用60%风险权重的资产</t>
  </si>
  <si>
    <t>19.3.10适用75%风险权重的资产</t>
  </si>
  <si>
    <t>19.3.11适用85%风险权重的资产</t>
  </si>
  <si>
    <t>19.3.12适用100%风险权重的资产</t>
  </si>
  <si>
    <t>19.3.13适用150%风险权重的资产</t>
  </si>
  <si>
    <t>19.3.14适用250%风险权重的资产</t>
  </si>
  <si>
    <t>19.3.15适用400%风险权重的资产</t>
  </si>
  <si>
    <t>19.3.16适用1250%风险权重的资产</t>
  </si>
  <si>
    <t>20.证券、商品、外汇交易清算过程中形成的风险暴露</t>
  </si>
  <si>
    <t>20.1货款对付模式下</t>
  </si>
  <si>
    <t>20.1.1货款对付模式下4（含）个交易日以内（0%）</t>
  </si>
  <si>
    <t>20.1.2货款对付模式下5至15个交易日之间（100%）</t>
  </si>
  <si>
    <t>20.1.3货款对付模式下16至30个交易日之间（625%）</t>
  </si>
  <si>
    <t>20.1.4货款对付模式下31至45个交易日之间（937.5%）</t>
  </si>
  <si>
    <t>20.1.5货款对付模式下46个交易日以上（1250%）</t>
  </si>
  <si>
    <t>20.2非货款对付模式下5（含）个交易日后（1250%）</t>
  </si>
  <si>
    <t>21.资产证券化表内项目</t>
  </si>
  <si>
    <t>24.计入二级资本的超额损失准备</t>
  </si>
  <si>
    <t>25.从资本中扣除的损失准备缺口</t>
  </si>
  <si>
    <t>1.已计算市场风险资本的表内交易账簿资产</t>
  </si>
  <si>
    <t>3.衍生金融资产（银行账簿）</t>
  </si>
  <si>
    <t>4.已计算交易对手信用风险的证券融资交易业务</t>
  </si>
  <si>
    <t>填表人：</t>
  </si>
  <si>
    <t>复核人：</t>
  </si>
  <si>
    <t>负责人：</t>
  </si>
  <si>
    <t>紫色底为含公式区域</t>
  </si>
  <si>
    <t>无数据部分</t>
  </si>
  <si>
    <t>版本号：</t>
  </si>
</sst>
</file>

<file path=xl/styles.xml><?xml version="1.0" encoding="utf-8"?>
<styleSheet xmlns="http://schemas.openxmlformats.org/spreadsheetml/2006/main">
  <numFmts count="7">
    <numFmt numFmtId="176" formatCode="0.000"/>
    <numFmt numFmtId="177" formatCode="0_);[Red]\(0\)"/>
    <numFmt numFmtId="178" formatCode="0.00_);[Red]\(0.00\)"/>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45">
    <font>
      <sz val="11"/>
      <color theme="1"/>
      <name val="等线"/>
      <charset val="134"/>
      <scheme val="minor"/>
    </font>
    <font>
      <sz val="10"/>
      <color theme="1"/>
      <name val="宋体"/>
      <charset val="134"/>
    </font>
    <font>
      <sz val="10"/>
      <color theme="1"/>
      <name val="等线"/>
      <charset val="134"/>
      <scheme val="minor"/>
    </font>
    <font>
      <b/>
      <sz val="18"/>
      <color theme="1"/>
      <name val="Times New Roman"/>
      <charset val="134"/>
    </font>
    <font>
      <b/>
      <sz val="10"/>
      <color theme="1"/>
      <name val="宋体"/>
      <charset val="134"/>
    </font>
    <font>
      <sz val="10"/>
      <color rgb="FFFF0000"/>
      <name val="宋体"/>
      <charset val="134"/>
    </font>
    <font>
      <sz val="10"/>
      <color theme="1"/>
      <name val="Times New Roman"/>
      <charset val="134"/>
    </font>
    <font>
      <sz val="10"/>
      <color rgb="FF00B050"/>
      <name val="宋体"/>
      <charset val="134"/>
    </font>
    <font>
      <sz val="10"/>
      <name val="宋体"/>
      <charset val="134"/>
    </font>
    <font>
      <sz val="10"/>
      <color theme="1"/>
      <name val="仿宋_GB2312"/>
      <charset val="134"/>
    </font>
    <font>
      <sz val="11"/>
      <color theme="1"/>
      <name val="宋体"/>
      <charset val="134"/>
    </font>
    <font>
      <b/>
      <sz val="22"/>
      <name val="宋体"/>
      <charset val="134"/>
    </font>
    <font>
      <b/>
      <sz val="22"/>
      <name val="黑体"/>
      <charset val="134"/>
    </font>
    <font>
      <sz val="10"/>
      <name val="仿宋_GB2312"/>
      <charset val="134"/>
    </font>
    <font>
      <b/>
      <sz val="10"/>
      <name val="宋体"/>
      <charset val="134"/>
    </font>
    <font>
      <b/>
      <sz val="10"/>
      <color indexed="8"/>
      <name val="宋体"/>
      <charset val="134"/>
    </font>
    <font>
      <sz val="10"/>
      <color indexed="8"/>
      <name val="宋体"/>
      <charset val="134"/>
    </font>
    <font>
      <b/>
      <sz val="10"/>
      <color rgb="FFFF0000"/>
      <name val="宋体"/>
      <charset val="134"/>
    </font>
    <font>
      <b/>
      <sz val="11"/>
      <color rgb="FFFF0000"/>
      <name val="宋体"/>
      <charset val="134"/>
    </font>
    <font>
      <sz val="10"/>
      <name val="Times New Roman"/>
      <charset val="134"/>
    </font>
    <font>
      <sz val="11"/>
      <name val="宋体"/>
      <charset val="134"/>
    </font>
    <font>
      <sz val="11"/>
      <color theme="0"/>
      <name val="等线"/>
      <charset val="0"/>
      <scheme val="minor"/>
    </font>
    <font>
      <sz val="11"/>
      <color theme="1"/>
      <name val="等线"/>
      <charset val="0"/>
      <scheme val="minor"/>
    </font>
    <font>
      <b/>
      <sz val="11"/>
      <color theme="3"/>
      <name val="等线"/>
      <charset val="134"/>
      <scheme val="minor"/>
    </font>
    <font>
      <sz val="11"/>
      <color rgb="FF9C6500"/>
      <name val="等线"/>
      <charset val="0"/>
      <scheme val="minor"/>
    </font>
    <font>
      <sz val="11"/>
      <color rgb="FFFA7D00"/>
      <name val="等线"/>
      <charset val="0"/>
      <scheme val="minor"/>
    </font>
    <font>
      <b/>
      <sz val="11"/>
      <color rgb="FFFFFFFF"/>
      <name val="等线"/>
      <charset val="0"/>
      <scheme val="minor"/>
    </font>
    <font>
      <i/>
      <sz val="11"/>
      <color rgb="FF7F7F7F"/>
      <name val="等线"/>
      <charset val="0"/>
      <scheme val="minor"/>
    </font>
    <font>
      <sz val="12"/>
      <name val="宋体"/>
      <charset val="134"/>
    </font>
    <font>
      <sz val="11"/>
      <color rgb="FF3F3F76"/>
      <name val="等线"/>
      <charset val="0"/>
      <scheme val="minor"/>
    </font>
    <font>
      <sz val="11"/>
      <color rgb="FF9C0006"/>
      <name val="等线"/>
      <charset val="0"/>
      <scheme val="minor"/>
    </font>
    <font>
      <b/>
      <sz val="15"/>
      <color theme="3"/>
      <name val="等线"/>
      <charset val="134"/>
      <scheme val="minor"/>
    </font>
    <font>
      <b/>
      <sz val="11"/>
      <color theme="1"/>
      <name val="等线"/>
      <charset val="0"/>
      <scheme val="minor"/>
    </font>
    <font>
      <b/>
      <sz val="18"/>
      <color theme="3"/>
      <name val="等线"/>
      <charset val="134"/>
      <scheme val="minor"/>
    </font>
    <font>
      <sz val="10"/>
      <name val="Arial"/>
      <charset val="0"/>
    </font>
    <font>
      <sz val="12"/>
      <name val="Times New Roman"/>
      <charset val="134"/>
    </font>
    <font>
      <sz val="11"/>
      <color rgb="FF006100"/>
      <name val="等线"/>
      <charset val="0"/>
      <scheme val="minor"/>
    </font>
    <font>
      <b/>
      <sz val="13"/>
      <color theme="3"/>
      <name val="等线"/>
      <charset val="134"/>
      <scheme val="minor"/>
    </font>
    <font>
      <u/>
      <sz val="11"/>
      <color rgb="FF800080"/>
      <name val="等线"/>
      <charset val="0"/>
      <scheme val="minor"/>
    </font>
    <font>
      <sz val="11"/>
      <color rgb="FFFF0000"/>
      <name val="等线"/>
      <charset val="0"/>
      <scheme val="minor"/>
    </font>
    <font>
      <u/>
      <sz val="11"/>
      <color rgb="FF0000FF"/>
      <name val="等线"/>
      <charset val="0"/>
      <scheme val="minor"/>
    </font>
    <font>
      <b/>
      <sz val="11"/>
      <color rgb="FFFA7D00"/>
      <name val="等线"/>
      <charset val="0"/>
      <scheme val="minor"/>
    </font>
    <font>
      <b/>
      <sz val="11"/>
      <color rgb="FF3F3F3F"/>
      <name val="等线"/>
      <charset val="0"/>
      <scheme val="minor"/>
    </font>
    <font>
      <b/>
      <sz val="18"/>
      <color theme="1"/>
      <name val="宋体"/>
      <charset val="134"/>
    </font>
    <font>
      <sz val="11"/>
      <color rgb="FFFF0000"/>
      <name val="宋体"/>
      <charset val="134"/>
    </font>
  </fonts>
  <fills count="44">
    <fill>
      <patternFill patternType="none"/>
    </fill>
    <fill>
      <patternFill patternType="gray125"/>
    </fill>
    <fill>
      <patternFill patternType="solid">
        <fgColor indexed="46"/>
        <bgColor indexed="64"/>
      </patternFill>
    </fill>
    <fill>
      <patternFill patternType="solid">
        <fgColor indexed="13"/>
        <bgColor indexed="64"/>
      </patternFill>
    </fill>
    <fill>
      <patternFill patternType="solid">
        <fgColor rgb="FFCC99FF"/>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indexed="9"/>
        <bgColor indexed="64"/>
      </patternFill>
    </fill>
    <fill>
      <patternFill patternType="solid">
        <fgColor indexed="55"/>
        <bgColor indexed="64"/>
      </patternFill>
    </fill>
    <fill>
      <patternFill patternType="solid">
        <fgColor rgb="FFFF0000"/>
        <bgColor indexed="64"/>
      </patternFill>
    </fill>
    <fill>
      <patternFill patternType="solid">
        <fgColor theme="2" tint="-0.249977111117893"/>
        <bgColor indexed="64"/>
      </patternFill>
    </fill>
    <fill>
      <patternFill patternType="solid">
        <fgColor theme="6"/>
        <bgColor indexed="64"/>
      </patternFill>
    </fill>
    <fill>
      <patternFill patternType="solid">
        <fgColor theme="5"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rgb="FFFFEB9C"/>
        <bgColor indexed="64"/>
      </patternFill>
    </fill>
    <fill>
      <patternFill patternType="solid">
        <fgColor rgb="FFFFFFCC"/>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rgb="FFFFCC99"/>
        <bgColor indexed="64"/>
      </patternFill>
    </fill>
    <fill>
      <patternFill patternType="solid">
        <fgColor rgb="FFFFC7CE"/>
        <bgColor indexed="64"/>
      </patternFill>
    </fill>
    <fill>
      <patternFill patternType="solid">
        <fgColor theme="9" tint="0.799981688894314"/>
        <bgColor indexed="64"/>
      </patternFill>
    </fill>
    <fill>
      <patternFill patternType="solid">
        <fgColor theme="9"/>
        <bgColor indexed="64"/>
      </patternFill>
    </fill>
    <fill>
      <patternFill patternType="solid">
        <fgColor rgb="FFC6EFCE"/>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theme="7"/>
        <bgColor indexed="64"/>
      </patternFill>
    </fill>
    <fill>
      <patternFill patternType="solid">
        <fgColor theme="6" tint="0.599993896298105"/>
        <bgColor indexed="64"/>
      </patternFill>
    </fill>
    <fill>
      <patternFill patternType="solid">
        <fgColor theme="4"/>
        <bgColor indexed="64"/>
      </patternFill>
    </fill>
    <fill>
      <patternFill patternType="solid">
        <fgColor theme="9" tint="0.399975585192419"/>
        <bgColor indexed="64"/>
      </patternFill>
    </fill>
  </fills>
  <borders count="36">
    <border>
      <left/>
      <right/>
      <top/>
      <bottom/>
      <diagonal/>
    </border>
    <border>
      <left/>
      <right/>
      <top/>
      <bottom style="medium">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right style="thin">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53">
    <xf numFmtId="0" fontId="0" fillId="0" borderId="0"/>
    <xf numFmtId="0" fontId="28" fillId="0" borderId="0">
      <alignment vertical="center"/>
    </xf>
    <xf numFmtId="0" fontId="34" fillId="0" borderId="0">
      <alignment vertical="center"/>
    </xf>
    <xf numFmtId="0" fontId="35" fillId="0" borderId="0"/>
    <xf numFmtId="0" fontId="28" fillId="0" borderId="0"/>
    <xf numFmtId="0" fontId="22" fillId="26"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2" fillId="25" borderId="0" applyNumberFormat="0" applyBorder="0" applyAlignment="0" applyProtection="0">
      <alignment vertical="center"/>
    </xf>
    <xf numFmtId="0" fontId="22" fillId="24" borderId="0" applyNumberFormat="0" applyBorder="0" applyAlignment="0" applyProtection="0">
      <alignment vertical="center"/>
    </xf>
    <xf numFmtId="0" fontId="21" fillId="23" borderId="0" applyNumberFormat="0" applyBorder="0" applyAlignment="0" applyProtection="0">
      <alignment vertical="center"/>
    </xf>
    <xf numFmtId="0" fontId="22" fillId="34" borderId="0" applyNumberFormat="0" applyBorder="0" applyAlignment="0" applyProtection="0">
      <alignment vertical="center"/>
    </xf>
    <xf numFmtId="0" fontId="23" fillId="0" borderId="31" applyNumberFormat="0" applyFill="0" applyAlignment="0" applyProtection="0">
      <alignment vertical="center"/>
    </xf>
    <xf numFmtId="0" fontId="27" fillId="0" borderId="0" applyNumberFormat="0" applyFill="0" applyBorder="0" applyAlignment="0" applyProtection="0">
      <alignment vertical="center"/>
    </xf>
    <xf numFmtId="0" fontId="32" fillId="0" borderId="34" applyNumberFormat="0" applyFill="0" applyAlignment="0" applyProtection="0">
      <alignment vertical="center"/>
    </xf>
    <xf numFmtId="9" fontId="0" fillId="0" borderId="0" applyFont="0" applyFill="0" applyBorder="0" applyAlignment="0" applyProtection="0"/>
    <xf numFmtId="43" fontId="0" fillId="0" borderId="0" applyFont="0" applyFill="0" applyBorder="0" applyAlignment="0" applyProtection="0">
      <alignment vertical="center"/>
    </xf>
    <xf numFmtId="0" fontId="37" fillId="0" borderId="33" applyNumberFormat="0" applyFill="0" applyAlignment="0" applyProtection="0">
      <alignment vertical="center"/>
    </xf>
    <xf numFmtId="42" fontId="0" fillId="0" borderId="0" applyFont="0" applyFill="0" applyBorder="0" applyAlignment="0" applyProtection="0">
      <alignment vertical="center"/>
    </xf>
    <xf numFmtId="0" fontId="21" fillId="33" borderId="0" applyNumberFormat="0" applyBorder="0" applyAlignment="0" applyProtection="0">
      <alignment vertical="center"/>
    </xf>
    <xf numFmtId="0" fontId="39" fillId="0" borderId="0" applyNumberFormat="0" applyFill="0" applyBorder="0" applyAlignment="0" applyProtection="0">
      <alignment vertical="center"/>
    </xf>
    <xf numFmtId="0" fontId="22" fillId="35" borderId="0" applyNumberFormat="0" applyBorder="0" applyAlignment="0" applyProtection="0">
      <alignment vertical="center"/>
    </xf>
    <xf numFmtId="0" fontId="21" fillId="22" borderId="0" applyNumberFormat="0" applyBorder="0" applyAlignment="0" applyProtection="0">
      <alignment vertical="center"/>
    </xf>
    <xf numFmtId="0" fontId="31" fillId="0" borderId="33" applyNumberFormat="0" applyFill="0" applyAlignment="0" applyProtection="0">
      <alignment vertical="center"/>
    </xf>
    <xf numFmtId="0" fontId="40" fillId="0" borderId="0" applyNumberFormat="0" applyFill="0" applyBorder="0" applyAlignment="0" applyProtection="0">
      <alignment vertical="center"/>
    </xf>
    <xf numFmtId="0" fontId="22" fillId="37" borderId="0" applyNumberFormat="0" applyBorder="0" applyAlignment="0" applyProtection="0">
      <alignment vertical="center"/>
    </xf>
    <xf numFmtId="44" fontId="0" fillId="0" borderId="0" applyFont="0" applyFill="0" applyBorder="0" applyAlignment="0" applyProtection="0">
      <alignment vertical="center"/>
    </xf>
    <xf numFmtId="0" fontId="22" fillId="39" borderId="0" applyNumberFormat="0" applyBorder="0" applyAlignment="0" applyProtection="0">
      <alignment vertical="center"/>
    </xf>
    <xf numFmtId="0" fontId="41" fillId="38" borderId="32" applyNumberFormat="0" applyAlignment="0" applyProtection="0">
      <alignment vertical="center"/>
    </xf>
    <xf numFmtId="0" fontId="38" fillId="0" borderId="0" applyNumberFormat="0" applyFill="0" applyBorder="0" applyAlignment="0" applyProtection="0">
      <alignment vertical="center"/>
    </xf>
    <xf numFmtId="41" fontId="0" fillId="0" borderId="0" applyFont="0" applyFill="0" applyBorder="0" applyAlignment="0" applyProtection="0">
      <alignment vertical="center"/>
    </xf>
    <xf numFmtId="0" fontId="21" fillId="40" borderId="0" applyNumberFormat="0" applyBorder="0" applyAlignment="0" applyProtection="0">
      <alignment vertical="center"/>
    </xf>
    <xf numFmtId="0" fontId="22" fillId="41" borderId="0" applyNumberFormat="0" applyBorder="0" applyAlignment="0" applyProtection="0">
      <alignment vertical="center"/>
    </xf>
    <xf numFmtId="0" fontId="21" fillId="43" borderId="0" applyNumberFormat="0" applyBorder="0" applyAlignment="0" applyProtection="0">
      <alignment vertical="center"/>
    </xf>
    <xf numFmtId="0" fontId="29" fillId="27" borderId="32" applyNumberFormat="0" applyAlignment="0" applyProtection="0">
      <alignment vertical="center"/>
    </xf>
    <xf numFmtId="0" fontId="42" fillId="38" borderId="35" applyNumberFormat="0" applyAlignment="0" applyProtection="0">
      <alignment vertical="center"/>
    </xf>
    <xf numFmtId="0" fontId="26" fillId="21" borderId="30" applyNumberFormat="0" applyAlignment="0" applyProtection="0">
      <alignment vertical="center"/>
    </xf>
    <xf numFmtId="0" fontId="25" fillId="0" borderId="29" applyNumberFormat="0" applyFill="0" applyAlignment="0" applyProtection="0">
      <alignment vertical="center"/>
    </xf>
    <xf numFmtId="0" fontId="21" fillId="20" borderId="0" applyNumberFormat="0" applyBorder="0" applyAlignment="0" applyProtection="0">
      <alignment vertical="center"/>
    </xf>
    <xf numFmtId="0" fontId="21" fillId="19" borderId="0" applyNumberFormat="0" applyBorder="0" applyAlignment="0" applyProtection="0">
      <alignment vertical="center"/>
    </xf>
    <xf numFmtId="0" fontId="0" fillId="18" borderId="28" applyNumberFormat="0" applyFont="0" applyAlignment="0" applyProtection="0">
      <alignment vertical="center"/>
    </xf>
    <xf numFmtId="0" fontId="33" fillId="0" borderId="0" applyNumberFormat="0" applyFill="0" applyBorder="0" applyAlignment="0" applyProtection="0">
      <alignment vertical="center"/>
    </xf>
    <xf numFmtId="0" fontId="36" fillId="31" borderId="0" applyNumberFormat="0" applyBorder="0" applyAlignment="0" applyProtection="0">
      <alignment vertical="center"/>
    </xf>
    <xf numFmtId="0" fontId="23" fillId="0" borderId="0" applyNumberFormat="0" applyFill="0" applyBorder="0" applyAlignment="0" applyProtection="0">
      <alignment vertical="center"/>
    </xf>
    <xf numFmtId="0" fontId="21" fillId="42" borderId="0" applyNumberFormat="0" applyBorder="0" applyAlignment="0" applyProtection="0">
      <alignment vertical="center"/>
    </xf>
    <xf numFmtId="0" fontId="24" fillId="17" borderId="0" applyNumberFormat="0" applyBorder="0" applyAlignment="0" applyProtection="0">
      <alignment vertical="center"/>
    </xf>
    <xf numFmtId="0" fontId="22" fillId="16" borderId="0" applyNumberFormat="0" applyBorder="0" applyAlignment="0" applyProtection="0">
      <alignment vertical="center"/>
    </xf>
    <xf numFmtId="0" fontId="30" fillId="28" borderId="0" applyNumberFormat="0" applyBorder="0" applyAlignment="0" applyProtection="0">
      <alignment vertical="center"/>
    </xf>
    <xf numFmtId="0" fontId="21" fillId="15" borderId="0" applyNumberFormat="0" applyBorder="0" applyAlignment="0" applyProtection="0">
      <alignment vertical="center"/>
    </xf>
    <xf numFmtId="0" fontId="22" fillId="36" borderId="0" applyNumberFormat="0" applyBorder="0" applyAlignment="0" applyProtection="0">
      <alignment vertical="center"/>
    </xf>
    <xf numFmtId="0" fontId="21" fillId="14" borderId="0" applyNumberFormat="0" applyBorder="0" applyAlignment="0" applyProtection="0">
      <alignment vertical="center"/>
    </xf>
    <xf numFmtId="0" fontId="22" fillId="32" borderId="0" applyNumberFormat="0" applyBorder="0" applyAlignment="0" applyProtection="0">
      <alignment vertical="center"/>
    </xf>
    <xf numFmtId="0" fontId="21" fillId="13" borderId="0" applyNumberFormat="0" applyBorder="0" applyAlignment="0" applyProtection="0">
      <alignment vertical="center"/>
    </xf>
  </cellStyleXfs>
  <cellXfs count="292">
    <xf numFmtId="0" fontId="0" fillId="0" borderId="0" xfId="0"/>
    <xf numFmtId="0" fontId="1" fillId="0" borderId="0" xfId="0" applyFont="1" applyProtection="1">
      <protection locked="0"/>
    </xf>
    <xf numFmtId="178" fontId="0" fillId="0" borderId="0" xfId="0" applyNumberFormat="1" applyFont="1" applyProtection="1">
      <protection locked="0"/>
    </xf>
    <xf numFmtId="0" fontId="0" fillId="0" borderId="0" xfId="0" applyFont="1" applyProtection="1">
      <protection locked="0"/>
    </xf>
    <xf numFmtId="0" fontId="2" fillId="0" borderId="0" xfId="0" applyFont="1" applyProtection="1">
      <protection locked="0"/>
    </xf>
    <xf numFmtId="0" fontId="3" fillId="0" borderId="0" xfId="4" applyFont="1" applyAlignment="1" applyProtection="1">
      <alignment horizontal="center" vertical="center"/>
      <protection locked="0"/>
    </xf>
    <xf numFmtId="0" fontId="1" fillId="0" borderId="1" xfId="3" applyFont="1" applyBorder="1" applyAlignment="1" applyProtection="1">
      <alignment horizontal="left" vertical="center"/>
      <protection locked="0"/>
    </xf>
    <xf numFmtId="0" fontId="1" fillId="0" borderId="0" xfId="4" applyFont="1" applyAlignment="1" applyProtection="1">
      <alignment vertical="center"/>
      <protection locked="0"/>
    </xf>
    <xf numFmtId="0" fontId="1" fillId="0" borderId="2" xfId="4" applyFont="1" applyBorder="1" applyAlignment="1" applyProtection="1">
      <alignment horizontal="center" vertical="center" wrapText="1"/>
      <protection locked="0"/>
    </xf>
    <xf numFmtId="0" fontId="1" fillId="0" borderId="3" xfId="3" applyFont="1" applyBorder="1" applyAlignment="1" applyProtection="1">
      <alignment vertical="center"/>
      <protection locked="0"/>
    </xf>
    <xf numFmtId="0" fontId="1" fillId="0" borderId="4" xfId="4" applyFont="1" applyBorder="1" applyAlignment="1" applyProtection="1">
      <alignment horizontal="center" vertical="center"/>
    </xf>
    <xf numFmtId="0" fontId="1" fillId="0" borderId="5" xfId="3" applyFont="1" applyBorder="1" applyAlignment="1" applyProtection="1">
      <alignment vertical="center"/>
      <protection locked="0"/>
    </xf>
    <xf numFmtId="0" fontId="1" fillId="0" borderId="6" xfId="3" applyFont="1" applyBorder="1" applyAlignment="1" applyProtection="1">
      <alignment vertical="center"/>
      <protection locked="0"/>
    </xf>
    <xf numFmtId="0" fontId="1" fillId="0" borderId="7" xfId="4" applyFont="1" applyBorder="1" applyAlignment="1" applyProtection="1">
      <alignment horizontal="center" vertical="center" wrapText="1"/>
      <protection locked="0"/>
    </xf>
    <xf numFmtId="0" fontId="1" fillId="0" borderId="8" xfId="4" applyFont="1" applyBorder="1" applyAlignment="1" applyProtection="1">
      <alignment horizontal="center" vertical="center" wrapText="1"/>
      <protection locked="0"/>
    </xf>
    <xf numFmtId="0" fontId="1" fillId="0" borderId="9" xfId="3" applyFont="1" applyBorder="1" applyAlignment="1" applyProtection="1">
      <alignment vertical="center"/>
      <protection locked="0"/>
    </xf>
    <xf numFmtId="0" fontId="1" fillId="0" borderId="10" xfId="3" applyFont="1" applyBorder="1" applyAlignment="1" applyProtection="1">
      <alignment vertical="center"/>
      <protection locked="0"/>
    </xf>
    <xf numFmtId="0" fontId="1" fillId="0" borderId="11" xfId="4" applyFont="1" applyBorder="1" applyAlignment="1" applyProtection="1">
      <alignment horizontal="center" vertical="center" wrapText="1"/>
      <protection locked="0"/>
    </xf>
    <xf numFmtId="0" fontId="1" fillId="0" borderId="11" xfId="4" applyFont="1" applyBorder="1" applyAlignment="1" applyProtection="1">
      <alignment vertical="center"/>
      <protection locked="0"/>
    </xf>
    <xf numFmtId="0" fontId="1" fillId="0" borderId="12" xfId="4" applyFont="1" applyBorder="1" applyAlignment="1" applyProtection="1">
      <alignment horizontal="center" vertical="center"/>
      <protection locked="0"/>
    </xf>
    <xf numFmtId="0" fontId="4" fillId="0" borderId="13" xfId="4" applyFont="1" applyBorder="1" applyAlignment="1" applyProtection="1">
      <alignment vertical="center" wrapText="1"/>
      <protection locked="0"/>
    </xf>
    <xf numFmtId="2" fontId="1" fillId="2" borderId="13" xfId="4" applyNumberFormat="1" applyFont="1" applyFill="1" applyBorder="1" applyAlignment="1" applyProtection="1">
      <alignment horizontal="right" vertical="center"/>
    </xf>
    <xf numFmtId="0" fontId="1" fillId="0" borderId="11" xfId="4" applyFont="1" applyBorder="1" applyAlignment="1" applyProtection="1">
      <alignment horizontal="left" vertical="center" wrapText="1" indent="1"/>
      <protection locked="0"/>
    </xf>
    <xf numFmtId="2" fontId="1" fillId="3" borderId="13" xfId="4" applyNumberFormat="1" applyFont="1" applyFill="1" applyBorder="1" applyAlignment="1" applyProtection="1">
      <alignment horizontal="right" vertical="center"/>
      <protection locked="0"/>
    </xf>
    <xf numFmtId="0" fontId="4" fillId="0" borderId="11" xfId="4" applyFont="1" applyBorder="1" applyAlignment="1" applyProtection="1">
      <alignment vertical="center" wrapText="1"/>
      <protection locked="0"/>
    </xf>
    <xf numFmtId="0" fontId="1" fillId="0" borderId="11" xfId="4" applyFont="1" applyBorder="1" applyAlignment="1" applyProtection="1">
      <alignment horizontal="left" vertical="center" wrapText="1" indent="2"/>
      <protection locked="0"/>
    </xf>
    <xf numFmtId="0" fontId="5" fillId="0" borderId="11" xfId="4" applyFont="1" applyBorder="1" applyAlignment="1" applyProtection="1">
      <alignment horizontal="left" vertical="center" wrapText="1" indent="2"/>
      <protection locked="0"/>
    </xf>
    <xf numFmtId="0" fontId="1" fillId="0" borderId="11" xfId="4" applyFont="1" applyBorder="1" applyAlignment="1" applyProtection="1">
      <alignment horizontal="left" vertical="center" wrapText="1" indent="3"/>
      <protection locked="0"/>
    </xf>
    <xf numFmtId="0" fontId="4" fillId="0" borderId="11" xfId="4" applyFont="1" applyFill="1" applyBorder="1" applyAlignment="1" applyProtection="1">
      <alignment vertical="center" wrapText="1"/>
      <protection locked="0"/>
    </xf>
    <xf numFmtId="0" fontId="1" fillId="0" borderId="8" xfId="4" applyFont="1" applyFill="1" applyBorder="1" applyAlignment="1" applyProtection="1">
      <alignment horizontal="left" vertical="center" wrapText="1" indent="1"/>
      <protection locked="0"/>
    </xf>
    <xf numFmtId="2" fontId="1" fillId="2" borderId="7" xfId="4" applyNumberFormat="1" applyFont="1" applyFill="1" applyBorder="1" applyAlignment="1" applyProtection="1">
      <alignment horizontal="right" vertical="center"/>
    </xf>
    <xf numFmtId="0" fontId="1" fillId="0" borderId="13" xfId="4" applyFont="1" applyBorder="1" applyAlignment="1" applyProtection="1">
      <alignment horizontal="left" vertical="center" wrapText="1" indent="2"/>
      <protection locked="0"/>
    </xf>
    <xf numFmtId="2" fontId="1" fillId="3" borderId="11" xfId="4" applyNumberFormat="1" applyFont="1" applyFill="1" applyBorder="1" applyAlignment="1" applyProtection="1">
      <alignment horizontal="right" vertical="center"/>
      <protection locked="0"/>
    </xf>
    <xf numFmtId="2" fontId="1" fillId="2" borderId="11" xfId="4" applyNumberFormat="1" applyFont="1" applyFill="1" applyBorder="1" applyAlignment="1" applyProtection="1">
      <alignment horizontal="right" vertical="center"/>
    </xf>
    <xf numFmtId="2" fontId="1" fillId="4" borderId="11" xfId="4" applyNumberFormat="1" applyFont="1" applyFill="1" applyBorder="1" applyAlignment="1" applyProtection="1">
      <alignment horizontal="right" vertical="center"/>
    </xf>
    <xf numFmtId="0" fontId="1" fillId="0" borderId="13" xfId="4" applyFont="1" applyFill="1" applyBorder="1" applyAlignment="1" applyProtection="1">
      <alignment horizontal="left" vertical="center" wrapText="1" indent="2"/>
      <protection locked="0"/>
    </xf>
    <xf numFmtId="0" fontId="1" fillId="0" borderId="11" xfId="4" applyFont="1" applyFill="1" applyBorder="1" applyAlignment="1" applyProtection="1">
      <alignment horizontal="left" vertical="center" wrapText="1" indent="3"/>
      <protection locked="0"/>
    </xf>
    <xf numFmtId="0" fontId="6" fillId="0" borderId="0" xfId="3" applyFont="1" applyAlignment="1" applyProtection="1">
      <alignment horizontal="left" vertical="center"/>
      <protection locked="0"/>
    </xf>
    <xf numFmtId="0" fontId="4" fillId="0" borderId="7" xfId="4" applyFont="1" applyBorder="1" applyAlignment="1" applyProtection="1">
      <alignment horizontal="center" vertical="center" wrapText="1"/>
      <protection locked="0"/>
    </xf>
    <xf numFmtId="0" fontId="1" fillId="0" borderId="13" xfId="4" applyFont="1" applyBorder="1" applyAlignment="1" applyProtection="1">
      <alignment horizontal="left" vertical="center"/>
      <protection locked="0"/>
    </xf>
    <xf numFmtId="0" fontId="4" fillId="0" borderId="8" xfId="4" applyFont="1" applyBorder="1" applyAlignment="1" applyProtection="1">
      <alignment vertical="center"/>
      <protection locked="0"/>
    </xf>
    <xf numFmtId="0" fontId="4" fillId="0" borderId="8" xfId="4" applyFont="1" applyBorder="1" applyAlignment="1" applyProtection="1">
      <alignment horizontal="center" vertical="center" wrapText="1"/>
      <protection locked="0"/>
    </xf>
    <xf numFmtId="0" fontId="1" fillId="0" borderId="14" xfId="4" applyFont="1" applyBorder="1" applyAlignment="1" applyProtection="1">
      <alignment horizontal="center" vertical="center" wrapText="1"/>
      <protection locked="0"/>
    </xf>
    <xf numFmtId="0" fontId="1" fillId="0" borderId="15" xfId="4" applyFont="1" applyBorder="1" applyAlignment="1" applyProtection="1">
      <alignment horizontal="center" vertical="center" wrapText="1"/>
      <protection locked="0"/>
    </xf>
    <xf numFmtId="0" fontId="1" fillId="0" borderId="16" xfId="4" applyFont="1" applyBorder="1" applyAlignment="1" applyProtection="1">
      <alignment horizontal="center" vertical="center" wrapText="1"/>
      <protection locked="0"/>
    </xf>
    <xf numFmtId="0" fontId="1" fillId="0" borderId="17" xfId="4" applyFont="1" applyBorder="1" applyAlignment="1" applyProtection="1">
      <alignment horizontal="center" vertical="center" wrapText="1"/>
      <protection locked="0"/>
    </xf>
    <xf numFmtId="0" fontId="4" fillId="0" borderId="18" xfId="4" applyFont="1" applyBorder="1" applyAlignment="1" applyProtection="1">
      <alignment vertical="center"/>
      <protection locked="0"/>
    </xf>
    <xf numFmtId="9" fontId="1" fillId="0" borderId="7" xfId="4" applyNumberFormat="1" applyFont="1" applyBorder="1" applyAlignment="1" applyProtection="1">
      <alignment horizontal="center" vertical="center" wrapText="1"/>
      <protection locked="0"/>
    </xf>
    <xf numFmtId="0" fontId="4" fillId="0" borderId="16" xfId="4" applyFont="1" applyBorder="1" applyAlignment="1" applyProtection="1">
      <alignment vertical="center"/>
      <protection locked="0"/>
    </xf>
    <xf numFmtId="0" fontId="4" fillId="0" borderId="11" xfId="4" applyFont="1" applyBorder="1" applyAlignment="1" applyProtection="1">
      <alignment horizontal="center" vertical="center" wrapText="1"/>
      <protection locked="0"/>
    </xf>
    <xf numFmtId="9" fontId="1" fillId="0" borderId="11" xfId="4" applyNumberFormat="1" applyFont="1" applyBorder="1" applyAlignment="1" applyProtection="1">
      <alignment horizontal="center" vertical="center" wrapText="1"/>
      <protection locked="0"/>
    </xf>
    <xf numFmtId="2" fontId="1" fillId="5" borderId="13" xfId="4" applyNumberFormat="1" applyFont="1" applyFill="1" applyBorder="1" applyAlignment="1" applyProtection="1">
      <alignment horizontal="right" vertical="center"/>
      <protection locked="0"/>
    </xf>
    <xf numFmtId="0" fontId="1" fillId="0" borderId="19" xfId="4" applyFont="1" applyBorder="1" applyAlignment="1" applyProtection="1">
      <alignment horizontal="center" vertical="center" wrapText="1"/>
      <protection locked="0"/>
    </xf>
    <xf numFmtId="0" fontId="1" fillId="0" borderId="10" xfId="4" applyFont="1" applyBorder="1" applyAlignment="1" applyProtection="1">
      <alignment horizontal="center" vertical="center" wrapText="1"/>
      <protection locked="0"/>
    </xf>
    <xf numFmtId="0" fontId="1" fillId="6" borderId="14" xfId="4" applyFont="1" applyFill="1" applyBorder="1" applyAlignment="1" applyProtection="1">
      <alignment horizontal="center" vertical="center" wrapText="1"/>
      <protection locked="0"/>
    </xf>
    <xf numFmtId="0" fontId="1" fillId="6" borderId="16" xfId="4" applyFont="1" applyFill="1" applyBorder="1" applyAlignment="1" applyProtection="1">
      <alignment horizontal="center" vertical="center" wrapText="1"/>
      <protection locked="0"/>
    </xf>
    <xf numFmtId="0" fontId="1" fillId="6" borderId="15" xfId="4" applyFont="1" applyFill="1" applyBorder="1" applyAlignment="1" applyProtection="1">
      <alignment horizontal="center" vertical="center" wrapText="1"/>
      <protection locked="0"/>
    </xf>
    <xf numFmtId="0" fontId="1" fillId="6" borderId="19" xfId="4" applyFont="1" applyFill="1" applyBorder="1" applyAlignment="1" applyProtection="1">
      <alignment horizontal="center" vertical="center" wrapText="1"/>
      <protection locked="0"/>
    </xf>
    <xf numFmtId="0" fontId="5" fillId="0" borderId="7" xfId="4" applyFont="1" applyBorder="1" applyAlignment="1" applyProtection="1">
      <alignment horizontal="center" vertical="center" wrapText="1"/>
      <protection locked="0"/>
    </xf>
    <xf numFmtId="0" fontId="1" fillId="6" borderId="17" xfId="4" applyFont="1" applyFill="1" applyBorder="1" applyAlignment="1" applyProtection="1">
      <alignment horizontal="center" vertical="center" wrapText="1"/>
      <protection locked="0"/>
    </xf>
    <xf numFmtId="0" fontId="1" fillId="6" borderId="10" xfId="4" applyFont="1" applyFill="1" applyBorder="1" applyAlignment="1" applyProtection="1">
      <alignment horizontal="center" vertical="center" wrapText="1"/>
      <protection locked="0"/>
    </xf>
    <xf numFmtId="0" fontId="5" fillId="0" borderId="11" xfId="4" applyFont="1" applyBorder="1" applyAlignment="1" applyProtection="1">
      <alignment horizontal="center" vertical="center" wrapText="1"/>
      <protection locked="0"/>
    </xf>
    <xf numFmtId="9" fontId="1" fillId="0" borderId="7" xfId="4" applyNumberFormat="1" applyFont="1" applyFill="1" applyBorder="1" applyAlignment="1" applyProtection="1">
      <alignment horizontal="center" vertical="center" wrapText="1"/>
      <protection locked="0"/>
    </xf>
    <xf numFmtId="2" fontId="1" fillId="7" borderId="13" xfId="4" applyNumberFormat="1" applyFont="1" applyFill="1" applyBorder="1" applyAlignment="1" applyProtection="1">
      <alignment horizontal="right" vertical="center"/>
      <protection locked="0"/>
    </xf>
    <xf numFmtId="0" fontId="1" fillId="0" borderId="0" xfId="4" applyFont="1" applyAlignment="1" applyProtection="1">
      <alignment horizontal="center" vertical="center"/>
      <protection locked="0"/>
    </xf>
    <xf numFmtId="0" fontId="1" fillId="0" borderId="4" xfId="4" applyFont="1" applyBorder="1" applyAlignment="1" applyProtection="1">
      <alignment horizontal="center" vertical="center"/>
      <protection locked="0"/>
    </xf>
    <xf numFmtId="0" fontId="1" fillId="0" borderId="13" xfId="4" applyFont="1" applyBorder="1" applyAlignment="1" applyProtection="1">
      <alignment horizontal="center" vertical="center" wrapText="1"/>
      <protection locked="0"/>
    </xf>
    <xf numFmtId="2" fontId="1" fillId="5" borderId="13" xfId="4" applyNumberFormat="1" applyFont="1" applyFill="1" applyBorder="1" applyAlignment="1" applyProtection="1">
      <alignment horizontal="center" vertical="center"/>
      <protection locked="0"/>
    </xf>
    <xf numFmtId="2" fontId="1" fillId="3" borderId="13" xfId="4" applyNumberFormat="1" applyFont="1" applyFill="1" applyBorder="1" applyAlignment="1" applyProtection="1">
      <alignment horizontal="center" vertical="center"/>
      <protection locked="0"/>
    </xf>
    <xf numFmtId="0" fontId="1" fillId="0" borderId="7" xfId="4" applyFont="1" applyFill="1" applyBorder="1" applyAlignment="1" applyProtection="1">
      <alignment horizontal="center" vertical="center" wrapText="1"/>
      <protection locked="0"/>
    </xf>
    <xf numFmtId="0" fontId="1" fillId="0" borderId="11" xfId="4" applyFont="1" applyFill="1" applyBorder="1" applyAlignment="1" applyProtection="1">
      <alignment horizontal="center" vertical="center" wrapText="1"/>
      <protection locked="0"/>
    </xf>
    <xf numFmtId="0" fontId="1" fillId="0" borderId="15" xfId="4" applyFont="1" applyFill="1" applyBorder="1" applyAlignment="1" applyProtection="1">
      <alignment horizontal="center" vertical="center" wrapText="1"/>
      <protection locked="0"/>
    </xf>
    <xf numFmtId="0" fontId="1" fillId="0" borderId="17" xfId="4" applyFont="1" applyFill="1" applyBorder="1" applyAlignment="1" applyProtection="1">
      <alignment horizontal="center" vertical="center" wrapText="1"/>
      <protection locked="0"/>
    </xf>
    <xf numFmtId="2" fontId="1" fillId="8" borderId="13" xfId="4" applyNumberFormat="1" applyFont="1" applyFill="1" applyBorder="1" applyAlignment="1" applyProtection="1">
      <alignment horizontal="center" vertical="center"/>
      <protection locked="0"/>
    </xf>
    <xf numFmtId="0" fontId="1" fillId="0" borderId="1" xfId="4" applyFont="1" applyBorder="1" applyAlignment="1" applyProtection="1">
      <alignment horizontal="left" vertical="center"/>
      <protection locked="0"/>
    </xf>
    <xf numFmtId="0" fontId="1" fillId="0" borderId="20" xfId="4" applyFont="1" applyBorder="1" applyAlignment="1" applyProtection="1">
      <alignment horizontal="center" vertical="center"/>
      <protection locked="0"/>
    </xf>
    <xf numFmtId="0" fontId="1" fillId="0" borderId="21" xfId="4" applyFont="1" applyBorder="1" applyAlignment="1" applyProtection="1">
      <alignment horizontal="center" vertical="center" wrapText="1"/>
      <protection locked="0"/>
    </xf>
    <xf numFmtId="0" fontId="1" fillId="0" borderId="18" xfId="4" applyFont="1" applyBorder="1" applyAlignment="1" applyProtection="1">
      <alignment horizontal="center" vertical="center" wrapText="1"/>
      <protection locked="0"/>
    </xf>
    <xf numFmtId="0" fontId="1" fillId="0" borderId="22" xfId="4" applyFont="1" applyBorder="1" applyAlignment="1" applyProtection="1">
      <alignment horizontal="center" vertical="center" wrapText="1"/>
      <protection locked="0"/>
    </xf>
    <xf numFmtId="9" fontId="1" fillId="5" borderId="13" xfId="15" applyFont="1" applyFill="1" applyBorder="1" applyAlignment="1" applyProtection="1">
      <alignment horizontal="right" vertical="center"/>
      <protection locked="0"/>
    </xf>
    <xf numFmtId="10" fontId="1" fillId="2" borderId="22" xfId="4" applyNumberFormat="1" applyFont="1" applyFill="1" applyBorder="1" applyAlignment="1" applyProtection="1">
      <alignment horizontal="right" vertical="center"/>
    </xf>
    <xf numFmtId="2" fontId="7" fillId="2" borderId="13" xfId="4" applyNumberFormat="1" applyFont="1" applyFill="1" applyBorder="1" applyAlignment="1" applyProtection="1">
      <alignment horizontal="right" vertical="center"/>
    </xf>
    <xf numFmtId="9" fontId="1" fillId="0" borderId="13" xfId="15" applyFont="1" applyBorder="1" applyAlignment="1" applyProtection="1">
      <alignment horizontal="right" vertical="center"/>
      <protection locked="0"/>
    </xf>
    <xf numFmtId="2" fontId="1" fillId="2" borderId="23" xfId="4" applyNumberFormat="1" applyFont="1" applyFill="1" applyBorder="1" applyAlignment="1" applyProtection="1">
      <alignment horizontal="right" vertical="center"/>
    </xf>
    <xf numFmtId="9" fontId="1" fillId="5" borderId="7" xfId="15" applyFont="1" applyFill="1" applyBorder="1" applyAlignment="1" applyProtection="1">
      <alignment horizontal="right" vertical="center"/>
      <protection locked="0"/>
    </xf>
    <xf numFmtId="9" fontId="1" fillId="0" borderId="11" xfId="15" applyFont="1" applyBorder="1" applyAlignment="1" applyProtection="1">
      <alignment horizontal="right" vertical="center"/>
      <protection locked="0"/>
    </xf>
    <xf numFmtId="9" fontId="1" fillId="5" borderId="11" xfId="15" applyFont="1" applyFill="1" applyBorder="1" applyAlignment="1" applyProtection="1">
      <alignment horizontal="right" vertical="center"/>
      <protection locked="0"/>
    </xf>
    <xf numFmtId="9" fontId="1" fillId="0" borderId="11" xfId="15" applyFont="1" applyFill="1" applyBorder="1" applyAlignment="1" applyProtection="1">
      <alignment horizontal="right" vertical="center"/>
      <protection locked="0"/>
    </xf>
    <xf numFmtId="9" fontId="1" fillId="7" borderId="13" xfId="15" applyFont="1" applyFill="1" applyBorder="1" applyAlignment="1" applyProtection="1">
      <alignment horizontal="right" vertical="center"/>
      <protection locked="0"/>
    </xf>
    <xf numFmtId="2" fontId="1" fillId="8" borderId="23" xfId="4" applyNumberFormat="1" applyFont="1" applyFill="1" applyBorder="1" applyAlignment="1" applyProtection="1">
      <alignment horizontal="right" vertical="center"/>
    </xf>
    <xf numFmtId="0" fontId="0" fillId="0" borderId="0" xfId="0" applyFont="1" applyBorder="1" applyProtection="1">
      <protection locked="0"/>
    </xf>
    <xf numFmtId="2" fontId="1" fillId="0" borderId="0" xfId="4" applyNumberFormat="1" applyFont="1" applyFill="1" applyBorder="1" applyAlignment="1" applyProtection="1">
      <alignment horizontal="right" vertical="center"/>
      <protection locked="0"/>
    </xf>
    <xf numFmtId="2" fontId="1" fillId="0" borderId="0" xfId="4" applyNumberFormat="1" applyFont="1" applyFill="1" applyBorder="1" applyAlignment="1" applyProtection="1">
      <alignment horizontal="center" vertical="center"/>
      <protection locked="0"/>
    </xf>
    <xf numFmtId="0" fontId="1" fillId="0" borderId="8" xfId="4" applyFont="1" applyBorder="1" applyAlignment="1" applyProtection="1">
      <alignment horizontal="left" vertical="center" wrapText="1" indent="1"/>
      <protection locked="0"/>
    </xf>
    <xf numFmtId="0" fontId="1" fillId="0" borderId="13" xfId="4" applyFont="1" applyBorder="1" applyAlignment="1" applyProtection="1">
      <alignment horizontal="left" vertical="center" wrapText="1" indent="1"/>
      <protection locked="0"/>
    </xf>
    <xf numFmtId="2" fontId="1" fillId="3" borderId="7" xfId="4" applyNumberFormat="1" applyFont="1" applyFill="1" applyBorder="1" applyAlignment="1" applyProtection="1">
      <alignment horizontal="right" vertical="center"/>
      <protection locked="0"/>
    </xf>
    <xf numFmtId="0" fontId="1" fillId="0" borderId="13" xfId="0" applyFont="1" applyBorder="1" applyAlignment="1" applyProtection="1">
      <alignment horizontal="left" vertical="center" wrapText="1" indent="4"/>
      <protection locked="0"/>
    </xf>
    <xf numFmtId="2" fontId="1" fillId="3" borderId="7" xfId="4" applyNumberFormat="1" applyFont="1" applyFill="1" applyBorder="1" applyAlignment="1" applyProtection="1">
      <alignment horizontal="center" vertical="center"/>
      <protection locked="0"/>
    </xf>
    <xf numFmtId="2" fontId="1" fillId="7" borderId="13" xfId="4" applyNumberFormat="1" applyFont="1" applyFill="1" applyBorder="1" applyAlignment="1" applyProtection="1">
      <alignment horizontal="center" vertical="center"/>
      <protection locked="0"/>
    </xf>
    <xf numFmtId="2" fontId="5" fillId="2" borderId="7" xfId="4" applyNumberFormat="1" applyFont="1" applyFill="1" applyBorder="1" applyAlignment="1" applyProtection="1">
      <alignment horizontal="right" vertical="center"/>
    </xf>
    <xf numFmtId="2" fontId="1" fillId="4" borderId="13" xfId="4" applyNumberFormat="1" applyFont="1" applyFill="1" applyBorder="1" applyAlignment="1" applyProtection="1">
      <alignment horizontal="right" vertical="center"/>
    </xf>
    <xf numFmtId="2" fontId="1" fillId="8" borderId="13" xfId="4" applyNumberFormat="1" applyFont="1" applyFill="1" applyBorder="1" applyAlignment="1" applyProtection="1">
      <alignment horizontal="right" vertical="center"/>
    </xf>
    <xf numFmtId="2" fontId="1" fillId="8" borderId="13" xfId="4" applyNumberFormat="1" applyFont="1" applyFill="1" applyBorder="1" applyAlignment="1" applyProtection="1">
      <alignment horizontal="right" vertical="center"/>
      <protection locked="0"/>
    </xf>
    <xf numFmtId="0" fontId="4" fillId="9" borderId="11" xfId="4" applyFont="1" applyFill="1" applyBorder="1" applyAlignment="1" applyProtection="1">
      <alignment vertical="center" wrapText="1"/>
      <protection locked="0"/>
    </xf>
    <xf numFmtId="2" fontId="1" fillId="5" borderId="11" xfId="4" applyNumberFormat="1" applyFont="1" applyFill="1" applyBorder="1" applyAlignment="1" applyProtection="1">
      <alignment horizontal="right" vertical="center"/>
      <protection locked="0"/>
    </xf>
    <xf numFmtId="9" fontId="1" fillId="0" borderId="13" xfId="15" applyFont="1" applyFill="1" applyBorder="1" applyAlignment="1" applyProtection="1">
      <alignment horizontal="right" vertical="center"/>
      <protection locked="0"/>
    </xf>
    <xf numFmtId="9" fontId="1" fillId="6" borderId="13" xfId="15" applyFont="1" applyFill="1" applyBorder="1" applyAlignment="1" applyProtection="1">
      <alignment horizontal="right" vertical="center"/>
      <protection locked="0"/>
    </xf>
    <xf numFmtId="0" fontId="5" fillId="0" borderId="13" xfId="4" applyFont="1" applyBorder="1" applyAlignment="1" applyProtection="1">
      <alignment horizontal="left" vertical="center" wrapText="1" indent="2"/>
      <protection locked="0"/>
    </xf>
    <xf numFmtId="2" fontId="1" fillId="4" borderId="16" xfId="4" applyNumberFormat="1" applyFont="1" applyFill="1" applyBorder="1" applyAlignment="1" applyProtection="1">
      <alignment horizontal="right" vertical="center"/>
    </xf>
    <xf numFmtId="9" fontId="1" fillId="8" borderId="16" xfId="15" applyFont="1" applyFill="1" applyBorder="1" applyAlignment="1" applyProtection="1">
      <alignment horizontal="right" vertical="center"/>
      <protection locked="0"/>
    </xf>
    <xf numFmtId="9" fontId="1" fillId="5" borderId="16" xfId="15" applyFont="1" applyFill="1" applyBorder="1" applyAlignment="1" applyProtection="1">
      <alignment horizontal="right" vertical="center"/>
      <protection locked="0"/>
    </xf>
    <xf numFmtId="2" fontId="1" fillId="5" borderId="16" xfId="4" applyNumberFormat="1" applyFont="1" applyFill="1" applyBorder="1" applyAlignment="1" applyProtection="1">
      <alignment horizontal="right" vertical="center"/>
      <protection locked="0"/>
    </xf>
    <xf numFmtId="2" fontId="1" fillId="5" borderId="18" xfId="4" applyNumberFormat="1" applyFont="1" applyFill="1" applyBorder="1" applyAlignment="1" applyProtection="1">
      <alignment horizontal="right" vertical="center"/>
      <protection locked="0"/>
    </xf>
    <xf numFmtId="0" fontId="4" fillId="9" borderId="24" xfId="4" applyFont="1" applyFill="1" applyBorder="1" applyAlignment="1" applyProtection="1">
      <alignment vertical="center" wrapText="1"/>
      <protection locked="0"/>
    </xf>
    <xf numFmtId="2" fontId="1" fillId="5" borderId="24" xfId="4" applyNumberFormat="1" applyFont="1" applyFill="1" applyBorder="1" applyAlignment="1" applyProtection="1">
      <alignment horizontal="right" vertical="center"/>
      <protection locked="0"/>
    </xf>
    <xf numFmtId="0" fontId="1" fillId="0" borderId="0" xfId="4" applyFont="1" applyAlignment="1" applyProtection="1">
      <alignment horizontal="left" vertical="center"/>
      <protection locked="0"/>
    </xf>
    <xf numFmtId="0" fontId="4" fillId="9" borderId="0" xfId="4" applyFont="1" applyFill="1" applyAlignment="1" applyProtection="1">
      <alignment vertical="center" wrapText="1"/>
      <protection locked="0"/>
    </xf>
    <xf numFmtId="2" fontId="1" fillId="0" borderId="0" xfId="4" applyNumberFormat="1" applyFont="1" applyAlignment="1" applyProtection="1">
      <alignment horizontal="right" vertical="center"/>
      <protection locked="0"/>
    </xf>
    <xf numFmtId="0" fontId="1" fillId="0" borderId="13" xfId="4" applyFont="1" applyBorder="1" applyAlignment="1" applyProtection="1">
      <alignment horizontal="center" vertical="center"/>
      <protection locked="0"/>
    </xf>
    <xf numFmtId="2" fontId="1" fillId="0" borderId="13" xfId="4" applyNumberFormat="1" applyFont="1" applyBorder="1" applyAlignment="1" applyProtection="1">
      <alignment horizontal="right" vertical="center"/>
      <protection locked="0"/>
    </xf>
    <xf numFmtId="0" fontId="1" fillId="0" borderId="13" xfId="4" applyFont="1" applyBorder="1" applyAlignment="1" applyProtection="1">
      <alignment horizontal="left" vertical="center" wrapText="1"/>
      <protection locked="0"/>
    </xf>
    <xf numFmtId="0" fontId="8" fillId="4" borderId="0" xfId="0" applyFont="1" applyFill="1" applyAlignment="1" applyProtection="1">
      <alignment horizontal="center" vertical="center" wrapText="1"/>
      <protection locked="0"/>
    </xf>
    <xf numFmtId="0" fontId="1" fillId="0" borderId="0" xfId="0" applyFont="1" applyAlignment="1" applyProtection="1">
      <alignment vertical="center" wrapText="1"/>
      <protection locked="0"/>
    </xf>
    <xf numFmtId="0" fontId="8" fillId="10" borderId="0" xfId="0" applyFont="1" applyFill="1" applyAlignment="1" applyProtection="1">
      <alignment horizontal="center" vertical="center" wrapText="1"/>
      <protection locked="0"/>
    </xf>
    <xf numFmtId="177" fontId="9" fillId="0" borderId="0" xfId="1" applyNumberFormat="1" applyFont="1" applyProtection="1">
      <alignment vertical="center"/>
      <protection locked="0"/>
    </xf>
    <xf numFmtId="177" fontId="9" fillId="0" borderId="0" xfId="1" applyNumberFormat="1" applyFont="1" applyAlignment="1" applyProtection="1">
      <alignment horizontal="left" vertical="center"/>
      <protection locked="0"/>
    </xf>
    <xf numFmtId="2" fontId="1" fillId="7" borderId="16" xfId="4" applyNumberFormat="1" applyFont="1" applyFill="1" applyBorder="1" applyAlignment="1" applyProtection="1">
      <alignment horizontal="right" vertical="center"/>
    </xf>
    <xf numFmtId="2" fontId="1" fillId="4" borderId="16" xfId="4" applyNumberFormat="1" applyFont="1" applyFill="1" applyBorder="1" applyAlignment="1" applyProtection="1">
      <alignment horizontal="right" vertical="center"/>
      <protection locked="0"/>
    </xf>
    <xf numFmtId="2" fontId="1" fillId="7" borderId="13" xfId="4" applyNumberFormat="1" applyFont="1" applyFill="1" applyBorder="1" applyAlignment="1" applyProtection="1">
      <alignment horizontal="right" vertical="center"/>
    </xf>
    <xf numFmtId="2" fontId="1" fillId="7" borderId="16" xfId="4" applyNumberFormat="1" applyFont="1" applyFill="1" applyBorder="1" applyAlignment="1" applyProtection="1">
      <alignment horizontal="right" vertical="center"/>
      <protection locked="0"/>
    </xf>
    <xf numFmtId="176" fontId="1" fillId="0" borderId="0" xfId="4" applyNumberFormat="1" applyFont="1" applyAlignment="1" applyProtection="1">
      <alignment horizontal="right" vertical="center"/>
      <protection locked="0"/>
    </xf>
    <xf numFmtId="2" fontId="10" fillId="0" borderId="0" xfId="4" applyNumberFormat="1" applyFont="1" applyAlignment="1" applyProtection="1">
      <alignment horizontal="right" vertical="center"/>
      <protection locked="0"/>
    </xf>
    <xf numFmtId="2" fontId="1" fillId="8" borderId="11" xfId="4" applyNumberFormat="1" applyFont="1" applyFill="1" applyBorder="1" applyAlignment="1" applyProtection="1">
      <alignment horizontal="right" vertical="center"/>
      <protection locked="0"/>
    </xf>
    <xf numFmtId="2" fontId="1" fillId="5" borderId="11" xfId="4" applyNumberFormat="1" applyFont="1" applyFill="1" applyBorder="1" applyAlignment="1" applyProtection="1">
      <alignment horizontal="center" vertical="center"/>
      <protection locked="0"/>
    </xf>
    <xf numFmtId="2" fontId="1" fillId="5" borderId="16" xfId="4" applyNumberFormat="1" applyFont="1" applyFill="1" applyBorder="1" applyAlignment="1" applyProtection="1">
      <alignment horizontal="center" vertical="center"/>
      <protection locked="0"/>
    </xf>
    <xf numFmtId="2" fontId="1" fillId="5" borderId="18" xfId="4" applyNumberFormat="1" applyFont="1" applyFill="1" applyBorder="1" applyAlignment="1" applyProtection="1">
      <alignment horizontal="center" vertical="center"/>
      <protection locked="0"/>
    </xf>
    <xf numFmtId="2" fontId="1" fillId="5" borderId="24" xfId="4" applyNumberFormat="1" applyFont="1" applyFill="1" applyBorder="1" applyAlignment="1" applyProtection="1">
      <alignment horizontal="center" vertical="center"/>
      <protection locked="0"/>
    </xf>
    <xf numFmtId="2" fontId="1" fillId="0" borderId="0" xfId="4" applyNumberFormat="1" applyFont="1" applyAlignment="1" applyProtection="1">
      <alignment horizontal="center" vertical="center"/>
      <protection locked="0"/>
    </xf>
    <xf numFmtId="9" fontId="1" fillId="0" borderId="13" xfId="15" applyNumberFormat="1" applyFont="1" applyBorder="1" applyAlignment="1" applyProtection="1">
      <alignment horizontal="right" vertical="center"/>
      <protection locked="0"/>
    </xf>
    <xf numFmtId="10" fontId="1" fillId="0" borderId="16" xfId="4" applyNumberFormat="1" applyFont="1" applyFill="1" applyBorder="1" applyAlignment="1" applyProtection="1">
      <alignment horizontal="right" vertical="center"/>
      <protection locked="0"/>
    </xf>
    <xf numFmtId="9" fontId="1" fillId="5" borderId="25" xfId="15" applyFont="1" applyFill="1" applyBorder="1" applyAlignment="1" applyProtection="1">
      <alignment horizontal="right" vertical="center"/>
      <protection locked="0"/>
    </xf>
    <xf numFmtId="9" fontId="1" fillId="5" borderId="22" xfId="15" applyFont="1" applyFill="1" applyBorder="1" applyAlignment="1" applyProtection="1">
      <alignment horizontal="right" vertical="center"/>
      <protection locked="0"/>
    </xf>
    <xf numFmtId="2" fontId="1" fillId="8" borderId="23" xfId="4" applyNumberFormat="1" applyFont="1" applyFill="1" applyBorder="1" applyAlignment="1" applyProtection="1">
      <alignment horizontal="right" vertical="center"/>
      <protection locked="0"/>
    </xf>
    <xf numFmtId="2" fontId="1" fillId="2" borderId="24" xfId="4" applyNumberFormat="1" applyFont="1" applyFill="1" applyBorder="1" applyAlignment="1" applyProtection="1">
      <alignment horizontal="right" vertical="center"/>
    </xf>
    <xf numFmtId="2" fontId="1" fillId="5" borderId="26" xfId="4" applyNumberFormat="1" applyFont="1" applyFill="1" applyBorder="1" applyAlignment="1" applyProtection="1">
      <alignment horizontal="right" vertical="center"/>
      <protection locked="0"/>
    </xf>
    <xf numFmtId="9" fontId="1" fillId="0" borderId="0" xfId="15" applyFont="1" applyFill="1" applyBorder="1" applyAlignment="1" applyProtection="1">
      <alignment horizontal="right" vertical="center"/>
      <protection locked="0"/>
    </xf>
    <xf numFmtId="178" fontId="0" fillId="0" borderId="0" xfId="0" applyNumberFormat="1"/>
    <xf numFmtId="0" fontId="11" fillId="0" borderId="0" xfId="4" applyFont="1" applyAlignment="1">
      <alignment horizontal="center" vertical="center"/>
    </xf>
    <xf numFmtId="0" fontId="12" fillId="0" borderId="0" xfId="4" applyFont="1" applyAlignment="1">
      <alignment horizontal="center" vertical="center"/>
    </xf>
    <xf numFmtId="0" fontId="13" fillId="0" borderId="0" xfId="3" applyFont="1" applyAlignment="1">
      <alignment vertical="center"/>
    </xf>
    <xf numFmtId="0" fontId="8" fillId="0" borderId="0" xfId="3" applyFont="1" applyAlignment="1">
      <alignment vertical="center"/>
    </xf>
    <xf numFmtId="0" fontId="10" fillId="0" borderId="0" xfId="0" applyFont="1"/>
    <xf numFmtId="0" fontId="8" fillId="0" borderId="2" xfId="4" applyFont="1" applyBorder="1" applyAlignment="1">
      <alignment horizontal="center" vertical="center" wrapText="1"/>
    </xf>
    <xf numFmtId="0" fontId="8" fillId="0" borderId="3" xfId="3" applyFont="1" applyBorder="1" applyAlignment="1">
      <alignment vertical="center"/>
    </xf>
    <xf numFmtId="0" fontId="8" fillId="0" borderId="5" xfId="3" applyFont="1" applyBorder="1" applyAlignment="1">
      <alignment vertical="center"/>
    </xf>
    <xf numFmtId="0" fontId="8" fillId="0" borderId="6" xfId="3" applyFont="1" applyBorder="1" applyAlignment="1">
      <alignment vertical="center"/>
    </xf>
    <xf numFmtId="0" fontId="8" fillId="0" borderId="9" xfId="3" applyFont="1" applyBorder="1" applyAlignment="1">
      <alignment vertical="center"/>
    </xf>
    <xf numFmtId="0" fontId="8" fillId="0" borderId="10" xfId="3" applyFont="1" applyBorder="1" applyAlignment="1">
      <alignment vertical="center"/>
    </xf>
    <xf numFmtId="0" fontId="0" fillId="8" borderId="0" xfId="0" applyFill="1"/>
    <xf numFmtId="0" fontId="8" fillId="0" borderId="12" xfId="4" applyFont="1" applyBorder="1" applyAlignment="1">
      <alignment horizontal="center" vertical="center"/>
    </xf>
    <xf numFmtId="0" fontId="14" fillId="0" borderId="13" xfId="4" applyFont="1" applyBorder="1" applyAlignment="1">
      <alignment vertical="center" wrapText="1"/>
    </xf>
    <xf numFmtId="0" fontId="8" fillId="0" borderId="11" xfId="4" applyFont="1" applyBorder="1" applyAlignment="1">
      <alignment horizontal="left" vertical="center" wrapText="1" indent="1"/>
    </xf>
    <xf numFmtId="0" fontId="0" fillId="0" borderId="0" xfId="0" applyAlignment="1">
      <alignment horizontal="left" vertical="center"/>
    </xf>
    <xf numFmtId="0" fontId="14" fillId="0" borderId="11" xfId="4" applyFont="1" applyBorder="1" applyAlignment="1">
      <alignment vertical="center" wrapText="1"/>
    </xf>
    <xf numFmtId="0" fontId="0" fillId="0" borderId="0" xfId="0" applyAlignment="1">
      <alignment horizontal="left" vertical="center" wrapText="1"/>
    </xf>
    <xf numFmtId="0" fontId="0" fillId="0" borderId="27" xfId="0" applyBorder="1" applyAlignment="1">
      <alignment horizontal="left" vertical="center" wrapText="1"/>
    </xf>
    <xf numFmtId="0" fontId="5" fillId="0" borderId="12" xfId="4" applyFont="1" applyBorder="1" applyAlignment="1">
      <alignment horizontal="center" vertical="center"/>
    </xf>
    <xf numFmtId="0" fontId="5" fillId="0" borderId="11" xfId="4" applyFont="1" applyBorder="1" applyAlignment="1">
      <alignment horizontal="left" vertical="center" wrapText="1" indent="1"/>
    </xf>
    <xf numFmtId="0" fontId="0" fillId="0" borderId="0" xfId="0" applyAlignment="1">
      <alignment wrapText="1"/>
    </xf>
    <xf numFmtId="0" fontId="15" fillId="0" borderId="11" xfId="4" applyFont="1" applyBorder="1" applyAlignment="1">
      <alignment vertical="center" wrapText="1"/>
    </xf>
    <xf numFmtId="0" fontId="5" fillId="0" borderId="11" xfId="4" applyFont="1" applyBorder="1" applyAlignment="1">
      <alignment horizontal="left" vertical="center" wrapText="1" indent="2"/>
    </xf>
    <xf numFmtId="0" fontId="16" fillId="0" borderId="11" xfId="4" applyFont="1" applyBorder="1" applyAlignment="1">
      <alignment horizontal="left" vertical="center" wrapText="1" indent="2"/>
    </xf>
    <xf numFmtId="0" fontId="5" fillId="0" borderId="11" xfId="4" applyFont="1" applyBorder="1" applyAlignment="1">
      <alignment horizontal="left" vertical="center" wrapText="1" indent="3"/>
    </xf>
    <xf numFmtId="0" fontId="17" fillId="0" borderId="11" xfId="4" applyFont="1" applyBorder="1" applyAlignment="1">
      <alignment vertical="center" wrapText="1"/>
    </xf>
    <xf numFmtId="0" fontId="18" fillId="0" borderId="13" xfId="0" applyFont="1" applyBorder="1" applyAlignment="1">
      <alignment horizontal="justify" vertical="center" wrapText="1"/>
    </xf>
    <xf numFmtId="0" fontId="17" fillId="0" borderId="11" xfId="4" applyFont="1" applyFill="1" applyBorder="1" applyAlignment="1">
      <alignment vertical="center" wrapText="1"/>
    </xf>
    <xf numFmtId="0" fontId="0" fillId="0" borderId="0" xfId="0" applyFill="1"/>
    <xf numFmtId="0" fontId="5" fillId="0" borderId="12" xfId="4" applyFont="1" applyFill="1" applyBorder="1" applyAlignment="1">
      <alignment horizontal="center" vertical="center"/>
    </xf>
    <xf numFmtId="0" fontId="5" fillId="0" borderId="8" xfId="4" applyFont="1" applyFill="1" applyBorder="1" applyAlignment="1">
      <alignment horizontal="left" vertical="center" wrapText="1" indent="1"/>
    </xf>
    <xf numFmtId="0" fontId="5" fillId="0" borderId="13" xfId="4" applyFont="1" applyBorder="1" applyAlignment="1">
      <alignment horizontal="left" vertical="center" wrapText="1" indent="2"/>
    </xf>
    <xf numFmtId="0" fontId="5" fillId="0" borderId="13" xfId="4" applyFont="1" applyFill="1" applyBorder="1" applyAlignment="1">
      <alignment horizontal="left" vertical="center" wrapText="1" indent="2"/>
    </xf>
    <xf numFmtId="0" fontId="5" fillId="0" borderId="11" xfId="4" applyFont="1" applyFill="1" applyBorder="1" applyAlignment="1">
      <alignment horizontal="left" vertical="center" wrapText="1" indent="3"/>
    </xf>
    <xf numFmtId="0" fontId="8" fillId="0" borderId="0" xfId="4" applyFont="1" applyAlignment="1">
      <alignment vertical="center"/>
    </xf>
    <xf numFmtId="0" fontId="8" fillId="0" borderId="0" xfId="4" applyFont="1" applyAlignment="1">
      <alignment vertical="center" wrapText="1"/>
    </xf>
    <xf numFmtId="0" fontId="8" fillId="0" borderId="4" xfId="4" applyFont="1" applyBorder="1" applyAlignment="1">
      <alignment horizontal="center" vertical="center"/>
    </xf>
    <xf numFmtId="0" fontId="8" fillId="0" borderId="7" xfId="4" applyFont="1" applyBorder="1" applyAlignment="1">
      <alignment horizontal="center" vertical="center" wrapText="1"/>
    </xf>
    <xf numFmtId="0" fontId="17" fillId="0" borderId="7" xfId="4" applyFont="1" applyBorder="1" applyAlignment="1">
      <alignment horizontal="center" vertical="center" wrapText="1"/>
    </xf>
    <xf numFmtId="0" fontId="8" fillId="0" borderId="8" xfId="4" applyFont="1" applyBorder="1" applyAlignment="1">
      <alignment horizontal="center" vertical="center" wrapText="1"/>
    </xf>
    <xf numFmtId="0" fontId="17" fillId="0" borderId="8" xfId="4" applyFont="1" applyBorder="1" applyAlignment="1">
      <alignment vertical="center"/>
    </xf>
    <xf numFmtId="0" fontId="17" fillId="0" borderId="8" xfId="4" applyFont="1" applyBorder="1" applyAlignment="1">
      <alignment horizontal="center" vertical="center" wrapText="1"/>
    </xf>
    <xf numFmtId="0" fontId="17" fillId="0" borderId="18" xfId="4" applyFont="1" applyBorder="1" applyAlignment="1">
      <alignment vertical="center"/>
    </xf>
    <xf numFmtId="0" fontId="8" fillId="0" borderId="11" xfId="4" applyFont="1" applyBorder="1" applyAlignment="1">
      <alignment horizontal="center" vertical="center" wrapText="1"/>
    </xf>
    <xf numFmtId="0" fontId="8" fillId="0" borderId="11" xfId="4" applyFont="1" applyBorder="1" applyAlignment="1">
      <alignment vertical="center"/>
    </xf>
    <xf numFmtId="0" fontId="17" fillId="0" borderId="16" xfId="4" applyFont="1" applyBorder="1" applyAlignment="1">
      <alignment vertical="center"/>
    </xf>
    <xf numFmtId="0" fontId="17" fillId="0" borderId="11" xfId="4" applyFont="1" applyBorder="1" applyAlignment="1">
      <alignment horizontal="center" vertical="center" wrapText="1"/>
    </xf>
    <xf numFmtId="2" fontId="8" fillId="2" borderId="13" xfId="4" applyNumberFormat="1" applyFont="1" applyFill="1" applyBorder="1" applyAlignment="1">
      <alignment horizontal="right" vertical="center"/>
    </xf>
    <xf numFmtId="2" fontId="8" fillId="3" borderId="13" xfId="4" applyNumberFormat="1" applyFont="1" applyFill="1" applyBorder="1" applyAlignment="1">
      <alignment horizontal="right" vertical="center"/>
    </xf>
    <xf numFmtId="2" fontId="8" fillId="2" borderId="7" xfId="4" applyNumberFormat="1" applyFont="1" applyFill="1" applyBorder="1" applyAlignment="1">
      <alignment horizontal="right" vertical="center"/>
    </xf>
    <xf numFmtId="2" fontId="8" fillId="3" borderId="11" xfId="4" applyNumberFormat="1" applyFont="1" applyFill="1" applyBorder="1" applyAlignment="1">
      <alignment horizontal="right" vertical="center"/>
    </xf>
    <xf numFmtId="2" fontId="8" fillId="2" borderId="11" xfId="4" applyNumberFormat="1" applyFont="1" applyFill="1" applyBorder="1" applyAlignment="1">
      <alignment horizontal="right" vertical="center"/>
    </xf>
    <xf numFmtId="2" fontId="8" fillId="4" borderId="11" xfId="4" applyNumberFormat="1" applyFont="1" applyFill="1" applyBorder="1" applyAlignment="1">
      <alignment horizontal="right" vertical="center"/>
    </xf>
    <xf numFmtId="0" fontId="19" fillId="0" borderId="0" xfId="3" applyFont="1" applyAlignment="1">
      <alignment horizontal="left" vertical="center"/>
    </xf>
    <xf numFmtId="0" fontId="19" fillId="0" borderId="0" xfId="3" applyFont="1" applyAlignment="1">
      <alignment horizontal="left" vertical="center" wrapText="1"/>
    </xf>
    <xf numFmtId="0" fontId="8" fillId="0" borderId="13" xfId="4" applyFont="1" applyBorder="1" applyAlignment="1">
      <alignment horizontal="left" vertical="center"/>
    </xf>
    <xf numFmtId="0" fontId="8" fillId="0" borderId="14" xfId="4" applyFont="1" applyBorder="1" applyAlignment="1">
      <alignment horizontal="center" vertical="center" wrapText="1"/>
    </xf>
    <xf numFmtId="0" fontId="8" fillId="0" borderId="15" xfId="4" applyFont="1" applyBorder="1" applyAlignment="1">
      <alignment horizontal="center" vertical="center" wrapText="1"/>
    </xf>
    <xf numFmtId="0" fontId="8" fillId="0" borderId="19" xfId="4" applyFont="1" applyBorder="1" applyAlignment="1">
      <alignment horizontal="center" vertical="center" wrapText="1"/>
    </xf>
    <xf numFmtId="0" fontId="8" fillId="0" borderId="16" xfId="4" applyFont="1" applyBorder="1" applyAlignment="1">
      <alignment horizontal="center" vertical="center" wrapText="1"/>
    </xf>
    <xf numFmtId="0" fontId="8" fillId="0" borderId="17" xfId="4" applyFont="1" applyBorder="1" applyAlignment="1">
      <alignment horizontal="center" vertical="center" wrapText="1"/>
    </xf>
    <xf numFmtId="0" fontId="8" fillId="0" borderId="10" xfId="4" applyFont="1" applyBorder="1" applyAlignment="1">
      <alignment horizontal="center" vertical="center" wrapText="1"/>
    </xf>
    <xf numFmtId="9" fontId="8" fillId="0" borderId="7" xfId="4" applyNumberFormat="1" applyFont="1" applyBorder="1" applyAlignment="1">
      <alignment horizontal="center" vertical="center" wrapText="1"/>
    </xf>
    <xf numFmtId="9" fontId="5" fillId="0" borderId="7" xfId="4" applyNumberFormat="1" applyFont="1" applyBorder="1" applyAlignment="1">
      <alignment horizontal="center" vertical="center" wrapText="1"/>
    </xf>
    <xf numFmtId="9" fontId="8" fillId="0" borderId="11" xfId="4" applyNumberFormat="1" applyFont="1" applyBorder="1" applyAlignment="1">
      <alignment horizontal="center" vertical="center" wrapText="1"/>
    </xf>
    <xf numFmtId="2" fontId="8" fillId="5" borderId="13" xfId="4" applyNumberFormat="1" applyFont="1" applyFill="1" applyBorder="1" applyAlignment="1">
      <alignment horizontal="right" vertical="center"/>
    </xf>
    <xf numFmtId="0" fontId="8" fillId="0" borderId="0" xfId="3" applyFont="1" applyFill="1" applyAlignment="1">
      <alignment horizontal="left" vertical="center" wrapText="1"/>
    </xf>
    <xf numFmtId="0" fontId="8" fillId="6" borderId="14" xfId="4" applyFont="1" applyFill="1" applyBorder="1" applyAlignment="1">
      <alignment horizontal="center" vertical="center" wrapText="1"/>
    </xf>
    <xf numFmtId="0" fontId="8" fillId="6" borderId="15" xfId="4" applyFont="1" applyFill="1" applyBorder="1" applyAlignment="1">
      <alignment horizontal="center" vertical="center" wrapText="1"/>
    </xf>
    <xf numFmtId="0" fontId="8" fillId="6" borderId="19" xfId="4" applyFont="1" applyFill="1" applyBorder="1" applyAlignment="1">
      <alignment horizontal="center" vertical="center" wrapText="1"/>
    </xf>
    <xf numFmtId="0" fontId="8" fillId="6" borderId="16" xfId="4" applyFont="1" applyFill="1" applyBorder="1" applyAlignment="1">
      <alignment horizontal="center" vertical="center" wrapText="1"/>
    </xf>
    <xf numFmtId="0" fontId="8" fillId="6" borderId="17" xfId="4" applyFont="1" applyFill="1" applyBorder="1" applyAlignment="1">
      <alignment horizontal="center" vertical="center" wrapText="1"/>
    </xf>
    <xf numFmtId="0" fontId="8" fillId="6" borderId="10" xfId="4" applyFont="1" applyFill="1" applyBorder="1" applyAlignment="1">
      <alignment horizontal="center" vertical="center" wrapText="1"/>
    </xf>
    <xf numFmtId="9" fontId="5" fillId="0" borderId="7" xfId="4" applyNumberFormat="1" applyFont="1" applyFill="1" applyBorder="1" applyAlignment="1">
      <alignment horizontal="center" vertical="center" wrapText="1"/>
    </xf>
    <xf numFmtId="0" fontId="5" fillId="0" borderId="7" xfId="4" applyFont="1" applyBorder="1" applyAlignment="1">
      <alignment horizontal="center" vertical="center" wrapText="1"/>
    </xf>
    <xf numFmtId="0" fontId="5" fillId="0" borderId="11" xfId="4" applyFont="1" applyBorder="1" applyAlignment="1">
      <alignment horizontal="center" vertical="center" wrapText="1"/>
    </xf>
    <xf numFmtId="0" fontId="8" fillId="0" borderId="0" xfId="4" applyFont="1" applyAlignment="1">
      <alignment horizontal="center" vertical="center"/>
    </xf>
    <xf numFmtId="0" fontId="8" fillId="0" borderId="0" xfId="4" applyFont="1" applyAlignment="1">
      <alignment horizontal="center" vertical="center" wrapText="1"/>
    </xf>
    <xf numFmtId="0" fontId="8" fillId="0" borderId="13" xfId="4" applyFont="1" applyBorder="1" applyAlignment="1">
      <alignment horizontal="center" vertical="center" wrapText="1"/>
    </xf>
    <xf numFmtId="2" fontId="8" fillId="5" borderId="13" xfId="4" applyNumberFormat="1" applyFont="1" applyFill="1" applyBorder="1" applyAlignment="1">
      <alignment horizontal="center" vertical="center"/>
    </xf>
    <xf numFmtId="2" fontId="8" fillId="3" borderId="13" xfId="4" applyNumberFormat="1" applyFont="1" applyFill="1" applyBorder="1" applyAlignment="1">
      <alignment horizontal="center" vertical="center"/>
    </xf>
    <xf numFmtId="0" fontId="8" fillId="0" borderId="0" xfId="3" applyFont="1" applyAlignment="1">
      <alignment horizontal="left" vertical="center" wrapText="1"/>
    </xf>
    <xf numFmtId="0" fontId="8" fillId="0" borderId="15" xfId="4" applyFont="1" applyFill="1" applyBorder="1" applyAlignment="1">
      <alignment horizontal="center" vertical="center" wrapText="1"/>
    </xf>
    <xf numFmtId="0" fontId="8" fillId="0" borderId="17" xfId="4" applyFont="1" applyFill="1" applyBorder="1" applyAlignment="1">
      <alignment horizontal="center" vertical="center" wrapText="1"/>
    </xf>
    <xf numFmtId="9" fontId="8" fillId="5" borderId="13" xfId="15" applyFont="1" applyFill="1" applyBorder="1" applyAlignment="1" applyProtection="1">
      <alignment horizontal="right" vertical="center"/>
    </xf>
    <xf numFmtId="9" fontId="8" fillId="0" borderId="13" xfId="15" applyFont="1" applyBorder="1" applyAlignment="1" applyProtection="1">
      <alignment horizontal="right" vertical="center"/>
    </xf>
    <xf numFmtId="9" fontId="8" fillId="5" borderId="7" xfId="15" applyFont="1" applyFill="1" applyBorder="1" applyAlignment="1" applyProtection="1">
      <alignment horizontal="right" vertical="center"/>
    </xf>
    <xf numFmtId="9" fontId="8" fillId="0" borderId="11" xfId="15" applyFont="1" applyBorder="1" applyAlignment="1" applyProtection="1">
      <alignment horizontal="right" vertical="center"/>
    </xf>
    <xf numFmtId="9" fontId="8" fillId="5" borderId="11" xfId="15" applyFont="1" applyFill="1" applyBorder="1" applyAlignment="1" applyProtection="1">
      <alignment horizontal="right" vertical="center"/>
    </xf>
    <xf numFmtId="9" fontId="8" fillId="0" borderId="11" xfId="15" applyFont="1" applyFill="1" applyBorder="1" applyAlignment="1" applyProtection="1">
      <alignment horizontal="right" vertical="center"/>
    </xf>
    <xf numFmtId="0" fontId="13" fillId="0" borderId="0" xfId="4" applyFont="1" applyAlignment="1">
      <alignment vertical="center"/>
    </xf>
    <xf numFmtId="0" fontId="8" fillId="0" borderId="21" xfId="4" applyFont="1" applyBorder="1" applyAlignment="1">
      <alignment horizontal="center" vertical="center" wrapText="1"/>
    </xf>
    <xf numFmtId="0" fontId="8" fillId="0" borderId="18" xfId="4" applyFont="1" applyBorder="1" applyAlignment="1">
      <alignment horizontal="center" vertical="center" wrapText="1"/>
    </xf>
    <xf numFmtId="0" fontId="8" fillId="0" borderId="22" xfId="4" applyFont="1" applyBorder="1" applyAlignment="1">
      <alignment horizontal="center" vertical="center" wrapText="1"/>
    </xf>
    <xf numFmtId="10" fontId="8" fillId="2" borderId="22" xfId="4" applyNumberFormat="1" applyFont="1" applyFill="1" applyBorder="1" applyAlignment="1">
      <alignment horizontal="right" vertical="center"/>
    </xf>
    <xf numFmtId="2" fontId="8" fillId="2" borderId="23" xfId="4" applyNumberFormat="1" applyFont="1" applyFill="1" applyBorder="1" applyAlignment="1">
      <alignment horizontal="right" vertical="center"/>
    </xf>
    <xf numFmtId="0" fontId="0" fillId="0" borderId="0" xfId="0" applyBorder="1"/>
    <xf numFmtId="2" fontId="8" fillId="0" borderId="0" xfId="4" applyNumberFormat="1" applyFont="1" applyFill="1" applyBorder="1" applyAlignment="1">
      <alignment horizontal="right" vertical="center"/>
    </xf>
    <xf numFmtId="2" fontId="8" fillId="0" borderId="0" xfId="4" applyNumberFormat="1" applyFont="1" applyFill="1" applyBorder="1" applyAlignment="1">
      <alignment horizontal="center" vertical="center"/>
    </xf>
    <xf numFmtId="0" fontId="0" fillId="11" borderId="0" xfId="0" applyFill="1"/>
    <xf numFmtId="0" fontId="5" fillId="0" borderId="8" xfId="4" applyFont="1" applyBorder="1" applyAlignment="1">
      <alignment horizontal="left" vertical="center" wrapText="1" indent="1"/>
    </xf>
    <xf numFmtId="0" fontId="5" fillId="6" borderId="8" xfId="4" applyFont="1" applyFill="1" applyBorder="1" applyAlignment="1">
      <alignment horizontal="left" vertical="center" wrapText="1" indent="1"/>
    </xf>
    <xf numFmtId="0" fontId="5" fillId="6" borderId="11" xfId="4" applyFont="1" applyFill="1" applyBorder="1" applyAlignment="1">
      <alignment horizontal="left" vertical="center" wrapText="1" indent="3"/>
    </xf>
    <xf numFmtId="0" fontId="8" fillId="0" borderId="8" xfId="4" applyFont="1" applyBorder="1" applyAlignment="1">
      <alignment horizontal="left" vertical="center" wrapText="1" indent="1"/>
    </xf>
    <xf numFmtId="0" fontId="16" fillId="0" borderId="13" xfId="4" applyFont="1" applyBorder="1" applyAlignment="1">
      <alignment horizontal="left" vertical="center" wrapText="1" indent="2"/>
    </xf>
    <xf numFmtId="0" fontId="0" fillId="8" borderId="0" xfId="0" applyFill="1" applyAlignment="1">
      <alignment wrapText="1"/>
    </xf>
    <xf numFmtId="0" fontId="5" fillId="0" borderId="13" xfId="4" applyFont="1" applyBorder="1" applyAlignment="1">
      <alignment horizontal="left" vertical="center" wrapText="1" indent="1"/>
    </xf>
    <xf numFmtId="0" fontId="5" fillId="0" borderId="7" xfId="4" applyFont="1" applyBorder="1" applyAlignment="1">
      <alignment horizontal="left" vertical="center" wrapText="1" indent="1"/>
    </xf>
    <xf numFmtId="0" fontId="17" fillId="0" borderId="7" xfId="4" applyFont="1" applyBorder="1" applyAlignment="1">
      <alignment vertical="center" wrapText="1"/>
    </xf>
    <xf numFmtId="0" fontId="17" fillId="0" borderId="13" xfId="4" applyFont="1" applyBorder="1" applyAlignment="1">
      <alignment vertical="center" wrapText="1"/>
    </xf>
    <xf numFmtId="2" fontId="8" fillId="3" borderId="7" xfId="4" applyNumberFormat="1" applyFont="1" applyFill="1" applyBorder="1" applyAlignment="1">
      <alignment horizontal="right" vertical="center"/>
    </xf>
    <xf numFmtId="2" fontId="8" fillId="3" borderId="7" xfId="4" applyNumberFormat="1" applyFont="1" applyFill="1" applyBorder="1" applyAlignment="1">
      <alignment horizontal="center" vertical="center"/>
    </xf>
    <xf numFmtId="0" fontId="5" fillId="0" borderId="13" xfId="0" applyFont="1" applyBorder="1" applyAlignment="1" applyProtection="1">
      <alignment horizontal="left" vertical="center" wrapText="1" indent="4"/>
      <protection locked="0"/>
    </xf>
    <xf numFmtId="0" fontId="8" fillId="0" borderId="13" xfId="4" applyFont="1" applyBorder="1" applyAlignment="1">
      <alignment horizontal="left" vertical="center" wrapText="1" indent="1"/>
    </xf>
    <xf numFmtId="0" fontId="17" fillId="9" borderId="11" xfId="4" applyFont="1" applyFill="1" applyBorder="1" applyAlignment="1">
      <alignment vertical="center" wrapText="1"/>
    </xf>
    <xf numFmtId="2" fontId="8" fillId="4" borderId="13" xfId="4" applyNumberFormat="1" applyFont="1" applyFill="1" applyBorder="1" applyAlignment="1">
      <alignment horizontal="right" vertical="center"/>
    </xf>
    <xf numFmtId="0" fontId="14" fillId="9" borderId="11" xfId="4" applyFont="1" applyFill="1" applyBorder="1" applyAlignment="1">
      <alignment vertical="center" wrapText="1"/>
    </xf>
    <xf numFmtId="0" fontId="8" fillId="0" borderId="13" xfId="4" applyFont="1" applyBorder="1" applyAlignment="1">
      <alignment horizontal="left" vertical="center" wrapText="1" indent="2"/>
    </xf>
    <xf numFmtId="0" fontId="8" fillId="0" borderId="0" xfId="4" applyFont="1" applyAlignment="1">
      <alignment horizontal="left" vertical="center"/>
    </xf>
    <xf numFmtId="0" fontId="14" fillId="9" borderId="0" xfId="4" applyFont="1" applyFill="1" applyAlignment="1">
      <alignment vertical="center" wrapText="1"/>
    </xf>
    <xf numFmtId="0" fontId="8" fillId="0" borderId="13" xfId="4" applyFont="1" applyBorder="1" applyAlignment="1">
      <alignment vertical="center"/>
    </xf>
    <xf numFmtId="0" fontId="8" fillId="0" borderId="13" xfId="4" applyFont="1" applyBorder="1" applyAlignment="1">
      <alignment horizontal="left" vertical="center" wrapText="1"/>
    </xf>
    <xf numFmtId="2" fontId="8" fillId="4" borderId="16" xfId="4" applyNumberFormat="1" applyFont="1" applyFill="1" applyBorder="1" applyAlignment="1">
      <alignment horizontal="right" vertical="center"/>
    </xf>
    <xf numFmtId="2" fontId="8" fillId="12" borderId="16" xfId="4" applyNumberFormat="1" applyFont="1" applyFill="1" applyBorder="1" applyAlignment="1">
      <alignment horizontal="right" vertical="center"/>
    </xf>
    <xf numFmtId="2" fontId="8" fillId="8" borderId="16" xfId="4" applyNumberFormat="1" applyFont="1" applyFill="1" applyBorder="1" applyAlignment="1">
      <alignment horizontal="right" vertical="center"/>
    </xf>
    <xf numFmtId="2" fontId="8" fillId="2" borderId="16" xfId="4" applyNumberFormat="1" applyFont="1" applyFill="1" applyBorder="1" applyAlignment="1">
      <alignment horizontal="right" vertical="center"/>
    </xf>
    <xf numFmtId="2" fontId="8" fillId="5" borderId="16" xfId="4" applyNumberFormat="1" applyFont="1" applyFill="1" applyBorder="1" applyAlignment="1">
      <alignment horizontal="right" vertical="center"/>
    </xf>
    <xf numFmtId="2" fontId="8" fillId="5" borderId="18" xfId="4" applyNumberFormat="1" applyFont="1" applyFill="1" applyBorder="1" applyAlignment="1">
      <alignment horizontal="right" vertical="center"/>
    </xf>
    <xf numFmtId="2" fontId="8" fillId="5" borderId="24" xfId="4" applyNumberFormat="1" applyFont="1" applyFill="1" applyBorder="1" applyAlignment="1">
      <alignment horizontal="right" vertical="center"/>
    </xf>
    <xf numFmtId="2" fontId="8" fillId="0" borderId="0" xfId="4" applyNumberFormat="1" applyFont="1" applyAlignment="1">
      <alignment horizontal="right" vertical="center"/>
    </xf>
    <xf numFmtId="2" fontId="8" fillId="0" borderId="13" xfId="4" applyNumberFormat="1" applyFont="1" applyBorder="1" applyAlignment="1">
      <alignment horizontal="right" vertical="center"/>
    </xf>
    <xf numFmtId="176" fontId="8" fillId="0" borderId="0" xfId="4" applyNumberFormat="1" applyFont="1" applyAlignment="1">
      <alignment horizontal="right" vertical="center"/>
    </xf>
    <xf numFmtId="2" fontId="8" fillId="5" borderId="11" xfId="4" applyNumberFormat="1" applyFont="1" applyFill="1" applyBorder="1" applyAlignment="1">
      <alignment horizontal="right" vertical="center"/>
    </xf>
    <xf numFmtId="9" fontId="8" fillId="5" borderId="16" xfId="15" applyFont="1" applyFill="1" applyBorder="1" applyAlignment="1" applyProtection="1">
      <alignment horizontal="right" vertical="center"/>
    </xf>
    <xf numFmtId="9" fontId="8" fillId="12" borderId="16" xfId="15" applyFont="1" applyFill="1" applyBorder="1" applyAlignment="1" applyProtection="1">
      <alignment horizontal="right" vertical="center"/>
    </xf>
    <xf numFmtId="2" fontId="20" fillId="0" borderId="0" xfId="4" applyNumberFormat="1" applyFont="1" applyAlignment="1">
      <alignment horizontal="right" vertical="center"/>
    </xf>
    <xf numFmtId="2" fontId="8" fillId="5" borderId="16" xfId="4" applyNumberFormat="1" applyFont="1" applyFill="1" applyBorder="1" applyAlignment="1">
      <alignment horizontal="center" vertical="center"/>
    </xf>
    <xf numFmtId="2" fontId="8" fillId="5" borderId="18" xfId="4" applyNumberFormat="1" applyFont="1" applyFill="1" applyBorder="1" applyAlignment="1">
      <alignment horizontal="center" vertical="center"/>
    </xf>
    <xf numFmtId="2" fontId="8" fillId="5" borderId="24" xfId="4" applyNumberFormat="1" applyFont="1" applyFill="1" applyBorder="1" applyAlignment="1">
      <alignment horizontal="center" vertical="center"/>
    </xf>
    <xf numFmtId="2" fontId="8" fillId="0" borderId="0" xfId="4" applyNumberFormat="1" applyFont="1" applyAlignment="1">
      <alignment horizontal="center" vertical="center"/>
    </xf>
    <xf numFmtId="10" fontId="8" fillId="0" borderId="22" xfId="4" applyNumberFormat="1" applyFont="1" applyFill="1" applyBorder="1" applyAlignment="1">
      <alignment horizontal="right" vertical="center"/>
    </xf>
    <xf numFmtId="9" fontId="8" fillId="0" borderId="0" xfId="15" applyFont="1" applyFill="1" applyBorder="1" applyAlignment="1" applyProtection="1">
      <alignment horizontal="right" vertical="center"/>
    </xf>
    <xf numFmtId="9" fontId="8" fillId="5" borderId="25" xfId="15" applyFont="1" applyFill="1" applyBorder="1" applyAlignment="1" applyProtection="1">
      <alignment horizontal="right" vertical="center"/>
    </xf>
    <xf numFmtId="9" fontId="8" fillId="5" borderId="22" xfId="15" applyFont="1" applyFill="1" applyBorder="1" applyAlignment="1" applyProtection="1">
      <alignment horizontal="right" vertical="center"/>
    </xf>
  </cellXfs>
  <cellStyles count="53">
    <cellStyle name="常规" xfId="0" builtinId="0"/>
    <cellStyle name="常规_资本充足率汇总表-0223" xfId="1"/>
    <cellStyle name="常规_G01" xfId="2"/>
    <cellStyle name="常规_G4B-1 表内信用风险加权资产计算表（权重法）" xfId="3"/>
    <cellStyle name="常规_表内风险资产" xfId="4"/>
    <cellStyle name="40% - 强调文字颜色 6" xfId="5" builtinId="51"/>
    <cellStyle name="20% - 强调文字颜色 6" xfId="6" builtinId="50"/>
    <cellStyle name="强调文字颜色 6" xfId="7" builtinId="49"/>
    <cellStyle name="40% - 强调文字颜色 5" xfId="8" builtinId="47"/>
    <cellStyle name="20% - 强调文字颜色 5" xfId="9" builtinId="46"/>
    <cellStyle name="强调文字颜色 5" xfId="10" builtinId="45"/>
    <cellStyle name="40% - 强调文字颜色 4" xfId="11" builtinId="43"/>
    <cellStyle name="标题 3" xfId="12" builtinId="18"/>
    <cellStyle name="解释性文本" xfId="13" builtinId="53"/>
    <cellStyle name="汇总" xfId="14" builtinId="25"/>
    <cellStyle name="百分比" xfId="15" builtinId="5"/>
    <cellStyle name="千位分隔" xfId="16" builtinId="3"/>
    <cellStyle name="标题 2" xfId="17" builtinId="17"/>
    <cellStyle name="货币[0]" xfId="18" builtinId="7"/>
    <cellStyle name="60% - 强调文字颜色 4" xfId="19" builtinId="44"/>
    <cellStyle name="警告文本" xfId="20" builtinId="11"/>
    <cellStyle name="20% - 强调文字颜色 2" xfId="21" builtinId="34"/>
    <cellStyle name="60% - 强调文字颜色 5" xfId="22" builtinId="48"/>
    <cellStyle name="标题 1" xfId="23" builtinId="16"/>
    <cellStyle name="超链接" xfId="24" builtinId="8"/>
    <cellStyle name="20% - 强调文字颜色 3" xfId="25" builtinId="38"/>
    <cellStyle name="货币" xfId="26" builtinId="4"/>
    <cellStyle name="20% - 强调文字颜色 4" xfId="27" builtinId="42"/>
    <cellStyle name="计算" xfId="28" builtinId="22"/>
    <cellStyle name="已访问的超链接" xfId="29" builtinId="9"/>
    <cellStyle name="千位分隔[0]" xfId="30" builtinId="6"/>
    <cellStyle name="强调文字颜色 4" xfId="31" builtinId="41"/>
    <cellStyle name="40% - 强调文字颜色 3" xfId="32" builtinId="39"/>
    <cellStyle name="60% - 强调文字颜色 6" xfId="33" builtinId="52"/>
    <cellStyle name="输入" xfId="34" builtinId="20"/>
    <cellStyle name="输出" xfId="35" builtinId="21"/>
    <cellStyle name="检查单元格" xfId="36" builtinId="23"/>
    <cellStyle name="链接单元格" xfId="37" builtinId="24"/>
    <cellStyle name="60% - 强调文字颜色 1" xfId="38" builtinId="32"/>
    <cellStyle name="60% - 强调文字颜色 3" xfId="39" builtinId="40"/>
    <cellStyle name="注释" xfId="40" builtinId="10"/>
    <cellStyle name="标题" xfId="41" builtinId="15"/>
    <cellStyle name="好" xfId="42" builtinId="26"/>
    <cellStyle name="标题 4" xfId="43" builtinId="19"/>
    <cellStyle name="强调文字颜色 1" xfId="44" builtinId="29"/>
    <cellStyle name="适中" xfId="45" builtinId="28"/>
    <cellStyle name="20% - 强调文字颜色 1" xfId="46" builtinId="30"/>
    <cellStyle name="差" xfId="47" builtinId="27"/>
    <cellStyle name="强调文字颜色 2" xfId="48" builtinId="33"/>
    <cellStyle name="40% - 强调文字颜色 1" xfId="49" builtinId="31"/>
    <cellStyle name="60% - 强调文字颜色 2" xfId="50" builtinId="36"/>
    <cellStyle name="40% - 强调文字颜色 2" xfId="51" builtinId="35"/>
    <cellStyle name="强调文字颜色 3" xfId="52" builtinId="37"/>
  </cellStyles>
  <tableStyles count="0" defaultTableStyle="TableStyleMedium2"/>
  <colors>
    <mruColors>
      <color rgb="00CC99FF"/>
      <color rgb="004472C4"/>
      <color rgb="009966FF"/>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N239"/>
  <sheetViews>
    <sheetView topLeftCell="AB1" workbookViewId="0">
      <selection activeCell="D238" sqref="D238"/>
    </sheetView>
  </sheetViews>
  <sheetFormatPr defaultColWidth="9" defaultRowHeight="13.5"/>
  <cols>
    <col min="1" max="1" width="25.5" customWidth="1"/>
    <col min="2" max="2" width="27.1666666666667" customWidth="1"/>
    <col min="3" max="3" width="6.5" customWidth="1"/>
    <col min="4" max="4" width="69" customWidth="1"/>
    <col min="5" max="6" width="8.83333333333333" customWidth="1"/>
    <col min="7" max="8" width="10.1666666666667" customWidth="1"/>
    <col min="9" max="9" width="9" customWidth="1"/>
    <col min="10" max="10" width="11.8333333333333" customWidth="1"/>
    <col min="11" max="11" width="10.1666666666667" customWidth="1"/>
    <col min="12" max="17" width="9" customWidth="1"/>
    <col min="18" max="19" width="12" customWidth="1"/>
    <col min="20" max="20" width="10" customWidth="1"/>
    <col min="21" max="21" width="17.5" customWidth="1"/>
    <col min="22" max="22" width="15.8333333333333" customWidth="1"/>
    <col min="23" max="23" width="17.5" customWidth="1"/>
    <col min="24" max="24" width="15.8333333333333" customWidth="1"/>
    <col min="25" max="25" width="11.1666666666667" customWidth="1"/>
    <col min="26" max="26" width="9.83333333333333" customWidth="1"/>
    <col min="27" max="27" width="11" customWidth="1"/>
    <col min="28" max="28" width="11.3333333333333" customWidth="1"/>
    <col min="29" max="29" width="10.5" customWidth="1"/>
    <col min="30" max="30" width="10" customWidth="1"/>
    <col min="31" max="31" width="14.6666666666667" customWidth="1"/>
    <col min="32" max="32" width="15.8333333333333" customWidth="1"/>
    <col min="33" max="33" width="16.1666666666667" customWidth="1"/>
    <col min="34" max="34" width="14.6666666666667" customWidth="1"/>
    <col min="35" max="35" width="11.6666666666667" customWidth="1"/>
    <col min="36" max="37" width="11.1666666666667" customWidth="1"/>
    <col min="38" max="39" width="12.8333333333333" customWidth="1"/>
    <col min="40" max="40" width="10.5" customWidth="1"/>
    <col min="41" max="41" width="13.8333333333333" customWidth="1"/>
    <col min="42" max="42" width="15.5" customWidth="1"/>
    <col min="43" max="43" width="13.8333333333333" customWidth="1"/>
    <col min="44" max="44" width="11.1666666666667" customWidth="1"/>
    <col min="45" max="45" width="10.8333333333333" customWidth="1"/>
    <col min="46" max="46" width="10.1666666666667" customWidth="1"/>
    <col min="47" max="49" width="9" customWidth="1"/>
  </cols>
  <sheetData>
    <row r="1" ht="51.5" customHeight="1" spans="3:50">
      <c r="C1" s="147" t="s">
        <v>0</v>
      </c>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row>
    <row r="2" ht="25.5" customHeight="1" spans="3:50">
      <c r="C2" s="149" t="s">
        <v>1</v>
      </c>
      <c r="D2" s="150"/>
      <c r="E2" s="182"/>
      <c r="F2" s="182"/>
      <c r="G2" s="182"/>
      <c r="H2" s="182"/>
      <c r="I2" s="201"/>
      <c r="J2" s="201"/>
      <c r="K2" s="201"/>
      <c r="L2" s="182"/>
      <c r="M2" s="182"/>
      <c r="N2" s="182"/>
      <c r="O2" s="182"/>
      <c r="P2" s="182"/>
      <c r="Q2" s="182"/>
      <c r="R2" s="182"/>
      <c r="S2" s="182"/>
      <c r="T2" s="182"/>
      <c r="U2" s="182"/>
      <c r="V2" s="182"/>
      <c r="W2" s="182"/>
      <c r="X2" s="182"/>
      <c r="Y2" s="182"/>
      <c r="Z2" s="182"/>
      <c r="AA2" s="182"/>
      <c r="AB2" s="182"/>
      <c r="AC2" s="182"/>
      <c r="AD2" s="182"/>
      <c r="AE2" s="182"/>
      <c r="AF2" s="182"/>
      <c r="AG2" s="224"/>
      <c r="AH2" s="224"/>
      <c r="AI2" s="224"/>
      <c r="AJ2" s="224"/>
      <c r="AK2" s="224"/>
      <c r="AL2" s="224"/>
      <c r="AM2" s="224"/>
      <c r="AN2" s="224"/>
      <c r="AO2" s="224"/>
      <c r="AP2" s="224"/>
      <c r="AQ2" s="224"/>
      <c r="AR2" s="182"/>
      <c r="AS2" s="182"/>
      <c r="AT2" s="182"/>
      <c r="AU2" s="182"/>
      <c r="AW2" s="238" t="s">
        <v>2</v>
      </c>
      <c r="AX2" s="182"/>
    </row>
    <row r="3" customHeight="1" spans="1:50">
      <c r="A3" s="151" t="s">
        <v>3</v>
      </c>
      <c r="B3" s="151"/>
      <c r="C3" s="149"/>
      <c r="D3" s="150"/>
      <c r="E3" s="182"/>
      <c r="F3" s="183"/>
      <c r="G3" s="183" t="s">
        <v>4</v>
      </c>
      <c r="H3" s="183"/>
      <c r="I3" s="202"/>
      <c r="J3" s="202" t="s">
        <v>5</v>
      </c>
      <c r="K3" s="202" t="s">
        <v>6</v>
      </c>
      <c r="L3" s="183"/>
      <c r="M3" s="202" t="s">
        <v>5</v>
      </c>
      <c r="N3" s="202" t="s">
        <v>6</v>
      </c>
      <c r="O3" s="183"/>
      <c r="P3" s="202" t="s">
        <v>5</v>
      </c>
      <c r="Q3" s="202" t="s">
        <v>7</v>
      </c>
      <c r="R3" s="202" t="s">
        <v>8</v>
      </c>
      <c r="S3" s="214" t="s">
        <v>9</v>
      </c>
      <c r="T3" s="202" t="s">
        <v>10</v>
      </c>
      <c r="U3" s="183" t="s">
        <v>11</v>
      </c>
      <c r="V3" s="183" t="s">
        <v>12</v>
      </c>
      <c r="W3" s="183" t="s">
        <v>12</v>
      </c>
      <c r="X3" s="183" t="s">
        <v>11</v>
      </c>
      <c r="Y3" s="183"/>
      <c r="Z3" s="202" t="s">
        <v>5</v>
      </c>
      <c r="AA3" s="202" t="s">
        <v>6</v>
      </c>
      <c r="AB3" s="183"/>
      <c r="AC3" s="202" t="s">
        <v>5</v>
      </c>
      <c r="AD3" s="202" t="s">
        <v>6</v>
      </c>
      <c r="AE3" s="183"/>
      <c r="AF3" s="183"/>
      <c r="AG3" s="225" t="s">
        <v>13</v>
      </c>
      <c r="AH3" s="225"/>
      <c r="AI3" s="225" t="s">
        <v>14</v>
      </c>
      <c r="AJ3" s="225" t="s">
        <v>14</v>
      </c>
      <c r="AK3" s="225"/>
      <c r="AL3" s="202" t="s">
        <v>15</v>
      </c>
      <c r="AM3" s="214" t="s">
        <v>9</v>
      </c>
      <c r="AN3" s="229" t="s">
        <v>16</v>
      </c>
      <c r="AO3" s="225" t="s">
        <v>17</v>
      </c>
      <c r="AP3" s="225" t="s">
        <v>17</v>
      </c>
      <c r="AQ3" s="225" t="s">
        <v>17</v>
      </c>
      <c r="AR3" s="183"/>
      <c r="AS3" s="202" t="s">
        <v>5</v>
      </c>
      <c r="AT3" s="202" t="s">
        <v>7</v>
      </c>
      <c r="AU3" s="182"/>
      <c r="AW3" s="238"/>
      <c r="AX3" s="182"/>
    </row>
    <row r="4" spans="3:50">
      <c r="C4" s="152" t="s">
        <v>18</v>
      </c>
      <c r="D4" s="153"/>
      <c r="E4" s="184" t="str">
        <f>CHAR(COLUMN(A:A)+64)</f>
        <v>A</v>
      </c>
      <c r="F4" s="184" t="str">
        <f t="shared" ref="F4:AD4" si="0">CHAR(COLUMN(B:B)+64)</f>
        <v>B</v>
      </c>
      <c r="G4" s="184" t="str">
        <f t="shared" si="0"/>
        <v>C</v>
      </c>
      <c r="H4" s="184" t="str">
        <f t="shared" si="0"/>
        <v>D</v>
      </c>
      <c r="I4" s="184" t="str">
        <f t="shared" si="0"/>
        <v>E</v>
      </c>
      <c r="J4" s="184" t="str">
        <f t="shared" si="0"/>
        <v>F</v>
      </c>
      <c r="K4" s="184" t="str">
        <f t="shared" si="0"/>
        <v>G</v>
      </c>
      <c r="L4" s="184" t="str">
        <f t="shared" si="0"/>
        <v>H</v>
      </c>
      <c r="M4" s="184" t="str">
        <f t="shared" si="0"/>
        <v>I</v>
      </c>
      <c r="N4" s="184" t="str">
        <f t="shared" si="0"/>
        <v>J</v>
      </c>
      <c r="O4" s="184" t="str">
        <f t="shared" si="0"/>
        <v>K</v>
      </c>
      <c r="P4" s="184" t="str">
        <f t="shared" si="0"/>
        <v>L</v>
      </c>
      <c r="Q4" s="184" t="str">
        <f t="shared" si="0"/>
        <v>M</v>
      </c>
      <c r="R4" s="184" t="str">
        <f t="shared" si="0"/>
        <v>N</v>
      </c>
      <c r="S4" s="184" t="str">
        <f t="shared" si="0"/>
        <v>O</v>
      </c>
      <c r="T4" s="184" t="str">
        <f t="shared" si="0"/>
        <v>P</v>
      </c>
      <c r="U4" s="184" t="str">
        <f t="shared" si="0"/>
        <v>Q</v>
      </c>
      <c r="V4" s="184" t="str">
        <f t="shared" si="0"/>
        <v>R</v>
      </c>
      <c r="W4" s="184" t="str">
        <f t="shared" si="0"/>
        <v>S</v>
      </c>
      <c r="X4" s="184" t="str">
        <f t="shared" si="0"/>
        <v>T</v>
      </c>
      <c r="Y4" s="184" t="str">
        <f t="shared" si="0"/>
        <v>U</v>
      </c>
      <c r="Z4" s="184" t="str">
        <f t="shared" si="0"/>
        <v>V</v>
      </c>
      <c r="AA4" s="184" t="str">
        <f t="shared" si="0"/>
        <v>W</v>
      </c>
      <c r="AB4" s="184" t="str">
        <f t="shared" si="0"/>
        <v>X</v>
      </c>
      <c r="AC4" s="184" t="str">
        <f t="shared" si="0"/>
        <v>Y</v>
      </c>
      <c r="AD4" s="184" t="str">
        <f t="shared" si="0"/>
        <v>Z</v>
      </c>
      <c r="AE4" s="184" t="s">
        <v>19</v>
      </c>
      <c r="AF4" s="184" t="s">
        <v>20</v>
      </c>
      <c r="AG4" s="184" t="s">
        <v>21</v>
      </c>
      <c r="AH4" s="184" t="s">
        <v>22</v>
      </c>
      <c r="AI4" s="184" t="s">
        <v>23</v>
      </c>
      <c r="AJ4" s="184" t="s">
        <v>24</v>
      </c>
      <c r="AK4" s="184" t="s">
        <v>25</v>
      </c>
      <c r="AL4" s="184" t="s">
        <v>26</v>
      </c>
      <c r="AM4" s="184" t="s">
        <v>27</v>
      </c>
      <c r="AN4" s="184" t="s">
        <v>28</v>
      </c>
      <c r="AO4" s="184" t="s">
        <v>29</v>
      </c>
      <c r="AP4" s="184" t="s">
        <v>30</v>
      </c>
      <c r="AQ4" s="184" t="s">
        <v>31</v>
      </c>
      <c r="AR4" s="184" t="s">
        <v>32</v>
      </c>
      <c r="AS4" s="184" t="s">
        <v>33</v>
      </c>
      <c r="AT4" s="184" t="s">
        <v>34</v>
      </c>
      <c r="AU4" s="184" t="s">
        <v>35</v>
      </c>
      <c r="AV4" s="184" t="s">
        <v>36</v>
      </c>
      <c r="AW4" s="184" t="s">
        <v>37</v>
      </c>
      <c r="AX4" s="184" t="s">
        <v>38</v>
      </c>
    </row>
    <row r="5" ht="28" customHeight="1" spans="3:50">
      <c r="C5" s="154"/>
      <c r="D5" s="155"/>
      <c r="E5" s="185" t="s">
        <v>39</v>
      </c>
      <c r="F5" s="185" t="s">
        <v>40</v>
      </c>
      <c r="G5" s="186" t="s">
        <v>41</v>
      </c>
      <c r="H5" s="186" t="s">
        <v>42</v>
      </c>
      <c r="I5" s="203" t="s">
        <v>43</v>
      </c>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185" t="s">
        <v>44</v>
      </c>
      <c r="AV5" s="185" t="s">
        <v>45</v>
      </c>
      <c r="AW5" s="204" t="s">
        <v>46</v>
      </c>
      <c r="AX5" s="239" t="s">
        <v>47</v>
      </c>
    </row>
    <row r="6" ht="14.5" customHeight="1" spans="3:50">
      <c r="C6" s="154"/>
      <c r="D6" s="155"/>
      <c r="E6" s="187"/>
      <c r="F6" s="187"/>
      <c r="G6" s="188"/>
      <c r="H6" s="189"/>
      <c r="I6" s="204" t="s">
        <v>48</v>
      </c>
      <c r="J6" s="205"/>
      <c r="K6" s="206"/>
      <c r="L6" s="204" t="s">
        <v>49</v>
      </c>
      <c r="M6" s="205"/>
      <c r="N6" s="206"/>
      <c r="O6" s="204" t="s">
        <v>50</v>
      </c>
      <c r="P6" s="205"/>
      <c r="Q6" s="206"/>
      <c r="R6" s="215" t="s">
        <v>51</v>
      </c>
      <c r="S6" s="216"/>
      <c r="T6" s="217"/>
      <c r="U6" s="222" t="s">
        <v>52</v>
      </c>
      <c r="V6" s="222" t="s">
        <v>53</v>
      </c>
      <c r="W6" s="222" t="s">
        <v>54</v>
      </c>
      <c r="X6" s="222" t="s">
        <v>55</v>
      </c>
      <c r="Y6" s="204" t="s">
        <v>56</v>
      </c>
      <c r="Z6" s="205"/>
      <c r="AA6" s="206"/>
      <c r="AB6" s="204" t="s">
        <v>57</v>
      </c>
      <c r="AC6" s="205"/>
      <c r="AD6" s="206"/>
      <c r="AE6" s="185" t="s">
        <v>58</v>
      </c>
      <c r="AF6" s="185" t="s">
        <v>59</v>
      </c>
      <c r="AG6" s="226" t="s">
        <v>60</v>
      </c>
      <c r="AH6" s="226" t="s">
        <v>61</v>
      </c>
      <c r="AI6" s="222" t="s">
        <v>62</v>
      </c>
      <c r="AJ6" s="222" t="s">
        <v>63</v>
      </c>
      <c r="AK6" s="222" t="s">
        <v>64</v>
      </c>
      <c r="AL6" s="204" t="s">
        <v>65</v>
      </c>
      <c r="AM6" s="230"/>
      <c r="AN6" s="206"/>
      <c r="AO6" s="222" t="s">
        <v>66</v>
      </c>
      <c r="AP6" s="222" t="s">
        <v>67</v>
      </c>
      <c r="AQ6" s="222" t="s">
        <v>68</v>
      </c>
      <c r="AR6" s="204" t="s">
        <v>69</v>
      </c>
      <c r="AS6" s="205"/>
      <c r="AT6" s="206"/>
      <c r="AU6" s="187"/>
      <c r="AV6" s="187"/>
      <c r="AW6" s="240"/>
      <c r="AX6" s="239"/>
    </row>
    <row r="7" ht="43" customHeight="1" spans="3:50">
      <c r="C7" s="154"/>
      <c r="D7" s="155"/>
      <c r="E7" s="187"/>
      <c r="F7" s="187"/>
      <c r="G7" s="188"/>
      <c r="H7" s="189"/>
      <c r="I7" s="207"/>
      <c r="J7" s="208"/>
      <c r="K7" s="209"/>
      <c r="L7" s="207"/>
      <c r="M7" s="208"/>
      <c r="N7" s="209"/>
      <c r="O7" s="207"/>
      <c r="P7" s="208"/>
      <c r="Q7" s="209"/>
      <c r="R7" s="218"/>
      <c r="S7" s="219"/>
      <c r="T7" s="220"/>
      <c r="U7" s="223"/>
      <c r="V7" s="223"/>
      <c r="W7" s="223"/>
      <c r="X7" s="223"/>
      <c r="Y7" s="207"/>
      <c r="Z7" s="208"/>
      <c r="AA7" s="209"/>
      <c r="AB7" s="207"/>
      <c r="AC7" s="208"/>
      <c r="AD7" s="209"/>
      <c r="AE7" s="191"/>
      <c r="AF7" s="191"/>
      <c r="AG7" s="226"/>
      <c r="AH7" s="226"/>
      <c r="AI7" s="223"/>
      <c r="AJ7" s="223"/>
      <c r="AK7" s="223"/>
      <c r="AL7" s="207"/>
      <c r="AM7" s="231"/>
      <c r="AN7" s="209"/>
      <c r="AO7" s="223"/>
      <c r="AP7" s="223"/>
      <c r="AQ7" s="223"/>
      <c r="AR7" s="207"/>
      <c r="AS7" s="208"/>
      <c r="AT7" s="209"/>
      <c r="AU7" s="187"/>
      <c r="AV7" s="187"/>
      <c r="AW7" s="240"/>
      <c r="AX7" s="239"/>
    </row>
    <row r="8" spans="3:50">
      <c r="C8" s="154"/>
      <c r="D8" s="155"/>
      <c r="E8" s="187"/>
      <c r="F8" s="187"/>
      <c r="G8" s="190"/>
      <c r="H8" s="189"/>
      <c r="I8" s="210">
        <v>0</v>
      </c>
      <c r="J8" s="211">
        <v>0.1</v>
      </c>
      <c r="K8" s="211">
        <v>0.2</v>
      </c>
      <c r="L8" s="210">
        <v>0</v>
      </c>
      <c r="M8" s="211">
        <v>0.1</v>
      </c>
      <c r="N8" s="211">
        <v>0.2</v>
      </c>
      <c r="O8" s="210">
        <v>0</v>
      </c>
      <c r="P8" s="211">
        <v>0.1</v>
      </c>
      <c r="Q8" s="211">
        <v>0.2</v>
      </c>
      <c r="R8" s="211">
        <v>0</v>
      </c>
      <c r="S8" s="221">
        <v>0.1</v>
      </c>
      <c r="T8" s="211">
        <v>0.2</v>
      </c>
      <c r="U8" s="211">
        <v>0.1</v>
      </c>
      <c r="V8" s="211">
        <v>0.2</v>
      </c>
      <c r="W8" s="211">
        <v>0.2</v>
      </c>
      <c r="X8" s="211">
        <v>0.5</v>
      </c>
      <c r="Y8" s="210">
        <v>0</v>
      </c>
      <c r="Z8" s="211">
        <v>0.1</v>
      </c>
      <c r="AA8" s="211">
        <v>0.2</v>
      </c>
      <c r="AB8" s="210">
        <v>0</v>
      </c>
      <c r="AC8" s="211">
        <v>0.1</v>
      </c>
      <c r="AD8" s="211">
        <v>0.2</v>
      </c>
      <c r="AE8" s="210">
        <v>0.2</v>
      </c>
      <c r="AF8" s="210">
        <v>0.5</v>
      </c>
      <c r="AG8" s="211">
        <v>0.2</v>
      </c>
      <c r="AH8" s="210">
        <v>0.5</v>
      </c>
      <c r="AI8" s="211">
        <v>0.3</v>
      </c>
      <c r="AJ8" s="211">
        <v>0.4</v>
      </c>
      <c r="AK8" s="211">
        <v>0.75</v>
      </c>
      <c r="AL8" s="210">
        <v>0</v>
      </c>
      <c r="AM8" s="221">
        <v>0.1</v>
      </c>
      <c r="AN8" s="211">
        <v>0.2</v>
      </c>
      <c r="AO8" s="211">
        <v>0.2</v>
      </c>
      <c r="AP8" s="211">
        <v>0.3</v>
      </c>
      <c r="AQ8" s="211">
        <v>0.5</v>
      </c>
      <c r="AR8" s="210">
        <v>0</v>
      </c>
      <c r="AS8" s="211">
        <v>0.1</v>
      </c>
      <c r="AT8" s="211">
        <v>0.2</v>
      </c>
      <c r="AU8" s="187"/>
      <c r="AV8" s="187"/>
      <c r="AW8" s="240"/>
      <c r="AX8" s="239"/>
    </row>
    <row r="9" spans="3:50">
      <c r="C9" s="156"/>
      <c r="D9" s="157"/>
      <c r="E9" s="191"/>
      <c r="F9" s="192"/>
      <c r="G9" s="193"/>
      <c r="H9" s="194"/>
      <c r="I9" s="212"/>
      <c r="J9" s="212"/>
      <c r="K9" s="212"/>
      <c r="L9" s="212"/>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191"/>
      <c r="AV9" s="191"/>
      <c r="AW9" s="207"/>
      <c r="AX9" s="241"/>
    </row>
    <row r="10" ht="20.5" customHeight="1" spans="2:50">
      <c r="B10" s="158" t="s">
        <v>70</v>
      </c>
      <c r="C10" s="159">
        <v>1</v>
      </c>
      <c r="D10" s="160" t="s">
        <v>71</v>
      </c>
      <c r="E10" s="195">
        <f t="shared" ref="E10:H10" si="1">E11+E12+E13</f>
        <v>0</v>
      </c>
      <c r="F10" s="195">
        <f t="shared" si="1"/>
        <v>0</v>
      </c>
      <c r="G10" s="195">
        <f t="shared" si="1"/>
        <v>0</v>
      </c>
      <c r="H10" s="195">
        <f t="shared" si="1"/>
        <v>0</v>
      </c>
      <c r="I10" s="195">
        <f t="shared" ref="I10:AU10" si="2">I11+I12+I13</f>
        <v>0</v>
      </c>
      <c r="J10" s="195">
        <f t="shared" si="2"/>
        <v>0</v>
      </c>
      <c r="K10" s="195">
        <f t="shared" si="2"/>
        <v>0</v>
      </c>
      <c r="L10" s="195">
        <f t="shared" si="2"/>
        <v>0</v>
      </c>
      <c r="M10" s="195">
        <f t="shared" si="2"/>
        <v>0</v>
      </c>
      <c r="N10" s="195">
        <f t="shared" si="2"/>
        <v>0</v>
      </c>
      <c r="O10" s="195">
        <f t="shared" si="2"/>
        <v>0</v>
      </c>
      <c r="P10" s="195">
        <f t="shared" si="2"/>
        <v>0</v>
      </c>
      <c r="Q10" s="195">
        <f t="shared" si="2"/>
        <v>0</v>
      </c>
      <c r="R10" s="195">
        <f t="shared" si="2"/>
        <v>0</v>
      </c>
      <c r="S10" s="195">
        <f t="shared" si="2"/>
        <v>0</v>
      </c>
      <c r="T10" s="195">
        <f t="shared" si="2"/>
        <v>0</v>
      </c>
      <c r="U10" s="195">
        <f t="shared" si="2"/>
        <v>0</v>
      </c>
      <c r="V10" s="195">
        <f t="shared" si="2"/>
        <v>0</v>
      </c>
      <c r="W10" s="195">
        <f t="shared" si="2"/>
        <v>0</v>
      </c>
      <c r="X10" s="195">
        <f t="shared" si="2"/>
        <v>0</v>
      </c>
      <c r="Y10" s="195">
        <f t="shared" si="2"/>
        <v>0</v>
      </c>
      <c r="Z10" s="195">
        <f t="shared" si="2"/>
        <v>0</v>
      </c>
      <c r="AA10" s="195">
        <f t="shared" si="2"/>
        <v>0</v>
      </c>
      <c r="AB10" s="195">
        <f t="shared" si="2"/>
        <v>0</v>
      </c>
      <c r="AC10" s="195">
        <f t="shared" si="2"/>
        <v>0</v>
      </c>
      <c r="AD10" s="195">
        <f t="shared" si="2"/>
        <v>0</v>
      </c>
      <c r="AE10" s="195">
        <f t="shared" si="2"/>
        <v>0</v>
      </c>
      <c r="AF10" s="195">
        <f t="shared" si="2"/>
        <v>0</v>
      </c>
      <c r="AG10" s="195">
        <f t="shared" si="2"/>
        <v>0</v>
      </c>
      <c r="AH10" s="195">
        <f t="shared" si="2"/>
        <v>0</v>
      </c>
      <c r="AI10" s="195">
        <f t="shared" si="2"/>
        <v>0</v>
      </c>
      <c r="AJ10" s="195">
        <f t="shared" si="2"/>
        <v>0</v>
      </c>
      <c r="AK10" s="195">
        <f t="shared" si="2"/>
        <v>0</v>
      </c>
      <c r="AL10" s="195">
        <f t="shared" si="2"/>
        <v>0</v>
      </c>
      <c r="AM10" s="195">
        <f t="shared" si="2"/>
        <v>0</v>
      </c>
      <c r="AN10" s="195">
        <f t="shared" si="2"/>
        <v>0</v>
      </c>
      <c r="AO10" s="195">
        <f t="shared" si="2"/>
        <v>0</v>
      </c>
      <c r="AP10" s="195">
        <f t="shared" si="2"/>
        <v>0</v>
      </c>
      <c r="AQ10" s="195">
        <f t="shared" si="2"/>
        <v>0</v>
      </c>
      <c r="AR10" s="195">
        <f t="shared" si="2"/>
        <v>0</v>
      </c>
      <c r="AS10" s="195">
        <f t="shared" si="2"/>
        <v>0</v>
      </c>
      <c r="AT10" s="195">
        <f t="shared" si="2"/>
        <v>0</v>
      </c>
      <c r="AU10" s="195">
        <f t="shared" si="2"/>
        <v>0</v>
      </c>
      <c r="AV10" s="232"/>
      <c r="AW10" s="195">
        <f>AW11+AW12+AW13</f>
        <v>0</v>
      </c>
      <c r="AX10" s="242" t="e">
        <f>AW10/G10</f>
        <v>#DIV/0!</v>
      </c>
    </row>
    <row r="11" ht="20.5" customHeight="1" spans="2:50">
      <c r="B11" s="158" t="s">
        <v>70</v>
      </c>
      <c r="C11" s="159">
        <v>2</v>
      </c>
      <c r="D11" s="161" t="s">
        <v>72</v>
      </c>
      <c r="E11" s="196"/>
      <c r="F11" s="196"/>
      <c r="G11" s="195">
        <f t="shared" ref="G11:G15" si="3">E11-F11</f>
        <v>0</v>
      </c>
      <c r="H11" s="196"/>
      <c r="I11" s="213"/>
      <c r="J11" s="213"/>
      <c r="K11" s="213"/>
      <c r="L11" s="213"/>
      <c r="M11" s="213"/>
      <c r="N11" s="213"/>
      <c r="O11" s="213"/>
      <c r="P11" s="213"/>
      <c r="Q11" s="213"/>
      <c r="R11" s="213"/>
      <c r="S11" s="213"/>
      <c r="T11" s="213"/>
      <c r="U11" s="213"/>
      <c r="V11" s="213"/>
      <c r="W11" s="213"/>
      <c r="X11" s="213"/>
      <c r="Y11" s="213"/>
      <c r="Z11" s="213"/>
      <c r="AA11" s="213"/>
      <c r="AB11" s="213"/>
      <c r="AC11" s="213"/>
      <c r="AD11" s="213"/>
      <c r="AE11" s="213"/>
      <c r="AF11" s="213"/>
      <c r="AG11" s="227"/>
      <c r="AH11" s="227"/>
      <c r="AI11" s="227"/>
      <c r="AJ11" s="227"/>
      <c r="AK11" s="227"/>
      <c r="AL11" s="227"/>
      <c r="AM11" s="227"/>
      <c r="AN11" s="227"/>
      <c r="AO11" s="227"/>
      <c r="AP11" s="227"/>
      <c r="AQ11" s="227"/>
      <c r="AR11" s="213"/>
      <c r="AS11" s="213"/>
      <c r="AT11" s="213"/>
      <c r="AU11" s="195">
        <f>G11</f>
        <v>0</v>
      </c>
      <c r="AV11" s="233">
        <v>0</v>
      </c>
      <c r="AW11" s="243">
        <f>I11*$I$8+J11*$J$8+K11*$K$8+L11*$L$8+M11*$M$8+N11*$N$8+O11*$O$8+P11*$P$8+Q11*$Q$8+R11*$R$8+S11*$S$8+T11*$T$8+U11*$U$8+V11*$V$8+W11*$W$8+X11*$X$8+Y11*$Y$8+Z11*$Z$8+AA11*$AA$8++AB11*$AB$8+AC11*$AC$8+AD11*$AD$8+AE11*$AE$8+AF11*$AF$8+AG11*$AG$8+AH11*$AH$8+AI11*$AI$8+AJ11*$AJ$8+AL11*$AL$8+AM11*$AM$8+AN11*$AN$8+AO11*$AO$8+AP11*$AP$8+AQ11*$AQ$8+AR11*$AR$8+AS11*$AS$8+AT11*$AT$8</f>
        <v>0</v>
      </c>
      <c r="AX11" s="242" t="e">
        <f t="shared" ref="AX11:AX74" si="4">AW11/G11</f>
        <v>#DIV/0!</v>
      </c>
    </row>
    <row r="12" ht="20.5" customHeight="1" spans="2:50">
      <c r="B12" s="158" t="s">
        <v>70</v>
      </c>
      <c r="C12" s="159">
        <v>3</v>
      </c>
      <c r="D12" s="161" t="s">
        <v>73</v>
      </c>
      <c r="E12" s="196"/>
      <c r="F12" s="196"/>
      <c r="G12" s="195">
        <f t="shared" si="3"/>
        <v>0</v>
      </c>
      <c r="H12" s="196"/>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27"/>
      <c r="AH12" s="227"/>
      <c r="AI12" s="227"/>
      <c r="AJ12" s="227"/>
      <c r="AK12" s="227"/>
      <c r="AL12" s="227"/>
      <c r="AM12" s="227"/>
      <c r="AN12" s="227"/>
      <c r="AO12" s="227"/>
      <c r="AP12" s="227"/>
      <c r="AQ12" s="227"/>
      <c r="AR12" s="213"/>
      <c r="AS12" s="213"/>
      <c r="AT12" s="213"/>
      <c r="AU12" s="195">
        <f>G12</f>
        <v>0</v>
      </c>
      <c r="AV12" s="233">
        <v>0</v>
      </c>
      <c r="AW12" s="243">
        <f>I12*$I$8+J12*$J$8+K12*$K$8+L12*$L$8+M12*$M$8+N12*$N$8+O12*$O$8+P12*$P$8+Q12*$Q$8+R12*$R$8+S12*$S$8+T12*$T$8+U12*$U$8+V12*$V$8+W12*$W$8+X12*$X$8+Y12*$Y$8+Z12*$Z$8+AA12*$AA$8++AB12*$AB$8+AC12*$AC$8+AD12*$AD$8+AE12*$AE$8+AF12*$AF$8+AG12*$AG$8+AH12*$AH$8+AI12*$AI$8+AJ12*$AJ$8+AL12*$AL$8+AM12*$AM$8+AN12*$AN$8+AO12*$AO$8+AP12*$AP$8+AQ12*$AQ$8+AR12*$AR$8+AS12*$AS$8+AT12*$AT$8</f>
        <v>0</v>
      </c>
      <c r="AX12" s="242" t="e">
        <f t="shared" si="4"/>
        <v>#DIV/0!</v>
      </c>
    </row>
    <row r="13" ht="20.5" customHeight="1" spans="2:50">
      <c r="B13" s="158" t="s">
        <v>70</v>
      </c>
      <c r="C13" s="159">
        <v>4</v>
      </c>
      <c r="D13" s="161" t="s">
        <v>74</v>
      </c>
      <c r="E13" s="196"/>
      <c r="F13" s="196"/>
      <c r="G13" s="195">
        <f t="shared" si="3"/>
        <v>0</v>
      </c>
      <c r="H13" s="196"/>
      <c r="I13" s="213"/>
      <c r="J13" s="213"/>
      <c r="K13" s="213"/>
      <c r="L13" s="213"/>
      <c r="M13" s="213"/>
      <c r="N13" s="213"/>
      <c r="O13" s="213"/>
      <c r="P13" s="213"/>
      <c r="Q13" s="213"/>
      <c r="R13" s="213"/>
      <c r="S13" s="213"/>
      <c r="T13" s="213"/>
      <c r="U13" s="213"/>
      <c r="V13" s="213"/>
      <c r="W13" s="213"/>
      <c r="X13" s="213"/>
      <c r="Y13" s="213"/>
      <c r="Z13" s="213"/>
      <c r="AA13" s="213"/>
      <c r="AB13" s="213"/>
      <c r="AC13" s="213"/>
      <c r="AD13" s="213"/>
      <c r="AE13" s="213"/>
      <c r="AF13" s="213"/>
      <c r="AG13" s="227"/>
      <c r="AH13" s="227"/>
      <c r="AI13" s="227"/>
      <c r="AJ13" s="227"/>
      <c r="AK13" s="227"/>
      <c r="AL13" s="227"/>
      <c r="AM13" s="227"/>
      <c r="AN13" s="227"/>
      <c r="AO13" s="227"/>
      <c r="AP13" s="227"/>
      <c r="AQ13" s="227"/>
      <c r="AR13" s="213"/>
      <c r="AS13" s="213"/>
      <c r="AT13" s="213"/>
      <c r="AU13" s="195">
        <f>G13</f>
        <v>0</v>
      </c>
      <c r="AV13" s="233">
        <v>0</v>
      </c>
      <c r="AW13" s="243">
        <f>I13*$I$8+J13*$J$8+K13*$K$8+L13*$L$8+M13*$M$8+N13*$N$8+O13*$O$8+P13*$P$8+Q13*$Q$8+R13*$R$8+S13*$S$8+T13*$T$8+U13*$U$8+V13*$V$8+W13*$W$8+X13*$X$8+Y13*$Y$8+Z13*$Z$8+AA13*$AA$8++AB13*$AB$8+AC13*$AC$8+AD13*$AD$8+AE13*$AE$8+AF13*$AF$8+AG13*$AG$8+AH13*$AH$8+AI13*$AI$8+AJ13*$AJ$8+AL13*$AL$8+AM13*$AM$8+AN13*$AN$8+AO13*$AO$8+AP13*$AP$8+AQ13*$AQ$8+AR13*$AR$8+AS13*$AS$8+AT13*$AT$8</f>
        <v>0</v>
      </c>
      <c r="AX13" s="242" t="e">
        <f t="shared" si="4"/>
        <v>#DIV/0!</v>
      </c>
    </row>
    <row r="14" ht="20.5" customHeight="1" spans="1:50">
      <c r="A14" s="162"/>
      <c r="B14" s="158" t="s">
        <v>70</v>
      </c>
      <c r="C14" s="159">
        <v>5</v>
      </c>
      <c r="D14" s="163" t="s">
        <v>75</v>
      </c>
      <c r="E14" s="195">
        <f t="shared" ref="E14:H14" si="5">SUM(E15:E23)</f>
        <v>0</v>
      </c>
      <c r="F14" s="195">
        <f t="shared" si="5"/>
        <v>0</v>
      </c>
      <c r="G14" s="195">
        <f t="shared" si="5"/>
        <v>0</v>
      </c>
      <c r="H14" s="195">
        <f t="shared" si="5"/>
        <v>0</v>
      </c>
      <c r="I14" s="195">
        <f t="shared" ref="I14:AT14" si="6">SUM(I15:I23)</f>
        <v>0</v>
      </c>
      <c r="J14" s="195">
        <f t="shared" si="6"/>
        <v>0</v>
      </c>
      <c r="K14" s="195">
        <f t="shared" si="6"/>
        <v>0</v>
      </c>
      <c r="L14" s="195">
        <f t="shared" si="6"/>
        <v>0</v>
      </c>
      <c r="M14" s="195">
        <f t="shared" si="6"/>
        <v>0</v>
      </c>
      <c r="N14" s="195">
        <f t="shared" si="6"/>
        <v>0</v>
      </c>
      <c r="O14" s="195">
        <f t="shared" si="6"/>
        <v>0</v>
      </c>
      <c r="P14" s="195">
        <f t="shared" si="6"/>
        <v>0</v>
      </c>
      <c r="Q14" s="195">
        <f t="shared" si="6"/>
        <v>0</v>
      </c>
      <c r="R14" s="195">
        <f t="shared" si="6"/>
        <v>0</v>
      </c>
      <c r="S14" s="195">
        <f t="shared" si="6"/>
        <v>0</v>
      </c>
      <c r="T14" s="195">
        <f t="shared" si="6"/>
        <v>0</v>
      </c>
      <c r="U14" s="195">
        <f t="shared" si="6"/>
        <v>0</v>
      </c>
      <c r="V14" s="195">
        <f t="shared" si="6"/>
        <v>0</v>
      </c>
      <c r="W14" s="195">
        <f t="shared" si="6"/>
        <v>0</v>
      </c>
      <c r="X14" s="195">
        <f t="shared" si="6"/>
        <v>0</v>
      </c>
      <c r="Y14" s="195">
        <f t="shared" si="6"/>
        <v>0</v>
      </c>
      <c r="Z14" s="195">
        <f t="shared" si="6"/>
        <v>0</v>
      </c>
      <c r="AA14" s="195">
        <f t="shared" si="6"/>
        <v>0</v>
      </c>
      <c r="AB14" s="195">
        <f t="shared" si="6"/>
        <v>0</v>
      </c>
      <c r="AC14" s="195">
        <f t="shared" si="6"/>
        <v>0</v>
      </c>
      <c r="AD14" s="195">
        <f t="shared" si="6"/>
        <v>0</v>
      </c>
      <c r="AE14" s="195">
        <f t="shared" si="6"/>
        <v>0</v>
      </c>
      <c r="AF14" s="195">
        <f t="shared" si="6"/>
        <v>0</v>
      </c>
      <c r="AG14" s="195">
        <f t="shared" si="6"/>
        <v>0</v>
      </c>
      <c r="AH14" s="195">
        <f t="shared" si="6"/>
        <v>0</v>
      </c>
      <c r="AI14" s="195">
        <f t="shared" si="6"/>
        <v>0</v>
      </c>
      <c r="AJ14" s="195">
        <f t="shared" si="6"/>
        <v>0</v>
      </c>
      <c r="AK14" s="195">
        <f t="shared" si="6"/>
        <v>0</v>
      </c>
      <c r="AL14" s="195">
        <f t="shared" si="6"/>
        <v>0</v>
      </c>
      <c r="AM14" s="195">
        <f t="shared" si="6"/>
        <v>0</v>
      </c>
      <c r="AN14" s="195">
        <f t="shared" si="6"/>
        <v>0</v>
      </c>
      <c r="AO14" s="195">
        <f t="shared" si="6"/>
        <v>0</v>
      </c>
      <c r="AP14" s="195">
        <f t="shared" si="6"/>
        <v>0</v>
      </c>
      <c r="AQ14" s="195">
        <f t="shared" si="6"/>
        <v>0</v>
      </c>
      <c r="AR14" s="195">
        <f t="shared" si="6"/>
        <v>0</v>
      </c>
      <c r="AS14" s="195">
        <f t="shared" si="6"/>
        <v>0</v>
      </c>
      <c r="AT14" s="195">
        <f t="shared" si="6"/>
        <v>0</v>
      </c>
      <c r="AU14" s="195">
        <f>AU15+AU16+AU17+AU18+AU19+AU20+AU21+AU22+AU23</f>
        <v>0</v>
      </c>
      <c r="AV14" s="232"/>
      <c r="AW14" s="195">
        <f>AW15+AW16+AW17+AW18+AW19+AW20+AW21+AW22+AW23</f>
        <v>0</v>
      </c>
      <c r="AX14" s="242" t="e">
        <f t="shared" si="4"/>
        <v>#DIV/0!</v>
      </c>
    </row>
    <row r="15" ht="20.5" customHeight="1" spans="1:50">
      <c r="A15" s="164"/>
      <c r="B15" s="158" t="s">
        <v>70</v>
      </c>
      <c r="C15" s="159">
        <v>6</v>
      </c>
      <c r="D15" s="161" t="s">
        <v>76</v>
      </c>
      <c r="E15" s="196"/>
      <c r="F15" s="196"/>
      <c r="G15" s="195">
        <f t="shared" si="3"/>
        <v>0</v>
      </c>
      <c r="H15" s="196"/>
      <c r="I15" s="213"/>
      <c r="J15" s="213"/>
      <c r="K15" s="213"/>
      <c r="L15" s="213"/>
      <c r="M15" s="213"/>
      <c r="N15" s="213"/>
      <c r="O15" s="213"/>
      <c r="P15" s="213"/>
      <c r="Q15" s="213"/>
      <c r="R15" s="213"/>
      <c r="S15" s="213"/>
      <c r="T15" s="213"/>
      <c r="U15" s="213"/>
      <c r="V15" s="213"/>
      <c r="W15" s="213"/>
      <c r="X15" s="213"/>
      <c r="Y15" s="213"/>
      <c r="Z15" s="213"/>
      <c r="AA15" s="213"/>
      <c r="AB15" s="213"/>
      <c r="AC15" s="213"/>
      <c r="AD15" s="213"/>
      <c r="AE15" s="213"/>
      <c r="AF15" s="213"/>
      <c r="AG15" s="227"/>
      <c r="AH15" s="227"/>
      <c r="AI15" s="227"/>
      <c r="AJ15" s="227"/>
      <c r="AK15" s="227"/>
      <c r="AL15" s="227"/>
      <c r="AM15" s="227"/>
      <c r="AN15" s="227"/>
      <c r="AO15" s="227"/>
      <c r="AP15" s="227"/>
      <c r="AQ15" s="227"/>
      <c r="AR15" s="213"/>
      <c r="AS15" s="213"/>
      <c r="AT15" s="213"/>
      <c r="AU15" s="195">
        <f>G15</f>
        <v>0</v>
      </c>
      <c r="AV15" s="233">
        <v>0</v>
      </c>
      <c r="AW15" s="243">
        <f t="shared" ref="AW15:AW23" si="7">I15*$I$8+J15*$J$8+K15*$K$8+L15*$L$8+M15*$M$8+N15*$N$8+O15*$O$8+P15*$P$8+Q15*$Q$8+R15*$R$8+S15*$S$8+T15*$T$8+U15*$U$8+V15*$V$8+W15*$W$8+X15*$X$8+Y15*$Y$8+Z15*$Z$8+AA15*$AA$8++AB15*$AB$8+AC15*$AC$8+AD15*$AD$8+AE15*$AE$8+AF15*$AF$8+AG15*$AG$8+AH15*$AH$8+AI15*$AI$8+AJ15*$AJ$8+AL15*$AL$8+AM15*$AM$8+AN15*$AN$8+AO15*$AO$8+AP15*$AP$8+AQ15*$AQ$8+AR15*$AR$8+AS15*$AS$8+AT15*$AT$8</f>
        <v>0</v>
      </c>
      <c r="AX15" s="242" t="e">
        <f t="shared" si="4"/>
        <v>#DIV/0!</v>
      </c>
    </row>
    <row r="16" ht="20.5" customHeight="1" spans="1:50">
      <c r="A16" s="164"/>
      <c r="B16" s="158" t="s">
        <v>70</v>
      </c>
      <c r="C16" s="159">
        <v>7</v>
      </c>
      <c r="D16" s="161" t="s">
        <v>77</v>
      </c>
      <c r="E16" s="196"/>
      <c r="F16" s="196"/>
      <c r="G16" s="195">
        <f t="shared" ref="G16:G23" si="8">E16-F16</f>
        <v>0</v>
      </c>
      <c r="H16" s="196"/>
      <c r="I16" s="213"/>
      <c r="J16" s="213"/>
      <c r="K16" s="213"/>
      <c r="L16" s="213"/>
      <c r="M16" s="213"/>
      <c r="N16" s="213"/>
      <c r="O16" s="213"/>
      <c r="P16" s="213"/>
      <c r="Q16" s="213"/>
      <c r="R16" s="213"/>
      <c r="S16" s="213"/>
      <c r="T16" s="213"/>
      <c r="U16" s="213"/>
      <c r="V16" s="213"/>
      <c r="W16" s="213"/>
      <c r="X16" s="213"/>
      <c r="Y16" s="213"/>
      <c r="Z16" s="213"/>
      <c r="AA16" s="213"/>
      <c r="AB16" s="213"/>
      <c r="AC16" s="213"/>
      <c r="AD16" s="213"/>
      <c r="AE16" s="213"/>
      <c r="AF16" s="213"/>
      <c r="AG16" s="227"/>
      <c r="AH16" s="227"/>
      <c r="AI16" s="227"/>
      <c r="AJ16" s="227"/>
      <c r="AK16" s="227"/>
      <c r="AL16" s="227"/>
      <c r="AM16" s="227"/>
      <c r="AN16" s="227"/>
      <c r="AO16" s="227"/>
      <c r="AP16" s="227"/>
      <c r="AQ16" s="227"/>
      <c r="AR16" s="213"/>
      <c r="AS16" s="213"/>
      <c r="AT16" s="213"/>
      <c r="AU16" s="195">
        <f>G16</f>
        <v>0</v>
      </c>
      <c r="AV16" s="233">
        <v>0</v>
      </c>
      <c r="AW16" s="243">
        <f t="shared" si="7"/>
        <v>0</v>
      </c>
      <c r="AX16" s="242" t="e">
        <f t="shared" si="4"/>
        <v>#DIV/0!</v>
      </c>
    </row>
    <row r="17" ht="29" customHeight="1" spans="1:50">
      <c r="A17" s="165"/>
      <c r="B17" s="158" t="s">
        <v>70</v>
      </c>
      <c r="C17" s="159">
        <v>8</v>
      </c>
      <c r="D17" s="161" t="s">
        <v>78</v>
      </c>
      <c r="E17" s="196"/>
      <c r="F17" s="196"/>
      <c r="G17" s="195">
        <f t="shared" si="8"/>
        <v>0</v>
      </c>
      <c r="H17" s="196"/>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c r="AG17" s="227"/>
      <c r="AH17" s="227"/>
      <c r="AI17" s="227"/>
      <c r="AJ17" s="227"/>
      <c r="AK17" s="227"/>
      <c r="AL17" s="227"/>
      <c r="AM17" s="227"/>
      <c r="AN17" s="227"/>
      <c r="AO17" s="227"/>
      <c r="AP17" s="227"/>
      <c r="AQ17" s="227"/>
      <c r="AR17" s="213"/>
      <c r="AS17" s="213"/>
      <c r="AT17" s="213"/>
      <c r="AU17" s="195">
        <f>G17</f>
        <v>0</v>
      </c>
      <c r="AV17" s="233">
        <v>0</v>
      </c>
      <c r="AW17" s="243">
        <f t="shared" si="7"/>
        <v>0</v>
      </c>
      <c r="AX17" s="242" t="e">
        <f t="shared" si="4"/>
        <v>#DIV/0!</v>
      </c>
    </row>
    <row r="18" ht="30.5" customHeight="1" spans="1:50">
      <c r="A18" s="165"/>
      <c r="B18" s="158" t="s">
        <v>70</v>
      </c>
      <c r="C18" s="159">
        <v>9</v>
      </c>
      <c r="D18" s="161" t="s">
        <v>79</v>
      </c>
      <c r="E18" s="196"/>
      <c r="F18" s="196"/>
      <c r="G18" s="195">
        <f t="shared" si="8"/>
        <v>0</v>
      </c>
      <c r="H18" s="196"/>
      <c r="I18" s="196"/>
      <c r="J18" s="196"/>
      <c r="K18" s="213"/>
      <c r="L18" s="196"/>
      <c r="M18" s="196"/>
      <c r="N18" s="213"/>
      <c r="O18" s="196"/>
      <c r="P18" s="196"/>
      <c r="Q18" s="213"/>
      <c r="R18" s="196"/>
      <c r="S18" s="196"/>
      <c r="T18" s="213"/>
      <c r="U18" s="196"/>
      <c r="V18" s="213"/>
      <c r="W18" s="213"/>
      <c r="X18" s="213"/>
      <c r="Y18" s="196"/>
      <c r="Z18" s="196"/>
      <c r="AA18" s="213"/>
      <c r="AB18" s="196"/>
      <c r="AC18" s="196"/>
      <c r="AD18" s="213"/>
      <c r="AE18" s="213"/>
      <c r="AF18" s="213"/>
      <c r="AG18" s="213"/>
      <c r="AH18" s="213"/>
      <c r="AI18" s="213"/>
      <c r="AJ18" s="213"/>
      <c r="AK18" s="213"/>
      <c r="AL18" s="228"/>
      <c r="AM18" s="228"/>
      <c r="AN18" s="213"/>
      <c r="AO18" s="213"/>
      <c r="AP18" s="213"/>
      <c r="AQ18" s="213"/>
      <c r="AR18" s="196"/>
      <c r="AS18" s="196"/>
      <c r="AT18" s="213"/>
      <c r="AU18" s="195">
        <f t="shared" ref="AU18:AU23" si="9">IF(G18-I18-J18-K18-L18-M18-N18-O18-P18-Q18-R18-S18-T18-U18-V18-W18-X18-Y18-Z18-AA18-AB18-AC18-AD18-AE18-AF18-AG18-AH18-AI18-AJ18-AL18-AM18-AN18-AO18-AP18-AQ18-AR18-AS18-AT18&lt;0,0,G18-I18-J18-K18-L18-M18-N18-O18-P18-Q18-R18-S18-T18-U18-V18-W18-X18-Y18-Z18-AA18-AB18-AC18-AD18-AE18-AF18-AG18-AH18-AI18-AJ18-AL18-AM18-AN18-AO18-AP18-AQ18-AR18-AS18-AT18)</f>
        <v>0</v>
      </c>
      <c r="AV18" s="233">
        <v>0.2</v>
      </c>
      <c r="AW18" s="243">
        <f t="shared" si="7"/>
        <v>0</v>
      </c>
      <c r="AX18" s="242" t="e">
        <f t="shared" si="4"/>
        <v>#DIV/0!</v>
      </c>
    </row>
    <row r="19" ht="28.5" customHeight="1" spans="1:50">
      <c r="A19" s="165"/>
      <c r="B19" s="158" t="s">
        <v>70</v>
      </c>
      <c r="C19" s="159">
        <v>10</v>
      </c>
      <c r="D19" s="161" t="s">
        <v>80</v>
      </c>
      <c r="E19" s="196"/>
      <c r="F19" s="196"/>
      <c r="G19" s="195">
        <f t="shared" si="8"/>
        <v>0</v>
      </c>
      <c r="H19" s="196"/>
      <c r="I19" s="196"/>
      <c r="J19" s="196"/>
      <c r="K19" s="196"/>
      <c r="L19" s="196"/>
      <c r="M19" s="196"/>
      <c r="N19" s="196"/>
      <c r="O19" s="196"/>
      <c r="P19" s="196"/>
      <c r="Q19" s="196"/>
      <c r="R19" s="196"/>
      <c r="S19" s="196"/>
      <c r="T19" s="196"/>
      <c r="U19" s="196"/>
      <c r="V19" s="196"/>
      <c r="W19" s="196"/>
      <c r="X19" s="213"/>
      <c r="Y19" s="196"/>
      <c r="Z19" s="196"/>
      <c r="AA19" s="196"/>
      <c r="AB19" s="196"/>
      <c r="AC19" s="196"/>
      <c r="AD19" s="196"/>
      <c r="AE19" s="196"/>
      <c r="AF19" s="213"/>
      <c r="AG19" s="228"/>
      <c r="AH19" s="213"/>
      <c r="AI19" s="228"/>
      <c r="AJ19" s="228"/>
      <c r="AK19" s="213"/>
      <c r="AL19" s="228"/>
      <c r="AM19" s="228"/>
      <c r="AN19" s="228"/>
      <c r="AO19" s="228"/>
      <c r="AP19" s="228"/>
      <c r="AQ19" s="213"/>
      <c r="AR19" s="196"/>
      <c r="AS19" s="196"/>
      <c r="AT19" s="196"/>
      <c r="AU19" s="195">
        <f t="shared" si="9"/>
        <v>0</v>
      </c>
      <c r="AV19" s="233">
        <v>0.5</v>
      </c>
      <c r="AW19" s="243">
        <f t="shared" si="7"/>
        <v>0</v>
      </c>
      <c r="AX19" s="242" t="e">
        <f t="shared" si="4"/>
        <v>#DIV/0!</v>
      </c>
    </row>
    <row r="20" ht="20.5" customHeight="1" spans="1:50">
      <c r="A20" s="165"/>
      <c r="B20" s="158" t="s">
        <v>70</v>
      </c>
      <c r="C20" s="159">
        <v>11</v>
      </c>
      <c r="D20" s="161" t="s">
        <v>81</v>
      </c>
      <c r="E20" s="196"/>
      <c r="F20" s="196"/>
      <c r="G20" s="195">
        <f t="shared" si="8"/>
        <v>0</v>
      </c>
      <c r="H20" s="196"/>
      <c r="I20" s="196"/>
      <c r="J20" s="196"/>
      <c r="K20" s="196"/>
      <c r="L20" s="196"/>
      <c r="M20" s="196"/>
      <c r="N20" s="196"/>
      <c r="O20" s="196"/>
      <c r="P20" s="196"/>
      <c r="Q20" s="196"/>
      <c r="R20" s="196"/>
      <c r="S20" s="196"/>
      <c r="T20" s="196"/>
      <c r="U20" s="196"/>
      <c r="V20" s="196"/>
      <c r="W20" s="196"/>
      <c r="X20" s="196"/>
      <c r="Y20" s="196"/>
      <c r="Z20" s="196"/>
      <c r="AA20" s="196"/>
      <c r="AB20" s="196"/>
      <c r="AC20" s="196"/>
      <c r="AD20" s="196"/>
      <c r="AE20" s="196"/>
      <c r="AF20" s="196"/>
      <c r="AG20" s="228"/>
      <c r="AH20" s="228"/>
      <c r="AI20" s="228"/>
      <c r="AJ20" s="228"/>
      <c r="AK20" s="228"/>
      <c r="AL20" s="228"/>
      <c r="AM20" s="228"/>
      <c r="AN20" s="228"/>
      <c r="AO20" s="228"/>
      <c r="AP20" s="228"/>
      <c r="AQ20" s="228"/>
      <c r="AR20" s="196"/>
      <c r="AS20" s="196"/>
      <c r="AT20" s="196"/>
      <c r="AU20" s="195">
        <f t="shared" si="9"/>
        <v>0</v>
      </c>
      <c r="AV20" s="233">
        <v>1</v>
      </c>
      <c r="AW20" s="243">
        <f t="shared" si="7"/>
        <v>0</v>
      </c>
      <c r="AX20" s="242" t="e">
        <f t="shared" si="4"/>
        <v>#DIV/0!</v>
      </c>
    </row>
    <row r="21" ht="20.5" customHeight="1" spans="1:50">
      <c r="A21" s="164"/>
      <c r="B21" s="158" t="s">
        <v>70</v>
      </c>
      <c r="C21" s="159">
        <v>12</v>
      </c>
      <c r="D21" s="161" t="s">
        <v>82</v>
      </c>
      <c r="E21" s="196"/>
      <c r="F21" s="196"/>
      <c r="G21" s="195">
        <f t="shared" si="8"/>
        <v>0</v>
      </c>
      <c r="H21" s="196"/>
      <c r="I21" s="196"/>
      <c r="J21" s="196"/>
      <c r="K21" s="196"/>
      <c r="L21" s="196"/>
      <c r="M21" s="196"/>
      <c r="N21" s="196"/>
      <c r="O21" s="196"/>
      <c r="P21" s="196"/>
      <c r="Q21" s="196"/>
      <c r="R21" s="196"/>
      <c r="S21" s="196"/>
      <c r="T21" s="196"/>
      <c r="U21" s="196"/>
      <c r="V21" s="196"/>
      <c r="W21" s="196"/>
      <c r="X21" s="196"/>
      <c r="Y21" s="196"/>
      <c r="Z21" s="196"/>
      <c r="AA21" s="196"/>
      <c r="AB21" s="196"/>
      <c r="AC21" s="196"/>
      <c r="AD21" s="196"/>
      <c r="AE21" s="196"/>
      <c r="AF21" s="196"/>
      <c r="AG21" s="228"/>
      <c r="AH21" s="228"/>
      <c r="AI21" s="228"/>
      <c r="AJ21" s="228"/>
      <c r="AK21" s="228"/>
      <c r="AL21" s="228"/>
      <c r="AM21" s="228"/>
      <c r="AN21" s="228"/>
      <c r="AO21" s="228"/>
      <c r="AP21" s="228"/>
      <c r="AQ21" s="228"/>
      <c r="AR21" s="196"/>
      <c r="AS21" s="196"/>
      <c r="AT21" s="196"/>
      <c r="AU21" s="195">
        <f t="shared" si="9"/>
        <v>0</v>
      </c>
      <c r="AV21" s="233">
        <v>1.5</v>
      </c>
      <c r="AW21" s="243">
        <f t="shared" si="7"/>
        <v>0</v>
      </c>
      <c r="AX21" s="242" t="e">
        <f t="shared" si="4"/>
        <v>#DIV/0!</v>
      </c>
    </row>
    <row r="22" ht="20.5" customHeight="1" spans="1:50">
      <c r="A22" s="164"/>
      <c r="B22" s="158" t="s">
        <v>70</v>
      </c>
      <c r="C22" s="159">
        <v>13</v>
      </c>
      <c r="D22" s="161" t="s">
        <v>83</v>
      </c>
      <c r="E22" s="196"/>
      <c r="F22" s="196"/>
      <c r="G22" s="195">
        <f t="shared" si="8"/>
        <v>0</v>
      </c>
      <c r="H22" s="196"/>
      <c r="I22" s="196"/>
      <c r="J22" s="196"/>
      <c r="K22" s="196"/>
      <c r="L22" s="196"/>
      <c r="M22" s="196"/>
      <c r="N22" s="196"/>
      <c r="O22" s="196"/>
      <c r="P22" s="196"/>
      <c r="Q22" s="196"/>
      <c r="R22" s="196"/>
      <c r="S22" s="196"/>
      <c r="T22" s="196"/>
      <c r="U22" s="196"/>
      <c r="V22" s="196"/>
      <c r="W22" s="196"/>
      <c r="X22" s="196"/>
      <c r="Y22" s="196"/>
      <c r="Z22" s="196"/>
      <c r="AA22" s="196"/>
      <c r="AB22" s="196"/>
      <c r="AC22" s="196"/>
      <c r="AD22" s="196"/>
      <c r="AE22" s="196"/>
      <c r="AF22" s="196"/>
      <c r="AG22" s="228"/>
      <c r="AH22" s="228"/>
      <c r="AI22" s="228"/>
      <c r="AJ22" s="228"/>
      <c r="AK22" s="228"/>
      <c r="AL22" s="228"/>
      <c r="AM22" s="228"/>
      <c r="AN22" s="228"/>
      <c r="AO22" s="228"/>
      <c r="AP22" s="228"/>
      <c r="AQ22" s="228"/>
      <c r="AR22" s="196"/>
      <c r="AS22" s="196"/>
      <c r="AT22" s="196"/>
      <c r="AU22" s="195">
        <f t="shared" si="9"/>
        <v>0</v>
      </c>
      <c r="AV22" s="233">
        <v>1</v>
      </c>
      <c r="AW22" s="243">
        <f t="shared" si="7"/>
        <v>0</v>
      </c>
      <c r="AX22" s="242" t="e">
        <f t="shared" si="4"/>
        <v>#DIV/0!</v>
      </c>
    </row>
    <row r="23" ht="64" customHeight="1" spans="1:50">
      <c r="A23" s="164" t="s">
        <v>84</v>
      </c>
      <c r="B23" s="158" t="s">
        <v>70</v>
      </c>
      <c r="C23" s="166">
        <v>14</v>
      </c>
      <c r="D23" s="167" t="s">
        <v>85</v>
      </c>
      <c r="E23" s="196"/>
      <c r="F23" s="196"/>
      <c r="G23" s="195">
        <f t="shared" si="8"/>
        <v>0</v>
      </c>
      <c r="H23" s="196"/>
      <c r="I23" s="213"/>
      <c r="J23" s="213"/>
      <c r="K23" s="213"/>
      <c r="L23" s="213"/>
      <c r="M23" s="213"/>
      <c r="N23" s="213"/>
      <c r="O23" s="21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195">
        <f t="shared" si="9"/>
        <v>0</v>
      </c>
      <c r="AV23" s="233">
        <v>0</v>
      </c>
      <c r="AW23" s="243">
        <f t="shared" si="7"/>
        <v>0</v>
      </c>
      <c r="AX23" s="242" t="e">
        <f t="shared" si="4"/>
        <v>#DIV/0!</v>
      </c>
    </row>
    <row r="24" ht="29.5" customHeight="1" spans="1:50">
      <c r="A24" s="168"/>
      <c r="B24" s="158" t="s">
        <v>70</v>
      </c>
      <c r="C24" s="159">
        <v>15</v>
      </c>
      <c r="D24" s="169" t="s">
        <v>86</v>
      </c>
      <c r="E24" s="195">
        <f t="shared" ref="E24:H24" si="10">E25+E32</f>
        <v>0</v>
      </c>
      <c r="F24" s="195">
        <f t="shared" si="10"/>
        <v>0</v>
      </c>
      <c r="G24" s="195">
        <f t="shared" si="10"/>
        <v>0</v>
      </c>
      <c r="H24" s="195">
        <f t="shared" si="10"/>
        <v>0</v>
      </c>
      <c r="I24" s="195">
        <f t="shared" ref="I24:AU24" si="11">I25+I32</f>
        <v>0</v>
      </c>
      <c r="J24" s="195">
        <f t="shared" si="11"/>
        <v>0</v>
      </c>
      <c r="K24" s="195">
        <f t="shared" si="11"/>
        <v>0</v>
      </c>
      <c r="L24" s="195">
        <f t="shared" si="11"/>
        <v>0</v>
      </c>
      <c r="M24" s="195">
        <f t="shared" si="11"/>
        <v>0</v>
      </c>
      <c r="N24" s="195">
        <f t="shared" si="11"/>
        <v>0</v>
      </c>
      <c r="O24" s="195">
        <f t="shared" si="11"/>
        <v>0</v>
      </c>
      <c r="P24" s="195">
        <f t="shared" si="11"/>
        <v>0</v>
      </c>
      <c r="Q24" s="195">
        <f t="shared" si="11"/>
        <v>0</v>
      </c>
      <c r="R24" s="195">
        <f t="shared" si="11"/>
        <v>0</v>
      </c>
      <c r="S24" s="195">
        <f t="shared" si="11"/>
        <v>0</v>
      </c>
      <c r="T24" s="195">
        <f t="shared" si="11"/>
        <v>0</v>
      </c>
      <c r="U24" s="195">
        <f t="shared" si="11"/>
        <v>0</v>
      </c>
      <c r="V24" s="195">
        <f t="shared" si="11"/>
        <v>0</v>
      </c>
      <c r="W24" s="195">
        <f t="shared" si="11"/>
        <v>0</v>
      </c>
      <c r="X24" s="195">
        <f t="shared" si="11"/>
        <v>0</v>
      </c>
      <c r="Y24" s="195">
        <f t="shared" si="11"/>
        <v>0</v>
      </c>
      <c r="Z24" s="195">
        <f t="shared" si="11"/>
        <v>0</v>
      </c>
      <c r="AA24" s="195">
        <f t="shared" si="11"/>
        <v>0</v>
      </c>
      <c r="AB24" s="195">
        <f t="shared" si="11"/>
        <v>0</v>
      </c>
      <c r="AC24" s="195">
        <f t="shared" si="11"/>
        <v>0</v>
      </c>
      <c r="AD24" s="195">
        <f t="shared" si="11"/>
        <v>0</v>
      </c>
      <c r="AE24" s="195">
        <f t="shared" si="11"/>
        <v>0</v>
      </c>
      <c r="AF24" s="195">
        <f t="shared" si="11"/>
        <v>0</v>
      </c>
      <c r="AG24" s="195">
        <f t="shared" si="11"/>
        <v>0</v>
      </c>
      <c r="AH24" s="195">
        <f t="shared" si="11"/>
        <v>0</v>
      </c>
      <c r="AI24" s="195">
        <f t="shared" si="11"/>
        <v>0</v>
      </c>
      <c r="AJ24" s="195">
        <f t="shared" si="11"/>
        <v>0</v>
      </c>
      <c r="AK24" s="195">
        <f t="shared" si="11"/>
        <v>0</v>
      </c>
      <c r="AL24" s="195">
        <f t="shared" si="11"/>
        <v>0</v>
      </c>
      <c r="AM24" s="195">
        <f t="shared" si="11"/>
        <v>0</v>
      </c>
      <c r="AN24" s="195">
        <f t="shared" si="11"/>
        <v>0</v>
      </c>
      <c r="AO24" s="195">
        <f t="shared" si="11"/>
        <v>0</v>
      </c>
      <c r="AP24" s="195">
        <f t="shared" si="11"/>
        <v>0</v>
      </c>
      <c r="AQ24" s="195">
        <f t="shared" si="11"/>
        <v>0</v>
      </c>
      <c r="AR24" s="195">
        <f t="shared" si="11"/>
        <v>0</v>
      </c>
      <c r="AS24" s="195">
        <f t="shared" si="11"/>
        <v>0</v>
      </c>
      <c r="AT24" s="195">
        <f t="shared" si="11"/>
        <v>0</v>
      </c>
      <c r="AU24" s="195">
        <f t="shared" si="11"/>
        <v>0</v>
      </c>
      <c r="AV24" s="232"/>
      <c r="AW24" s="195">
        <f>AW25+AW32</f>
        <v>0</v>
      </c>
      <c r="AX24" s="242" t="e">
        <f t="shared" si="4"/>
        <v>#DIV/0!</v>
      </c>
    </row>
    <row r="25" ht="20.5" customHeight="1" spans="1:50">
      <c r="A25" s="168" t="s">
        <v>4</v>
      </c>
      <c r="B25" s="158" t="s">
        <v>70</v>
      </c>
      <c r="C25" s="166">
        <v>16</v>
      </c>
      <c r="D25" s="167" t="s">
        <v>87</v>
      </c>
      <c r="E25" s="195">
        <f t="shared" ref="E25:H25" si="12">E26+E27+E30+E31</f>
        <v>0</v>
      </c>
      <c r="F25" s="195">
        <f t="shared" si="12"/>
        <v>0</v>
      </c>
      <c r="G25" s="195">
        <f t="shared" si="12"/>
        <v>0</v>
      </c>
      <c r="H25" s="195">
        <f t="shared" si="12"/>
        <v>0</v>
      </c>
      <c r="I25" s="195">
        <f t="shared" ref="I25:AU25" si="13">I26+I27+I30+I31</f>
        <v>0</v>
      </c>
      <c r="J25" s="195">
        <f t="shared" si="13"/>
        <v>0</v>
      </c>
      <c r="K25" s="195">
        <f t="shared" si="13"/>
        <v>0</v>
      </c>
      <c r="L25" s="195">
        <f t="shared" si="13"/>
        <v>0</v>
      </c>
      <c r="M25" s="195">
        <f t="shared" si="13"/>
        <v>0</v>
      </c>
      <c r="N25" s="195">
        <f t="shared" si="13"/>
        <v>0</v>
      </c>
      <c r="O25" s="195">
        <f t="shared" si="13"/>
        <v>0</v>
      </c>
      <c r="P25" s="195">
        <f t="shared" si="13"/>
        <v>0</v>
      </c>
      <c r="Q25" s="195">
        <f t="shared" si="13"/>
        <v>0</v>
      </c>
      <c r="R25" s="195">
        <f t="shared" si="13"/>
        <v>0</v>
      </c>
      <c r="S25" s="195">
        <f t="shared" si="13"/>
        <v>0</v>
      </c>
      <c r="T25" s="195">
        <f t="shared" si="13"/>
        <v>0</v>
      </c>
      <c r="U25" s="195">
        <f t="shared" si="13"/>
        <v>0</v>
      </c>
      <c r="V25" s="195">
        <f t="shared" si="13"/>
        <v>0</v>
      </c>
      <c r="W25" s="195">
        <f t="shared" si="13"/>
        <v>0</v>
      </c>
      <c r="X25" s="195">
        <f t="shared" si="13"/>
        <v>0</v>
      </c>
      <c r="Y25" s="195">
        <f t="shared" si="13"/>
        <v>0</v>
      </c>
      <c r="Z25" s="195">
        <f t="shared" si="13"/>
        <v>0</v>
      </c>
      <c r="AA25" s="195">
        <f t="shared" si="13"/>
        <v>0</v>
      </c>
      <c r="AB25" s="195">
        <f t="shared" si="13"/>
        <v>0</v>
      </c>
      <c r="AC25" s="195">
        <f t="shared" si="13"/>
        <v>0</v>
      </c>
      <c r="AD25" s="195">
        <f t="shared" si="13"/>
        <v>0</v>
      </c>
      <c r="AE25" s="195">
        <f t="shared" si="13"/>
        <v>0</v>
      </c>
      <c r="AF25" s="195">
        <f t="shared" si="13"/>
        <v>0</v>
      </c>
      <c r="AG25" s="195">
        <f t="shared" si="13"/>
        <v>0</v>
      </c>
      <c r="AH25" s="195">
        <f t="shared" si="13"/>
        <v>0</v>
      </c>
      <c r="AI25" s="195">
        <f t="shared" si="13"/>
        <v>0</v>
      </c>
      <c r="AJ25" s="195">
        <f t="shared" si="13"/>
        <v>0</v>
      </c>
      <c r="AK25" s="195">
        <f t="shared" si="13"/>
        <v>0</v>
      </c>
      <c r="AL25" s="195">
        <f t="shared" si="13"/>
        <v>0</v>
      </c>
      <c r="AM25" s="195">
        <f t="shared" si="13"/>
        <v>0</v>
      </c>
      <c r="AN25" s="195">
        <f t="shared" si="13"/>
        <v>0</v>
      </c>
      <c r="AO25" s="195">
        <f t="shared" si="13"/>
        <v>0</v>
      </c>
      <c r="AP25" s="195">
        <f t="shared" si="13"/>
        <v>0</v>
      </c>
      <c r="AQ25" s="195">
        <f t="shared" si="13"/>
        <v>0</v>
      </c>
      <c r="AR25" s="195">
        <f t="shared" si="13"/>
        <v>0</v>
      </c>
      <c r="AS25" s="195">
        <f t="shared" si="13"/>
        <v>0</v>
      </c>
      <c r="AT25" s="195">
        <f t="shared" si="13"/>
        <v>0</v>
      </c>
      <c r="AU25" s="195">
        <f t="shared" si="13"/>
        <v>0</v>
      </c>
      <c r="AV25" s="232"/>
      <c r="AW25" s="195">
        <f>AW26+AW27+AW30+AW31</f>
        <v>0</v>
      </c>
      <c r="AX25" s="242" t="e">
        <f t="shared" si="4"/>
        <v>#DIV/0!</v>
      </c>
    </row>
    <row r="26" ht="45.5" customHeight="1" spans="1:50">
      <c r="A26" s="164" t="s">
        <v>88</v>
      </c>
      <c r="B26" s="158" t="s">
        <v>70</v>
      </c>
      <c r="C26" s="166">
        <v>17</v>
      </c>
      <c r="D26" s="170" t="s">
        <v>89</v>
      </c>
      <c r="E26" s="196"/>
      <c r="F26" s="196"/>
      <c r="G26" s="195">
        <f>E26-F26</f>
        <v>0</v>
      </c>
      <c r="H26" s="196"/>
      <c r="I26" s="213"/>
      <c r="J26" s="213"/>
      <c r="K26" s="213"/>
      <c r="L26" s="213"/>
      <c r="M26" s="213"/>
      <c r="N26" s="213"/>
      <c r="O26" s="213"/>
      <c r="P26" s="213"/>
      <c r="Q26" s="213"/>
      <c r="R26" s="213"/>
      <c r="S26" s="213"/>
      <c r="T26" s="213"/>
      <c r="U26" s="213"/>
      <c r="V26" s="213"/>
      <c r="W26" s="213"/>
      <c r="X26" s="213"/>
      <c r="Y26" s="213"/>
      <c r="Z26" s="213"/>
      <c r="AA26" s="213"/>
      <c r="AB26" s="213"/>
      <c r="AC26" s="213"/>
      <c r="AD26" s="213"/>
      <c r="AE26" s="213"/>
      <c r="AF26" s="213"/>
      <c r="AG26" s="227"/>
      <c r="AH26" s="227"/>
      <c r="AI26" s="227"/>
      <c r="AJ26" s="227"/>
      <c r="AK26" s="227"/>
      <c r="AL26" s="227"/>
      <c r="AM26" s="227"/>
      <c r="AN26" s="227"/>
      <c r="AO26" s="227"/>
      <c r="AP26" s="227"/>
      <c r="AQ26" s="227"/>
      <c r="AR26" s="213"/>
      <c r="AS26" s="213"/>
      <c r="AT26" s="213"/>
      <c r="AU26" s="195">
        <f>F26</f>
        <v>0</v>
      </c>
      <c r="AV26" s="233">
        <v>0</v>
      </c>
      <c r="AW26" s="243">
        <f t="shared" ref="AW26:AW33" si="14">I26*$I$8+J26*$J$8+K26*$K$8+L26*$L$8+M26*$M$8+N26*$N$8+O26*$O$8+P26*$P$8+Q26*$Q$8+R26*$R$8+S26*$S$8+T26*$T$8+U26*$U$8+V26*$V$8+W26*$W$8+X26*$X$8+Y26*$Y$8+Z26*$Z$8+AA26*$AA$8++AB26*$AB$8+AC26*$AC$8+AD26*$AD$8+AE26*$AE$8+AF26*$AF$8+AG26*$AG$8+AH26*$AH$8+AI26*$AI$8+AJ26*$AJ$8+AL26*$AL$8+AM26*$AM$8+AN26*$AN$8+AO26*$AO$8+AP26*$AP$8+AQ26*$AQ$8+AR26*$AR$8+AS26*$AS$8+AT26*$AT$8</f>
        <v>0</v>
      </c>
      <c r="AX26" s="242" t="e">
        <f t="shared" si="4"/>
        <v>#DIV/0!</v>
      </c>
    </row>
    <row r="27" spans="2:50">
      <c r="B27" s="158" t="s">
        <v>70</v>
      </c>
      <c r="C27" s="159">
        <v>18</v>
      </c>
      <c r="D27" s="171" t="s">
        <v>90</v>
      </c>
      <c r="E27" s="195">
        <f t="shared" ref="E27:H27" si="15">E28+E29</f>
        <v>0</v>
      </c>
      <c r="F27" s="195">
        <f t="shared" si="15"/>
        <v>0</v>
      </c>
      <c r="G27" s="195">
        <f t="shared" si="15"/>
        <v>0</v>
      </c>
      <c r="H27" s="195">
        <f t="shared" si="15"/>
        <v>0</v>
      </c>
      <c r="I27" s="195">
        <f t="shared" ref="I27:AU27" si="16">I28+I29</f>
        <v>0</v>
      </c>
      <c r="J27" s="195">
        <f t="shared" si="16"/>
        <v>0</v>
      </c>
      <c r="K27" s="195">
        <f t="shared" si="16"/>
        <v>0</v>
      </c>
      <c r="L27" s="195">
        <f t="shared" si="16"/>
        <v>0</v>
      </c>
      <c r="M27" s="195">
        <f t="shared" si="16"/>
        <v>0</v>
      </c>
      <c r="N27" s="195">
        <f t="shared" si="16"/>
        <v>0</v>
      </c>
      <c r="O27" s="195">
        <f t="shared" si="16"/>
        <v>0</v>
      </c>
      <c r="P27" s="195">
        <f t="shared" si="16"/>
        <v>0</v>
      </c>
      <c r="Q27" s="195">
        <f t="shared" si="16"/>
        <v>0</v>
      </c>
      <c r="R27" s="195">
        <f t="shared" si="16"/>
        <v>0</v>
      </c>
      <c r="S27" s="195">
        <f t="shared" si="16"/>
        <v>0</v>
      </c>
      <c r="T27" s="195">
        <f t="shared" si="16"/>
        <v>0</v>
      </c>
      <c r="U27" s="195">
        <f t="shared" si="16"/>
        <v>0</v>
      </c>
      <c r="V27" s="195">
        <f t="shared" si="16"/>
        <v>0</v>
      </c>
      <c r="W27" s="195">
        <f t="shared" si="16"/>
        <v>0</v>
      </c>
      <c r="X27" s="195">
        <f t="shared" si="16"/>
        <v>0</v>
      </c>
      <c r="Y27" s="195">
        <f t="shared" si="16"/>
        <v>0</v>
      </c>
      <c r="Z27" s="195">
        <f t="shared" si="16"/>
        <v>0</v>
      </c>
      <c r="AA27" s="195">
        <f t="shared" si="16"/>
        <v>0</v>
      </c>
      <c r="AB27" s="195">
        <f t="shared" si="16"/>
        <v>0</v>
      </c>
      <c r="AC27" s="195">
        <f t="shared" si="16"/>
        <v>0</v>
      </c>
      <c r="AD27" s="195">
        <f t="shared" si="16"/>
        <v>0</v>
      </c>
      <c r="AE27" s="195">
        <f t="shared" si="16"/>
        <v>0</v>
      </c>
      <c r="AF27" s="195">
        <f t="shared" si="16"/>
        <v>0</v>
      </c>
      <c r="AG27" s="195">
        <f t="shared" si="16"/>
        <v>0</v>
      </c>
      <c r="AH27" s="195">
        <f t="shared" si="16"/>
        <v>0</v>
      </c>
      <c r="AI27" s="195">
        <f t="shared" si="16"/>
        <v>0</v>
      </c>
      <c r="AJ27" s="195">
        <f t="shared" si="16"/>
        <v>0</v>
      </c>
      <c r="AK27" s="195">
        <f t="shared" si="16"/>
        <v>0</v>
      </c>
      <c r="AL27" s="195">
        <f t="shared" si="16"/>
        <v>0</v>
      </c>
      <c r="AM27" s="195">
        <f t="shared" si="16"/>
        <v>0</v>
      </c>
      <c r="AN27" s="195">
        <f t="shared" si="16"/>
        <v>0</v>
      </c>
      <c r="AO27" s="195">
        <f t="shared" si="16"/>
        <v>0</v>
      </c>
      <c r="AP27" s="195">
        <f t="shared" si="16"/>
        <v>0</v>
      </c>
      <c r="AQ27" s="195">
        <f t="shared" si="16"/>
        <v>0</v>
      </c>
      <c r="AR27" s="195">
        <f t="shared" si="16"/>
        <v>0</v>
      </c>
      <c r="AS27" s="195">
        <f t="shared" si="16"/>
        <v>0</v>
      </c>
      <c r="AT27" s="195">
        <f t="shared" si="16"/>
        <v>0</v>
      </c>
      <c r="AU27" s="195">
        <f t="shared" si="16"/>
        <v>0</v>
      </c>
      <c r="AV27" s="232"/>
      <c r="AW27" s="243">
        <f t="shared" si="14"/>
        <v>0</v>
      </c>
      <c r="AX27" s="242" t="e">
        <f t="shared" si="4"/>
        <v>#DIV/0!</v>
      </c>
    </row>
    <row r="28" ht="20.5" customHeight="1" spans="1:50">
      <c r="A28" s="168" t="s">
        <v>4</v>
      </c>
      <c r="B28" s="158" t="s">
        <v>70</v>
      </c>
      <c r="C28" s="166">
        <v>19</v>
      </c>
      <c r="D28" s="172" t="s">
        <v>91</v>
      </c>
      <c r="E28" s="196"/>
      <c r="F28" s="196"/>
      <c r="G28" s="195">
        <f>E28-F28</f>
        <v>0</v>
      </c>
      <c r="H28" s="196"/>
      <c r="I28" s="196"/>
      <c r="J28" s="213"/>
      <c r="K28" s="213"/>
      <c r="L28" s="196"/>
      <c r="M28" s="213"/>
      <c r="N28" s="213"/>
      <c r="O28" s="196"/>
      <c r="P28" s="213"/>
      <c r="Q28" s="213"/>
      <c r="R28" s="196"/>
      <c r="S28" s="213"/>
      <c r="T28" s="213"/>
      <c r="U28" s="213"/>
      <c r="V28" s="213"/>
      <c r="W28" s="213"/>
      <c r="X28" s="213"/>
      <c r="Y28" s="196"/>
      <c r="Z28" s="213"/>
      <c r="AA28" s="213"/>
      <c r="AB28" s="196"/>
      <c r="AC28" s="213"/>
      <c r="AD28" s="213"/>
      <c r="AE28" s="213"/>
      <c r="AF28" s="213"/>
      <c r="AG28" s="227"/>
      <c r="AH28" s="227"/>
      <c r="AI28" s="227"/>
      <c r="AJ28" s="227"/>
      <c r="AK28" s="227"/>
      <c r="AL28" s="228"/>
      <c r="AM28" s="227"/>
      <c r="AN28" s="227"/>
      <c r="AO28" s="227"/>
      <c r="AP28" s="227"/>
      <c r="AQ28" s="227"/>
      <c r="AR28" s="196"/>
      <c r="AS28" s="213"/>
      <c r="AT28" s="213"/>
      <c r="AU28" s="195">
        <f t="shared" ref="AU28:AU33" si="17">IF(G28-I28-J28-K28-L28-M28-N28-O28-P28-Q28-R28-S28-T28-U28-V28-W28-X28-Y28-Z28-AA28-AB28-AC28-AD28-AE28-AF28-AG28-AH28-AI28-AJ28-AL28-AM28-AN28-AO28-AP28-AQ28-AR28-AS28-AT28&lt;0,0,G28-I28-J28-K28-L28-M28-N28-O28-P28-Q28-R28-S28-T28-U28-V28-W28-X28-Y28-Z28-AA28-AB28-AC28-AD28-AE28-AF28-AG28-AH28-AI28-AJ28-AL28-AM28-AN28-AO28-AP28-AQ28-AR28-AS28-AT28)</f>
        <v>0</v>
      </c>
      <c r="AV28" s="233">
        <v>0.1</v>
      </c>
      <c r="AW28" s="243">
        <f t="shared" si="14"/>
        <v>0</v>
      </c>
      <c r="AX28" s="242" t="e">
        <f t="shared" si="4"/>
        <v>#DIV/0!</v>
      </c>
    </row>
    <row r="29" ht="20.5" customHeight="1" spans="1:50">
      <c r="A29" s="168" t="s">
        <v>4</v>
      </c>
      <c r="B29" s="158" t="s">
        <v>70</v>
      </c>
      <c r="C29" s="166">
        <v>20</v>
      </c>
      <c r="D29" s="172" t="s">
        <v>92</v>
      </c>
      <c r="E29" s="196"/>
      <c r="F29" s="196"/>
      <c r="G29" s="195">
        <f>E29-F29</f>
        <v>0</v>
      </c>
      <c r="H29" s="196"/>
      <c r="I29" s="196"/>
      <c r="J29" s="196"/>
      <c r="K29" s="213"/>
      <c r="L29" s="196"/>
      <c r="M29" s="196"/>
      <c r="N29" s="213"/>
      <c r="O29" s="196"/>
      <c r="P29" s="196"/>
      <c r="Q29" s="213"/>
      <c r="R29" s="196"/>
      <c r="S29" s="196"/>
      <c r="T29" s="213"/>
      <c r="U29" s="196"/>
      <c r="V29" s="213"/>
      <c r="W29" s="213"/>
      <c r="X29" s="213"/>
      <c r="Y29" s="196"/>
      <c r="Z29" s="196"/>
      <c r="AA29" s="213"/>
      <c r="AB29" s="196"/>
      <c r="AC29" s="196"/>
      <c r="AD29" s="213"/>
      <c r="AE29" s="213"/>
      <c r="AF29" s="213"/>
      <c r="AG29" s="213"/>
      <c r="AH29" s="213"/>
      <c r="AI29" s="213"/>
      <c r="AJ29" s="213"/>
      <c r="AK29" s="213"/>
      <c r="AL29" s="228"/>
      <c r="AM29" s="228"/>
      <c r="AN29" s="213"/>
      <c r="AO29" s="213"/>
      <c r="AP29" s="213"/>
      <c r="AQ29" s="213"/>
      <c r="AR29" s="196"/>
      <c r="AS29" s="196"/>
      <c r="AT29" s="213"/>
      <c r="AU29" s="195">
        <f t="shared" si="17"/>
        <v>0</v>
      </c>
      <c r="AV29" s="233">
        <v>0.2</v>
      </c>
      <c r="AW29" s="243">
        <f t="shared" si="14"/>
        <v>0</v>
      </c>
      <c r="AX29" s="242" t="e">
        <f t="shared" si="4"/>
        <v>#DIV/0!</v>
      </c>
    </row>
    <row r="30" ht="24" spans="2:50">
      <c r="B30" s="158" t="s">
        <v>70</v>
      </c>
      <c r="C30" s="159">
        <v>21</v>
      </c>
      <c r="D30" s="170" t="s">
        <v>93</v>
      </c>
      <c r="E30" s="196"/>
      <c r="F30" s="196"/>
      <c r="G30" s="195">
        <f t="shared" ref="G30:G35" si="18">E30-F30</f>
        <v>0</v>
      </c>
      <c r="H30" s="196"/>
      <c r="I30" s="196"/>
      <c r="J30" s="196"/>
      <c r="K30" s="213"/>
      <c r="L30" s="196"/>
      <c r="M30" s="196"/>
      <c r="N30" s="213"/>
      <c r="O30" s="196"/>
      <c r="P30" s="196"/>
      <c r="Q30" s="213"/>
      <c r="R30" s="196"/>
      <c r="S30" s="196"/>
      <c r="T30" s="213"/>
      <c r="U30" s="196"/>
      <c r="V30" s="213"/>
      <c r="W30" s="213"/>
      <c r="X30" s="213"/>
      <c r="Y30" s="196"/>
      <c r="Z30" s="196"/>
      <c r="AA30" s="213"/>
      <c r="AB30" s="196"/>
      <c r="AC30" s="196"/>
      <c r="AD30" s="213"/>
      <c r="AE30" s="213"/>
      <c r="AF30" s="213"/>
      <c r="AG30" s="213"/>
      <c r="AH30" s="213"/>
      <c r="AI30" s="213"/>
      <c r="AJ30" s="213"/>
      <c r="AK30" s="213"/>
      <c r="AL30" s="228"/>
      <c r="AM30" s="228"/>
      <c r="AN30" s="213"/>
      <c r="AO30" s="213"/>
      <c r="AP30" s="213"/>
      <c r="AQ30" s="213"/>
      <c r="AR30" s="196"/>
      <c r="AS30" s="196"/>
      <c r="AT30" s="213"/>
      <c r="AU30" s="195">
        <f t="shared" si="17"/>
        <v>0</v>
      </c>
      <c r="AV30" s="233">
        <v>0.2</v>
      </c>
      <c r="AW30" s="243">
        <f t="shared" si="14"/>
        <v>0</v>
      </c>
      <c r="AX30" s="242" t="e">
        <f t="shared" si="4"/>
        <v>#DIV/0!</v>
      </c>
    </row>
    <row r="31" spans="1:50">
      <c r="A31" s="168" t="s">
        <v>4</v>
      </c>
      <c r="B31" s="158" t="s">
        <v>70</v>
      </c>
      <c r="C31" s="166">
        <v>22</v>
      </c>
      <c r="D31" s="170" t="s">
        <v>94</v>
      </c>
      <c r="E31" s="196"/>
      <c r="F31" s="196"/>
      <c r="G31" s="195">
        <f t="shared" si="18"/>
        <v>0</v>
      </c>
      <c r="H31" s="196"/>
      <c r="I31" s="196"/>
      <c r="J31" s="196"/>
      <c r="K31" s="196"/>
      <c r="L31" s="196"/>
      <c r="M31" s="196"/>
      <c r="N31" s="196"/>
      <c r="O31" s="196"/>
      <c r="P31" s="196"/>
      <c r="Q31" s="196"/>
      <c r="R31" s="196"/>
      <c r="S31" s="196"/>
      <c r="T31" s="196"/>
      <c r="U31" s="196"/>
      <c r="V31" s="196"/>
      <c r="W31" s="213"/>
      <c r="X31" s="213"/>
      <c r="Y31" s="196"/>
      <c r="Z31" s="196"/>
      <c r="AA31" s="196"/>
      <c r="AB31" s="196"/>
      <c r="AC31" s="196"/>
      <c r="AD31" s="196"/>
      <c r="AE31" s="213"/>
      <c r="AF31" s="213"/>
      <c r="AG31" s="227"/>
      <c r="AH31" s="227"/>
      <c r="AI31" s="227"/>
      <c r="AJ31" s="227"/>
      <c r="AK31" s="227"/>
      <c r="AL31" s="227"/>
      <c r="AM31" s="227"/>
      <c r="AN31" s="227"/>
      <c r="AO31" s="227"/>
      <c r="AP31" s="227"/>
      <c r="AQ31" s="227"/>
      <c r="AR31" s="196"/>
      <c r="AS31" s="196"/>
      <c r="AT31" s="196"/>
      <c r="AU31" s="195">
        <f t="shared" si="17"/>
        <v>0</v>
      </c>
      <c r="AV31" s="233"/>
      <c r="AW31" s="243">
        <f t="shared" si="14"/>
        <v>0</v>
      </c>
      <c r="AX31" s="242" t="e">
        <f t="shared" si="4"/>
        <v>#DIV/0!</v>
      </c>
    </row>
    <row r="32" ht="20.5" customHeight="1" spans="1:50">
      <c r="A32" s="168" t="s">
        <v>4</v>
      </c>
      <c r="B32" s="158" t="s">
        <v>70</v>
      </c>
      <c r="C32" s="166">
        <v>23</v>
      </c>
      <c r="D32" s="167" t="s">
        <v>95</v>
      </c>
      <c r="E32" s="196"/>
      <c r="F32" s="196"/>
      <c r="G32" s="195">
        <f t="shared" si="18"/>
        <v>0</v>
      </c>
      <c r="H32" s="196"/>
      <c r="I32" s="196"/>
      <c r="J32" s="196"/>
      <c r="K32" s="196"/>
      <c r="L32" s="196"/>
      <c r="M32" s="196"/>
      <c r="N32" s="196"/>
      <c r="O32" s="196"/>
      <c r="P32" s="196"/>
      <c r="Q32" s="196"/>
      <c r="R32" s="196"/>
      <c r="S32" s="196"/>
      <c r="T32" s="196"/>
      <c r="U32" s="196"/>
      <c r="V32" s="196"/>
      <c r="W32" s="196"/>
      <c r="X32" s="213"/>
      <c r="Y32" s="196"/>
      <c r="Z32" s="196"/>
      <c r="AA32" s="196"/>
      <c r="AB32" s="196"/>
      <c r="AC32" s="196"/>
      <c r="AD32" s="196"/>
      <c r="AE32" s="196"/>
      <c r="AF32" s="213"/>
      <c r="AG32" s="228"/>
      <c r="AH32" s="213"/>
      <c r="AI32" s="228"/>
      <c r="AJ32" s="228"/>
      <c r="AK32" s="228"/>
      <c r="AL32" s="228"/>
      <c r="AM32" s="228"/>
      <c r="AN32" s="228"/>
      <c r="AO32" s="228"/>
      <c r="AP32" s="228"/>
      <c r="AQ32" s="213"/>
      <c r="AR32" s="196"/>
      <c r="AS32" s="196"/>
      <c r="AT32" s="196"/>
      <c r="AU32" s="195">
        <f t="shared" si="17"/>
        <v>0</v>
      </c>
      <c r="AV32" s="233">
        <v>0.5</v>
      </c>
      <c r="AW32" s="243">
        <f t="shared" si="14"/>
        <v>0</v>
      </c>
      <c r="AX32" s="242" t="e">
        <f t="shared" si="4"/>
        <v>#DIV/0!</v>
      </c>
    </row>
    <row r="33" ht="38.5" customHeight="1" spans="1:50">
      <c r="A33" s="164" t="s">
        <v>96</v>
      </c>
      <c r="B33" s="158" t="s">
        <v>70</v>
      </c>
      <c r="C33" s="159">
        <v>24</v>
      </c>
      <c r="D33" s="169" t="s">
        <v>97</v>
      </c>
      <c r="E33" s="196"/>
      <c r="F33" s="196"/>
      <c r="G33" s="195">
        <f t="shared" si="18"/>
        <v>0</v>
      </c>
      <c r="H33" s="196"/>
      <c r="I33" s="213"/>
      <c r="J33" s="213"/>
      <c r="K33" s="213"/>
      <c r="L33" s="213"/>
      <c r="M33" s="213"/>
      <c r="N33" s="213"/>
      <c r="O33" s="213"/>
      <c r="P33" s="213"/>
      <c r="Q33" s="213"/>
      <c r="R33" s="213"/>
      <c r="S33" s="213"/>
      <c r="T33" s="213"/>
      <c r="U33" s="213"/>
      <c r="V33" s="213"/>
      <c r="W33" s="213"/>
      <c r="X33" s="213"/>
      <c r="Y33" s="213"/>
      <c r="Z33" s="213"/>
      <c r="AA33" s="213"/>
      <c r="AB33" s="213"/>
      <c r="AC33" s="213"/>
      <c r="AD33" s="213"/>
      <c r="AE33" s="213"/>
      <c r="AF33" s="213"/>
      <c r="AG33" s="213"/>
      <c r="AH33" s="213"/>
      <c r="AI33" s="213"/>
      <c r="AJ33" s="213"/>
      <c r="AK33" s="213"/>
      <c r="AL33" s="213"/>
      <c r="AM33" s="213"/>
      <c r="AN33" s="213"/>
      <c r="AO33" s="213"/>
      <c r="AP33" s="213"/>
      <c r="AQ33" s="213"/>
      <c r="AR33" s="213"/>
      <c r="AS33" s="213"/>
      <c r="AT33" s="213"/>
      <c r="AU33" s="195">
        <f t="shared" si="17"/>
        <v>0</v>
      </c>
      <c r="AV33" s="233">
        <v>0</v>
      </c>
      <c r="AW33" s="243">
        <f t="shared" si="14"/>
        <v>0</v>
      </c>
      <c r="AX33" s="242" t="e">
        <f t="shared" si="4"/>
        <v>#DIV/0!</v>
      </c>
    </row>
    <row r="34" ht="22.5" customHeight="1" spans="1:50">
      <c r="A34" s="168"/>
      <c r="B34" s="158" t="s">
        <v>70</v>
      </c>
      <c r="C34" s="159">
        <v>25</v>
      </c>
      <c r="D34" s="173" t="s">
        <v>98</v>
      </c>
      <c r="E34" s="195">
        <f t="shared" ref="E34:H34" si="19">E35+E36+E37+E38+E39</f>
        <v>0</v>
      </c>
      <c r="F34" s="195">
        <f t="shared" si="19"/>
        <v>0</v>
      </c>
      <c r="G34" s="195">
        <f t="shared" si="19"/>
        <v>0</v>
      </c>
      <c r="H34" s="195">
        <f t="shared" si="19"/>
        <v>0</v>
      </c>
      <c r="I34" s="195">
        <f t="shared" ref="I34:AU34" si="20">I35+I36+I37+I38+I39</f>
        <v>0</v>
      </c>
      <c r="J34" s="195">
        <f t="shared" si="20"/>
        <v>0</v>
      </c>
      <c r="K34" s="195">
        <f t="shared" si="20"/>
        <v>0</v>
      </c>
      <c r="L34" s="195">
        <f t="shared" si="20"/>
        <v>0</v>
      </c>
      <c r="M34" s="195">
        <f t="shared" si="20"/>
        <v>0</v>
      </c>
      <c r="N34" s="195">
        <f t="shared" si="20"/>
        <v>0</v>
      </c>
      <c r="O34" s="195">
        <f t="shared" si="20"/>
        <v>0</v>
      </c>
      <c r="P34" s="195">
        <f t="shared" si="20"/>
        <v>0</v>
      </c>
      <c r="Q34" s="195">
        <f t="shared" si="20"/>
        <v>0</v>
      </c>
      <c r="R34" s="195">
        <f t="shared" si="20"/>
        <v>0</v>
      </c>
      <c r="S34" s="195">
        <f t="shared" si="20"/>
        <v>0</v>
      </c>
      <c r="T34" s="195">
        <f t="shared" si="20"/>
        <v>0</v>
      </c>
      <c r="U34" s="195">
        <f t="shared" si="20"/>
        <v>0</v>
      </c>
      <c r="V34" s="195">
        <f t="shared" si="20"/>
        <v>0</v>
      </c>
      <c r="W34" s="195">
        <f t="shared" si="20"/>
        <v>0</v>
      </c>
      <c r="X34" s="195">
        <f t="shared" si="20"/>
        <v>0</v>
      </c>
      <c r="Y34" s="195">
        <f t="shared" si="20"/>
        <v>0</v>
      </c>
      <c r="Z34" s="195">
        <f t="shared" si="20"/>
        <v>0</v>
      </c>
      <c r="AA34" s="195">
        <f t="shared" si="20"/>
        <v>0</v>
      </c>
      <c r="AB34" s="195">
        <f t="shared" si="20"/>
        <v>0</v>
      </c>
      <c r="AC34" s="195">
        <f t="shared" si="20"/>
        <v>0</v>
      </c>
      <c r="AD34" s="195">
        <f t="shared" si="20"/>
        <v>0</v>
      </c>
      <c r="AE34" s="195">
        <f t="shared" si="20"/>
        <v>0</v>
      </c>
      <c r="AF34" s="195">
        <f t="shared" si="20"/>
        <v>0</v>
      </c>
      <c r="AG34" s="195">
        <f t="shared" si="20"/>
        <v>0</v>
      </c>
      <c r="AH34" s="195">
        <f t="shared" si="20"/>
        <v>0</v>
      </c>
      <c r="AI34" s="195">
        <f t="shared" si="20"/>
        <v>0</v>
      </c>
      <c r="AJ34" s="195">
        <f t="shared" si="20"/>
        <v>0</v>
      </c>
      <c r="AK34" s="195">
        <f t="shared" si="20"/>
        <v>0</v>
      </c>
      <c r="AL34" s="195">
        <f t="shared" si="20"/>
        <v>0</v>
      </c>
      <c r="AM34" s="195">
        <f t="shared" si="20"/>
        <v>0</v>
      </c>
      <c r="AN34" s="195">
        <f t="shared" si="20"/>
        <v>0</v>
      </c>
      <c r="AO34" s="195">
        <f t="shared" si="20"/>
        <v>0</v>
      </c>
      <c r="AP34" s="195">
        <f t="shared" si="20"/>
        <v>0</v>
      </c>
      <c r="AQ34" s="195">
        <f t="shared" si="20"/>
        <v>0</v>
      </c>
      <c r="AR34" s="195">
        <f t="shared" si="20"/>
        <v>0</v>
      </c>
      <c r="AS34" s="195">
        <f t="shared" si="20"/>
        <v>0</v>
      </c>
      <c r="AT34" s="195">
        <f t="shared" si="20"/>
        <v>0</v>
      </c>
      <c r="AU34" s="195">
        <f t="shared" si="20"/>
        <v>0</v>
      </c>
      <c r="AV34" s="232"/>
      <c r="AW34" s="195">
        <f>AW35+AW36+AW37+AW38+AW39</f>
        <v>0</v>
      </c>
      <c r="AX34" s="242" t="e">
        <f t="shared" si="4"/>
        <v>#DIV/0!</v>
      </c>
    </row>
    <row r="35" spans="1:50">
      <c r="A35" s="168" t="s">
        <v>13</v>
      </c>
      <c r="B35" s="158" t="s">
        <v>70</v>
      </c>
      <c r="C35" s="159">
        <v>26</v>
      </c>
      <c r="D35" s="161" t="s">
        <v>99</v>
      </c>
      <c r="E35" s="196"/>
      <c r="F35" s="196"/>
      <c r="G35" s="195">
        <f t="shared" si="18"/>
        <v>0</v>
      </c>
      <c r="H35" s="196"/>
      <c r="I35" s="196"/>
      <c r="J35" s="196"/>
      <c r="K35" s="213"/>
      <c r="L35" s="196"/>
      <c r="M35" s="196"/>
      <c r="N35" s="213"/>
      <c r="O35" s="196"/>
      <c r="P35" s="196"/>
      <c r="Q35" s="213"/>
      <c r="R35" s="196"/>
      <c r="S35" s="196"/>
      <c r="T35" s="213"/>
      <c r="U35" s="196"/>
      <c r="V35" s="213"/>
      <c r="W35" s="213"/>
      <c r="X35" s="213"/>
      <c r="Y35" s="196"/>
      <c r="Z35" s="196"/>
      <c r="AA35" s="213"/>
      <c r="AB35" s="196"/>
      <c r="AC35" s="196"/>
      <c r="AD35" s="213"/>
      <c r="AE35" s="213"/>
      <c r="AF35" s="213"/>
      <c r="AG35" s="213"/>
      <c r="AH35" s="213"/>
      <c r="AI35" s="213"/>
      <c r="AJ35" s="213"/>
      <c r="AK35" s="213"/>
      <c r="AL35" s="228"/>
      <c r="AM35" s="228"/>
      <c r="AN35" s="213"/>
      <c r="AO35" s="213"/>
      <c r="AP35" s="213"/>
      <c r="AQ35" s="213"/>
      <c r="AR35" s="196"/>
      <c r="AS35" s="196"/>
      <c r="AT35" s="213"/>
      <c r="AU35" s="195">
        <f>IF(G35-I35-J35-K35-L35-M35-N35-O35-P35-Q35-R35-S35-T35-U35-V35-W35-X35-Y35-Z35-AA35-AB35-AC35-AD35-AE35-AF35-AG35-AH35-AI35-AJ35-AL35-AM35-AN35-AO35-AP35-AQ35-AR35-AS35-AT35&lt;0,0,G35-I35-J35-K35-L35-M35-N35-O35-P35-Q35-R35-S35-T35-U35-V35-W35-X35-Y35-Z35-AA35-AB35-AC35-AD35-AE35-AF35-AG35-AH35-AI35-AJ35-AL35-AM35-AN35-AO35-AP35-AQ35-AR35-AS35-AT35)</f>
        <v>0</v>
      </c>
      <c r="AV35" s="233">
        <v>0.2</v>
      </c>
      <c r="AW35" s="243">
        <f>I35*$I$8+J35*$J$8+K35*$K$8+L35*$L$8+M35*$M$8+N35*$N$8+O35*$O$8+P35*$P$8+Q35*$Q$8+R35*$R$8+S35*$S$8+T35*$T$8+U35*$U$8+V35*$V$8+W35*$W$8+X35*$X$8+Y35*$Y$8+Z35*$Z$8+AA35*$AA$8++AB35*$AB$8+AC35*$AC$8+AD35*$AD$8+AE35*$AE$8+AF35*$AF$8+AG35*$AG$8+AH35*$AH$8+AI35*$AI$8+AJ35*$AJ$8+AL35*$AL$8+AM35*$AM$8+AN35*$AN$8+AO35*$AO$8+AP35*$AP$8+AQ35*$AQ$8+AR35*$AR$8+AS35*$AS$8+AT35*$AT$8</f>
        <v>0</v>
      </c>
      <c r="AX35" s="242" t="e">
        <f t="shared" si="4"/>
        <v>#DIV/0!</v>
      </c>
    </row>
    <row r="36" spans="2:50">
      <c r="B36" s="158" t="s">
        <v>70</v>
      </c>
      <c r="C36" s="159">
        <v>27</v>
      </c>
      <c r="D36" s="161" t="s">
        <v>100</v>
      </c>
      <c r="E36" s="196"/>
      <c r="F36" s="196"/>
      <c r="G36" s="195">
        <f t="shared" ref="G36:G41" si="21">E36-F36</f>
        <v>0</v>
      </c>
      <c r="H36" s="196"/>
      <c r="I36" s="196"/>
      <c r="J36" s="196"/>
      <c r="K36" s="196"/>
      <c r="L36" s="196"/>
      <c r="M36" s="196"/>
      <c r="N36" s="196"/>
      <c r="O36" s="196"/>
      <c r="P36" s="196"/>
      <c r="Q36" s="196"/>
      <c r="R36" s="196"/>
      <c r="S36" s="196"/>
      <c r="T36" s="196"/>
      <c r="U36" s="196"/>
      <c r="V36" s="196"/>
      <c r="W36" s="196"/>
      <c r="X36" s="213"/>
      <c r="Y36" s="196"/>
      <c r="Z36" s="196"/>
      <c r="AA36" s="196"/>
      <c r="AB36" s="196"/>
      <c r="AC36" s="196"/>
      <c r="AD36" s="196"/>
      <c r="AE36" s="196"/>
      <c r="AF36" s="213"/>
      <c r="AG36" s="228"/>
      <c r="AH36" s="213"/>
      <c r="AI36" s="228"/>
      <c r="AJ36" s="228"/>
      <c r="AK36" s="213"/>
      <c r="AL36" s="228"/>
      <c r="AM36" s="228"/>
      <c r="AN36" s="228"/>
      <c r="AO36" s="228"/>
      <c r="AP36" s="228"/>
      <c r="AQ36" s="213"/>
      <c r="AR36" s="196"/>
      <c r="AS36" s="196"/>
      <c r="AT36" s="196"/>
      <c r="AU36" s="195">
        <f>IF(G36-I36-J36-K36-L36-M36-N36-O36-P36-Q36-R36-S36-T36-U36-V36-W36-X36-Y36-Z36-AA36-AB36-AC36-AD36-AE36-AF36-AG36-AH36-AI36-AJ36-AL36-AM36-AN36-AO36-AP36-AQ36-AR36-AS36-AT36&lt;0,0,G36-I36-J36-K36-L36-M36-N36-O36-P36-Q36-R36-S36-T36-U36-V36-W36-X36-Y36-Z36-AA36-AB36-AC36-AD36-AE36-AF36-AG36-AH36-AI36-AJ36-AL36-AM36-AN36-AO36-AP36-AQ36-AR36-AS36-AT36)</f>
        <v>0</v>
      </c>
      <c r="AV36" s="233">
        <v>0.5</v>
      </c>
      <c r="AW36" s="243">
        <f>I36*$I$8+J36*$J$8+K36*$K$8+L36*$L$8+M36*$M$8+N36*$N$8+O36*$O$8+P36*$P$8+Q36*$Q$8+R36*$R$8+S36*$S$8+T36*$T$8+U36*$U$8+V36*$V$8+W36*$W$8+X36*$X$8+Y36*$Y$8+Z36*$Z$8+AA36*$AA$8++AB36*$AB$8+AC36*$AC$8+AD36*$AD$8+AE36*$AE$8+AF36*$AF$8+AG36*$AG$8+AH36*$AH$8+AI36*$AI$8+AJ36*$AJ$8+AL36*$AL$8+AM36*$AM$8+AN36*$AN$8+AO36*$AO$8+AP36*$AP$8+AQ36*$AQ$8+AR36*$AR$8+AS36*$AS$8+AT36*$AT$8</f>
        <v>0</v>
      </c>
      <c r="AX36" s="242" t="e">
        <f t="shared" si="4"/>
        <v>#DIV/0!</v>
      </c>
    </row>
    <row r="37" spans="2:50">
      <c r="B37" s="158" t="s">
        <v>70</v>
      </c>
      <c r="C37" s="159">
        <v>28</v>
      </c>
      <c r="D37" s="161" t="s">
        <v>101</v>
      </c>
      <c r="E37" s="196"/>
      <c r="F37" s="196"/>
      <c r="G37" s="195">
        <f t="shared" si="21"/>
        <v>0</v>
      </c>
      <c r="H37" s="196"/>
      <c r="I37" s="196"/>
      <c r="J37" s="196"/>
      <c r="K37" s="196"/>
      <c r="L37" s="196"/>
      <c r="M37" s="196"/>
      <c r="N37" s="196"/>
      <c r="O37" s="196"/>
      <c r="P37" s="196"/>
      <c r="Q37" s="196"/>
      <c r="R37" s="196"/>
      <c r="S37" s="196"/>
      <c r="T37" s="196"/>
      <c r="U37" s="196"/>
      <c r="V37" s="196"/>
      <c r="W37" s="196"/>
      <c r="X37" s="196"/>
      <c r="Y37" s="196"/>
      <c r="Z37" s="196"/>
      <c r="AA37" s="196"/>
      <c r="AB37" s="196"/>
      <c r="AC37" s="196"/>
      <c r="AD37" s="196"/>
      <c r="AE37" s="196"/>
      <c r="AF37" s="196"/>
      <c r="AG37" s="196"/>
      <c r="AH37" s="196"/>
      <c r="AI37" s="196"/>
      <c r="AJ37" s="196"/>
      <c r="AK37" s="196"/>
      <c r="AL37" s="196"/>
      <c r="AM37" s="196"/>
      <c r="AN37" s="196"/>
      <c r="AO37" s="196"/>
      <c r="AP37" s="196"/>
      <c r="AQ37" s="196"/>
      <c r="AR37" s="196"/>
      <c r="AS37" s="196"/>
      <c r="AT37" s="196"/>
      <c r="AU37" s="195">
        <f>IF(G37-I37-J37-K37-L37-M37-N37-O37-P37-Q37-R37-S37-T37-U37-V37-W37-X37-Y37-Z37-AA37-AB37-AC37-AD37-AE37-AF37-AG37-AH37-AI37-AJ37-AL37-AM37-AN37-AO37-AP37-AQ37-AR37-AS37-AT37&lt;0,0,G37-I37-J37-K37-L37-M37-N37-O37-P37-Q37-R37-S37-T37-U37-V37-W37-X37-Y37-Z37-AA37-AB37-AC37-AD37-AE37-AF37-AG37-AH37-AI37-AJ37-AL37-AM37-AN37-AO37-AP37-AQ37-AR37-AS37-AT37)</f>
        <v>0</v>
      </c>
      <c r="AV37" s="233">
        <v>1</v>
      </c>
      <c r="AW37" s="243">
        <f>I37*$I$8+J37*$J$8+K37*$K$8+L37*$L$8+M37*$M$8+N37*$N$8+O37*$O$8+P37*$P$8+Q37*$Q$8+R37*$R$8+S37*$S$8+T37*$T$8+U37*$U$8+V37*$V$8+W37*$W$8+X37*$X$8+Y37*$Y$8+Z37*$Z$8+AA37*$AA$8++AB37*$AB$8+AC37*$AC$8+AD37*$AD$8+AE37*$AE$8+AF37*$AF$8+AG37*$AG$8+AH37*$AH$8+AI37*$AI$8+AJ37*$AJ$8+AL37*$AL$8+AM37*$AM$8+AN37*$AN$8+AO37*$AO$8+AP37*$AP$8+AQ37*$AQ$8+AR37*$AR$8+AS37*$AS$8+AT37*$AT$8</f>
        <v>0</v>
      </c>
      <c r="AX37" s="242" t="e">
        <f t="shared" si="4"/>
        <v>#DIV/0!</v>
      </c>
    </row>
    <row r="38" spans="2:50">
      <c r="B38" s="158" t="s">
        <v>70</v>
      </c>
      <c r="C38" s="159">
        <v>29</v>
      </c>
      <c r="D38" s="161" t="s">
        <v>102</v>
      </c>
      <c r="E38" s="196"/>
      <c r="F38" s="196"/>
      <c r="G38" s="195">
        <f t="shared" si="21"/>
        <v>0</v>
      </c>
      <c r="H38" s="196"/>
      <c r="I38" s="196"/>
      <c r="J38" s="196"/>
      <c r="K38" s="196"/>
      <c r="L38" s="196"/>
      <c r="M38" s="196"/>
      <c r="N38" s="196"/>
      <c r="O38" s="196"/>
      <c r="P38" s="196"/>
      <c r="Q38" s="196"/>
      <c r="R38" s="196"/>
      <c r="S38" s="196"/>
      <c r="T38" s="196"/>
      <c r="U38" s="196"/>
      <c r="V38" s="196"/>
      <c r="W38" s="196"/>
      <c r="X38" s="196"/>
      <c r="Y38" s="196"/>
      <c r="Z38" s="196"/>
      <c r="AA38" s="196"/>
      <c r="AB38" s="196"/>
      <c r="AC38" s="196"/>
      <c r="AD38" s="196"/>
      <c r="AE38" s="196"/>
      <c r="AF38" s="196"/>
      <c r="AG38" s="196"/>
      <c r="AH38" s="196"/>
      <c r="AI38" s="196"/>
      <c r="AJ38" s="196"/>
      <c r="AK38" s="196"/>
      <c r="AL38" s="196"/>
      <c r="AM38" s="196"/>
      <c r="AN38" s="196"/>
      <c r="AO38" s="196"/>
      <c r="AP38" s="196"/>
      <c r="AQ38" s="196"/>
      <c r="AR38" s="196"/>
      <c r="AS38" s="196"/>
      <c r="AT38" s="196"/>
      <c r="AU38" s="195">
        <f>IF(G38-I38-J38-K38-L38-M38-N38-O38-P38-Q38-R38-S38-T38-U38-V38-W38-X38-Y38-Z38-AA38-AB38-AC38-AD38-AE38-AF38-AG38-AH38-AI38-AJ38-AL38-AM38-AN38-AO38-AP38-AQ38-AR38-AS38-AT38&lt;0,0,G38-I38-J38-K38-L38-M38-N38-O38-P38-Q38-R38-S38-T38-U38-V38-W38-X38-Y38-Z38-AA38-AB38-AC38-AD38-AE38-AF38-AG38-AH38-AI38-AJ38-AL38-AM38-AN38-AO38-AP38-AQ38-AR38-AS38-AT38)</f>
        <v>0</v>
      </c>
      <c r="AV38" s="233">
        <v>1.5</v>
      </c>
      <c r="AW38" s="243">
        <f>I38*$I$8+J38*$J$8+K38*$K$8+L38*$L$8+M38*$M$8+N38*$N$8+O38*$O$8+P38*$P$8+Q38*$Q$8+R38*$R$8+S38*$S$8+T38*$T$8+U38*$U$8+V38*$V$8+W38*$W$8+X38*$X$8+Y38*$Y$8+Z38*$Z$8+AA38*$AA$8++AB38*$AB$8+AC38*$AC$8+AD38*$AD$8+AE38*$AE$8+AF38*$AF$8+AG38*$AG$8+AH38*$AH$8+AI38*$AI$8+AJ38*$AJ$8+AL38*$AL$8+AM38*$AM$8+AN38*$AN$8+AO38*$AO$8+AP38*$AP$8+AQ38*$AQ$8+AR38*$AR$8+AS38*$AS$8+AT38*$AT$8</f>
        <v>0</v>
      </c>
      <c r="AX38" s="242" t="e">
        <f t="shared" si="4"/>
        <v>#DIV/0!</v>
      </c>
    </row>
    <row r="39" spans="2:50">
      <c r="B39" s="158" t="s">
        <v>70</v>
      </c>
      <c r="C39" s="159">
        <v>30</v>
      </c>
      <c r="D39" s="161" t="s">
        <v>103</v>
      </c>
      <c r="E39" s="196"/>
      <c r="F39" s="196"/>
      <c r="G39" s="195">
        <f t="shared" si="21"/>
        <v>0</v>
      </c>
      <c r="H39" s="196"/>
      <c r="I39" s="196"/>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5">
        <f>IF(G39-I39-J39-K39-L39-M39-N39-O39-P39-Q39-R39-S39-T39-U39-V39-W39-X39-Y39-Z39-AA39-AB39-AC39-AD39-AE39-AF39-AG39-AH39-AI39-AJ39-AL39-AM39-AN39-AO39-AP39-AQ39-AR39-AS39-AT39&lt;0,0,G39-I39-J39-K39-L39-M39-N39-O39-P39-Q39-R39-S39-T39-U39-V39-W39-X39-Y39-Z39-AA39-AB39-AC39-AD39-AE39-AF39-AG39-AH39-AI39-AJ39-AL39-AM39-AN39-AO39-AP39-AQ39-AR39-AS39-AT39)</f>
        <v>0</v>
      </c>
      <c r="AV39" s="233">
        <v>1</v>
      </c>
      <c r="AW39" s="243">
        <f>I39*$I$8+J39*$J$8+K39*$K$8+L39*$L$8+M39*$M$8+N39*$N$8+O39*$O$8+P39*$P$8+Q39*$Q$8+R39*$R$8+S39*$S$8+T39*$T$8+U39*$U$8+V39*$V$8+W39*$W$8+X39*$X$8+Y39*$Y$8+Z39*$Z$8+AA39*$AA$8++AB39*$AB$8+AC39*$AC$8+AD39*$AD$8+AE39*$AE$8+AF39*$AF$8+AG39*$AG$8+AH39*$AH$8+AI39*$AI$8+AJ39*$AJ$8+AL39*$AL$8+AM39*$AM$8+AN39*$AN$8+AO39*$AO$8+AP39*$AP$8+AQ39*$AQ$8+AR39*$AR$8+AS39*$AS$8+AT39*$AT$8</f>
        <v>0</v>
      </c>
      <c r="AX39" s="242" t="e">
        <f t="shared" si="4"/>
        <v>#DIV/0!</v>
      </c>
    </row>
    <row r="40" ht="52" customHeight="1" spans="1:50">
      <c r="A40" s="164" t="s">
        <v>104</v>
      </c>
      <c r="B40" s="158" t="s">
        <v>70</v>
      </c>
      <c r="C40" s="166">
        <v>31</v>
      </c>
      <c r="D40" s="174" t="s">
        <v>105</v>
      </c>
      <c r="E40" s="195">
        <f t="shared" ref="E40:H40" si="22">E41+E42+E43+E44+E45+E46+E47</f>
        <v>0</v>
      </c>
      <c r="F40" s="195">
        <f t="shared" si="22"/>
        <v>0</v>
      </c>
      <c r="G40" s="195">
        <f t="shared" si="22"/>
        <v>0</v>
      </c>
      <c r="H40" s="195">
        <f t="shared" si="22"/>
        <v>0</v>
      </c>
      <c r="I40" s="195">
        <f t="shared" ref="I40:AU40" si="23">I41+I42+I43+I44+I45+I46+I47</f>
        <v>0</v>
      </c>
      <c r="J40" s="195">
        <f t="shared" si="23"/>
        <v>0</v>
      </c>
      <c r="K40" s="195">
        <f t="shared" si="23"/>
        <v>0</v>
      </c>
      <c r="L40" s="195">
        <f t="shared" si="23"/>
        <v>0</v>
      </c>
      <c r="M40" s="195">
        <f t="shared" si="23"/>
        <v>0</v>
      </c>
      <c r="N40" s="195">
        <f t="shared" si="23"/>
        <v>0</v>
      </c>
      <c r="O40" s="195">
        <f t="shared" si="23"/>
        <v>0</v>
      </c>
      <c r="P40" s="195">
        <f t="shared" si="23"/>
        <v>0</v>
      </c>
      <c r="Q40" s="195">
        <f t="shared" si="23"/>
        <v>0</v>
      </c>
      <c r="R40" s="195">
        <f t="shared" si="23"/>
        <v>0</v>
      </c>
      <c r="S40" s="195">
        <f t="shared" si="23"/>
        <v>0</v>
      </c>
      <c r="T40" s="195">
        <f t="shared" si="23"/>
        <v>0</v>
      </c>
      <c r="U40" s="195">
        <f t="shared" si="23"/>
        <v>0</v>
      </c>
      <c r="V40" s="195">
        <f t="shared" si="23"/>
        <v>0</v>
      </c>
      <c r="W40" s="195">
        <f t="shared" si="23"/>
        <v>0</v>
      </c>
      <c r="X40" s="195">
        <f t="shared" si="23"/>
        <v>0</v>
      </c>
      <c r="Y40" s="195">
        <f t="shared" si="23"/>
        <v>0</v>
      </c>
      <c r="Z40" s="195">
        <f t="shared" si="23"/>
        <v>0</v>
      </c>
      <c r="AA40" s="195">
        <f t="shared" si="23"/>
        <v>0</v>
      </c>
      <c r="AB40" s="195">
        <f t="shared" si="23"/>
        <v>0</v>
      </c>
      <c r="AC40" s="195">
        <f t="shared" si="23"/>
        <v>0</v>
      </c>
      <c r="AD40" s="195">
        <f t="shared" si="23"/>
        <v>0</v>
      </c>
      <c r="AE40" s="195">
        <f t="shared" si="23"/>
        <v>0</v>
      </c>
      <c r="AF40" s="195">
        <f t="shared" si="23"/>
        <v>0</v>
      </c>
      <c r="AG40" s="195">
        <f t="shared" si="23"/>
        <v>0</v>
      </c>
      <c r="AH40" s="195">
        <f t="shared" si="23"/>
        <v>0</v>
      </c>
      <c r="AI40" s="195">
        <f t="shared" si="23"/>
        <v>0</v>
      </c>
      <c r="AJ40" s="195">
        <f t="shared" si="23"/>
        <v>0</v>
      </c>
      <c r="AK40" s="195">
        <f t="shared" si="23"/>
        <v>0</v>
      </c>
      <c r="AL40" s="195">
        <f t="shared" si="23"/>
        <v>0</v>
      </c>
      <c r="AM40" s="195">
        <f t="shared" si="23"/>
        <v>0</v>
      </c>
      <c r="AN40" s="195">
        <f t="shared" si="23"/>
        <v>0</v>
      </c>
      <c r="AO40" s="195">
        <f t="shared" si="23"/>
        <v>0</v>
      </c>
      <c r="AP40" s="195">
        <f t="shared" si="23"/>
        <v>0</v>
      </c>
      <c r="AQ40" s="195">
        <f t="shared" si="23"/>
        <v>0</v>
      </c>
      <c r="AR40" s="195">
        <f t="shared" si="23"/>
        <v>0</v>
      </c>
      <c r="AS40" s="195">
        <f t="shared" si="23"/>
        <v>0</v>
      </c>
      <c r="AT40" s="195">
        <f t="shared" si="23"/>
        <v>0</v>
      </c>
      <c r="AU40" s="195">
        <f t="shared" si="23"/>
        <v>0</v>
      </c>
      <c r="AV40" s="232"/>
      <c r="AW40" s="195">
        <f>AW41+AW42+AW43+AW44+AW45+AW46+AW47</f>
        <v>0</v>
      </c>
      <c r="AX40" s="242" t="e">
        <f t="shared" si="4"/>
        <v>#DIV/0!</v>
      </c>
    </row>
    <row r="41" ht="20.5" customHeight="1" spans="1:50">
      <c r="A41" t="s">
        <v>4</v>
      </c>
      <c r="B41" s="158" t="s">
        <v>70</v>
      </c>
      <c r="C41" s="166">
        <v>32</v>
      </c>
      <c r="D41" s="167" t="s">
        <v>106</v>
      </c>
      <c r="E41" s="196"/>
      <c r="F41" s="196"/>
      <c r="G41" s="195">
        <f t="shared" si="21"/>
        <v>0</v>
      </c>
      <c r="H41" s="196"/>
      <c r="I41" s="213"/>
      <c r="J41" s="213"/>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195">
        <f t="shared" ref="AU41:AU47" si="24">IF(G41-I41-J41-K41-L41-M41-N41-O41-P41-Q41-R41-S41-T41-U41-V41-W41-X41-Y41-Z41-AA41-AB41-AC41-AD41-AE41-AF41-AG41-AH41-AI41-AJ41-AL41-AM41-AN41-AO41-AP41-AQ41-AR41-AS41-AT41&lt;0,0,G41-I41-J41-K41-L41-M41-N41-O41-P41-Q41-R41-S41-T41-U41-V41-W41-X41-Y41-Z41-AA41-AB41-AC41-AD41-AE41-AF41-AG41-AH41-AI41-AJ41-AL41-AM41-AN41-AO41-AP41-AQ41-AR41-AS41-AT41)</f>
        <v>0</v>
      </c>
      <c r="AV41" s="233">
        <v>0</v>
      </c>
      <c r="AW41" s="243">
        <f t="shared" ref="AW41:AW47" si="25">I41*$I$8+J41*$J$8+K41*$K$8+L41*$L$8+M41*$M$8+N41*$N$8+O41*$O$8+P41*$P$8+Q41*$Q$8+R41*$R$8+S41*$S$8+T41*$T$8+U41*$U$8+V41*$V$8+W41*$W$8+X41*$X$8+Y41*$Y$8+Z41*$Z$8+AA41*$AA$8++AB41*$AB$8+AC41*$AC$8+AD41*$AD$8+AE41*$AE$8+AF41*$AF$8+AG41*$AG$8+AH41*$AH$8+AI41*$AI$8+AJ41*$AJ$8+AL41*$AL$8+AM41*$AM$8+AN41*$AN$8+AO41*$AO$8+AP41*$AP$8+AQ41*$AQ$8+AR41*$AR$8+AS41*$AS$8+AT41*$AT$8</f>
        <v>0</v>
      </c>
      <c r="AX41" s="242" t="e">
        <f t="shared" si="4"/>
        <v>#DIV/0!</v>
      </c>
    </row>
    <row r="42" ht="20.5" customHeight="1" spans="1:50">
      <c r="A42" t="s">
        <v>4</v>
      </c>
      <c r="B42" s="158" t="s">
        <v>70</v>
      </c>
      <c r="C42" s="166">
        <v>33</v>
      </c>
      <c r="D42" s="167" t="s">
        <v>107</v>
      </c>
      <c r="E42" s="196"/>
      <c r="F42" s="196"/>
      <c r="G42" s="195">
        <f t="shared" ref="G42:G47" si="26">E42-F42</f>
        <v>0</v>
      </c>
      <c r="H42" s="196"/>
      <c r="I42" s="196"/>
      <c r="J42" s="196"/>
      <c r="K42" s="213"/>
      <c r="L42" s="196"/>
      <c r="M42" s="196"/>
      <c r="N42" s="213"/>
      <c r="O42" s="196"/>
      <c r="P42" s="196"/>
      <c r="Q42" s="213"/>
      <c r="R42" s="196"/>
      <c r="S42" s="196"/>
      <c r="T42" s="213"/>
      <c r="U42" s="196"/>
      <c r="V42" s="213"/>
      <c r="W42" s="213"/>
      <c r="X42" s="213"/>
      <c r="Y42" s="196"/>
      <c r="Z42" s="196"/>
      <c r="AA42" s="213"/>
      <c r="AB42" s="196"/>
      <c r="AC42" s="196"/>
      <c r="AD42" s="213"/>
      <c r="AE42" s="213"/>
      <c r="AF42" s="213"/>
      <c r="AG42" s="213"/>
      <c r="AH42" s="213"/>
      <c r="AI42" s="213"/>
      <c r="AJ42" s="213"/>
      <c r="AK42" s="213"/>
      <c r="AL42" s="228"/>
      <c r="AM42" s="228"/>
      <c r="AN42" s="213"/>
      <c r="AO42" s="213"/>
      <c r="AP42" s="213"/>
      <c r="AQ42" s="213"/>
      <c r="AR42" s="196"/>
      <c r="AS42" s="196"/>
      <c r="AT42" s="213"/>
      <c r="AU42" s="195">
        <f t="shared" si="24"/>
        <v>0</v>
      </c>
      <c r="AV42" s="233">
        <v>0.2</v>
      </c>
      <c r="AW42" s="243">
        <f t="shared" si="25"/>
        <v>0</v>
      </c>
      <c r="AX42" s="242" t="e">
        <f t="shared" si="4"/>
        <v>#DIV/0!</v>
      </c>
    </row>
    <row r="43" ht="20.5" customHeight="1" spans="1:50">
      <c r="A43" t="s">
        <v>4</v>
      </c>
      <c r="B43" s="158" t="s">
        <v>70</v>
      </c>
      <c r="C43" s="166">
        <v>34</v>
      </c>
      <c r="D43" s="167" t="s">
        <v>108</v>
      </c>
      <c r="E43" s="196"/>
      <c r="F43" s="196"/>
      <c r="G43" s="195">
        <f t="shared" si="26"/>
        <v>0</v>
      </c>
      <c r="H43" s="196"/>
      <c r="I43" s="196"/>
      <c r="J43" s="196"/>
      <c r="K43" s="196"/>
      <c r="L43" s="196"/>
      <c r="M43" s="196"/>
      <c r="N43" s="196"/>
      <c r="O43" s="196"/>
      <c r="P43" s="196"/>
      <c r="Q43" s="196"/>
      <c r="R43" s="196"/>
      <c r="S43" s="196"/>
      <c r="T43" s="196"/>
      <c r="U43" s="196"/>
      <c r="V43" s="196"/>
      <c r="W43" s="196"/>
      <c r="X43" s="213"/>
      <c r="Y43" s="196"/>
      <c r="Z43" s="196"/>
      <c r="AA43" s="196"/>
      <c r="AB43" s="196"/>
      <c r="AC43" s="196"/>
      <c r="AD43" s="196"/>
      <c r="AE43" s="196"/>
      <c r="AF43" s="213"/>
      <c r="AG43" s="196"/>
      <c r="AH43" s="213"/>
      <c r="AI43" s="213"/>
      <c r="AJ43" s="213"/>
      <c r="AK43" s="213"/>
      <c r="AL43" s="196"/>
      <c r="AM43" s="196"/>
      <c r="AN43" s="196"/>
      <c r="AO43" s="196"/>
      <c r="AP43" s="213"/>
      <c r="AQ43" s="213"/>
      <c r="AR43" s="196"/>
      <c r="AS43" s="196"/>
      <c r="AT43" s="196"/>
      <c r="AU43" s="195">
        <f t="shared" si="24"/>
        <v>0</v>
      </c>
      <c r="AV43" s="233">
        <v>0.3</v>
      </c>
      <c r="AW43" s="243">
        <f t="shared" si="25"/>
        <v>0</v>
      </c>
      <c r="AX43" s="242" t="e">
        <f t="shared" si="4"/>
        <v>#DIV/0!</v>
      </c>
    </row>
    <row r="44" ht="20.5" customHeight="1" spans="1:50">
      <c r="A44" t="s">
        <v>4</v>
      </c>
      <c r="B44" s="158" t="s">
        <v>70</v>
      </c>
      <c r="C44" s="166">
        <v>35</v>
      </c>
      <c r="D44" s="167" t="s">
        <v>109</v>
      </c>
      <c r="E44" s="196"/>
      <c r="F44" s="196"/>
      <c r="G44" s="195">
        <f t="shared" si="26"/>
        <v>0</v>
      </c>
      <c r="H44" s="196"/>
      <c r="I44" s="196"/>
      <c r="J44" s="196"/>
      <c r="K44" s="196"/>
      <c r="L44" s="196"/>
      <c r="M44" s="196"/>
      <c r="N44" s="196"/>
      <c r="O44" s="196"/>
      <c r="P44" s="196"/>
      <c r="Q44" s="196"/>
      <c r="R44" s="196"/>
      <c r="S44" s="196"/>
      <c r="T44" s="196"/>
      <c r="U44" s="196"/>
      <c r="V44" s="196"/>
      <c r="W44" s="196"/>
      <c r="X44" s="213"/>
      <c r="Y44" s="196"/>
      <c r="Z44" s="196"/>
      <c r="AA44" s="196"/>
      <c r="AB44" s="196"/>
      <c r="AC44" s="196"/>
      <c r="AD44" s="196"/>
      <c r="AE44" s="196"/>
      <c r="AF44" s="213"/>
      <c r="AG44" s="228"/>
      <c r="AH44" s="213"/>
      <c r="AI44" s="228"/>
      <c r="AJ44" s="228"/>
      <c r="AK44" s="213"/>
      <c r="AL44" s="228"/>
      <c r="AM44" s="228"/>
      <c r="AN44" s="228"/>
      <c r="AO44" s="228"/>
      <c r="AP44" s="228"/>
      <c r="AQ44" s="213"/>
      <c r="AR44" s="196"/>
      <c r="AS44" s="196"/>
      <c r="AT44" s="196"/>
      <c r="AU44" s="195">
        <f t="shared" si="24"/>
        <v>0</v>
      </c>
      <c r="AV44" s="233">
        <v>0.5</v>
      </c>
      <c r="AW44" s="243">
        <f t="shared" si="25"/>
        <v>0</v>
      </c>
      <c r="AX44" s="242" t="e">
        <f t="shared" si="4"/>
        <v>#DIV/0!</v>
      </c>
    </row>
    <row r="45" ht="20.5" customHeight="1" spans="1:50">
      <c r="A45" t="s">
        <v>4</v>
      </c>
      <c r="B45" s="158" t="s">
        <v>70</v>
      </c>
      <c r="C45" s="166">
        <v>36</v>
      </c>
      <c r="D45" s="167" t="s">
        <v>110</v>
      </c>
      <c r="E45" s="196"/>
      <c r="F45" s="196"/>
      <c r="G45" s="195">
        <f t="shared" si="26"/>
        <v>0</v>
      </c>
      <c r="H45" s="196"/>
      <c r="I45" s="196"/>
      <c r="J45" s="196"/>
      <c r="K45" s="196"/>
      <c r="L45" s="196"/>
      <c r="M45" s="196"/>
      <c r="N45" s="196"/>
      <c r="O45" s="196"/>
      <c r="P45" s="196"/>
      <c r="Q45" s="196"/>
      <c r="R45" s="196"/>
      <c r="S45" s="196"/>
      <c r="T45" s="196"/>
      <c r="U45" s="196"/>
      <c r="V45" s="196"/>
      <c r="W45" s="196"/>
      <c r="X45" s="196"/>
      <c r="Y45" s="196"/>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5">
        <f t="shared" si="24"/>
        <v>0</v>
      </c>
      <c r="AV45" s="233">
        <v>1</v>
      </c>
      <c r="AW45" s="243">
        <f t="shared" si="25"/>
        <v>0</v>
      </c>
      <c r="AX45" s="242" t="e">
        <f t="shared" si="4"/>
        <v>#DIV/0!</v>
      </c>
    </row>
    <row r="46" ht="20.5" customHeight="1" spans="1:50">
      <c r="A46" t="s">
        <v>4</v>
      </c>
      <c r="B46" s="158" t="s">
        <v>70</v>
      </c>
      <c r="C46" s="166">
        <v>37</v>
      </c>
      <c r="D46" s="167" t="s">
        <v>111</v>
      </c>
      <c r="E46" s="196"/>
      <c r="F46" s="196"/>
      <c r="G46" s="195">
        <f t="shared" si="26"/>
        <v>0</v>
      </c>
      <c r="H46" s="196"/>
      <c r="I46" s="196"/>
      <c r="J46" s="196"/>
      <c r="K46" s="196"/>
      <c r="L46" s="196"/>
      <c r="M46" s="196"/>
      <c r="N46" s="196"/>
      <c r="O46" s="196"/>
      <c r="P46" s="196"/>
      <c r="Q46" s="196"/>
      <c r="R46" s="196"/>
      <c r="S46" s="196"/>
      <c r="T46" s="196"/>
      <c r="U46" s="196"/>
      <c r="V46" s="196"/>
      <c r="W46" s="196"/>
      <c r="X46" s="196"/>
      <c r="Y46" s="196"/>
      <c r="Z46" s="196"/>
      <c r="AA46" s="196"/>
      <c r="AB46" s="196"/>
      <c r="AC46" s="196"/>
      <c r="AD46" s="196"/>
      <c r="AE46" s="196"/>
      <c r="AF46" s="196"/>
      <c r="AG46" s="196"/>
      <c r="AH46" s="196"/>
      <c r="AI46" s="196"/>
      <c r="AJ46" s="196"/>
      <c r="AK46" s="196"/>
      <c r="AL46" s="196"/>
      <c r="AM46" s="196"/>
      <c r="AN46" s="196"/>
      <c r="AO46" s="196"/>
      <c r="AP46" s="196"/>
      <c r="AQ46" s="196"/>
      <c r="AR46" s="196"/>
      <c r="AS46" s="196"/>
      <c r="AT46" s="196"/>
      <c r="AU46" s="195">
        <f t="shared" si="24"/>
        <v>0</v>
      </c>
      <c r="AV46" s="233">
        <v>1.5</v>
      </c>
      <c r="AW46" s="243">
        <f t="shared" si="25"/>
        <v>0</v>
      </c>
      <c r="AX46" s="242" t="e">
        <f t="shared" si="4"/>
        <v>#DIV/0!</v>
      </c>
    </row>
    <row r="47" ht="20.5" customHeight="1" spans="1:50">
      <c r="A47" t="s">
        <v>4</v>
      </c>
      <c r="B47" s="158" t="s">
        <v>70</v>
      </c>
      <c r="C47" s="166">
        <v>38</v>
      </c>
      <c r="D47" s="167" t="s">
        <v>112</v>
      </c>
      <c r="E47" s="196"/>
      <c r="F47" s="196"/>
      <c r="G47" s="195">
        <f t="shared" si="26"/>
        <v>0</v>
      </c>
      <c r="H47" s="196"/>
      <c r="I47" s="196"/>
      <c r="J47" s="196"/>
      <c r="K47" s="196"/>
      <c r="L47" s="196"/>
      <c r="M47" s="196"/>
      <c r="N47" s="196"/>
      <c r="O47" s="196"/>
      <c r="P47" s="196"/>
      <c r="Q47" s="196"/>
      <c r="R47" s="196"/>
      <c r="S47" s="196"/>
      <c r="T47" s="196"/>
      <c r="U47" s="196"/>
      <c r="V47" s="196"/>
      <c r="W47" s="196"/>
      <c r="X47" s="213"/>
      <c r="Y47" s="196"/>
      <c r="Z47" s="196"/>
      <c r="AA47" s="196"/>
      <c r="AB47" s="196"/>
      <c r="AC47" s="196"/>
      <c r="AD47" s="196"/>
      <c r="AE47" s="196"/>
      <c r="AF47" s="213"/>
      <c r="AG47" s="228"/>
      <c r="AH47" s="213"/>
      <c r="AI47" s="228"/>
      <c r="AJ47" s="228"/>
      <c r="AK47" s="228"/>
      <c r="AL47" s="228"/>
      <c r="AM47" s="228"/>
      <c r="AN47" s="228"/>
      <c r="AO47" s="228"/>
      <c r="AP47" s="228"/>
      <c r="AQ47" s="213"/>
      <c r="AR47" s="196"/>
      <c r="AS47" s="196"/>
      <c r="AT47" s="196"/>
      <c r="AU47" s="195">
        <f t="shared" si="24"/>
        <v>0</v>
      </c>
      <c r="AV47" s="233">
        <v>0.5</v>
      </c>
      <c r="AW47" s="243">
        <f t="shared" si="25"/>
        <v>0</v>
      </c>
      <c r="AX47" s="242" t="e">
        <f t="shared" si="4"/>
        <v>#DIV/0!</v>
      </c>
    </row>
    <row r="48" ht="48" customHeight="1" spans="1:50">
      <c r="A48" s="164" t="s">
        <v>113</v>
      </c>
      <c r="B48" s="158" t="s">
        <v>70</v>
      </c>
      <c r="C48" s="166">
        <v>39</v>
      </c>
      <c r="D48" s="175" t="s">
        <v>114</v>
      </c>
      <c r="E48" s="195">
        <f t="shared" ref="E48:H48" si="27">E49+E60+E79</f>
        <v>0</v>
      </c>
      <c r="F48" s="195">
        <f t="shared" si="27"/>
        <v>0</v>
      </c>
      <c r="G48" s="195">
        <f t="shared" si="27"/>
        <v>0</v>
      </c>
      <c r="H48" s="195">
        <f t="shared" si="27"/>
        <v>0</v>
      </c>
      <c r="I48" s="195">
        <f t="shared" ref="I48:AU48" si="28">I49+I60+I79</f>
        <v>0</v>
      </c>
      <c r="J48" s="195">
        <f t="shared" si="28"/>
        <v>0</v>
      </c>
      <c r="K48" s="195">
        <f t="shared" si="28"/>
        <v>0</v>
      </c>
      <c r="L48" s="195">
        <f t="shared" si="28"/>
        <v>0</v>
      </c>
      <c r="M48" s="195">
        <f t="shared" si="28"/>
        <v>0</v>
      </c>
      <c r="N48" s="195">
        <f t="shared" si="28"/>
        <v>0</v>
      </c>
      <c r="O48" s="195">
        <f t="shared" si="28"/>
        <v>0</v>
      </c>
      <c r="P48" s="195">
        <f t="shared" si="28"/>
        <v>0</v>
      </c>
      <c r="Q48" s="195">
        <f t="shared" si="28"/>
        <v>0</v>
      </c>
      <c r="R48" s="195">
        <f t="shared" si="28"/>
        <v>0</v>
      </c>
      <c r="S48" s="195">
        <f t="shared" si="28"/>
        <v>0</v>
      </c>
      <c r="T48" s="195">
        <f t="shared" si="28"/>
        <v>0</v>
      </c>
      <c r="U48" s="195">
        <f t="shared" si="28"/>
        <v>0</v>
      </c>
      <c r="V48" s="195">
        <f t="shared" si="28"/>
        <v>0</v>
      </c>
      <c r="W48" s="195">
        <f t="shared" si="28"/>
        <v>0</v>
      </c>
      <c r="X48" s="195">
        <f t="shared" si="28"/>
        <v>0</v>
      </c>
      <c r="Y48" s="195">
        <f t="shared" si="28"/>
        <v>0</v>
      </c>
      <c r="Z48" s="195">
        <f t="shared" si="28"/>
        <v>0</v>
      </c>
      <c r="AA48" s="195">
        <f t="shared" si="28"/>
        <v>0</v>
      </c>
      <c r="AB48" s="195">
        <f t="shared" si="28"/>
        <v>0</v>
      </c>
      <c r="AC48" s="195">
        <f t="shared" si="28"/>
        <v>0</v>
      </c>
      <c r="AD48" s="195">
        <f t="shared" si="28"/>
        <v>0</v>
      </c>
      <c r="AE48" s="195">
        <f t="shared" si="28"/>
        <v>0</v>
      </c>
      <c r="AF48" s="195">
        <f t="shared" si="28"/>
        <v>0</v>
      </c>
      <c r="AG48" s="195">
        <f t="shared" si="28"/>
        <v>0</v>
      </c>
      <c r="AH48" s="195">
        <f t="shared" si="28"/>
        <v>0</v>
      </c>
      <c r="AI48" s="195">
        <f t="shared" si="28"/>
        <v>0</v>
      </c>
      <c r="AJ48" s="195">
        <f t="shared" si="28"/>
        <v>0</v>
      </c>
      <c r="AK48" s="195">
        <f t="shared" si="28"/>
        <v>0</v>
      </c>
      <c r="AL48" s="195">
        <f t="shared" si="28"/>
        <v>0</v>
      </c>
      <c r="AM48" s="195">
        <f t="shared" si="28"/>
        <v>0</v>
      </c>
      <c r="AN48" s="195">
        <f t="shared" si="28"/>
        <v>0</v>
      </c>
      <c r="AO48" s="195">
        <f t="shared" si="28"/>
        <v>0</v>
      </c>
      <c r="AP48" s="195">
        <f t="shared" si="28"/>
        <v>0</v>
      </c>
      <c r="AQ48" s="195">
        <f t="shared" si="28"/>
        <v>0</v>
      </c>
      <c r="AR48" s="195">
        <f t="shared" si="28"/>
        <v>0</v>
      </c>
      <c r="AS48" s="195">
        <f t="shared" si="28"/>
        <v>0</v>
      </c>
      <c r="AT48" s="195">
        <f t="shared" si="28"/>
        <v>0</v>
      </c>
      <c r="AU48" s="195">
        <f t="shared" si="28"/>
        <v>0</v>
      </c>
      <c r="AV48" s="232"/>
      <c r="AW48" s="195">
        <f>AW49+AW60+AW79</f>
        <v>0</v>
      </c>
      <c r="AX48" s="242" t="e">
        <f t="shared" si="4"/>
        <v>#DIV/0!</v>
      </c>
    </row>
    <row r="49" ht="20.5" customHeight="1" spans="1:50">
      <c r="A49" s="176"/>
      <c r="B49" s="176"/>
      <c r="C49" s="177">
        <v>40</v>
      </c>
      <c r="D49" s="178" t="s">
        <v>115</v>
      </c>
      <c r="E49" s="197">
        <f t="shared" ref="E49:H49" si="29">E50+E53+E56+E59</f>
        <v>0</v>
      </c>
      <c r="F49" s="197">
        <f t="shared" si="29"/>
        <v>0</v>
      </c>
      <c r="G49" s="195">
        <f t="shared" si="29"/>
        <v>0</v>
      </c>
      <c r="H49" s="197">
        <f t="shared" si="29"/>
        <v>0</v>
      </c>
      <c r="I49" s="197">
        <f t="shared" ref="I49:AU49" si="30">I50+I53+I56+I59</f>
        <v>0</v>
      </c>
      <c r="J49" s="197">
        <f t="shared" si="30"/>
        <v>0</v>
      </c>
      <c r="K49" s="197">
        <f t="shared" si="30"/>
        <v>0</v>
      </c>
      <c r="L49" s="197">
        <f t="shared" si="30"/>
        <v>0</v>
      </c>
      <c r="M49" s="197">
        <f t="shared" si="30"/>
        <v>0</v>
      </c>
      <c r="N49" s="197">
        <f t="shared" si="30"/>
        <v>0</v>
      </c>
      <c r="O49" s="197">
        <f t="shared" si="30"/>
        <v>0</v>
      </c>
      <c r="P49" s="197">
        <f t="shared" si="30"/>
        <v>0</v>
      </c>
      <c r="Q49" s="197">
        <f t="shared" si="30"/>
        <v>0</v>
      </c>
      <c r="R49" s="197">
        <f t="shared" si="30"/>
        <v>0</v>
      </c>
      <c r="S49" s="197">
        <f t="shared" si="30"/>
        <v>0</v>
      </c>
      <c r="T49" s="197">
        <f t="shared" si="30"/>
        <v>0</v>
      </c>
      <c r="U49" s="197">
        <f t="shared" si="30"/>
        <v>0</v>
      </c>
      <c r="V49" s="197">
        <f t="shared" si="30"/>
        <v>0</v>
      </c>
      <c r="W49" s="197">
        <f t="shared" si="30"/>
        <v>0</v>
      </c>
      <c r="X49" s="197">
        <f t="shared" si="30"/>
        <v>0</v>
      </c>
      <c r="Y49" s="197">
        <f t="shared" si="30"/>
        <v>0</v>
      </c>
      <c r="Z49" s="197">
        <f t="shared" si="30"/>
        <v>0</v>
      </c>
      <c r="AA49" s="197">
        <f t="shared" si="30"/>
        <v>0</v>
      </c>
      <c r="AB49" s="197">
        <f t="shared" si="30"/>
        <v>0</v>
      </c>
      <c r="AC49" s="197">
        <f t="shared" si="30"/>
        <v>0</v>
      </c>
      <c r="AD49" s="197">
        <f t="shared" si="30"/>
        <v>0</v>
      </c>
      <c r="AE49" s="197">
        <f t="shared" si="30"/>
        <v>0</v>
      </c>
      <c r="AF49" s="197">
        <f t="shared" si="30"/>
        <v>0</v>
      </c>
      <c r="AG49" s="197">
        <f t="shared" si="30"/>
        <v>0</v>
      </c>
      <c r="AH49" s="197">
        <f t="shared" si="30"/>
        <v>0</v>
      </c>
      <c r="AI49" s="197">
        <f t="shared" si="30"/>
        <v>0</v>
      </c>
      <c r="AJ49" s="197">
        <f t="shared" si="30"/>
        <v>0</v>
      </c>
      <c r="AK49" s="197">
        <f t="shared" si="30"/>
        <v>0</v>
      </c>
      <c r="AL49" s="197">
        <f t="shared" si="30"/>
        <v>0</v>
      </c>
      <c r="AM49" s="197">
        <f t="shared" si="30"/>
        <v>0</v>
      </c>
      <c r="AN49" s="197">
        <f t="shared" si="30"/>
        <v>0</v>
      </c>
      <c r="AO49" s="197">
        <f t="shared" si="30"/>
        <v>0</v>
      </c>
      <c r="AP49" s="197">
        <f t="shared" si="30"/>
        <v>0</v>
      </c>
      <c r="AQ49" s="197">
        <f t="shared" si="30"/>
        <v>0</v>
      </c>
      <c r="AR49" s="197">
        <f t="shared" si="30"/>
        <v>0</v>
      </c>
      <c r="AS49" s="197">
        <f t="shared" si="30"/>
        <v>0</v>
      </c>
      <c r="AT49" s="197">
        <f t="shared" si="30"/>
        <v>0</v>
      </c>
      <c r="AU49" s="197">
        <f t="shared" si="30"/>
        <v>0</v>
      </c>
      <c r="AV49" s="234"/>
      <c r="AW49" s="197">
        <f>AW50+AW53+AW56+AW59</f>
        <v>0</v>
      </c>
      <c r="AX49" s="242" t="e">
        <f t="shared" si="4"/>
        <v>#DIV/0!</v>
      </c>
    </row>
    <row r="50" ht="20.5" customHeight="1" spans="1:50">
      <c r="A50" t="s">
        <v>4</v>
      </c>
      <c r="C50" s="166">
        <v>41</v>
      </c>
      <c r="D50" s="179" t="s">
        <v>116</v>
      </c>
      <c r="E50" s="197">
        <f t="shared" ref="E50:H50" si="31">E51+E52</f>
        <v>0</v>
      </c>
      <c r="F50" s="197">
        <f t="shared" si="31"/>
        <v>0</v>
      </c>
      <c r="G50" s="197">
        <f t="shared" si="31"/>
        <v>0</v>
      </c>
      <c r="H50" s="197">
        <f t="shared" si="31"/>
        <v>0</v>
      </c>
      <c r="I50" s="197">
        <f t="shared" ref="I50:AU50" si="32">I51+I52</f>
        <v>0</v>
      </c>
      <c r="J50" s="197">
        <f t="shared" si="32"/>
        <v>0</v>
      </c>
      <c r="K50" s="197">
        <f t="shared" si="32"/>
        <v>0</v>
      </c>
      <c r="L50" s="197">
        <f t="shared" si="32"/>
        <v>0</v>
      </c>
      <c r="M50" s="197">
        <f t="shared" si="32"/>
        <v>0</v>
      </c>
      <c r="N50" s="197">
        <f t="shared" si="32"/>
        <v>0</v>
      </c>
      <c r="O50" s="197">
        <f t="shared" si="32"/>
        <v>0</v>
      </c>
      <c r="P50" s="197">
        <f t="shared" si="32"/>
        <v>0</v>
      </c>
      <c r="Q50" s="197">
        <f t="shared" si="32"/>
        <v>0</v>
      </c>
      <c r="R50" s="197">
        <f t="shared" si="32"/>
        <v>0</v>
      </c>
      <c r="S50" s="197">
        <f t="shared" si="32"/>
        <v>0</v>
      </c>
      <c r="T50" s="197">
        <f t="shared" si="32"/>
        <v>0</v>
      </c>
      <c r="U50" s="197">
        <f t="shared" si="32"/>
        <v>0</v>
      </c>
      <c r="V50" s="197">
        <f t="shared" si="32"/>
        <v>0</v>
      </c>
      <c r="W50" s="197">
        <f t="shared" si="32"/>
        <v>0</v>
      </c>
      <c r="X50" s="197">
        <f t="shared" si="32"/>
        <v>0</v>
      </c>
      <c r="Y50" s="197">
        <f t="shared" si="32"/>
        <v>0</v>
      </c>
      <c r="Z50" s="197">
        <f t="shared" si="32"/>
        <v>0</v>
      </c>
      <c r="AA50" s="197">
        <f t="shared" si="32"/>
        <v>0</v>
      </c>
      <c r="AB50" s="197">
        <f t="shared" si="32"/>
        <v>0</v>
      </c>
      <c r="AC50" s="197">
        <f t="shared" si="32"/>
        <v>0</v>
      </c>
      <c r="AD50" s="197">
        <f t="shared" si="32"/>
        <v>0</v>
      </c>
      <c r="AE50" s="197">
        <f t="shared" si="32"/>
        <v>0</v>
      </c>
      <c r="AF50" s="197">
        <f t="shared" si="32"/>
        <v>0</v>
      </c>
      <c r="AG50" s="197">
        <f t="shared" si="32"/>
        <v>0</v>
      </c>
      <c r="AH50" s="197">
        <f t="shared" si="32"/>
        <v>0</v>
      </c>
      <c r="AI50" s="197">
        <f t="shared" si="32"/>
        <v>0</v>
      </c>
      <c r="AJ50" s="197">
        <f t="shared" si="32"/>
        <v>0</v>
      </c>
      <c r="AK50" s="197">
        <f t="shared" si="32"/>
        <v>0</v>
      </c>
      <c r="AL50" s="197">
        <f t="shared" si="32"/>
        <v>0</v>
      </c>
      <c r="AM50" s="197">
        <f t="shared" si="32"/>
        <v>0</v>
      </c>
      <c r="AN50" s="197">
        <f t="shared" si="32"/>
        <v>0</v>
      </c>
      <c r="AO50" s="197">
        <f t="shared" si="32"/>
        <v>0</v>
      </c>
      <c r="AP50" s="197">
        <f t="shared" si="32"/>
        <v>0</v>
      </c>
      <c r="AQ50" s="197">
        <f t="shared" si="32"/>
        <v>0</v>
      </c>
      <c r="AR50" s="197">
        <f t="shared" si="32"/>
        <v>0</v>
      </c>
      <c r="AS50" s="197">
        <f t="shared" si="32"/>
        <v>0</v>
      </c>
      <c r="AT50" s="197">
        <f t="shared" si="32"/>
        <v>0</v>
      </c>
      <c r="AU50" s="195">
        <f t="shared" si="32"/>
        <v>0</v>
      </c>
      <c r="AV50" s="233">
        <v>0</v>
      </c>
      <c r="AW50" s="195">
        <f>AW51+AW52</f>
        <v>0</v>
      </c>
      <c r="AX50" s="242" t="e">
        <f t="shared" si="4"/>
        <v>#DIV/0!</v>
      </c>
    </row>
    <row r="51" ht="30" customHeight="1" spans="1:50">
      <c r="A51" t="s">
        <v>4</v>
      </c>
      <c r="C51" s="166">
        <v>42</v>
      </c>
      <c r="D51" s="172" t="s">
        <v>117</v>
      </c>
      <c r="E51" s="196"/>
      <c r="F51" s="196"/>
      <c r="G51" s="195">
        <f t="shared" ref="G51:G55" si="33">E51-F51</f>
        <v>0</v>
      </c>
      <c r="H51" s="196"/>
      <c r="I51" s="196"/>
      <c r="J51" s="196"/>
      <c r="K51" s="213"/>
      <c r="L51" s="196"/>
      <c r="M51" s="196"/>
      <c r="N51" s="213"/>
      <c r="O51" s="196"/>
      <c r="P51" s="196"/>
      <c r="Q51" s="213"/>
      <c r="R51" s="196"/>
      <c r="S51" s="196"/>
      <c r="T51" s="213"/>
      <c r="U51" s="196"/>
      <c r="V51" s="213"/>
      <c r="W51" s="213"/>
      <c r="X51" s="213"/>
      <c r="Y51" s="196"/>
      <c r="Z51" s="196"/>
      <c r="AA51" s="213"/>
      <c r="AB51" s="196"/>
      <c r="AC51" s="196"/>
      <c r="AD51" s="213"/>
      <c r="AE51" s="213"/>
      <c r="AF51" s="213"/>
      <c r="AG51" s="213"/>
      <c r="AH51" s="213"/>
      <c r="AI51" s="213"/>
      <c r="AJ51" s="213"/>
      <c r="AK51" s="213"/>
      <c r="AL51" s="228"/>
      <c r="AM51" s="228"/>
      <c r="AN51" s="213"/>
      <c r="AO51" s="213"/>
      <c r="AP51" s="213"/>
      <c r="AQ51" s="213"/>
      <c r="AR51" s="196"/>
      <c r="AS51" s="196"/>
      <c r="AT51" s="213"/>
      <c r="AU51" s="195">
        <f>IF(G51-I51-J51-K51-L51-M51-N51-O51-P51-Q51-R51-S51-T51-U51-V51-W51-X51-Y51-Z51-AA51-AB51-AC51-AD51-AE51-AF51-AG51-AH51-AI51-AJ51-AL51-AM51-AN51-AO51-AP51-AQ51-AR51-AS51-AT51&lt;0,0,G51-I51-J51-K51-L51-M51-N51-O51-P51-Q51-R51-S51-T51-U51-V51-W51-X51-Y51-Z51-AA51-AB51-AC51-AD51-AE51-AF51-AG51-AH51-AI51-AJ51-AL51-AM51-AN51-AO51-AP51-AQ51-AR51-AS51-AT51)</f>
        <v>0</v>
      </c>
      <c r="AV51" s="233">
        <v>0.2</v>
      </c>
      <c r="AW51" s="243">
        <f>I51*$I$8+J51*$J$8+K51*$K$8+L51*$L$8+M51*$M$8+N51*$N$8+O51*$O$8+P51*$P$8+Q51*$Q$8+R51*$R$8+S51*$S$8+T51*$T$8+U51*$U$8+V51*$V$8+W51*$W$8+X51*$X$8+Y51*$Y$8+Z51*$Z$8+AA51*$AA$8++AB51*$AB$8+AC51*$AC$8+AD51*$AD$8+AE51*$AE$8+AF51*$AF$8+AG51*$AG$8+AH51*$AH$8+AI51*$AI$8+AJ51*$AJ$8+AL51*$AL$8+AM51*$AM$8+AN51*$AN$8+AO51*$AO$8+AP51*$AP$8+AQ51*$AQ$8+AR51*$AR$8+AS51*$AS$8+AT51*$AT$8</f>
        <v>0</v>
      </c>
      <c r="AX51" s="242" t="e">
        <f t="shared" si="4"/>
        <v>#DIV/0!</v>
      </c>
    </row>
    <row r="52" ht="20.5" customHeight="1" spans="1:50">
      <c r="A52" t="s">
        <v>4</v>
      </c>
      <c r="C52" s="166">
        <v>43</v>
      </c>
      <c r="D52" s="172" t="s">
        <v>118</v>
      </c>
      <c r="E52" s="198"/>
      <c r="F52" s="198"/>
      <c r="G52" s="195">
        <f t="shared" si="33"/>
        <v>0</v>
      </c>
      <c r="H52" s="198"/>
      <c r="I52" s="196"/>
      <c r="J52" s="196"/>
      <c r="K52" s="196"/>
      <c r="L52" s="196"/>
      <c r="M52" s="196"/>
      <c r="N52" s="196"/>
      <c r="O52" s="196"/>
      <c r="P52" s="196"/>
      <c r="Q52" s="196"/>
      <c r="R52" s="196"/>
      <c r="S52" s="196"/>
      <c r="T52" s="196"/>
      <c r="U52" s="196"/>
      <c r="V52" s="196"/>
      <c r="W52" s="196"/>
      <c r="X52" s="213"/>
      <c r="Y52" s="196"/>
      <c r="Z52" s="196"/>
      <c r="AA52" s="196"/>
      <c r="AB52" s="196"/>
      <c r="AC52" s="196"/>
      <c r="AD52" s="196"/>
      <c r="AE52" s="196"/>
      <c r="AF52" s="213"/>
      <c r="AG52" s="196"/>
      <c r="AH52" s="213"/>
      <c r="AI52" s="213"/>
      <c r="AJ52" s="213"/>
      <c r="AK52" s="213"/>
      <c r="AL52" s="196"/>
      <c r="AM52" s="196"/>
      <c r="AN52" s="196"/>
      <c r="AO52" s="196"/>
      <c r="AP52" s="213"/>
      <c r="AQ52" s="213"/>
      <c r="AR52" s="196"/>
      <c r="AS52" s="196"/>
      <c r="AT52" s="196"/>
      <c r="AU52" s="195">
        <f>IF(G52-I52-J52-K52-L52-M52-N52-O52-P52-Q52-R52-S52-T52-U52-V52-W52-X52-Y52-Z52-AA52-AB52-AC52-AD52-AE52-AF52-AG52-AH52-AI52-AJ52-AL52-AM52-AN52-AO52-AP52-AQ52-AR52-AS52-AT52&lt;0,0,G52-I52-J52-K52-L52-M52-N52-O52-P52-Q52-R52-S52-T52-U52-V52-W52-X52-Y52-Z52-AA52-AB52-AC52-AD52-AE52-AF52-AG52-AH52-AI52-AJ52-AL52-AM52-AN52-AO52-AP52-AQ52-AR52-AS52-AT52)</f>
        <v>0</v>
      </c>
      <c r="AV52" s="235">
        <v>0.3</v>
      </c>
      <c r="AW52" s="243">
        <f>I52*$I$8+J52*$J$8+K52*$K$8+L52*$L$8+M52*$M$8+N52*$N$8+O52*$O$8+P52*$P$8+Q52*$Q$8+R52*$R$8+S52*$S$8+T52*$T$8+U52*$U$8+V52*$V$8+W52*$W$8+X52*$X$8+Y52*$Y$8+Z52*$Z$8+AA52*$AA$8++AB52*$AB$8+AC52*$AC$8+AD52*$AD$8+AE52*$AE$8+AF52*$AF$8+AG52*$AG$8+AH52*$AH$8+AI52*$AI$8+AJ52*$AJ$8+AL52*$AL$8+AM52*$AM$8+AN52*$AN$8+AO52*$AO$8+AP52*$AP$8+AQ52*$AQ$8+AR52*$AR$8+AS52*$AS$8+AT52*$AT$8</f>
        <v>0</v>
      </c>
      <c r="AX52" s="242" t="e">
        <f t="shared" si="4"/>
        <v>#DIV/0!</v>
      </c>
    </row>
    <row r="53" ht="20.5" customHeight="1" spans="1:66">
      <c r="A53" t="s">
        <v>4</v>
      </c>
      <c r="C53" s="166">
        <v>44</v>
      </c>
      <c r="D53" s="179" t="s">
        <v>119</v>
      </c>
      <c r="E53" s="199">
        <f t="shared" ref="E53:H53" si="34">E54+E55</f>
        <v>0</v>
      </c>
      <c r="F53" s="199">
        <f t="shared" si="34"/>
        <v>0</v>
      </c>
      <c r="G53" s="199">
        <f t="shared" si="34"/>
        <v>0</v>
      </c>
      <c r="H53" s="199">
        <f t="shared" si="34"/>
        <v>0</v>
      </c>
      <c r="I53" s="199">
        <f t="shared" ref="I53:AU53" si="35">I54+I55</f>
        <v>0</v>
      </c>
      <c r="J53" s="199">
        <f t="shared" si="35"/>
        <v>0</v>
      </c>
      <c r="K53" s="199">
        <f t="shared" si="35"/>
        <v>0</v>
      </c>
      <c r="L53" s="199">
        <f t="shared" si="35"/>
        <v>0</v>
      </c>
      <c r="M53" s="199">
        <f t="shared" si="35"/>
        <v>0</v>
      </c>
      <c r="N53" s="199">
        <f t="shared" si="35"/>
        <v>0</v>
      </c>
      <c r="O53" s="199">
        <f t="shared" si="35"/>
        <v>0</v>
      </c>
      <c r="P53" s="199">
        <f t="shared" si="35"/>
        <v>0</v>
      </c>
      <c r="Q53" s="199">
        <f t="shared" si="35"/>
        <v>0</v>
      </c>
      <c r="R53" s="199">
        <f t="shared" si="35"/>
        <v>0</v>
      </c>
      <c r="S53" s="199">
        <f t="shared" si="35"/>
        <v>0</v>
      </c>
      <c r="T53" s="199">
        <f t="shared" si="35"/>
        <v>0</v>
      </c>
      <c r="U53" s="199">
        <f t="shared" si="35"/>
        <v>0</v>
      </c>
      <c r="V53" s="199">
        <f t="shared" si="35"/>
        <v>0</v>
      </c>
      <c r="W53" s="199">
        <f t="shared" si="35"/>
        <v>0</v>
      </c>
      <c r="X53" s="199">
        <f t="shared" si="35"/>
        <v>0</v>
      </c>
      <c r="Y53" s="199">
        <f t="shared" si="35"/>
        <v>0</v>
      </c>
      <c r="Z53" s="199">
        <f t="shared" si="35"/>
        <v>0</v>
      </c>
      <c r="AA53" s="199">
        <f t="shared" si="35"/>
        <v>0</v>
      </c>
      <c r="AB53" s="199">
        <f t="shared" si="35"/>
        <v>0</v>
      </c>
      <c r="AC53" s="199">
        <f t="shared" si="35"/>
        <v>0</v>
      </c>
      <c r="AD53" s="199">
        <f t="shared" si="35"/>
        <v>0</v>
      </c>
      <c r="AE53" s="199">
        <f t="shared" si="35"/>
        <v>0</v>
      </c>
      <c r="AF53" s="199">
        <f t="shared" si="35"/>
        <v>0</v>
      </c>
      <c r="AG53" s="199">
        <f t="shared" si="35"/>
        <v>0</v>
      </c>
      <c r="AH53" s="199">
        <f t="shared" si="35"/>
        <v>0</v>
      </c>
      <c r="AI53" s="199">
        <f t="shared" si="35"/>
        <v>0</v>
      </c>
      <c r="AJ53" s="199">
        <f t="shared" si="35"/>
        <v>0</v>
      </c>
      <c r="AK53" s="199">
        <f t="shared" si="35"/>
        <v>0</v>
      </c>
      <c r="AL53" s="199">
        <f t="shared" si="35"/>
        <v>0</v>
      </c>
      <c r="AM53" s="199">
        <f t="shared" si="35"/>
        <v>0</v>
      </c>
      <c r="AN53" s="199">
        <f t="shared" si="35"/>
        <v>0</v>
      </c>
      <c r="AO53" s="199">
        <f t="shared" si="35"/>
        <v>0</v>
      </c>
      <c r="AP53" s="199">
        <f t="shared" si="35"/>
        <v>0</v>
      </c>
      <c r="AQ53" s="199">
        <f t="shared" si="35"/>
        <v>0</v>
      </c>
      <c r="AR53" s="199">
        <f t="shared" si="35"/>
        <v>0</v>
      </c>
      <c r="AS53" s="199">
        <f t="shared" si="35"/>
        <v>0</v>
      </c>
      <c r="AT53" s="199">
        <f t="shared" si="35"/>
        <v>0</v>
      </c>
      <c r="AU53" s="199">
        <f t="shared" si="35"/>
        <v>0</v>
      </c>
      <c r="AV53" s="236"/>
      <c r="AW53" s="199">
        <f>AW54+AW55</f>
        <v>0</v>
      </c>
      <c r="AX53" s="242" t="e">
        <f t="shared" si="4"/>
        <v>#DIV/0!</v>
      </c>
      <c r="AZ53" s="244"/>
      <c r="BA53" s="244"/>
      <c r="BB53" s="244"/>
      <c r="BC53" s="244"/>
      <c r="BD53" s="244"/>
      <c r="BE53" s="244"/>
      <c r="BF53" s="244"/>
      <c r="BG53" s="244"/>
      <c r="BH53" s="244"/>
      <c r="BI53" s="244"/>
      <c r="BJ53" s="244"/>
      <c r="BK53" s="244"/>
      <c r="BL53" s="244"/>
      <c r="BM53" s="244"/>
      <c r="BN53" s="244"/>
    </row>
    <row r="54" ht="30" customHeight="1" spans="1:66">
      <c r="A54" t="s">
        <v>4</v>
      </c>
      <c r="C54" s="166">
        <v>45</v>
      </c>
      <c r="D54" s="172" t="s">
        <v>120</v>
      </c>
      <c r="E54" s="196"/>
      <c r="F54" s="196"/>
      <c r="G54" s="195">
        <f t="shared" si="33"/>
        <v>0</v>
      </c>
      <c r="H54" s="196"/>
      <c r="I54" s="196"/>
      <c r="J54" s="196"/>
      <c r="K54" s="213"/>
      <c r="L54" s="196"/>
      <c r="M54" s="196"/>
      <c r="N54" s="213"/>
      <c r="O54" s="196"/>
      <c r="P54" s="196"/>
      <c r="Q54" s="213"/>
      <c r="R54" s="196"/>
      <c r="S54" s="196"/>
      <c r="T54" s="213"/>
      <c r="U54" s="196"/>
      <c r="V54" s="213"/>
      <c r="W54" s="213"/>
      <c r="X54" s="213"/>
      <c r="Y54" s="196"/>
      <c r="Z54" s="196"/>
      <c r="AA54" s="213"/>
      <c r="AB54" s="196"/>
      <c r="AC54" s="196"/>
      <c r="AD54" s="213"/>
      <c r="AE54" s="213"/>
      <c r="AF54" s="213"/>
      <c r="AG54" s="213"/>
      <c r="AH54" s="213"/>
      <c r="AI54" s="213"/>
      <c r="AJ54" s="213"/>
      <c r="AK54" s="213"/>
      <c r="AL54" s="228"/>
      <c r="AM54" s="228"/>
      <c r="AN54" s="213"/>
      <c r="AO54" s="213"/>
      <c r="AP54" s="213"/>
      <c r="AQ54" s="213"/>
      <c r="AR54" s="196"/>
      <c r="AS54" s="196"/>
      <c r="AT54" s="213"/>
      <c r="AU54" s="195">
        <f>IF(G54-I54-J54-K54-L54-M54-N54-O54-P54-Q54-R54-S54-T54-U54-V54-W54-X54-Y54-Z54-AA54-AB54-AC54-AD54-AE54-AF54-AG54-AH54-AI54-AJ54-AL54-AM54-AN54-AO54-AP54-AQ54-AR54-AS54-AT54&lt;0,0,G54-I54-J54-K54-L54-M54-N54-O54-P54-Q54-R54-S54-T54-U54-V54-W54-X54-Y54-Z54-AA54-AB54-AC54-AD54-AE54-AF54-AG54-AH54-AI54-AJ54-AL54-AM54-AN54-AO54-AP54-AQ54-AR54-AS54-AT54)</f>
        <v>0</v>
      </c>
      <c r="AV54" s="237">
        <v>0.2</v>
      </c>
      <c r="AW54" s="243">
        <f>I54*$I$8+J54*$J$8+K54*$K$8+L54*$L$8+M54*$M$8+N54*$N$8+O54*$O$8+P54*$P$8+Q54*$Q$8+R54*$R$8+S54*$S$8+T54*$T$8+U54*$U$8+V54*$V$8+W54*$W$8+X54*$X$8+Y54*$Y$8+Z54*$Z$8+AA54*$AA$8++AB54*$AB$8+AC54*$AC$8+AD54*$AD$8+AE54*$AE$8+AF54*$AF$8+AG54*$AG$8+AH54*$AH$8+AI54*$AI$8+AJ54*$AJ$8+AL54*$AL$8+AM54*$AM$8+AN54*$AN$8+AO54*$AO$8+AP54*$AP$8+AQ54*$AQ$8+AR54*$AR$8+AS54*$AS$8+AT54*$AT$8</f>
        <v>0</v>
      </c>
      <c r="AX54" s="242" t="e">
        <f t="shared" si="4"/>
        <v>#DIV/0!</v>
      </c>
      <c r="AY54" s="245"/>
      <c r="AZ54" s="245"/>
      <c r="BA54" s="245"/>
      <c r="BB54" s="245"/>
      <c r="BC54" s="245"/>
      <c r="BD54" s="245"/>
      <c r="BE54" s="245"/>
      <c r="BF54" s="246"/>
      <c r="BG54" s="246"/>
      <c r="BH54" s="245"/>
      <c r="BI54" s="245"/>
      <c r="BJ54" s="245"/>
      <c r="BK54" s="245"/>
      <c r="BL54" s="245"/>
      <c r="BM54" s="245"/>
      <c r="BN54" s="245"/>
    </row>
    <row r="55" ht="20.5" customHeight="1" spans="1:50">
      <c r="A55" t="s">
        <v>4</v>
      </c>
      <c r="C55" s="166">
        <v>46</v>
      </c>
      <c r="D55" s="172" t="s">
        <v>121</v>
      </c>
      <c r="E55" s="196"/>
      <c r="F55" s="196"/>
      <c r="G55" s="195">
        <f t="shared" si="33"/>
        <v>0</v>
      </c>
      <c r="H55" s="196"/>
      <c r="I55" s="196"/>
      <c r="J55" s="196"/>
      <c r="K55" s="196"/>
      <c r="L55" s="196"/>
      <c r="M55" s="196"/>
      <c r="N55" s="196"/>
      <c r="O55" s="196"/>
      <c r="P55" s="196"/>
      <c r="Q55" s="196"/>
      <c r="R55" s="196"/>
      <c r="S55" s="196"/>
      <c r="T55" s="196"/>
      <c r="U55" s="196"/>
      <c r="V55" s="196"/>
      <c r="W55" s="196"/>
      <c r="X55" s="213"/>
      <c r="Y55" s="196"/>
      <c r="Z55" s="196"/>
      <c r="AA55" s="196"/>
      <c r="AB55" s="196"/>
      <c r="AC55" s="196"/>
      <c r="AD55" s="196"/>
      <c r="AE55" s="196"/>
      <c r="AF55" s="213"/>
      <c r="AG55" s="228"/>
      <c r="AH55" s="213"/>
      <c r="AI55" s="196"/>
      <c r="AJ55" s="213"/>
      <c r="AK55" s="213"/>
      <c r="AL55" s="196"/>
      <c r="AM55" s="196"/>
      <c r="AN55" s="196"/>
      <c r="AO55" s="196"/>
      <c r="AP55" s="196"/>
      <c r="AQ55" s="213"/>
      <c r="AR55" s="196"/>
      <c r="AS55" s="196"/>
      <c r="AT55" s="196"/>
      <c r="AU55" s="195">
        <f>IF(G55-I55-J55-K55-L55-M55-N55-O55-P55-Q55-R55-S55-T55-U55-V55-W55-X55-Y55-Z55-AA55-AB55-AC55-AD55-AE55-AF55-AG55-AH55-AI55-AJ55-AL55-AM55-AN55-AO55-AP55-AQ55-AR55-AS55-AT55&lt;0,0,G55-I55-J55-K55-L55-M55-N55-O55-P55-Q55-R55-S55-T55-U55-V55-W55-X55-Y55-Z55-AA55-AB55-AC55-AD55-AE55-AF55-AG55-AH55-AI55-AJ55-AL55-AM55-AN55-AO55-AP55-AQ55-AR55-AS55-AT55)</f>
        <v>0</v>
      </c>
      <c r="AV55" s="233">
        <v>0.4</v>
      </c>
      <c r="AW55" s="243">
        <f>I55*$I$8+J55*$J$8+K55*$K$8+L55*$L$8+M55*$M$8+N55*$N$8+O55*$O$8+P55*$P$8+Q55*$Q$8+R55*$R$8+S55*$S$8+T55*$T$8+U55*$U$8+V55*$V$8+W55*$W$8+X55*$X$8+Y55*$Y$8+Z55*$Z$8+AA55*$AA$8++AB55*$AB$8+AC55*$AC$8+AD55*$AD$8+AE55*$AE$8+AF55*$AF$8+AG55*$AG$8+AH55*$AH$8+AI55*$AI$8+AJ55*$AJ$8+AL55*$AL$8+AM55*$AM$8+AN55*$AN$8+AO55*$AO$8+AP55*$AP$8+AQ55*$AQ$8+AR55*$AR$8+AS55*$AS$8+AT55*$AT$8</f>
        <v>0</v>
      </c>
      <c r="AX55" s="242" t="e">
        <f t="shared" si="4"/>
        <v>#DIV/0!</v>
      </c>
    </row>
    <row r="56" ht="23" customHeight="1" spans="1:50">
      <c r="A56" t="s">
        <v>4</v>
      </c>
      <c r="C56" s="166">
        <v>47</v>
      </c>
      <c r="D56" s="179" t="s">
        <v>122</v>
      </c>
      <c r="E56" s="195">
        <f t="shared" ref="E56:H56" si="36">E57+E58</f>
        <v>0</v>
      </c>
      <c r="F56" s="195">
        <f t="shared" si="36"/>
        <v>0</v>
      </c>
      <c r="G56" s="195">
        <f t="shared" si="36"/>
        <v>0</v>
      </c>
      <c r="H56" s="195">
        <f t="shared" si="36"/>
        <v>0</v>
      </c>
      <c r="I56" s="195">
        <f t="shared" ref="I56:AU56" si="37">I57+I58</f>
        <v>0</v>
      </c>
      <c r="J56" s="195">
        <f t="shared" si="37"/>
        <v>0</v>
      </c>
      <c r="K56" s="195">
        <f t="shared" si="37"/>
        <v>0</v>
      </c>
      <c r="L56" s="195">
        <f t="shared" si="37"/>
        <v>0</v>
      </c>
      <c r="M56" s="195">
        <f t="shared" si="37"/>
        <v>0</v>
      </c>
      <c r="N56" s="195">
        <f t="shared" si="37"/>
        <v>0</v>
      </c>
      <c r="O56" s="195">
        <f t="shared" si="37"/>
        <v>0</v>
      </c>
      <c r="P56" s="195">
        <f t="shared" si="37"/>
        <v>0</v>
      </c>
      <c r="Q56" s="195">
        <f t="shared" si="37"/>
        <v>0</v>
      </c>
      <c r="R56" s="195">
        <f t="shared" si="37"/>
        <v>0</v>
      </c>
      <c r="S56" s="195">
        <f t="shared" si="37"/>
        <v>0</v>
      </c>
      <c r="T56" s="195">
        <f t="shared" si="37"/>
        <v>0</v>
      </c>
      <c r="U56" s="195">
        <f t="shared" si="37"/>
        <v>0</v>
      </c>
      <c r="V56" s="195">
        <f t="shared" si="37"/>
        <v>0</v>
      </c>
      <c r="W56" s="195">
        <f t="shared" si="37"/>
        <v>0</v>
      </c>
      <c r="X56" s="195">
        <f t="shared" si="37"/>
        <v>0</v>
      </c>
      <c r="Y56" s="195">
        <f t="shared" si="37"/>
        <v>0</v>
      </c>
      <c r="Z56" s="195">
        <f t="shared" si="37"/>
        <v>0</v>
      </c>
      <c r="AA56" s="195">
        <f t="shared" si="37"/>
        <v>0</v>
      </c>
      <c r="AB56" s="195">
        <f t="shared" si="37"/>
        <v>0</v>
      </c>
      <c r="AC56" s="195">
        <f t="shared" si="37"/>
        <v>0</v>
      </c>
      <c r="AD56" s="195">
        <f t="shared" si="37"/>
        <v>0</v>
      </c>
      <c r="AE56" s="195">
        <f t="shared" si="37"/>
        <v>0</v>
      </c>
      <c r="AF56" s="195">
        <f t="shared" si="37"/>
        <v>0</v>
      </c>
      <c r="AG56" s="195">
        <f t="shared" si="37"/>
        <v>0</v>
      </c>
      <c r="AH56" s="195">
        <f t="shared" si="37"/>
        <v>0</v>
      </c>
      <c r="AI56" s="195">
        <f t="shared" si="37"/>
        <v>0</v>
      </c>
      <c r="AJ56" s="195">
        <f t="shared" si="37"/>
        <v>0</v>
      </c>
      <c r="AK56" s="195">
        <f t="shared" si="37"/>
        <v>0</v>
      </c>
      <c r="AL56" s="195">
        <f t="shared" si="37"/>
        <v>0</v>
      </c>
      <c r="AM56" s="195">
        <f t="shared" si="37"/>
        <v>0</v>
      </c>
      <c r="AN56" s="195">
        <f t="shared" si="37"/>
        <v>0</v>
      </c>
      <c r="AO56" s="195">
        <f t="shared" si="37"/>
        <v>0</v>
      </c>
      <c r="AP56" s="195">
        <f t="shared" si="37"/>
        <v>0</v>
      </c>
      <c r="AQ56" s="195">
        <f t="shared" si="37"/>
        <v>0</v>
      </c>
      <c r="AR56" s="195">
        <f t="shared" si="37"/>
        <v>0</v>
      </c>
      <c r="AS56" s="195">
        <f t="shared" si="37"/>
        <v>0</v>
      </c>
      <c r="AT56" s="195">
        <f t="shared" si="37"/>
        <v>0</v>
      </c>
      <c r="AU56" s="195">
        <f t="shared" si="37"/>
        <v>0</v>
      </c>
      <c r="AV56" s="232"/>
      <c r="AW56" s="195">
        <f>AW57+AW58</f>
        <v>0</v>
      </c>
      <c r="AX56" s="242" t="e">
        <f t="shared" si="4"/>
        <v>#DIV/0!</v>
      </c>
    </row>
    <row r="57" ht="29" customHeight="1" spans="1:50">
      <c r="A57" t="s">
        <v>4</v>
      </c>
      <c r="C57" s="166">
        <v>48</v>
      </c>
      <c r="D57" s="172" t="s">
        <v>123</v>
      </c>
      <c r="E57" s="196"/>
      <c r="F57" s="196"/>
      <c r="G57" s="195">
        <f t="shared" ref="G57:G59" si="38">E57-F57</f>
        <v>0</v>
      </c>
      <c r="H57" s="196"/>
      <c r="I57" s="196"/>
      <c r="J57" s="196"/>
      <c r="K57" s="196"/>
      <c r="L57" s="196"/>
      <c r="M57" s="196"/>
      <c r="N57" s="196"/>
      <c r="O57" s="196"/>
      <c r="P57" s="196"/>
      <c r="Q57" s="196"/>
      <c r="R57" s="196"/>
      <c r="S57" s="196"/>
      <c r="T57" s="196"/>
      <c r="U57" s="196"/>
      <c r="V57" s="196"/>
      <c r="W57" s="196"/>
      <c r="X57" s="213"/>
      <c r="Y57" s="196"/>
      <c r="Z57" s="196"/>
      <c r="AA57" s="196"/>
      <c r="AB57" s="196"/>
      <c r="AC57" s="196"/>
      <c r="AD57" s="196"/>
      <c r="AE57" s="196"/>
      <c r="AF57" s="213"/>
      <c r="AG57" s="228"/>
      <c r="AH57" s="213"/>
      <c r="AI57" s="228"/>
      <c r="AJ57" s="228"/>
      <c r="AK57" s="213"/>
      <c r="AL57" s="228"/>
      <c r="AM57" s="228"/>
      <c r="AN57" s="228"/>
      <c r="AO57" s="228"/>
      <c r="AP57" s="228"/>
      <c r="AQ57" s="213"/>
      <c r="AR57" s="196"/>
      <c r="AS57" s="196"/>
      <c r="AT57" s="196"/>
      <c r="AU57" s="195">
        <f>IF(G57-I57-J57-K57-L57-M57-N57-O57-P57-Q57-R57-S57-T57-U57-V57-W57-X57-Y57-Z57-AA57-AB57-AC57-AD57-AE57-AF57-AG57-AH57-AI57-AJ57-AL57-AM57-AN57-AO57-AP57-AQ57-AR57-AS57-AT57&lt;0,0,G57-I57-J57-K57-L57-M57-N57-O57-P57-Q57-R57-S57-T57-U57-V57-W57-X57-Y57-Z57-AA57-AB57-AC57-AD57-AE57-AF57-AG57-AH57-AI57-AJ57-AL57-AM57-AN57-AO57-AP57-AQ57-AR57-AS57-AT57)</f>
        <v>0</v>
      </c>
      <c r="AV57" s="233">
        <v>0.5</v>
      </c>
      <c r="AW57" s="243">
        <f>I57*$I$8+J57*$J$8+K57*$K$8+L57*$L$8+M57*$M$8+N57*$N$8+O57*$O$8+P57*$P$8+Q57*$Q$8+R57*$R$8+S57*$S$8+T57*$T$8+U57*$U$8+V57*$V$8+W57*$W$8+X57*$X$8+Y57*$Y$8+Z57*$Z$8+AA57*$AA$8++AB57*$AB$8+AC57*$AC$8+AD57*$AD$8+AE57*$AE$8+AF57*$AF$8+AG57*$AG$8+AH57*$AH$8+AI57*$AI$8+AJ57*$AJ$8+AL57*$AL$8+AM57*$AM$8+AN57*$AN$8+AO57*$AO$8+AP57*$AP$8+AQ57*$AQ$8+AR57*$AR$8+AS57*$AS$8+AT57*$AT$8</f>
        <v>0</v>
      </c>
      <c r="AX57" s="242" t="e">
        <f t="shared" si="4"/>
        <v>#DIV/0!</v>
      </c>
    </row>
    <row r="58" ht="20.5" customHeight="1" spans="1:50">
      <c r="A58" t="s">
        <v>4</v>
      </c>
      <c r="C58" s="166">
        <v>49</v>
      </c>
      <c r="D58" s="172" t="s">
        <v>124</v>
      </c>
      <c r="E58" s="196"/>
      <c r="F58" s="196"/>
      <c r="G58" s="195">
        <f t="shared" si="38"/>
        <v>0</v>
      </c>
      <c r="H58" s="196"/>
      <c r="I58" s="196"/>
      <c r="J58" s="196"/>
      <c r="K58" s="196"/>
      <c r="L58" s="196"/>
      <c r="M58" s="196"/>
      <c r="N58" s="196"/>
      <c r="O58" s="196"/>
      <c r="P58" s="196"/>
      <c r="Q58" s="196"/>
      <c r="R58" s="196"/>
      <c r="S58" s="196"/>
      <c r="T58" s="196"/>
      <c r="U58" s="196"/>
      <c r="V58" s="196"/>
      <c r="W58" s="196"/>
      <c r="X58" s="196"/>
      <c r="Y58" s="196"/>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5">
        <f>IF(G58-I58-J58-K58-L58-M58-N58-O58-P58-Q58-R58-S58-T58-U58-V58-W58-X58-Y58-Z58-AA58-AB58-AC58-AD58-AE58-AF58-AG58-AH58-AI58-AJ58-AL58-AM58-AN58-AO58-AP58-AQ58-AR58-AS58-AT58&lt;0,0,G58-I58-J58-K58-L58-M58-N58-O58-P58-Q58-R58-S58-T58-U58-V58-W58-X58-Y58-Z58-AA58-AB58-AC58-AD58-AE58-AF58-AG58-AH58-AI58-AJ58-AL58-AM58-AN58-AO58-AP58-AQ58-AR58-AS58-AT58)</f>
        <v>0</v>
      </c>
      <c r="AV58" s="233">
        <v>0.75</v>
      </c>
      <c r="AW58" s="243">
        <f>I58*$I$8+J58*$J$8+K58*$K$8+L58*$L$8+M58*$M$8+N58*$N$8+O58*$O$8+P58*$P$8+Q58*$Q$8+R58*$R$8+S58*$S$8+T58*$T$8+U58*$U$8+V58*$V$8+W58*$W$8+X58*$X$8+Y58*$Y$8+Z58*$Z$8+AA58*$AA$8++AB58*$AB$8+AC58*$AC$8+AD58*$AD$8+AE58*$AE$8+AF58*$AF$8+AG58*$AG$8+AH58*$AH$8+AI58*$AI$8+AJ58*$AJ$8+AL58*$AL$8+AM58*$AM$8+AN58*$AN$8+AO58*$AO$8+AP58*$AP$8+AQ58*$AQ$8+AR58*$AR$8+AS58*$AS$8+AT58*$AT$8</f>
        <v>0</v>
      </c>
      <c r="AX58" s="242" t="e">
        <f t="shared" si="4"/>
        <v>#DIV/0!</v>
      </c>
    </row>
    <row r="59" ht="20.5" customHeight="1" spans="1:50">
      <c r="A59" t="s">
        <v>4</v>
      </c>
      <c r="C59" s="166">
        <v>50</v>
      </c>
      <c r="D59" s="179" t="s">
        <v>125</v>
      </c>
      <c r="E59" s="196"/>
      <c r="F59" s="196"/>
      <c r="G59" s="195">
        <f t="shared" si="38"/>
        <v>0</v>
      </c>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5">
        <f>IF(G59-I59-J59-K59-L59-M59-N59-O59-P59-Q59-R59-S59-T59-U59-V59-W59-X59-Y59-Z59-AA59-AB59-AC59-AD59-AE59-AF59-AG59-AH59-AI59-AJ59-AL59-AM59-AN59-AO59-AP59-AQ59-AR59-AS59-AT59&lt;0,0,G59-I59-J59-K59-L59-M59-N59-O59-P59-Q59-R59-S59-T59-U59-V59-W59-X59-Y59-Z59-AA59-AB59-AC59-AD59-AE59-AF59-AG59-AH59-AI59-AJ59-AL59-AM59-AN59-AO59-AP59-AQ59-AR59-AS59-AT59)</f>
        <v>0</v>
      </c>
      <c r="AV59" s="233">
        <v>1.5</v>
      </c>
      <c r="AW59" s="243">
        <f>I59*$I$8+J59*$J$8+K59*$K$8+L59*$L$8+M59*$M$8+N59*$N$8+O59*$O$8+P59*$P$8+Q59*$Q$8+R59*$R$8+S59*$S$8+T59*$T$8+U59*$U$8+V59*$V$8+W59*$W$8+X59*$X$8+Y59*$Y$8+Z59*$Z$8+AA59*$AA$8++AB59*$AB$8+AC59*$AC$8+AD59*$AD$8+AE59*$AE$8+AF59*$AF$8+AG59*$AG$8+AH59*$AH$8+AI59*$AI$8+AJ59*$AJ$8+AL59*$AL$8+AM59*$AM$8+AN59*$AN$8+AO59*$AO$8+AP59*$AP$8+AQ59*$AQ$8+AR59*$AR$8+AS59*$AS$8+AT59*$AT$8</f>
        <v>0</v>
      </c>
      <c r="AX59" s="242" t="e">
        <f t="shared" si="4"/>
        <v>#DIV/0!</v>
      </c>
    </row>
    <row r="60" ht="20.5" customHeight="1" spans="1:50">
      <c r="A60" s="176"/>
      <c r="B60" s="176"/>
      <c r="C60" s="177">
        <v>51</v>
      </c>
      <c r="D60" s="178" t="s">
        <v>126</v>
      </c>
      <c r="E60" s="200">
        <f t="shared" ref="E60:H60" si="39">E61+E67+E73+E78</f>
        <v>0</v>
      </c>
      <c r="F60" s="200">
        <f t="shared" si="39"/>
        <v>0</v>
      </c>
      <c r="G60" s="200">
        <f t="shared" si="39"/>
        <v>0</v>
      </c>
      <c r="H60" s="200">
        <f t="shared" si="39"/>
        <v>0</v>
      </c>
      <c r="I60" s="200">
        <f t="shared" ref="I60:AU60" si="40">I61+I67+I73+I78</f>
        <v>0</v>
      </c>
      <c r="J60" s="200">
        <f t="shared" si="40"/>
        <v>0</v>
      </c>
      <c r="K60" s="200">
        <f t="shared" si="40"/>
        <v>0</v>
      </c>
      <c r="L60" s="200">
        <f t="shared" si="40"/>
        <v>0</v>
      </c>
      <c r="M60" s="200">
        <f t="shared" si="40"/>
        <v>0</v>
      </c>
      <c r="N60" s="200">
        <f t="shared" si="40"/>
        <v>0</v>
      </c>
      <c r="O60" s="200">
        <f t="shared" si="40"/>
        <v>0</v>
      </c>
      <c r="P60" s="200">
        <f t="shared" si="40"/>
        <v>0</v>
      </c>
      <c r="Q60" s="200">
        <f t="shared" si="40"/>
        <v>0</v>
      </c>
      <c r="R60" s="200">
        <f t="shared" si="40"/>
        <v>0</v>
      </c>
      <c r="S60" s="200">
        <f t="shared" si="40"/>
        <v>0</v>
      </c>
      <c r="T60" s="200">
        <f t="shared" si="40"/>
        <v>0</v>
      </c>
      <c r="U60" s="200">
        <f t="shared" si="40"/>
        <v>0</v>
      </c>
      <c r="V60" s="200">
        <f t="shared" si="40"/>
        <v>0</v>
      </c>
      <c r="W60" s="200">
        <f t="shared" si="40"/>
        <v>0</v>
      </c>
      <c r="X60" s="200">
        <f t="shared" si="40"/>
        <v>0</v>
      </c>
      <c r="Y60" s="200">
        <f t="shared" si="40"/>
        <v>0</v>
      </c>
      <c r="Z60" s="200">
        <f t="shared" si="40"/>
        <v>0</v>
      </c>
      <c r="AA60" s="200">
        <f t="shared" si="40"/>
        <v>0</v>
      </c>
      <c r="AB60" s="200">
        <f t="shared" si="40"/>
        <v>0</v>
      </c>
      <c r="AC60" s="200">
        <f t="shared" si="40"/>
        <v>0</v>
      </c>
      <c r="AD60" s="200">
        <f t="shared" si="40"/>
        <v>0</v>
      </c>
      <c r="AE60" s="200">
        <f t="shared" si="40"/>
        <v>0</v>
      </c>
      <c r="AF60" s="200">
        <f t="shared" si="40"/>
        <v>0</v>
      </c>
      <c r="AG60" s="200">
        <f t="shared" si="40"/>
        <v>0</v>
      </c>
      <c r="AH60" s="200">
        <f t="shared" si="40"/>
        <v>0</v>
      </c>
      <c r="AI60" s="200">
        <f t="shared" si="40"/>
        <v>0</v>
      </c>
      <c r="AJ60" s="200">
        <f t="shared" si="40"/>
        <v>0</v>
      </c>
      <c r="AK60" s="200">
        <f t="shared" si="40"/>
        <v>0</v>
      </c>
      <c r="AL60" s="200">
        <f t="shared" si="40"/>
        <v>0</v>
      </c>
      <c r="AM60" s="200">
        <f t="shared" si="40"/>
        <v>0</v>
      </c>
      <c r="AN60" s="200">
        <f t="shared" si="40"/>
        <v>0</v>
      </c>
      <c r="AO60" s="200">
        <f t="shared" si="40"/>
        <v>0</v>
      </c>
      <c r="AP60" s="200">
        <f t="shared" si="40"/>
        <v>0</v>
      </c>
      <c r="AQ60" s="200">
        <f t="shared" si="40"/>
        <v>0</v>
      </c>
      <c r="AR60" s="200">
        <f t="shared" si="40"/>
        <v>0</v>
      </c>
      <c r="AS60" s="200">
        <f t="shared" si="40"/>
        <v>0</v>
      </c>
      <c r="AT60" s="200">
        <f t="shared" si="40"/>
        <v>0</v>
      </c>
      <c r="AU60" s="195">
        <f t="shared" si="40"/>
        <v>0</v>
      </c>
      <c r="AV60" s="232"/>
      <c r="AW60" s="195">
        <f>AW61+AW67+AW73+AW78</f>
        <v>0</v>
      </c>
      <c r="AX60" s="242" t="e">
        <f t="shared" si="4"/>
        <v>#DIV/0!</v>
      </c>
    </row>
    <row r="61" ht="20.5" customHeight="1" spans="1:50">
      <c r="A61" t="s">
        <v>4</v>
      </c>
      <c r="B61" s="176"/>
      <c r="C61" s="177">
        <v>52</v>
      </c>
      <c r="D61" s="180" t="s">
        <v>127</v>
      </c>
      <c r="E61" s="200">
        <f t="shared" ref="E61:H61" si="41">SUM(E62:E66)</f>
        <v>0</v>
      </c>
      <c r="F61" s="200">
        <f t="shared" si="41"/>
        <v>0</v>
      </c>
      <c r="G61" s="200">
        <f t="shared" si="41"/>
        <v>0</v>
      </c>
      <c r="H61" s="200">
        <f t="shared" si="41"/>
        <v>0</v>
      </c>
      <c r="I61" s="200">
        <f t="shared" ref="I61:AT61" si="42">SUM(I62:I66)</f>
        <v>0</v>
      </c>
      <c r="J61" s="200">
        <f t="shared" si="42"/>
        <v>0</v>
      </c>
      <c r="K61" s="200">
        <f t="shared" si="42"/>
        <v>0</v>
      </c>
      <c r="L61" s="200">
        <f t="shared" si="42"/>
        <v>0</v>
      </c>
      <c r="M61" s="200">
        <f t="shared" si="42"/>
        <v>0</v>
      </c>
      <c r="N61" s="200">
        <f t="shared" si="42"/>
        <v>0</v>
      </c>
      <c r="O61" s="200">
        <f t="shared" si="42"/>
        <v>0</v>
      </c>
      <c r="P61" s="200">
        <f t="shared" si="42"/>
        <v>0</v>
      </c>
      <c r="Q61" s="200">
        <f t="shared" si="42"/>
        <v>0</v>
      </c>
      <c r="R61" s="200">
        <f t="shared" si="42"/>
        <v>0</v>
      </c>
      <c r="S61" s="200">
        <f t="shared" si="42"/>
        <v>0</v>
      </c>
      <c r="T61" s="200">
        <f t="shared" si="42"/>
        <v>0</v>
      </c>
      <c r="U61" s="200">
        <f t="shared" si="42"/>
        <v>0</v>
      </c>
      <c r="V61" s="200">
        <f t="shared" si="42"/>
        <v>0</v>
      </c>
      <c r="W61" s="200">
        <f t="shared" si="42"/>
        <v>0</v>
      </c>
      <c r="X61" s="200">
        <f t="shared" si="42"/>
        <v>0</v>
      </c>
      <c r="Y61" s="200">
        <f t="shared" si="42"/>
        <v>0</v>
      </c>
      <c r="Z61" s="200">
        <f t="shared" si="42"/>
        <v>0</v>
      </c>
      <c r="AA61" s="200">
        <f t="shared" si="42"/>
        <v>0</v>
      </c>
      <c r="AB61" s="200">
        <f t="shared" si="42"/>
        <v>0</v>
      </c>
      <c r="AC61" s="200">
        <f t="shared" si="42"/>
        <v>0</v>
      </c>
      <c r="AD61" s="200">
        <f t="shared" si="42"/>
        <v>0</v>
      </c>
      <c r="AE61" s="200">
        <f t="shared" si="42"/>
        <v>0</v>
      </c>
      <c r="AF61" s="200">
        <f t="shared" si="42"/>
        <v>0</v>
      </c>
      <c r="AG61" s="200">
        <f t="shared" si="42"/>
        <v>0</v>
      </c>
      <c r="AH61" s="200">
        <f t="shared" si="42"/>
        <v>0</v>
      </c>
      <c r="AI61" s="200">
        <f t="shared" si="42"/>
        <v>0</v>
      </c>
      <c r="AJ61" s="200">
        <f t="shared" si="42"/>
        <v>0</v>
      </c>
      <c r="AK61" s="200">
        <f t="shared" si="42"/>
        <v>0</v>
      </c>
      <c r="AL61" s="200">
        <f t="shared" si="42"/>
        <v>0</v>
      </c>
      <c r="AM61" s="200">
        <f t="shared" si="42"/>
        <v>0</v>
      </c>
      <c r="AN61" s="200">
        <f t="shared" si="42"/>
        <v>0</v>
      </c>
      <c r="AO61" s="200">
        <f t="shared" si="42"/>
        <v>0</v>
      </c>
      <c r="AP61" s="200">
        <f t="shared" si="42"/>
        <v>0</v>
      </c>
      <c r="AQ61" s="200">
        <f t="shared" si="42"/>
        <v>0</v>
      </c>
      <c r="AR61" s="200">
        <f t="shared" si="42"/>
        <v>0</v>
      </c>
      <c r="AS61" s="200">
        <f t="shared" si="42"/>
        <v>0</v>
      </c>
      <c r="AT61" s="200">
        <f t="shared" si="42"/>
        <v>0</v>
      </c>
      <c r="AU61" s="195">
        <f>AU62+AU63+AU64+AU65+AU66</f>
        <v>0</v>
      </c>
      <c r="AV61" s="232"/>
      <c r="AW61" s="195">
        <f>AW62+AW63+AW64+AW65+AW66</f>
        <v>0</v>
      </c>
      <c r="AX61" s="242" t="e">
        <f t="shared" si="4"/>
        <v>#DIV/0!</v>
      </c>
    </row>
    <row r="62" ht="30" customHeight="1" spans="1:50">
      <c r="A62" t="s">
        <v>4</v>
      </c>
      <c r="B62" s="176"/>
      <c r="C62" s="177">
        <v>53</v>
      </c>
      <c r="D62" s="181" t="s">
        <v>128</v>
      </c>
      <c r="E62" s="196"/>
      <c r="F62" s="196"/>
      <c r="G62" s="195">
        <f t="shared" ref="G62:G66" si="43">E62-F62</f>
        <v>0</v>
      </c>
      <c r="H62" s="196"/>
      <c r="I62" s="196"/>
      <c r="J62" s="196"/>
      <c r="K62" s="213"/>
      <c r="L62" s="196"/>
      <c r="M62" s="196"/>
      <c r="N62" s="213"/>
      <c r="O62" s="196"/>
      <c r="P62" s="196"/>
      <c r="Q62" s="213"/>
      <c r="R62" s="196"/>
      <c r="S62" s="196"/>
      <c r="T62" s="213"/>
      <c r="U62" s="196"/>
      <c r="V62" s="213"/>
      <c r="W62" s="213"/>
      <c r="X62" s="213"/>
      <c r="Y62" s="196"/>
      <c r="Z62" s="196"/>
      <c r="AA62" s="213"/>
      <c r="AB62" s="196"/>
      <c r="AC62" s="196"/>
      <c r="AD62" s="213"/>
      <c r="AE62" s="213"/>
      <c r="AF62" s="213"/>
      <c r="AG62" s="213"/>
      <c r="AH62" s="213"/>
      <c r="AI62" s="213"/>
      <c r="AJ62" s="213"/>
      <c r="AK62" s="213"/>
      <c r="AL62" s="228"/>
      <c r="AM62" s="228"/>
      <c r="AN62" s="213"/>
      <c r="AO62" s="213"/>
      <c r="AP62" s="213"/>
      <c r="AQ62" s="213"/>
      <c r="AR62" s="196"/>
      <c r="AS62" s="196"/>
      <c r="AT62" s="213"/>
      <c r="AU62" s="195">
        <f>IF(G62-I62-J62-K62-L62-M62-N62-O62-P62-Q62-R62-S62-T62-U62-V62-W62-X62-Y62-Z62-AA62-AB62-AC62-AD62-AE62-AF62-AG62-AH62-AI62-AJ62-AL62-AM62-AN62-AO62-AP62-AQ62-AR62-AS62-AT62&lt;0,0,G62-I62-J62-K62-L62-M62-N62-O62-P62-Q62-R62-S62-T62-U62-V62-W62-X62-Y62-Z62-AA62-AB62-AC62-AD62-AE62-AF62-AG62-AH62-AI62-AJ62-AL62-AM62-AN62-AO62-AP62-AQ62-AR62-AS62-AT62)</f>
        <v>0</v>
      </c>
      <c r="AV62" s="233">
        <v>0.2</v>
      </c>
      <c r="AW62" s="243">
        <f>I62*$I$8+J62*$J$8+K62*$K$8+L62*$L$8+M62*$M$8+N62*$N$8+O62*$O$8+P62*$P$8+Q62*$Q$8+R62*$R$8+S62*$S$8+T62*$T$8+U62*$U$8+V62*$V$8+W62*$W$8+X62*$X$8+Y62*$Y$8+Z62*$Z$8+AA62*$AA$8++AB62*$AB$8+AC62*$AC$8+AD62*$AD$8+AE62*$AE$8+AF62*$AF$8+AG62*$AG$8+AH62*$AH$8+AI62*$AI$8+AJ62*$AJ$8+AL62*$AL$8+AM62*$AM$8+AN62*$AN$8+AO62*$AO$8+AP62*$AP$8+AQ62*$AQ$8+AR62*$AR$8+AS62*$AS$8+AT62*$AT$8</f>
        <v>0</v>
      </c>
      <c r="AX62" s="242" t="e">
        <f t="shared" si="4"/>
        <v>#DIV/0!</v>
      </c>
    </row>
    <row r="63" ht="20.5" customHeight="1" spans="1:50">
      <c r="A63" t="s">
        <v>4</v>
      </c>
      <c r="B63" s="176"/>
      <c r="C63" s="177">
        <v>54</v>
      </c>
      <c r="D63" s="181" t="s">
        <v>129</v>
      </c>
      <c r="E63" s="198"/>
      <c r="F63" s="198"/>
      <c r="G63" s="195">
        <f t="shared" si="43"/>
        <v>0</v>
      </c>
      <c r="H63" s="198"/>
      <c r="I63" s="196"/>
      <c r="J63" s="196"/>
      <c r="K63" s="196"/>
      <c r="L63" s="196"/>
      <c r="M63" s="196"/>
      <c r="N63" s="196"/>
      <c r="O63" s="196"/>
      <c r="P63" s="196"/>
      <c r="Q63" s="196"/>
      <c r="R63" s="196"/>
      <c r="S63" s="196"/>
      <c r="T63" s="196"/>
      <c r="U63" s="196"/>
      <c r="V63" s="196"/>
      <c r="W63" s="196"/>
      <c r="X63" s="213"/>
      <c r="Y63" s="196"/>
      <c r="Z63" s="196"/>
      <c r="AA63" s="196"/>
      <c r="AB63" s="196"/>
      <c r="AC63" s="196"/>
      <c r="AD63" s="196"/>
      <c r="AE63" s="196"/>
      <c r="AF63" s="213"/>
      <c r="AG63" s="196"/>
      <c r="AH63" s="213"/>
      <c r="AI63" s="213"/>
      <c r="AJ63" s="213"/>
      <c r="AK63" s="213"/>
      <c r="AL63" s="196"/>
      <c r="AM63" s="196"/>
      <c r="AN63" s="196"/>
      <c r="AO63" s="196"/>
      <c r="AP63" s="213"/>
      <c r="AQ63" s="213"/>
      <c r="AR63" s="196"/>
      <c r="AS63" s="196"/>
      <c r="AT63" s="196"/>
      <c r="AU63" s="195">
        <f>IF(G63-I63-J63-K63-L63-M63-N63-O63-P63-Q63-R63-S63-T63-U63-V63-W63-X63-Y63-Z63-AA63-AB63-AC63-AD63-AE63-AF63-AG63-AH63-AI63-AJ63-AL63-AM63-AN63-AO63-AP63-AQ63-AR63-AS63-AT63&lt;0,0,G63-I63-J63-K63-L63-M63-N63-O63-P63-Q63-R63-S63-T63-U63-V63-W63-X63-Y63-Z63-AA63-AB63-AC63-AD63-AE63-AF63-AG63-AH63-AI63-AJ63-AL63-AM63-AN63-AO63-AP63-AQ63-AR63-AS63-AT63)</f>
        <v>0</v>
      </c>
      <c r="AV63" s="235">
        <v>0.3</v>
      </c>
      <c r="AW63" s="243">
        <f>I63*$I$8+J63*$J$8+K63*$K$8+L63*$L$8+M63*$M$8+N63*$N$8+O63*$O$8+P63*$P$8+Q63*$Q$8+R63*$R$8+S63*$S$8+T63*$T$8+U63*$U$8+V63*$V$8+W63*$W$8+X63*$X$8+Y63*$Y$8+Z63*$Z$8+AA63*$AA$8++AB63*$AB$8+AC63*$AC$8+AD63*$AD$8+AE63*$AE$8+AF63*$AF$8+AG63*$AG$8+AH63*$AH$8+AI63*$AI$8+AJ63*$AJ$8+AL63*$AL$8+AM63*$AM$8+AN63*$AN$8+AO63*$AO$8+AP63*$AP$8+AQ63*$AQ$8+AR63*$AR$8+AS63*$AS$8+AT63*$AT$8</f>
        <v>0</v>
      </c>
      <c r="AX63" s="242" t="e">
        <f t="shared" si="4"/>
        <v>#DIV/0!</v>
      </c>
    </row>
    <row r="64" ht="20.5" customHeight="1" spans="1:50">
      <c r="A64" t="s">
        <v>4</v>
      </c>
      <c r="B64" s="176"/>
      <c r="C64" s="177">
        <v>55</v>
      </c>
      <c r="D64" s="181" t="s">
        <v>130</v>
      </c>
      <c r="E64" s="198"/>
      <c r="F64" s="198"/>
      <c r="G64" s="195">
        <f t="shared" si="43"/>
        <v>0</v>
      </c>
      <c r="H64" s="198"/>
      <c r="I64" s="196"/>
      <c r="J64" s="196"/>
      <c r="K64" s="196"/>
      <c r="L64" s="196"/>
      <c r="M64" s="196"/>
      <c r="N64" s="196"/>
      <c r="O64" s="196"/>
      <c r="P64" s="196"/>
      <c r="Q64" s="196"/>
      <c r="R64" s="196"/>
      <c r="S64" s="196"/>
      <c r="T64" s="196"/>
      <c r="U64" s="196"/>
      <c r="V64" s="196"/>
      <c r="W64" s="196"/>
      <c r="X64" s="213"/>
      <c r="Y64" s="196"/>
      <c r="Z64" s="196"/>
      <c r="AA64" s="196"/>
      <c r="AB64" s="196"/>
      <c r="AC64" s="196"/>
      <c r="AD64" s="196"/>
      <c r="AE64" s="196"/>
      <c r="AF64" s="213"/>
      <c r="AG64" s="228"/>
      <c r="AH64" s="213"/>
      <c r="AI64" s="228"/>
      <c r="AJ64" s="228"/>
      <c r="AK64" s="213"/>
      <c r="AL64" s="228"/>
      <c r="AM64" s="228"/>
      <c r="AN64" s="228"/>
      <c r="AO64" s="228"/>
      <c r="AP64" s="228"/>
      <c r="AQ64" s="213"/>
      <c r="AR64" s="196"/>
      <c r="AS64" s="196"/>
      <c r="AT64" s="196"/>
      <c r="AU64" s="195">
        <f>IF(G64-I64-J64-K64-L64-M64-N64-O64-P64-Q64-R64-S64-T64-U64-V64-W64-X64-Y64-Z64-AA64-AB64-AC64-AD64-AE64-AF64-AG64-AH64-AI64-AJ64-AL64-AM64-AN64-AO64-AP64-AQ64-AR64-AS64-AT64&lt;0,0,G64-I64-J64-K64-L64-M64-N64-O64-P64-Q64-R64-S64-T64-U64-V64-W64-X64-Y64-Z64-AA64-AB64-AC64-AD64-AE64-AF64-AG64-AH64-AI64-AJ64-AL64-AM64-AN64-AO64-AP64-AQ64-AR64-AS64-AT64)</f>
        <v>0</v>
      </c>
      <c r="AV64" s="235">
        <v>0.5</v>
      </c>
      <c r="AW64" s="243">
        <f>I64*$I$8+J64*$J$8+K64*$K$8+L64*$L$8+M64*$M$8+N64*$N$8+O64*$O$8+P64*$P$8+Q64*$Q$8+R64*$R$8+S64*$S$8+T64*$T$8+U64*$U$8+V64*$V$8+W64*$W$8+X64*$X$8+Y64*$Y$8+Z64*$Z$8+AA64*$AA$8++AB64*$AB$8+AC64*$AC$8+AD64*$AD$8+AE64*$AE$8+AF64*$AF$8+AG64*$AG$8+AH64*$AH$8+AI64*$AI$8+AJ64*$AJ$8+AL64*$AL$8+AM64*$AM$8+AN64*$AN$8+AO64*$AO$8+AP64*$AP$8+AQ64*$AQ$8+AR64*$AR$8+AS64*$AS$8+AT64*$AT$8</f>
        <v>0</v>
      </c>
      <c r="AX64" s="242" t="e">
        <f t="shared" si="4"/>
        <v>#DIV/0!</v>
      </c>
    </row>
    <row r="65" ht="20.5" customHeight="1" spans="1:50">
      <c r="A65" t="s">
        <v>4</v>
      </c>
      <c r="B65" s="176"/>
      <c r="C65" s="177">
        <v>56</v>
      </c>
      <c r="D65" s="181" t="s">
        <v>131</v>
      </c>
      <c r="E65" s="198"/>
      <c r="F65" s="198"/>
      <c r="G65" s="195">
        <f t="shared" si="43"/>
        <v>0</v>
      </c>
      <c r="H65" s="198"/>
      <c r="I65" s="198"/>
      <c r="J65" s="198"/>
      <c r="K65" s="198"/>
      <c r="L65" s="198"/>
      <c r="M65" s="198"/>
      <c r="N65" s="198"/>
      <c r="O65" s="198"/>
      <c r="P65" s="198"/>
      <c r="Q65" s="198"/>
      <c r="R65" s="198"/>
      <c r="S65" s="198"/>
      <c r="T65" s="198"/>
      <c r="U65" s="198"/>
      <c r="V65" s="198"/>
      <c r="W65" s="198"/>
      <c r="X65" s="198"/>
      <c r="Y65" s="198"/>
      <c r="Z65" s="198"/>
      <c r="AA65" s="198"/>
      <c r="AB65" s="198"/>
      <c r="AC65" s="198"/>
      <c r="AD65" s="198"/>
      <c r="AE65" s="198"/>
      <c r="AF65" s="198"/>
      <c r="AG65" s="198"/>
      <c r="AH65" s="198"/>
      <c r="AI65" s="198"/>
      <c r="AJ65" s="198"/>
      <c r="AK65" s="198"/>
      <c r="AL65" s="198"/>
      <c r="AM65" s="198"/>
      <c r="AN65" s="198"/>
      <c r="AO65" s="198"/>
      <c r="AP65" s="198"/>
      <c r="AQ65" s="198"/>
      <c r="AR65" s="198"/>
      <c r="AS65" s="198"/>
      <c r="AT65" s="198"/>
      <c r="AU65" s="195">
        <f>IF(G65-I65-J65-K65-L65-M65-N65-O65-P65-Q65-R65-S65-T65-U65-V65-W65-X65-Y65-Z65-AA65-AB65-AC65-AD65-AE65-AF65-AG65-AH65-AI65-AJ65-AL65-AM65-AN65-AO65-AP65-AQ65-AR65-AS65-AT65&lt;0,0,G65-I65-J65-K65-L65-M65-N65-O65-P65-Q65-R65-S65-T65-U65-V65-W65-X65-Y65-Z65-AA65-AB65-AC65-AD65-AE65-AF65-AG65-AH65-AI65-AJ65-AL65-AM65-AN65-AO65-AP65-AQ65-AR65-AS65-AT65)</f>
        <v>0</v>
      </c>
      <c r="AV65" s="235">
        <v>1</v>
      </c>
      <c r="AW65" s="243">
        <f>I65*$I$8+J65*$J$8+K65*$K$8+L65*$L$8+M65*$M$8+N65*$N$8+O65*$O$8+P65*$P$8+Q65*$Q$8+R65*$R$8+S65*$S$8+T65*$T$8+U65*$U$8+V65*$V$8+W65*$W$8+X65*$X$8+Y65*$Y$8+Z65*$Z$8+AA65*$AA$8++AB65*$AB$8+AC65*$AC$8+AD65*$AD$8+AE65*$AE$8+AF65*$AF$8+AG65*$AG$8+AH65*$AH$8+AI65*$AI$8+AJ65*$AJ$8+AL65*$AL$8+AM65*$AM$8+AN65*$AN$8+AO65*$AO$8+AP65*$AP$8+AQ65*$AQ$8+AR65*$AR$8+AS65*$AS$8+AT65*$AT$8</f>
        <v>0</v>
      </c>
      <c r="AX65" s="242" t="e">
        <f t="shared" si="4"/>
        <v>#DIV/0!</v>
      </c>
    </row>
    <row r="66" ht="20.5" customHeight="1" spans="1:50">
      <c r="A66" t="s">
        <v>4</v>
      </c>
      <c r="B66" s="176"/>
      <c r="C66" s="177">
        <v>57</v>
      </c>
      <c r="D66" s="181" t="s">
        <v>132</v>
      </c>
      <c r="E66" s="198"/>
      <c r="F66" s="198"/>
      <c r="G66" s="195">
        <f t="shared" si="43"/>
        <v>0</v>
      </c>
      <c r="H66" s="198"/>
      <c r="I66" s="198"/>
      <c r="J66" s="198"/>
      <c r="K66" s="198"/>
      <c r="L66" s="198"/>
      <c r="M66" s="198"/>
      <c r="N66" s="198"/>
      <c r="O66" s="198"/>
      <c r="P66" s="198"/>
      <c r="Q66" s="198"/>
      <c r="R66" s="198"/>
      <c r="S66" s="198"/>
      <c r="T66" s="198"/>
      <c r="U66" s="198"/>
      <c r="V66" s="198"/>
      <c r="W66" s="198"/>
      <c r="X66" s="198"/>
      <c r="Y66" s="198"/>
      <c r="Z66" s="198"/>
      <c r="AA66" s="198"/>
      <c r="AB66" s="198"/>
      <c r="AC66" s="198"/>
      <c r="AD66" s="198"/>
      <c r="AE66" s="198"/>
      <c r="AF66" s="198"/>
      <c r="AG66" s="198"/>
      <c r="AH66" s="198"/>
      <c r="AI66" s="198"/>
      <c r="AJ66" s="198"/>
      <c r="AK66" s="198"/>
      <c r="AL66" s="198"/>
      <c r="AM66" s="198"/>
      <c r="AN66" s="198"/>
      <c r="AO66" s="198"/>
      <c r="AP66" s="198"/>
      <c r="AQ66" s="198"/>
      <c r="AR66" s="198"/>
      <c r="AS66" s="198"/>
      <c r="AT66" s="198"/>
      <c r="AU66" s="195">
        <f>IF(G66-I66-J66-K66-L66-M66-N66-O66-P66-Q66-R66-S66-T66-U66-V66-W66-X66-Y66-Z66-AA66-AB66-AC66-AD66-AE66-AF66-AG66-AH66-AI66-AJ66-AL66-AM66-AN66-AO66-AP66-AQ66-AR66-AS66-AT66&lt;0,0,G66-I66-J66-K66-L66-M66-N66-O66-P66-Q66-R66-S66-T66-U66-V66-W66-X66-Y66-Z66-AA66-AB66-AC66-AD66-AE66-AF66-AG66-AH66-AI66-AJ66-AL66-AM66-AN66-AO66-AP66-AQ66-AR66-AS66-AT66)</f>
        <v>0</v>
      </c>
      <c r="AV66" s="235">
        <v>1.5</v>
      </c>
      <c r="AW66" s="243">
        <f>I66*$I$8+J66*$J$8+K66*$K$8+L66*$L$8+M66*$M$8+N66*$N$8+O66*$O$8+P66*$P$8+Q66*$Q$8+R66*$R$8+S66*$S$8+T66*$T$8+U66*$U$8+V66*$V$8+W66*$W$8+X66*$X$8+Y66*$Y$8+Z66*$Z$8+AA66*$AA$8++AB66*$AB$8+AC66*$AC$8+AD66*$AD$8+AE66*$AE$8+AF66*$AF$8+AG66*$AG$8+AH66*$AH$8+AI66*$AI$8+AJ66*$AJ$8+AL66*$AL$8+AM66*$AM$8+AN66*$AN$8+AO66*$AO$8+AP66*$AP$8+AQ66*$AQ$8+AR66*$AR$8+AS66*$AS$8+AT66*$AT$8</f>
        <v>0</v>
      </c>
      <c r="AX66" s="242" t="e">
        <f t="shared" si="4"/>
        <v>#DIV/0!</v>
      </c>
    </row>
    <row r="67" ht="20.5" customHeight="1" spans="1:50">
      <c r="A67" t="s">
        <v>4</v>
      </c>
      <c r="B67" s="176"/>
      <c r="C67" s="177">
        <v>58</v>
      </c>
      <c r="D67" s="180" t="s">
        <v>133</v>
      </c>
      <c r="E67" s="199">
        <f t="shared" ref="E67:H67" si="44">SUM(E68:E72)</f>
        <v>0</v>
      </c>
      <c r="F67" s="199">
        <f t="shared" si="44"/>
        <v>0</v>
      </c>
      <c r="G67" s="199">
        <f t="shared" si="44"/>
        <v>0</v>
      </c>
      <c r="H67" s="199">
        <f t="shared" si="44"/>
        <v>0</v>
      </c>
      <c r="I67" s="199">
        <f t="shared" ref="I67:AT67" si="45">SUM(I68:I72)</f>
        <v>0</v>
      </c>
      <c r="J67" s="199">
        <f t="shared" si="45"/>
        <v>0</v>
      </c>
      <c r="K67" s="199">
        <f t="shared" si="45"/>
        <v>0</v>
      </c>
      <c r="L67" s="199">
        <f t="shared" si="45"/>
        <v>0</v>
      </c>
      <c r="M67" s="199">
        <f t="shared" si="45"/>
        <v>0</v>
      </c>
      <c r="N67" s="199">
        <f t="shared" si="45"/>
        <v>0</v>
      </c>
      <c r="O67" s="199">
        <f t="shared" si="45"/>
        <v>0</v>
      </c>
      <c r="P67" s="199">
        <f t="shared" si="45"/>
        <v>0</v>
      </c>
      <c r="Q67" s="199">
        <f t="shared" si="45"/>
        <v>0</v>
      </c>
      <c r="R67" s="199">
        <f t="shared" si="45"/>
        <v>0</v>
      </c>
      <c r="S67" s="199">
        <f t="shared" si="45"/>
        <v>0</v>
      </c>
      <c r="T67" s="199">
        <f t="shared" si="45"/>
        <v>0</v>
      </c>
      <c r="U67" s="199">
        <f t="shared" si="45"/>
        <v>0</v>
      </c>
      <c r="V67" s="199">
        <f t="shared" si="45"/>
        <v>0</v>
      </c>
      <c r="W67" s="199">
        <f t="shared" si="45"/>
        <v>0</v>
      </c>
      <c r="X67" s="199">
        <f t="shared" si="45"/>
        <v>0</v>
      </c>
      <c r="Y67" s="199">
        <f t="shared" si="45"/>
        <v>0</v>
      </c>
      <c r="Z67" s="199">
        <f t="shared" si="45"/>
        <v>0</v>
      </c>
      <c r="AA67" s="199">
        <f t="shared" si="45"/>
        <v>0</v>
      </c>
      <c r="AB67" s="199">
        <f t="shared" si="45"/>
        <v>0</v>
      </c>
      <c r="AC67" s="199">
        <f t="shared" si="45"/>
        <v>0</v>
      </c>
      <c r="AD67" s="199">
        <f t="shared" si="45"/>
        <v>0</v>
      </c>
      <c r="AE67" s="199">
        <f t="shared" si="45"/>
        <v>0</v>
      </c>
      <c r="AF67" s="199">
        <f t="shared" si="45"/>
        <v>0</v>
      </c>
      <c r="AG67" s="199">
        <f t="shared" si="45"/>
        <v>0</v>
      </c>
      <c r="AH67" s="199">
        <f t="shared" si="45"/>
        <v>0</v>
      </c>
      <c r="AI67" s="199">
        <f t="shared" si="45"/>
        <v>0</v>
      </c>
      <c r="AJ67" s="199">
        <f t="shared" si="45"/>
        <v>0</v>
      </c>
      <c r="AK67" s="199">
        <f t="shared" si="45"/>
        <v>0</v>
      </c>
      <c r="AL67" s="199">
        <f t="shared" si="45"/>
        <v>0</v>
      </c>
      <c r="AM67" s="199">
        <f t="shared" si="45"/>
        <v>0</v>
      </c>
      <c r="AN67" s="199">
        <f t="shared" si="45"/>
        <v>0</v>
      </c>
      <c r="AO67" s="199">
        <f t="shared" si="45"/>
        <v>0</v>
      </c>
      <c r="AP67" s="199">
        <f t="shared" si="45"/>
        <v>0</v>
      </c>
      <c r="AQ67" s="199">
        <f t="shared" si="45"/>
        <v>0</v>
      </c>
      <c r="AR67" s="199">
        <f t="shared" si="45"/>
        <v>0</v>
      </c>
      <c r="AS67" s="199">
        <f t="shared" si="45"/>
        <v>0</v>
      </c>
      <c r="AT67" s="199">
        <f t="shared" si="45"/>
        <v>0</v>
      </c>
      <c r="AU67" s="199">
        <f>AU68+AU69+AU70+AU71+AU72</f>
        <v>0</v>
      </c>
      <c r="AV67" s="236"/>
      <c r="AW67" s="199">
        <f>AW68+AW69+AW70+AW71+AW72</f>
        <v>0</v>
      </c>
      <c r="AX67" s="242" t="e">
        <f t="shared" si="4"/>
        <v>#DIV/0!</v>
      </c>
    </row>
    <row r="68" ht="24" spans="1:50">
      <c r="A68" t="s">
        <v>4</v>
      </c>
      <c r="B68" s="176"/>
      <c r="C68" s="177">
        <v>59</v>
      </c>
      <c r="D68" s="181" t="s">
        <v>134</v>
      </c>
      <c r="E68" s="196"/>
      <c r="F68" s="196"/>
      <c r="G68" s="195">
        <f t="shared" ref="G68:G72" si="46">E68-F68</f>
        <v>0</v>
      </c>
      <c r="H68" s="196"/>
      <c r="I68" s="196"/>
      <c r="J68" s="196"/>
      <c r="K68" s="213"/>
      <c r="L68" s="196"/>
      <c r="M68" s="196"/>
      <c r="N68" s="213"/>
      <c r="O68" s="196"/>
      <c r="P68" s="196"/>
      <c r="Q68" s="213"/>
      <c r="R68" s="196"/>
      <c r="S68" s="196"/>
      <c r="T68" s="213"/>
      <c r="U68" s="196"/>
      <c r="V68" s="213"/>
      <c r="W68" s="213"/>
      <c r="X68" s="213"/>
      <c r="Y68" s="196"/>
      <c r="Z68" s="196"/>
      <c r="AA68" s="213"/>
      <c r="AB68" s="196"/>
      <c r="AC68" s="196"/>
      <c r="AD68" s="213"/>
      <c r="AE68" s="213"/>
      <c r="AF68" s="213"/>
      <c r="AG68" s="213"/>
      <c r="AH68" s="213"/>
      <c r="AI68" s="213"/>
      <c r="AJ68" s="213"/>
      <c r="AK68" s="213"/>
      <c r="AL68" s="228"/>
      <c r="AM68" s="228"/>
      <c r="AN68" s="213"/>
      <c r="AO68" s="213"/>
      <c r="AP68" s="213"/>
      <c r="AQ68" s="213"/>
      <c r="AR68" s="196"/>
      <c r="AS68" s="196"/>
      <c r="AT68" s="213"/>
      <c r="AU68" s="195">
        <f>IF(G68-I68-J68-K68-L68-M68-N68-O68-P68-Q68-R68-S68-T68-U68-V68-W68-X68-Y68-Z68-AA68-AB68-AC68-AD68-AE68-AF68-AG68-AH68-AI68-AJ68-AL68-AM68-AN68-AO68-AP68-AQ68-AR68-AS68-AT68&lt;0,0,G68-I68-J68-K68-L68-M68-N68-O68-P68-Q68-R68-S68-T68-U68-V68-W68-X68-Y68-Z68-AA68-AB68-AC68-AD68-AE68-AF68-AG68-AH68-AI68-AJ68-AL68-AM68-AN68-AO68-AP68-AQ68-AR68-AS68-AT68)</f>
        <v>0</v>
      </c>
      <c r="AV68" s="233">
        <v>0.2</v>
      </c>
      <c r="AW68" s="243">
        <f>I68*$I$8+J68*$J$8+K68*$K$8+L68*$L$8+M68*$M$8+N68*$N$8+O68*$O$8+P68*$P$8+Q68*$Q$8+R68*$R$8+S68*$S$8+T68*$T$8+U68*$U$8+V68*$V$8+W68*$W$8+X68*$X$8+Y68*$Y$8+Z68*$Z$8+AA68*$AA$8++AB68*$AB$8+AC68*$AC$8+AD68*$AD$8+AE68*$AE$8+AF68*$AF$8+AG68*$AG$8+AH68*$AH$8+AI68*$AI$8+AJ68*$AJ$8+AL68*$AL$8+AM68*$AM$8+AN68*$AN$8+AO68*$AO$8+AP68*$AP$8+AQ68*$AQ$8+AR68*$AR$8+AS68*$AS$8+AT68*$AT$8</f>
        <v>0</v>
      </c>
      <c r="AX68" s="242" t="e">
        <f t="shared" si="4"/>
        <v>#DIV/0!</v>
      </c>
    </row>
    <row r="69" ht="20.5" customHeight="1" spans="1:50">
      <c r="A69" t="s">
        <v>4</v>
      </c>
      <c r="B69" s="176"/>
      <c r="C69" s="177">
        <v>60</v>
      </c>
      <c r="D69" s="181" t="s">
        <v>135</v>
      </c>
      <c r="E69" s="196"/>
      <c r="F69" s="196"/>
      <c r="G69" s="195">
        <f t="shared" si="46"/>
        <v>0</v>
      </c>
      <c r="H69" s="196"/>
      <c r="I69" s="196"/>
      <c r="J69" s="196"/>
      <c r="K69" s="196"/>
      <c r="L69" s="196"/>
      <c r="M69" s="196"/>
      <c r="N69" s="196"/>
      <c r="O69" s="196"/>
      <c r="P69" s="196"/>
      <c r="Q69" s="196"/>
      <c r="R69" s="196"/>
      <c r="S69" s="196"/>
      <c r="T69" s="196"/>
      <c r="U69" s="196"/>
      <c r="V69" s="196"/>
      <c r="W69" s="196"/>
      <c r="X69" s="213"/>
      <c r="Y69" s="196"/>
      <c r="Z69" s="196"/>
      <c r="AA69" s="196"/>
      <c r="AB69" s="196"/>
      <c r="AC69" s="196"/>
      <c r="AD69" s="196"/>
      <c r="AE69" s="196"/>
      <c r="AF69" s="213"/>
      <c r="AG69" s="228"/>
      <c r="AH69" s="213"/>
      <c r="AI69" s="196"/>
      <c r="AJ69" s="213"/>
      <c r="AK69" s="213"/>
      <c r="AL69" s="196"/>
      <c r="AM69" s="196"/>
      <c r="AN69" s="196"/>
      <c r="AO69" s="196"/>
      <c r="AP69" s="196"/>
      <c r="AQ69" s="213"/>
      <c r="AR69" s="196"/>
      <c r="AS69" s="196"/>
      <c r="AT69" s="196"/>
      <c r="AU69" s="195">
        <f>IF(G69-I69-J69-K69-L69-M69-N69-O69-P69-Q69-R69-S69-T69-U69-V69-W69-X69-Y69-Z69-AA69-AB69-AC69-AD69-AE69-AF69-AG69-AH69-AI69-AJ69-AL69-AM69-AN69-AO69-AP69-AQ69-AR69-AS69-AT69&lt;0,0,G69-I69-J69-K69-L69-M69-N69-O69-P69-Q69-R69-S69-T69-U69-V69-W69-X69-Y69-Z69-AA69-AB69-AC69-AD69-AE69-AF69-AG69-AH69-AI69-AJ69-AL69-AM69-AN69-AO69-AP69-AQ69-AR69-AS69-AT69)</f>
        <v>0</v>
      </c>
      <c r="AV69" s="233">
        <v>0.4</v>
      </c>
      <c r="AW69" s="243">
        <f>I69*$I$8+J69*$J$8+K69*$K$8+L69*$L$8+M69*$M$8+N69*$N$8+O69*$O$8+P69*$P$8+Q69*$Q$8+R69*$R$8+S69*$S$8+T69*$T$8+U69*$U$8+V69*$V$8+W69*$W$8+X69*$X$8+Y69*$Y$8+Z69*$Z$8+AA69*$AA$8++AB69*$AB$8+AC69*$AC$8+AD69*$AD$8+AE69*$AE$8+AF69*$AF$8+AG69*$AG$8+AH69*$AH$8+AI69*$AI$8+AJ69*$AJ$8+AL69*$AL$8+AM69*$AM$8+AN69*$AN$8+AO69*$AO$8+AP69*$AP$8+AQ69*$AQ$8+AR69*$AR$8+AS69*$AS$8+AT69*$AT$8</f>
        <v>0</v>
      </c>
      <c r="AX69" s="242" t="e">
        <f t="shared" si="4"/>
        <v>#DIV/0!</v>
      </c>
    </row>
    <row r="70" ht="20.5" customHeight="1" spans="1:50">
      <c r="A70" t="s">
        <v>4</v>
      </c>
      <c r="B70" s="176"/>
      <c r="C70" s="177">
        <v>61</v>
      </c>
      <c r="D70" s="181" t="s">
        <v>136</v>
      </c>
      <c r="E70" s="198"/>
      <c r="F70" s="198"/>
      <c r="G70" s="195">
        <f t="shared" si="46"/>
        <v>0</v>
      </c>
      <c r="H70" s="198"/>
      <c r="I70" s="196"/>
      <c r="J70" s="196"/>
      <c r="K70" s="196"/>
      <c r="L70" s="196"/>
      <c r="M70" s="196"/>
      <c r="N70" s="196"/>
      <c r="O70" s="196"/>
      <c r="P70" s="196"/>
      <c r="Q70" s="196"/>
      <c r="R70" s="196"/>
      <c r="S70" s="196"/>
      <c r="T70" s="196"/>
      <c r="U70" s="196"/>
      <c r="V70" s="196"/>
      <c r="W70" s="196"/>
      <c r="X70" s="213"/>
      <c r="Y70" s="196"/>
      <c r="Z70" s="196"/>
      <c r="AA70" s="196"/>
      <c r="AB70" s="196"/>
      <c r="AC70" s="196"/>
      <c r="AD70" s="196"/>
      <c r="AE70" s="196"/>
      <c r="AF70" s="213"/>
      <c r="AG70" s="228"/>
      <c r="AH70" s="213"/>
      <c r="AI70" s="228"/>
      <c r="AJ70" s="228"/>
      <c r="AK70" s="213"/>
      <c r="AL70" s="228"/>
      <c r="AM70" s="228"/>
      <c r="AN70" s="228"/>
      <c r="AO70" s="228"/>
      <c r="AP70" s="228"/>
      <c r="AQ70" s="213"/>
      <c r="AR70" s="196"/>
      <c r="AS70" s="196"/>
      <c r="AT70" s="196"/>
      <c r="AU70" s="195">
        <f>IF(G70-I70-J70-K70-L70-M70-N70-O70-P70-Q70-R70-S70-T70-U70-V70-W70-X70-Y70-Z70-AA70-AB70-AC70-AD70-AE70-AF70-AG70-AH70-AI70-AJ70-AL70-AM70-AN70-AO70-AP70-AQ70-AR70-AS70-AT70&lt;0,0,G70-I70-J70-K70-L70-M70-N70-O70-P70-Q70-R70-S70-T70-U70-V70-W70-X70-Y70-Z70-AA70-AB70-AC70-AD70-AE70-AF70-AG70-AH70-AI70-AJ70-AL70-AM70-AN70-AO70-AP70-AQ70-AR70-AS70-AT70)</f>
        <v>0</v>
      </c>
      <c r="AV70" s="235">
        <v>0.5</v>
      </c>
      <c r="AW70" s="243">
        <f>I70*$I$8+J70*$J$8+K70*$K$8+L70*$L$8+M70*$M$8+N70*$N$8+O70*$O$8+P70*$P$8+Q70*$Q$8+R70*$R$8+S70*$S$8+T70*$T$8+U70*$U$8+V70*$V$8+W70*$W$8+X70*$X$8+Y70*$Y$8+Z70*$Z$8+AA70*$AA$8++AB70*$AB$8+AC70*$AC$8+AD70*$AD$8+AE70*$AE$8+AF70*$AF$8+AG70*$AG$8+AH70*$AH$8+AI70*$AI$8+AJ70*$AJ$8+AL70*$AL$8+AM70*$AM$8+AN70*$AN$8+AO70*$AO$8+AP70*$AP$8+AQ70*$AQ$8+AR70*$AR$8+AS70*$AS$8+AT70*$AT$8</f>
        <v>0</v>
      </c>
      <c r="AX70" s="242" t="e">
        <f t="shared" si="4"/>
        <v>#DIV/0!</v>
      </c>
    </row>
    <row r="71" ht="20.5" customHeight="1" spans="1:50">
      <c r="A71" t="s">
        <v>4</v>
      </c>
      <c r="B71" s="176"/>
      <c r="C71" s="177">
        <v>62</v>
      </c>
      <c r="D71" s="181" t="s">
        <v>137</v>
      </c>
      <c r="E71" s="198"/>
      <c r="F71" s="198"/>
      <c r="G71" s="195">
        <f t="shared" si="46"/>
        <v>0</v>
      </c>
      <c r="H71" s="198"/>
      <c r="I71" s="198"/>
      <c r="J71" s="198"/>
      <c r="K71" s="198"/>
      <c r="L71" s="198"/>
      <c r="M71" s="198"/>
      <c r="N71" s="198"/>
      <c r="O71" s="198"/>
      <c r="P71" s="198"/>
      <c r="Q71" s="198"/>
      <c r="R71" s="198"/>
      <c r="S71" s="198"/>
      <c r="T71" s="198"/>
      <c r="U71" s="198"/>
      <c r="V71" s="198"/>
      <c r="W71" s="198"/>
      <c r="X71" s="198"/>
      <c r="Y71" s="198"/>
      <c r="Z71" s="198"/>
      <c r="AA71" s="198"/>
      <c r="AB71" s="198"/>
      <c r="AC71" s="198"/>
      <c r="AD71" s="198"/>
      <c r="AE71" s="198"/>
      <c r="AF71" s="198"/>
      <c r="AG71" s="198"/>
      <c r="AH71" s="198"/>
      <c r="AI71" s="198"/>
      <c r="AJ71" s="198"/>
      <c r="AK71" s="198"/>
      <c r="AL71" s="198"/>
      <c r="AM71" s="198"/>
      <c r="AN71" s="198"/>
      <c r="AO71" s="198"/>
      <c r="AP71" s="198"/>
      <c r="AQ71" s="198"/>
      <c r="AR71" s="198"/>
      <c r="AS71" s="198"/>
      <c r="AT71" s="198"/>
      <c r="AU71" s="195">
        <f>IF(G71-I71-J71-K71-L71-M71-N71-O71-P71-Q71-R71-S71-T71-U71-V71-W71-X71-Y71-Z71-AA71-AB71-AC71-AD71-AE71-AF71-AG71-AH71-AI71-AJ71-AL71-AM71-AN71-AO71-AP71-AQ71-AR71-AS71-AT71&lt;0,0,G71-I71-J71-K71-L71-M71-N71-O71-P71-Q71-R71-S71-T71-U71-V71-W71-X71-Y71-Z71-AA71-AB71-AC71-AD71-AE71-AF71-AG71-AH71-AI71-AJ71-AL71-AM71-AN71-AO71-AP71-AQ71-AR71-AS71-AT71)</f>
        <v>0</v>
      </c>
      <c r="AV71" s="235">
        <v>1</v>
      </c>
      <c r="AW71" s="243">
        <f>I71*$I$8+J71*$J$8+K71*$K$8+L71*$L$8+M71*$M$8+N71*$N$8+O71*$O$8+P71*$P$8+Q71*$Q$8+R71*$R$8+S71*$S$8+T71*$T$8+U71*$U$8+V71*$V$8+W71*$W$8+X71*$X$8+Y71*$Y$8+Z71*$Z$8+AA71*$AA$8++AB71*$AB$8+AC71*$AC$8+AD71*$AD$8+AE71*$AE$8+AF71*$AF$8+AG71*$AG$8+AH71*$AH$8+AI71*$AI$8+AJ71*$AJ$8+AL71*$AL$8+AM71*$AM$8+AN71*$AN$8+AO71*$AO$8+AP71*$AP$8+AQ71*$AQ$8+AR71*$AR$8+AS71*$AS$8+AT71*$AT$8</f>
        <v>0</v>
      </c>
      <c r="AX71" s="242" t="e">
        <f t="shared" si="4"/>
        <v>#DIV/0!</v>
      </c>
    </row>
    <row r="72" ht="20.5" customHeight="1" spans="1:50">
      <c r="A72" t="s">
        <v>4</v>
      </c>
      <c r="B72" s="176"/>
      <c r="C72" s="177">
        <v>63</v>
      </c>
      <c r="D72" s="181" t="s">
        <v>138</v>
      </c>
      <c r="E72" s="198"/>
      <c r="F72" s="198"/>
      <c r="G72" s="195">
        <f t="shared" si="46"/>
        <v>0</v>
      </c>
      <c r="H72" s="198"/>
      <c r="I72" s="198"/>
      <c r="J72" s="198"/>
      <c r="K72" s="198"/>
      <c r="L72" s="198"/>
      <c r="M72" s="198"/>
      <c r="N72" s="198"/>
      <c r="O72" s="198"/>
      <c r="P72" s="198"/>
      <c r="Q72" s="198"/>
      <c r="R72" s="198"/>
      <c r="S72" s="198"/>
      <c r="T72" s="198"/>
      <c r="U72" s="198"/>
      <c r="V72" s="198"/>
      <c r="W72" s="198"/>
      <c r="X72" s="198"/>
      <c r="Y72" s="198"/>
      <c r="Z72" s="198"/>
      <c r="AA72" s="198"/>
      <c r="AB72" s="198"/>
      <c r="AC72" s="198"/>
      <c r="AD72" s="198"/>
      <c r="AE72" s="198"/>
      <c r="AF72" s="198"/>
      <c r="AG72" s="198"/>
      <c r="AH72" s="198"/>
      <c r="AI72" s="198"/>
      <c r="AJ72" s="198"/>
      <c r="AK72" s="198"/>
      <c r="AL72" s="198"/>
      <c r="AM72" s="198"/>
      <c r="AN72" s="198"/>
      <c r="AO72" s="198"/>
      <c r="AP72" s="198"/>
      <c r="AQ72" s="198"/>
      <c r="AR72" s="198"/>
      <c r="AS72" s="198"/>
      <c r="AT72" s="198"/>
      <c r="AU72" s="195">
        <f>IF(G72-I72-J72-K72-L72-M72-N72-O72-P72-Q72-R72-S72-T72-U72-V72-W72-X72-Y72-Z72-AA72-AB72-AC72-AD72-AE72-AF72-AG72-AH72-AI72-AJ72-AL72-AM72-AN72-AO72-AP72-AQ72-AR72-AS72-AT72&lt;0,0,G72-I72-J72-K72-L72-M72-N72-O72-P72-Q72-R72-S72-T72-U72-V72-W72-X72-Y72-Z72-AA72-AB72-AC72-AD72-AE72-AF72-AG72-AH72-AI72-AJ72-AL72-AM72-AN72-AO72-AP72-AQ72-AR72-AS72-AT72)</f>
        <v>0</v>
      </c>
      <c r="AV72" s="235">
        <v>1.5</v>
      </c>
      <c r="AW72" s="243">
        <f>I72*$I$8+J72*$J$8+K72*$K$8+L72*$L$8+M72*$M$8+N72*$N$8+O72*$O$8+P72*$P$8+Q72*$Q$8+R72*$R$8+S72*$S$8+T72*$T$8+U72*$U$8+V72*$V$8+W72*$W$8+X72*$X$8+Y72*$Y$8+Z72*$Z$8+AA72*$AA$8++AB72*$AB$8+AC72*$AC$8+AD72*$AD$8+AE72*$AE$8+AF72*$AF$8+AG72*$AG$8+AH72*$AH$8+AI72*$AI$8+AJ72*$AJ$8+AL72*$AL$8+AM72*$AM$8+AN72*$AN$8+AO72*$AO$8+AP72*$AP$8+AQ72*$AQ$8+AR72*$AR$8+AS72*$AS$8+AT72*$AT$8</f>
        <v>0</v>
      </c>
      <c r="AX72" s="242" t="e">
        <f t="shared" si="4"/>
        <v>#DIV/0!</v>
      </c>
    </row>
    <row r="73" ht="20.5" customHeight="1" spans="1:50">
      <c r="A73" t="s">
        <v>4</v>
      </c>
      <c r="B73" s="176"/>
      <c r="C73" s="177">
        <v>64</v>
      </c>
      <c r="D73" s="180" t="s">
        <v>139</v>
      </c>
      <c r="E73" s="195">
        <f t="shared" ref="E73:H73" si="47">SUM(E74:E77)</f>
        <v>0</v>
      </c>
      <c r="F73" s="195">
        <f t="shared" si="47"/>
        <v>0</v>
      </c>
      <c r="G73" s="195">
        <f t="shared" si="47"/>
        <v>0</v>
      </c>
      <c r="H73" s="195">
        <f t="shared" si="47"/>
        <v>0</v>
      </c>
      <c r="I73" s="195">
        <f t="shared" ref="I73:AT73" si="48">SUM(I74:I77)</f>
        <v>0</v>
      </c>
      <c r="J73" s="195">
        <f t="shared" si="48"/>
        <v>0</v>
      </c>
      <c r="K73" s="195">
        <f t="shared" si="48"/>
        <v>0</v>
      </c>
      <c r="L73" s="195">
        <f t="shared" si="48"/>
        <v>0</v>
      </c>
      <c r="M73" s="195">
        <f t="shared" si="48"/>
        <v>0</v>
      </c>
      <c r="N73" s="195">
        <f t="shared" si="48"/>
        <v>0</v>
      </c>
      <c r="O73" s="195">
        <f t="shared" si="48"/>
        <v>0</v>
      </c>
      <c r="P73" s="195">
        <f t="shared" si="48"/>
        <v>0</v>
      </c>
      <c r="Q73" s="195">
        <f t="shared" si="48"/>
        <v>0</v>
      </c>
      <c r="R73" s="195">
        <f t="shared" si="48"/>
        <v>0</v>
      </c>
      <c r="S73" s="195">
        <f t="shared" si="48"/>
        <v>0</v>
      </c>
      <c r="T73" s="195">
        <f t="shared" si="48"/>
        <v>0</v>
      </c>
      <c r="U73" s="195">
        <f t="shared" si="48"/>
        <v>0</v>
      </c>
      <c r="V73" s="195">
        <f t="shared" si="48"/>
        <v>0</v>
      </c>
      <c r="W73" s="195">
        <f t="shared" si="48"/>
        <v>0</v>
      </c>
      <c r="X73" s="195">
        <f t="shared" si="48"/>
        <v>0</v>
      </c>
      <c r="Y73" s="195">
        <f t="shared" si="48"/>
        <v>0</v>
      </c>
      <c r="Z73" s="195">
        <f t="shared" si="48"/>
        <v>0</v>
      </c>
      <c r="AA73" s="195">
        <f t="shared" si="48"/>
        <v>0</v>
      </c>
      <c r="AB73" s="195">
        <f t="shared" si="48"/>
        <v>0</v>
      </c>
      <c r="AC73" s="195">
        <f t="shared" si="48"/>
        <v>0</v>
      </c>
      <c r="AD73" s="195">
        <f t="shared" si="48"/>
        <v>0</v>
      </c>
      <c r="AE73" s="195">
        <f t="shared" si="48"/>
        <v>0</v>
      </c>
      <c r="AF73" s="195">
        <f t="shared" si="48"/>
        <v>0</v>
      </c>
      <c r="AG73" s="195">
        <f t="shared" si="48"/>
        <v>0</v>
      </c>
      <c r="AH73" s="195">
        <f t="shared" si="48"/>
        <v>0</v>
      </c>
      <c r="AI73" s="195">
        <f t="shared" si="48"/>
        <v>0</v>
      </c>
      <c r="AJ73" s="195">
        <f t="shared" si="48"/>
        <v>0</v>
      </c>
      <c r="AK73" s="195">
        <f t="shared" si="48"/>
        <v>0</v>
      </c>
      <c r="AL73" s="195">
        <f t="shared" si="48"/>
        <v>0</v>
      </c>
      <c r="AM73" s="195">
        <f t="shared" si="48"/>
        <v>0</v>
      </c>
      <c r="AN73" s="195">
        <f t="shared" si="48"/>
        <v>0</v>
      </c>
      <c r="AO73" s="195">
        <f t="shared" si="48"/>
        <v>0</v>
      </c>
      <c r="AP73" s="195">
        <f t="shared" si="48"/>
        <v>0</v>
      </c>
      <c r="AQ73" s="195">
        <f t="shared" si="48"/>
        <v>0</v>
      </c>
      <c r="AR73" s="195">
        <f t="shared" si="48"/>
        <v>0</v>
      </c>
      <c r="AS73" s="195">
        <f t="shared" si="48"/>
        <v>0</v>
      </c>
      <c r="AT73" s="195">
        <f t="shared" si="48"/>
        <v>0</v>
      </c>
      <c r="AU73" s="195">
        <f>AU74+AU75+AU76+AU77</f>
        <v>0</v>
      </c>
      <c r="AV73" s="232"/>
      <c r="AW73" s="195">
        <f>AW74+AW75+AW76+AW77</f>
        <v>0</v>
      </c>
      <c r="AX73" s="242" t="e">
        <f t="shared" si="4"/>
        <v>#DIV/0!</v>
      </c>
    </row>
    <row r="74" ht="24" spans="1:50">
      <c r="A74" t="s">
        <v>4</v>
      </c>
      <c r="B74" s="176"/>
      <c r="C74" s="177">
        <v>65</v>
      </c>
      <c r="D74" s="181" t="s">
        <v>140</v>
      </c>
      <c r="E74" s="196"/>
      <c r="F74" s="196"/>
      <c r="G74" s="195">
        <f t="shared" ref="G74:G78" si="49">E74-F74</f>
        <v>0</v>
      </c>
      <c r="H74" s="196"/>
      <c r="I74" s="196"/>
      <c r="J74" s="196"/>
      <c r="K74" s="196"/>
      <c r="L74" s="196"/>
      <c r="M74" s="196"/>
      <c r="N74" s="196"/>
      <c r="O74" s="196"/>
      <c r="P74" s="196"/>
      <c r="Q74" s="196"/>
      <c r="R74" s="196"/>
      <c r="S74" s="196"/>
      <c r="T74" s="196"/>
      <c r="U74" s="196"/>
      <c r="V74" s="196"/>
      <c r="W74" s="196"/>
      <c r="X74" s="213"/>
      <c r="Y74" s="196"/>
      <c r="Z74" s="196"/>
      <c r="AA74" s="196"/>
      <c r="AB74" s="196"/>
      <c r="AC74" s="196"/>
      <c r="AD74" s="196"/>
      <c r="AE74" s="196"/>
      <c r="AF74" s="213"/>
      <c r="AG74" s="228"/>
      <c r="AH74" s="213"/>
      <c r="AI74" s="228"/>
      <c r="AJ74" s="228"/>
      <c r="AK74" s="213"/>
      <c r="AL74" s="228"/>
      <c r="AM74" s="228"/>
      <c r="AN74" s="228"/>
      <c r="AO74" s="228"/>
      <c r="AP74" s="228"/>
      <c r="AQ74" s="213"/>
      <c r="AR74" s="196"/>
      <c r="AS74" s="196"/>
      <c r="AT74" s="196"/>
      <c r="AU74" s="195">
        <f>IF(G74-I74-J74-K74-L74-M74-N74-O74-P74-Q74-R74-S74-T74-U74-V74-W74-X74-Y74-Z74-AA74-AB74-AC74-AD74-AE74-AF74-AG74-AH74-AI74-AJ74-AL74-AM74-AN74-AO74-AP74-AQ74-AR74-AS74-AT74&lt;0,0,G74-I74-J74-K74-L74-M74-N74-O74-P74-Q74-R74-S74-T74-U74-V74-W74-X74-Y74-Z74-AA74-AB74-AC74-AD74-AE74-AF74-AG74-AH74-AI74-AJ74-AL74-AM74-AN74-AO74-AP74-AQ74-AR74-AS74-AT74)</f>
        <v>0</v>
      </c>
      <c r="AV74" s="233">
        <v>0.5</v>
      </c>
      <c r="AW74" s="243">
        <f>I74*$I$8+J74*$J$8+K74*$K$8+L74*$L$8+M74*$M$8+N74*$N$8+O74*$O$8+P74*$P$8+Q74*$Q$8+R74*$R$8+S74*$S$8+T74*$T$8+U74*$U$8+V74*$V$8+W74*$W$8+X74*$X$8+Y74*$Y$8+Z74*$Z$8+AA74*$AA$8++AB74*$AB$8+AC74*$AC$8+AD74*$AD$8+AE74*$AE$8+AF74*$AF$8+AG74*$AG$8+AH74*$AH$8+AI74*$AI$8+AJ74*$AJ$8+AL74*$AL$8+AM74*$AM$8+AN74*$AN$8+AO74*$AO$8+AP74*$AP$8+AQ74*$AQ$8+AR74*$AR$8+AS74*$AS$8+AT74*$AT$8</f>
        <v>0</v>
      </c>
      <c r="AX74" s="242" t="e">
        <f t="shared" si="4"/>
        <v>#DIV/0!</v>
      </c>
    </row>
    <row r="75" ht="20.5" customHeight="1" spans="1:50">
      <c r="A75" t="s">
        <v>4</v>
      </c>
      <c r="B75" s="176"/>
      <c r="C75" s="177">
        <v>66</v>
      </c>
      <c r="D75" s="181" t="s">
        <v>141</v>
      </c>
      <c r="E75" s="196"/>
      <c r="F75" s="196"/>
      <c r="G75" s="195">
        <f t="shared" si="49"/>
        <v>0</v>
      </c>
      <c r="H75" s="196"/>
      <c r="I75" s="196"/>
      <c r="J75" s="196"/>
      <c r="K75" s="196"/>
      <c r="L75" s="196"/>
      <c r="M75" s="196"/>
      <c r="N75" s="196"/>
      <c r="O75" s="196"/>
      <c r="P75" s="196"/>
      <c r="Q75" s="196"/>
      <c r="R75" s="196"/>
      <c r="S75" s="196"/>
      <c r="T75" s="196"/>
      <c r="U75" s="196"/>
      <c r="V75" s="196"/>
      <c r="W75" s="196"/>
      <c r="X75" s="196"/>
      <c r="Y75" s="196"/>
      <c r="Z75" s="196"/>
      <c r="AA75" s="196"/>
      <c r="AB75" s="196"/>
      <c r="AC75" s="196"/>
      <c r="AD75" s="196"/>
      <c r="AE75" s="196"/>
      <c r="AF75" s="196"/>
      <c r="AG75" s="196"/>
      <c r="AH75" s="196"/>
      <c r="AI75" s="196"/>
      <c r="AJ75" s="196"/>
      <c r="AK75" s="196"/>
      <c r="AL75" s="196"/>
      <c r="AM75" s="196"/>
      <c r="AN75" s="196"/>
      <c r="AO75" s="196"/>
      <c r="AP75" s="196"/>
      <c r="AQ75" s="196"/>
      <c r="AR75" s="196"/>
      <c r="AS75" s="196"/>
      <c r="AT75" s="196"/>
      <c r="AU75" s="195">
        <f>IF(G75-I75-J75-K75-L75-M75-N75-O75-P75-Q75-R75-S75-T75-U75-V75-W75-X75-Y75-Z75-AA75-AB75-AC75-AD75-AE75-AF75-AG75-AH75-AI75-AJ75-AL75-AM75-AN75-AO75-AP75-AQ75-AR75-AS75-AT75&lt;0,0,G75-I75-J75-K75-L75-M75-N75-O75-P75-Q75-R75-S75-T75-U75-V75-W75-X75-Y75-Z75-AA75-AB75-AC75-AD75-AE75-AF75-AG75-AH75-AI75-AJ75-AL75-AM75-AN75-AO75-AP75-AQ75-AR75-AS75-AT75)</f>
        <v>0</v>
      </c>
      <c r="AV75" s="233">
        <v>0.75</v>
      </c>
      <c r="AW75" s="243">
        <f>I75*$I$8+J75*$J$8+K75*$K$8+L75*$L$8+M75*$M$8+N75*$N$8+O75*$O$8+P75*$P$8+Q75*$Q$8+R75*$R$8+S75*$S$8+T75*$T$8+U75*$U$8+V75*$V$8+W75*$W$8+X75*$X$8+Y75*$Y$8+Z75*$Z$8+AA75*$AA$8++AB75*$AB$8+AC75*$AC$8+AD75*$AD$8+AE75*$AE$8+AF75*$AF$8+AG75*$AG$8+AH75*$AH$8+AI75*$AI$8+AJ75*$AJ$8+AL75*$AL$8+AM75*$AM$8+AN75*$AN$8+AO75*$AO$8+AP75*$AP$8+AQ75*$AQ$8+AR75*$AR$8+AS75*$AS$8+AT75*$AT$8</f>
        <v>0</v>
      </c>
      <c r="AX75" s="242" t="e">
        <f t="shared" ref="AX75:AX138" si="50">AW75/G75</f>
        <v>#DIV/0!</v>
      </c>
    </row>
    <row r="76" ht="20.5" customHeight="1" spans="1:50">
      <c r="A76" t="s">
        <v>4</v>
      </c>
      <c r="B76" s="176"/>
      <c r="C76" s="177">
        <v>67</v>
      </c>
      <c r="D76" s="181" t="s">
        <v>142</v>
      </c>
      <c r="E76" s="198"/>
      <c r="F76" s="198"/>
      <c r="G76" s="195">
        <f t="shared" si="49"/>
        <v>0</v>
      </c>
      <c r="H76" s="198"/>
      <c r="I76" s="198"/>
      <c r="J76" s="198"/>
      <c r="K76" s="198"/>
      <c r="L76" s="198"/>
      <c r="M76" s="198"/>
      <c r="N76" s="198"/>
      <c r="O76" s="198"/>
      <c r="P76" s="198"/>
      <c r="Q76" s="198"/>
      <c r="R76" s="198"/>
      <c r="S76" s="198"/>
      <c r="T76" s="198"/>
      <c r="U76" s="198"/>
      <c r="V76" s="198"/>
      <c r="W76" s="198"/>
      <c r="X76" s="198"/>
      <c r="Y76" s="198"/>
      <c r="Z76" s="198"/>
      <c r="AA76" s="198"/>
      <c r="AB76" s="198"/>
      <c r="AC76" s="198"/>
      <c r="AD76" s="198"/>
      <c r="AE76" s="198"/>
      <c r="AF76" s="198"/>
      <c r="AG76" s="198"/>
      <c r="AH76" s="198"/>
      <c r="AI76" s="198"/>
      <c r="AJ76" s="198"/>
      <c r="AK76" s="198"/>
      <c r="AL76" s="198"/>
      <c r="AM76" s="198"/>
      <c r="AN76" s="198"/>
      <c r="AO76" s="198"/>
      <c r="AP76" s="198"/>
      <c r="AQ76" s="198"/>
      <c r="AR76" s="198"/>
      <c r="AS76" s="198"/>
      <c r="AT76" s="198"/>
      <c r="AU76" s="195">
        <f>IF(G76-I76-J76-K76-L76-M76-N76-O76-P76-Q76-R76-S76-T76-U76-V76-W76-X76-Y76-Z76-AA76-AB76-AC76-AD76-AE76-AF76-AG76-AH76-AI76-AJ76-AL76-AM76-AN76-AO76-AP76-AQ76-AR76-AS76-AT76&lt;0,0,G76-I76-J76-K76-L76-M76-N76-O76-P76-Q76-R76-S76-T76-U76-V76-W76-X76-Y76-Z76-AA76-AB76-AC76-AD76-AE76-AF76-AG76-AH76-AI76-AJ76-AL76-AM76-AN76-AO76-AP76-AQ76-AR76-AS76-AT76)</f>
        <v>0</v>
      </c>
      <c r="AV76" s="235">
        <v>1</v>
      </c>
      <c r="AW76" s="243">
        <f>I76*$I$8+J76*$J$8+K76*$K$8+L76*$L$8+M76*$M$8+N76*$N$8+O76*$O$8+P76*$P$8+Q76*$Q$8+R76*$R$8+S76*$S$8+T76*$T$8+U76*$U$8+V76*$V$8+W76*$W$8+X76*$X$8+Y76*$Y$8+Z76*$Z$8+AA76*$AA$8++AB76*$AB$8+AC76*$AC$8+AD76*$AD$8+AE76*$AE$8+AF76*$AF$8+AG76*$AG$8+AH76*$AH$8+AI76*$AI$8+AJ76*$AJ$8+AL76*$AL$8+AM76*$AM$8+AN76*$AN$8+AO76*$AO$8+AP76*$AP$8+AQ76*$AQ$8+AR76*$AR$8+AS76*$AS$8+AT76*$AT$8</f>
        <v>0</v>
      </c>
      <c r="AX76" s="242" t="e">
        <f t="shared" si="50"/>
        <v>#DIV/0!</v>
      </c>
    </row>
    <row r="77" ht="20.5" customHeight="1" spans="1:50">
      <c r="A77" t="s">
        <v>4</v>
      </c>
      <c r="B77" s="176"/>
      <c r="C77" s="177">
        <v>68</v>
      </c>
      <c r="D77" s="181" t="s">
        <v>143</v>
      </c>
      <c r="E77" s="198"/>
      <c r="F77" s="198"/>
      <c r="G77" s="195">
        <f t="shared" si="49"/>
        <v>0</v>
      </c>
      <c r="H77" s="198"/>
      <c r="I77" s="198"/>
      <c r="J77" s="198"/>
      <c r="K77" s="198"/>
      <c r="L77" s="198"/>
      <c r="M77" s="198"/>
      <c r="N77" s="198"/>
      <c r="O77" s="198"/>
      <c r="P77" s="198"/>
      <c r="Q77" s="198"/>
      <c r="R77" s="198"/>
      <c r="S77" s="198"/>
      <c r="T77" s="198"/>
      <c r="U77" s="198"/>
      <c r="V77" s="198"/>
      <c r="W77" s="198"/>
      <c r="X77" s="198"/>
      <c r="Y77" s="198"/>
      <c r="Z77" s="198"/>
      <c r="AA77" s="198"/>
      <c r="AB77" s="198"/>
      <c r="AC77" s="198"/>
      <c r="AD77" s="198"/>
      <c r="AE77" s="198"/>
      <c r="AF77" s="198"/>
      <c r="AG77" s="198"/>
      <c r="AH77" s="198"/>
      <c r="AI77" s="198"/>
      <c r="AJ77" s="198"/>
      <c r="AK77" s="198"/>
      <c r="AL77" s="198"/>
      <c r="AM77" s="198"/>
      <c r="AN77" s="198"/>
      <c r="AO77" s="198"/>
      <c r="AP77" s="198"/>
      <c r="AQ77" s="198"/>
      <c r="AR77" s="198"/>
      <c r="AS77" s="198"/>
      <c r="AT77" s="198"/>
      <c r="AU77" s="195">
        <f>IF(G77-I77-J77-K77-L77-M77-N77-O77-P77-Q77-R77-S77-T77-U77-V77-W77-X77-Y77-Z77-AA77-AB77-AC77-AD77-AE77-AF77-AG77-AH77-AI77-AJ77-AL77-AM77-AN77-AO77-AP77-AQ77-AR77-AS77-AT77&lt;0,0,G77-I77-J77-K77-L77-M77-N77-O77-P77-Q77-R77-S77-T77-U77-V77-W77-X77-Y77-Z77-AA77-AB77-AC77-AD77-AE77-AF77-AG77-AH77-AI77-AJ77-AL77-AM77-AN77-AO77-AP77-AQ77-AR77-AS77-AT77)</f>
        <v>0</v>
      </c>
      <c r="AV77" s="235">
        <v>1.5</v>
      </c>
      <c r="AW77" s="243">
        <f>I77*$I$8+J77*$J$8+K77*$K$8+L77*$L$8+M77*$M$8+N77*$N$8+O77*$O$8+P77*$P$8+Q77*$Q$8+R77*$R$8+S77*$S$8+T77*$T$8+U77*$U$8+V77*$V$8+W77*$W$8+X77*$X$8+Y77*$Y$8+Z77*$Z$8+AA77*$AA$8++AB77*$AB$8+AC77*$AC$8+AD77*$AD$8+AE77*$AE$8+AF77*$AF$8+AG77*$AG$8+AH77*$AH$8+AI77*$AI$8+AJ77*$AJ$8+AL77*$AL$8+AM77*$AM$8+AN77*$AN$8+AO77*$AO$8+AP77*$AP$8+AQ77*$AQ$8+AR77*$AR$8+AS77*$AS$8+AT77*$AT$8</f>
        <v>0</v>
      </c>
      <c r="AX77" s="242" t="e">
        <f t="shared" si="50"/>
        <v>#DIV/0!</v>
      </c>
    </row>
    <row r="78" ht="20.5" customHeight="1" spans="1:50">
      <c r="A78" t="s">
        <v>4</v>
      </c>
      <c r="B78" s="176"/>
      <c r="C78" s="177">
        <v>69</v>
      </c>
      <c r="D78" s="180" t="s">
        <v>144</v>
      </c>
      <c r="E78" s="196"/>
      <c r="F78" s="196"/>
      <c r="G78" s="195">
        <f t="shared" si="49"/>
        <v>0</v>
      </c>
      <c r="H78" s="196"/>
      <c r="I78" s="196"/>
      <c r="J78" s="196"/>
      <c r="K78" s="196"/>
      <c r="L78" s="196"/>
      <c r="M78" s="196"/>
      <c r="N78" s="196"/>
      <c r="O78" s="196"/>
      <c r="P78" s="196"/>
      <c r="Q78" s="196"/>
      <c r="R78" s="196"/>
      <c r="S78" s="196"/>
      <c r="T78" s="196"/>
      <c r="U78" s="196"/>
      <c r="V78" s="196"/>
      <c r="W78" s="196"/>
      <c r="X78" s="196"/>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95">
        <f>IF(G78-I78-J78-K78-L78-M78-N78-O78-P78-Q78-R78-S78-T78-U78-V78-W78-X78-Y78-Z78-AA78-AB78-AC78-AD78-AE78-AF78-AG78-AH78-AI78-AJ78-AL78-AM78-AN78-AO78-AP78-AQ78-AR78-AS78-AT78&lt;0,0,G78-I78-J78-K78-L78-M78-N78-O78-P78-Q78-R78-S78-T78-U78-V78-W78-X78-Y78-Z78-AA78-AB78-AC78-AD78-AE78-AF78-AG78-AH78-AI78-AJ78-AL78-AM78-AN78-AO78-AP78-AQ78-AR78-AS78-AT78)</f>
        <v>0</v>
      </c>
      <c r="AV78" s="233">
        <v>1.5</v>
      </c>
      <c r="AW78" s="243">
        <f>I78*$I$8+J78*$J$8+K78*$K$8+L78*$L$8+M78*$M$8+N78*$N$8+O78*$O$8+P78*$P$8+Q78*$Q$8+R78*$R$8+S78*$S$8+T78*$T$8+U78*$U$8+V78*$V$8+W78*$W$8+X78*$X$8+Y78*$Y$8+Z78*$Z$8+AA78*$AA$8++AB78*$AB$8+AC78*$AC$8+AD78*$AD$8+AE78*$AE$8+AF78*$AF$8+AG78*$AG$8+AH78*$AH$8+AI78*$AI$8+AJ78*$AJ$8+AL78*$AL$8+AM78*$AM$8+AN78*$AN$8+AO78*$AO$8+AP78*$AP$8+AQ78*$AQ$8+AR78*$AR$8+AS78*$AS$8+AT78*$AT$8</f>
        <v>0</v>
      </c>
      <c r="AX78" s="242" t="e">
        <f t="shared" si="50"/>
        <v>#DIV/0!</v>
      </c>
    </row>
    <row r="79" ht="20.5" customHeight="1" spans="2:50">
      <c r="B79" s="247" t="s">
        <v>145</v>
      </c>
      <c r="C79" s="159">
        <v>70</v>
      </c>
      <c r="D79" s="248" t="s">
        <v>146</v>
      </c>
      <c r="E79" s="199">
        <f t="shared" ref="E79:H79" si="51">E80+E81</f>
        <v>0</v>
      </c>
      <c r="F79" s="199">
        <f t="shared" si="51"/>
        <v>0</v>
      </c>
      <c r="G79" s="195">
        <f t="shared" si="51"/>
        <v>0</v>
      </c>
      <c r="H79" s="199">
        <f t="shared" si="51"/>
        <v>0</v>
      </c>
      <c r="I79" s="199">
        <f t="shared" ref="I79" si="52">I80+I81</f>
        <v>0</v>
      </c>
      <c r="J79" s="199">
        <f t="shared" ref="J79" si="53">J80+J81</f>
        <v>0</v>
      </c>
      <c r="K79" s="199">
        <f t="shared" ref="K79" si="54">K80+K81</f>
        <v>0</v>
      </c>
      <c r="L79" s="199">
        <f t="shared" ref="L79" si="55">L80+L81</f>
        <v>0</v>
      </c>
      <c r="M79" s="199">
        <f t="shared" ref="M79" si="56">M80+M81</f>
        <v>0</v>
      </c>
      <c r="N79" s="199">
        <f t="shared" ref="N79" si="57">N80+N81</f>
        <v>0</v>
      </c>
      <c r="O79" s="199">
        <f t="shared" ref="O79" si="58">O80+O81</f>
        <v>0</v>
      </c>
      <c r="P79" s="199">
        <f t="shared" ref="P79" si="59">P80+P81</f>
        <v>0</v>
      </c>
      <c r="Q79" s="199">
        <f t="shared" ref="Q79" si="60">Q80+Q81</f>
        <v>0</v>
      </c>
      <c r="R79" s="199">
        <f t="shared" ref="R79" si="61">R80+R81</f>
        <v>0</v>
      </c>
      <c r="S79" s="199">
        <f t="shared" ref="S79" si="62">S80+S81</f>
        <v>0</v>
      </c>
      <c r="T79" s="199">
        <f t="shared" ref="T79" si="63">T80+T81</f>
        <v>0</v>
      </c>
      <c r="U79" s="199">
        <f t="shared" ref="U79" si="64">U80+U81</f>
        <v>0</v>
      </c>
      <c r="V79" s="199">
        <f t="shared" ref="V79" si="65">V80+V81</f>
        <v>0</v>
      </c>
      <c r="W79" s="199">
        <f t="shared" ref="W79" si="66">W80+W81</f>
        <v>0</v>
      </c>
      <c r="X79" s="199">
        <f t="shared" ref="X79" si="67">X80+X81</f>
        <v>0</v>
      </c>
      <c r="Y79" s="199">
        <f t="shared" ref="Y79" si="68">Y80+Y81</f>
        <v>0</v>
      </c>
      <c r="Z79" s="199">
        <f t="shared" ref="Z79" si="69">Z80+Z81</f>
        <v>0</v>
      </c>
      <c r="AA79" s="199">
        <f t="shared" ref="AA79" si="70">AA80+AA81</f>
        <v>0</v>
      </c>
      <c r="AB79" s="199">
        <f t="shared" ref="AB79" si="71">AB80+AB81</f>
        <v>0</v>
      </c>
      <c r="AC79" s="199">
        <f t="shared" ref="AC79" si="72">AC80+AC81</f>
        <v>0</v>
      </c>
      <c r="AD79" s="199">
        <f t="shared" ref="AD79" si="73">AD80+AD81</f>
        <v>0</v>
      </c>
      <c r="AE79" s="199">
        <f t="shared" ref="AE79" si="74">AE80+AE81</f>
        <v>0</v>
      </c>
      <c r="AF79" s="199">
        <f t="shared" ref="AF79" si="75">AF80+AF81</f>
        <v>0</v>
      </c>
      <c r="AG79" s="199">
        <f t="shared" ref="AG79" si="76">AG80+AG81</f>
        <v>0</v>
      </c>
      <c r="AH79" s="199">
        <f t="shared" ref="AH79" si="77">AH80+AH81</f>
        <v>0</v>
      </c>
      <c r="AI79" s="199">
        <f t="shared" ref="AI79" si="78">AI80+AI81</f>
        <v>0</v>
      </c>
      <c r="AJ79" s="199">
        <f t="shared" ref="AJ79" si="79">AJ80+AJ81</f>
        <v>0</v>
      </c>
      <c r="AK79" s="199">
        <f t="shared" ref="AK79" si="80">AK80+AK81</f>
        <v>0</v>
      </c>
      <c r="AL79" s="199">
        <f t="shared" ref="AL79" si="81">AL80+AL81</f>
        <v>0</v>
      </c>
      <c r="AM79" s="199">
        <f t="shared" ref="AM79" si="82">AM80+AM81</f>
        <v>0</v>
      </c>
      <c r="AN79" s="199">
        <f t="shared" ref="AN79" si="83">AN80+AN81</f>
        <v>0</v>
      </c>
      <c r="AO79" s="199">
        <f t="shared" ref="AO79" si="84">AO80+AO81</f>
        <v>0</v>
      </c>
      <c r="AP79" s="199">
        <f t="shared" ref="AP79" si="85">AP80+AP81</f>
        <v>0</v>
      </c>
      <c r="AQ79" s="199">
        <f t="shared" ref="AQ79" si="86">AQ80+AQ81</f>
        <v>0</v>
      </c>
      <c r="AR79" s="199">
        <f t="shared" ref="AR79" si="87">AR80+AR81</f>
        <v>0</v>
      </c>
      <c r="AS79" s="199">
        <f t="shared" ref="AS79" si="88">AS80+AS81</f>
        <v>0</v>
      </c>
      <c r="AT79" s="199">
        <f t="shared" ref="AT79:AU79" si="89">AT80+AT81</f>
        <v>0</v>
      </c>
      <c r="AU79" s="199">
        <f t="shared" si="89"/>
        <v>0</v>
      </c>
      <c r="AV79" s="232"/>
      <c r="AW79" s="243">
        <f t="shared" ref="AW79:AW90" si="90">I79*$I$8+J79*$J$8+K79*$K$8+L79*$L$8+M79*$M$8+N79*$N$8+O79*$O$8+P79*$P$8+Q79*$Q$8+R79*$R$8+S79*$S$8+T79*$T$8+U79*$U$8+V79*$V$8+W79*$W$8+X79*$X$8+Y79*$Y$8+Z79*$Z$8+AA79*$AA$8++AB79*$AB$8+AC79*$AC$8+AD79*$AD$8+AE79*$AE$8+AF79*$AF$8+AG79*$AG$8+AH79*$AH$8+AI79*$AI$8+AJ79*$AJ$8+AL79*$AL$8+AM79*$AM$8+AN79*$AN$8+AO79*$AO$8+AP79*$AP$8+AQ79*$AQ$8+AR79*$AR$8+AS79*$AS$8+AT79*$AT$8</f>
        <v>0</v>
      </c>
      <c r="AX79" s="242" t="e">
        <f t="shared" si="50"/>
        <v>#DIV/0!</v>
      </c>
    </row>
    <row r="80" ht="30" customHeight="1" spans="2:50">
      <c r="B80" s="247" t="s">
        <v>145</v>
      </c>
      <c r="C80" s="159">
        <v>71</v>
      </c>
      <c r="D80" s="179" t="s">
        <v>147</v>
      </c>
      <c r="E80" s="198"/>
      <c r="F80" s="198"/>
      <c r="G80" s="195">
        <f t="shared" ref="G80:G87" si="91">E80-F80</f>
        <v>0</v>
      </c>
      <c r="H80" s="198"/>
      <c r="I80" s="198"/>
      <c r="J80" s="198"/>
      <c r="K80" s="198"/>
      <c r="L80" s="198"/>
      <c r="M80" s="198"/>
      <c r="N80" s="198"/>
      <c r="O80" s="198"/>
      <c r="P80" s="198"/>
      <c r="Q80" s="198"/>
      <c r="R80" s="198"/>
      <c r="S80" s="198"/>
      <c r="T80" s="213"/>
      <c r="U80" s="198"/>
      <c r="V80" s="213"/>
      <c r="W80" s="213"/>
      <c r="X80" s="213"/>
      <c r="Y80" s="198"/>
      <c r="Z80" s="198"/>
      <c r="AA80" s="213"/>
      <c r="AB80" s="198"/>
      <c r="AC80" s="198"/>
      <c r="AD80" s="213"/>
      <c r="AE80" s="213"/>
      <c r="AF80" s="213"/>
      <c r="AG80" s="213"/>
      <c r="AH80" s="213"/>
      <c r="AI80" s="213"/>
      <c r="AJ80" s="213"/>
      <c r="AK80" s="213"/>
      <c r="AL80" s="198"/>
      <c r="AM80" s="198"/>
      <c r="AN80" s="213"/>
      <c r="AO80" s="213"/>
      <c r="AP80" s="213"/>
      <c r="AQ80" s="213"/>
      <c r="AR80" s="198"/>
      <c r="AS80" s="198"/>
      <c r="AT80" s="213"/>
      <c r="AU80" s="195">
        <f>IF(G80-I80-J80-K80-L80-M80-N80-O80-P80-Q80-R80-S80-T80-U80-V80-W80-X80-Y80-Z80-AA80-AB80-AC80-AD80-AE80-AF80-AG80-AH80-AI80-AJ80-AL80-AM80-AN80-AO80-AP80-AQ80-AR80-AS80-AT80&lt;0,0,G80-I80-J80-K80-L80-M80-N80-O80-P80-Q80-R80-S80-T80-U80-V80-W80-X80-Y80-Z80-AA80-AB80-AC80-AD80-AE80-AF80-AG80-AH80-AI80-AJ80-AL80-AM80-AN80-AO80-AP80-AQ80-AR80-AS80-AT80)</f>
        <v>0</v>
      </c>
      <c r="AV80" s="233">
        <v>0.2</v>
      </c>
      <c r="AW80" s="243">
        <f t="shared" si="90"/>
        <v>0</v>
      </c>
      <c r="AX80" s="242" t="e">
        <f t="shared" si="50"/>
        <v>#DIV/0!</v>
      </c>
    </row>
    <row r="81" ht="20.5" customHeight="1" spans="2:50">
      <c r="B81" s="247" t="s">
        <v>145</v>
      </c>
      <c r="C81" s="159">
        <v>72</v>
      </c>
      <c r="D81" s="179" t="s">
        <v>148</v>
      </c>
      <c r="E81" s="196"/>
      <c r="F81" s="196"/>
      <c r="G81" s="195">
        <f t="shared" si="91"/>
        <v>0</v>
      </c>
      <c r="H81" s="196"/>
      <c r="I81" s="196"/>
      <c r="J81" s="196"/>
      <c r="K81" s="196"/>
      <c r="L81" s="196"/>
      <c r="M81" s="196"/>
      <c r="N81" s="196"/>
      <c r="O81" s="196"/>
      <c r="P81" s="196"/>
      <c r="Q81" s="196"/>
      <c r="R81" s="196"/>
      <c r="S81" s="196"/>
      <c r="T81" s="196"/>
      <c r="U81" s="196"/>
      <c r="V81" s="196"/>
      <c r="W81" s="196"/>
      <c r="X81" s="213"/>
      <c r="Y81" s="196"/>
      <c r="Z81" s="196"/>
      <c r="AA81" s="196"/>
      <c r="AB81" s="196"/>
      <c r="AC81" s="196"/>
      <c r="AD81" s="196"/>
      <c r="AE81" s="196"/>
      <c r="AF81" s="213"/>
      <c r="AG81" s="196"/>
      <c r="AH81" s="213"/>
      <c r="AI81" s="196"/>
      <c r="AJ81" s="213"/>
      <c r="AK81" s="213"/>
      <c r="AL81" s="196"/>
      <c r="AM81" s="196"/>
      <c r="AN81" s="196"/>
      <c r="AO81" s="196"/>
      <c r="AP81" s="196"/>
      <c r="AQ81" s="213"/>
      <c r="AR81" s="196"/>
      <c r="AS81" s="196"/>
      <c r="AT81" s="196"/>
      <c r="AU81" s="195">
        <f>IF(G81-I81-J81-K81-L81-M81-N81-O81-P81-Q81-R81-S81-T81-U81-V81-W81-X81-Y81-Z81-AA81-AB81-AC81-AD81-AE81-AF81-AG81-AH81-AI81-AJ81-AL81-AM81-AN81-AO81-AP81-AQ81-AR81-AS81-AT81&lt;0,0,G81-I81-J81-K81-L81-M81-N81-O81-P81-Q81-R81-S81-T81-U81-V81-W81-X81-Y81-Z81-AA81-AB81-AC81-AD81-AE81-AF81-AG81-AH81-AI81-AJ81-AL81-AM81-AN81-AO81-AP81-AQ81-AR81-AS81-AT81)</f>
        <v>0</v>
      </c>
      <c r="AV81" s="233">
        <v>0.4</v>
      </c>
      <c r="AW81" s="243">
        <f t="shared" si="90"/>
        <v>0</v>
      </c>
      <c r="AX81" s="242" t="e">
        <f t="shared" si="50"/>
        <v>#DIV/0!</v>
      </c>
    </row>
    <row r="82" ht="20.5" customHeight="1" spans="2:50">
      <c r="B82" s="247" t="s">
        <v>145</v>
      </c>
      <c r="C82" s="159">
        <v>73</v>
      </c>
      <c r="D82" s="249" t="s">
        <v>149</v>
      </c>
      <c r="E82" s="199">
        <f t="shared" ref="E82:H82" si="92">E83+E84+E85+E86+E87</f>
        <v>0</v>
      </c>
      <c r="F82" s="199">
        <f t="shared" si="92"/>
        <v>0</v>
      </c>
      <c r="G82" s="195">
        <f>SUM(G83:G87)</f>
        <v>0</v>
      </c>
      <c r="H82" s="199">
        <f t="shared" si="92"/>
        <v>0</v>
      </c>
      <c r="I82" s="199">
        <f t="shared" ref="I82:AU82" si="93">I83+I84+I85+I86+I87</f>
        <v>0</v>
      </c>
      <c r="J82" s="199">
        <f t="shared" si="93"/>
        <v>0</v>
      </c>
      <c r="K82" s="199">
        <f t="shared" si="93"/>
        <v>0</v>
      </c>
      <c r="L82" s="199">
        <f t="shared" si="93"/>
        <v>0</v>
      </c>
      <c r="M82" s="199">
        <f t="shared" si="93"/>
        <v>0</v>
      </c>
      <c r="N82" s="199">
        <f t="shared" si="93"/>
        <v>0</v>
      </c>
      <c r="O82" s="199">
        <f t="shared" si="93"/>
        <v>0</v>
      </c>
      <c r="P82" s="199">
        <f t="shared" si="93"/>
        <v>0</v>
      </c>
      <c r="Q82" s="199">
        <f t="shared" si="93"/>
        <v>0</v>
      </c>
      <c r="R82" s="199">
        <f t="shared" si="93"/>
        <v>0</v>
      </c>
      <c r="S82" s="199">
        <f t="shared" si="93"/>
        <v>0</v>
      </c>
      <c r="T82" s="199">
        <f t="shared" si="93"/>
        <v>0</v>
      </c>
      <c r="U82" s="199">
        <f t="shared" si="93"/>
        <v>0</v>
      </c>
      <c r="V82" s="199">
        <f t="shared" si="93"/>
        <v>0</v>
      </c>
      <c r="W82" s="199">
        <f t="shared" si="93"/>
        <v>0</v>
      </c>
      <c r="X82" s="199">
        <f t="shared" si="93"/>
        <v>0</v>
      </c>
      <c r="Y82" s="199">
        <f t="shared" si="93"/>
        <v>0</v>
      </c>
      <c r="Z82" s="199">
        <f t="shared" si="93"/>
        <v>0</v>
      </c>
      <c r="AA82" s="199">
        <f t="shared" si="93"/>
        <v>0</v>
      </c>
      <c r="AB82" s="199">
        <f t="shared" si="93"/>
        <v>0</v>
      </c>
      <c r="AC82" s="199">
        <f t="shared" si="93"/>
        <v>0</v>
      </c>
      <c r="AD82" s="199">
        <f t="shared" si="93"/>
        <v>0</v>
      </c>
      <c r="AE82" s="199">
        <f t="shared" si="93"/>
        <v>0</v>
      </c>
      <c r="AF82" s="199">
        <f t="shared" si="93"/>
        <v>0</v>
      </c>
      <c r="AG82" s="199">
        <f t="shared" si="93"/>
        <v>0</v>
      </c>
      <c r="AH82" s="199">
        <f t="shared" si="93"/>
        <v>0</v>
      </c>
      <c r="AI82" s="199">
        <f t="shared" si="93"/>
        <v>0</v>
      </c>
      <c r="AJ82" s="199">
        <f t="shared" si="93"/>
        <v>0</v>
      </c>
      <c r="AK82" s="199">
        <f t="shared" si="93"/>
        <v>0</v>
      </c>
      <c r="AL82" s="199">
        <f t="shared" si="93"/>
        <v>0</v>
      </c>
      <c r="AM82" s="199">
        <f t="shared" si="93"/>
        <v>0</v>
      </c>
      <c r="AN82" s="199">
        <f t="shared" si="93"/>
        <v>0</v>
      </c>
      <c r="AO82" s="199">
        <f t="shared" si="93"/>
        <v>0</v>
      </c>
      <c r="AP82" s="199">
        <f t="shared" si="93"/>
        <v>0</v>
      </c>
      <c r="AQ82" s="199">
        <f t="shared" si="93"/>
        <v>0</v>
      </c>
      <c r="AR82" s="199">
        <f t="shared" si="93"/>
        <v>0</v>
      </c>
      <c r="AS82" s="199">
        <f t="shared" si="93"/>
        <v>0</v>
      </c>
      <c r="AT82" s="199">
        <f t="shared" si="93"/>
        <v>0</v>
      </c>
      <c r="AU82" s="199">
        <f t="shared" si="93"/>
        <v>0</v>
      </c>
      <c r="AV82" s="232"/>
      <c r="AW82" s="243">
        <f t="shared" si="90"/>
        <v>0</v>
      </c>
      <c r="AX82" s="242" t="e">
        <f t="shared" si="50"/>
        <v>#DIV/0!</v>
      </c>
    </row>
    <row r="83" ht="29" customHeight="1" spans="2:50">
      <c r="B83" s="247" t="s">
        <v>145</v>
      </c>
      <c r="C83" s="159">
        <v>74</v>
      </c>
      <c r="D83" s="250" t="s">
        <v>150</v>
      </c>
      <c r="E83" s="198"/>
      <c r="F83" s="198"/>
      <c r="G83" s="195">
        <f t="shared" si="91"/>
        <v>0</v>
      </c>
      <c r="H83" s="198"/>
      <c r="I83" s="198"/>
      <c r="J83" s="198"/>
      <c r="K83" s="198"/>
      <c r="L83" s="198"/>
      <c r="M83" s="198"/>
      <c r="N83" s="198"/>
      <c r="O83" s="198"/>
      <c r="P83" s="198"/>
      <c r="Q83" s="198"/>
      <c r="R83" s="198"/>
      <c r="S83" s="198"/>
      <c r="T83" s="213"/>
      <c r="U83" s="198"/>
      <c r="V83" s="213"/>
      <c r="W83" s="213"/>
      <c r="X83" s="213"/>
      <c r="Y83" s="198"/>
      <c r="Z83" s="198"/>
      <c r="AA83" s="213"/>
      <c r="AB83" s="198"/>
      <c r="AC83" s="198"/>
      <c r="AD83" s="213"/>
      <c r="AE83" s="213"/>
      <c r="AF83" s="213"/>
      <c r="AG83" s="213"/>
      <c r="AH83" s="213"/>
      <c r="AI83" s="213"/>
      <c r="AJ83" s="213"/>
      <c r="AK83" s="213"/>
      <c r="AL83" s="198"/>
      <c r="AM83" s="198"/>
      <c r="AN83" s="213"/>
      <c r="AO83" s="213"/>
      <c r="AP83" s="213"/>
      <c r="AQ83" s="213"/>
      <c r="AR83" s="198"/>
      <c r="AS83" s="198"/>
      <c r="AT83" s="213"/>
      <c r="AU83" s="195">
        <f>IF(G83-I83-J83-K83-L83-M83-N83-O83-P83-Q83-R83-S83-T83-U83-V83-W83-X83-Y83-Z83-AA83-AB83-AC83-AD83-AE83-AF83-AG83-AH83-AI83-AJ83-AL83-AM83-AN83-AO83-AP83-AQ83-AR83-AS83-AT83&lt;0,0,G83-I83-J83-K83-L83-M83-N83-O83-P83-Q83-R83-S83-T83-U83-V83-W83-X83-Y83-Z83-AA83-AB83-AC83-AD83-AE83-AF83-AG83-AH83-AI83-AJ83-AL83-AM83-AN83-AO83-AP83-AQ83-AR83-AS83-AT83)</f>
        <v>0</v>
      </c>
      <c r="AV83" s="233">
        <v>0.2</v>
      </c>
      <c r="AW83" s="243">
        <f t="shared" si="90"/>
        <v>0</v>
      </c>
      <c r="AX83" s="242" t="e">
        <f t="shared" si="50"/>
        <v>#DIV/0!</v>
      </c>
    </row>
    <row r="84" ht="20.5" customHeight="1" spans="2:50">
      <c r="B84" s="247" t="s">
        <v>145</v>
      </c>
      <c r="C84" s="159">
        <v>75</v>
      </c>
      <c r="D84" s="250" t="s">
        <v>151</v>
      </c>
      <c r="E84" s="198"/>
      <c r="F84" s="198"/>
      <c r="G84" s="195">
        <f t="shared" si="91"/>
        <v>0</v>
      </c>
      <c r="H84" s="198"/>
      <c r="I84" s="196"/>
      <c r="J84" s="196"/>
      <c r="K84" s="196"/>
      <c r="L84" s="196"/>
      <c r="M84" s="196"/>
      <c r="N84" s="196"/>
      <c r="O84" s="196"/>
      <c r="P84" s="196"/>
      <c r="Q84" s="196"/>
      <c r="R84" s="196"/>
      <c r="S84" s="196"/>
      <c r="T84" s="196"/>
      <c r="U84" s="196"/>
      <c r="V84" s="196"/>
      <c r="W84" s="196"/>
      <c r="X84" s="213"/>
      <c r="Y84" s="196"/>
      <c r="Z84" s="196"/>
      <c r="AA84" s="196"/>
      <c r="AB84" s="196"/>
      <c r="AC84" s="196"/>
      <c r="AD84" s="196"/>
      <c r="AE84" s="196"/>
      <c r="AF84" s="213"/>
      <c r="AG84" s="196"/>
      <c r="AH84" s="213"/>
      <c r="AI84" s="196"/>
      <c r="AJ84" s="213"/>
      <c r="AK84" s="213"/>
      <c r="AL84" s="196"/>
      <c r="AM84" s="196"/>
      <c r="AN84" s="196"/>
      <c r="AO84" s="196"/>
      <c r="AP84" s="196"/>
      <c r="AQ84" s="213"/>
      <c r="AR84" s="196"/>
      <c r="AS84" s="196"/>
      <c r="AT84" s="196"/>
      <c r="AU84" s="195">
        <f>IF(G84-I84-J84-K84-L84-M84-N84-O84-P84-Q84-R84-S84-T84-U84-V84-W84-X84-Y84-Z84-AA84-AB84-AC84-AD84-AE84-AF84-AG84-AH84-AI84-AJ84-AL84-AM84-AN84-AO84-AP84-AQ84-AR84-AS84-AT84&lt;0,0,G84-I84-J84-K84-L84-M84-N84-O84-P84-Q84-R84-S84-T84-U84-V84-W84-X84-Y84-Z84-AA84-AB84-AC84-AD84-AE84-AF84-AG84-AH84-AI84-AJ84-AL84-AM84-AN84-AO84-AP84-AQ84-AR84-AS84-AT84)</f>
        <v>0</v>
      </c>
      <c r="AV84" s="233">
        <v>0.4</v>
      </c>
      <c r="AW84" s="243">
        <f t="shared" si="90"/>
        <v>0</v>
      </c>
      <c r="AX84" s="242" t="e">
        <f t="shared" si="50"/>
        <v>#DIV/0!</v>
      </c>
    </row>
    <row r="85" ht="20.5" customHeight="1" spans="2:50">
      <c r="B85" s="247" t="s">
        <v>145</v>
      </c>
      <c r="C85" s="159">
        <v>76</v>
      </c>
      <c r="D85" s="250" t="s">
        <v>152</v>
      </c>
      <c r="E85" s="198"/>
      <c r="F85" s="198"/>
      <c r="G85" s="195">
        <f t="shared" si="91"/>
        <v>0</v>
      </c>
      <c r="H85" s="198"/>
      <c r="I85" s="198"/>
      <c r="J85" s="198"/>
      <c r="K85" s="198"/>
      <c r="L85" s="198"/>
      <c r="M85" s="198"/>
      <c r="N85" s="198"/>
      <c r="O85" s="198"/>
      <c r="P85" s="198"/>
      <c r="Q85" s="198"/>
      <c r="R85" s="198"/>
      <c r="S85" s="198"/>
      <c r="T85" s="198"/>
      <c r="U85" s="198"/>
      <c r="V85" s="198"/>
      <c r="W85" s="198"/>
      <c r="X85" s="213"/>
      <c r="Y85" s="198"/>
      <c r="Z85" s="198"/>
      <c r="AA85" s="198"/>
      <c r="AB85" s="198"/>
      <c r="AC85" s="198"/>
      <c r="AD85" s="198"/>
      <c r="AE85" s="198"/>
      <c r="AF85" s="213"/>
      <c r="AG85" s="198"/>
      <c r="AH85" s="213"/>
      <c r="AI85" s="198"/>
      <c r="AJ85" s="198"/>
      <c r="AK85" s="213"/>
      <c r="AL85" s="198"/>
      <c r="AM85" s="198"/>
      <c r="AN85" s="198"/>
      <c r="AO85" s="198"/>
      <c r="AP85" s="198"/>
      <c r="AQ85" s="213"/>
      <c r="AR85" s="198"/>
      <c r="AS85" s="198"/>
      <c r="AT85" s="198"/>
      <c r="AU85" s="195">
        <f>IF(G85-I85-J85-K85-L85-M85-N85-O85-P85-Q85-R85-S85-T85-U85-V85-W85-X85-Y85-Z85-AA85-AB85-AC85-AD85-AE85-AF85-AG85-AH85-AI85-AJ85-AL85-AM85-AN85-AO85-AP85-AQ85-AR85-AS85-AT85&lt;0,0,G85-I85-J85-K85-L85-M85-N85-O85-P85-Q85-R85-S85-T85-U85-V85-W85-X85-Y85-Z85-AA85-AB85-AC85-AD85-AE85-AF85-AG85-AH85-AI85-AJ85-AL85-AM85-AN85-AO85-AP85-AQ85-AR85-AS85-AT85)</f>
        <v>0</v>
      </c>
      <c r="AV85" s="235">
        <v>0.5</v>
      </c>
      <c r="AW85" s="243">
        <f t="shared" si="90"/>
        <v>0</v>
      </c>
      <c r="AX85" s="242" t="e">
        <f t="shared" si="50"/>
        <v>#DIV/0!</v>
      </c>
    </row>
    <row r="86" ht="20.5" customHeight="1" spans="2:50">
      <c r="B86" s="247" t="s">
        <v>145</v>
      </c>
      <c r="C86" s="159">
        <v>77</v>
      </c>
      <c r="D86" s="250" t="s">
        <v>153</v>
      </c>
      <c r="E86" s="198"/>
      <c r="F86" s="198"/>
      <c r="G86" s="195">
        <f t="shared" si="91"/>
        <v>0</v>
      </c>
      <c r="H86" s="198"/>
      <c r="I86" s="198"/>
      <c r="J86" s="198"/>
      <c r="K86" s="198"/>
      <c r="L86" s="198"/>
      <c r="M86" s="198"/>
      <c r="N86" s="198"/>
      <c r="O86" s="198"/>
      <c r="P86" s="198"/>
      <c r="Q86" s="198"/>
      <c r="R86" s="198"/>
      <c r="S86" s="198"/>
      <c r="T86" s="198"/>
      <c r="U86" s="198"/>
      <c r="V86" s="198"/>
      <c r="W86" s="198"/>
      <c r="X86" s="198"/>
      <c r="Y86" s="198"/>
      <c r="Z86" s="198"/>
      <c r="AA86" s="198"/>
      <c r="AB86" s="198"/>
      <c r="AC86" s="198"/>
      <c r="AD86" s="198"/>
      <c r="AE86" s="198"/>
      <c r="AF86" s="198"/>
      <c r="AG86" s="198"/>
      <c r="AH86" s="198"/>
      <c r="AI86" s="198"/>
      <c r="AJ86" s="198"/>
      <c r="AK86" s="198"/>
      <c r="AL86" s="198"/>
      <c r="AM86" s="198"/>
      <c r="AN86" s="198"/>
      <c r="AO86" s="198"/>
      <c r="AP86" s="198"/>
      <c r="AQ86" s="198"/>
      <c r="AR86" s="198"/>
      <c r="AS86" s="198"/>
      <c r="AT86" s="198"/>
      <c r="AU86" s="195">
        <f>IF(G86-I86-J86-K86-L86-M86-N86-O86-P86-Q86-R86-S86-T86-U86-V86-W86-X86-Y86-Z86-AA86-AB86-AC86-AD86-AE86-AF86-AG86-AH86-AI86-AJ86-AL86-AM86-AN86-AO86-AP86-AQ86-AR86-AS86-AT86&lt;0,0,G86-I86-J86-K86-L86-M86-N86-O86-P86-Q86-R86-S86-T86-U86-V86-W86-X86-Y86-Z86-AA86-AB86-AC86-AD86-AE86-AF86-AG86-AH86-AI86-AJ86-AL86-AM86-AN86-AO86-AP86-AQ86-AR86-AS86-AT86)</f>
        <v>0</v>
      </c>
      <c r="AV86" s="235">
        <v>1</v>
      </c>
      <c r="AW86" s="243">
        <f t="shared" si="90"/>
        <v>0</v>
      </c>
      <c r="AX86" s="242" t="e">
        <f t="shared" si="50"/>
        <v>#DIV/0!</v>
      </c>
    </row>
    <row r="87" ht="20.5" customHeight="1" spans="2:50">
      <c r="B87" s="247" t="s">
        <v>145</v>
      </c>
      <c r="C87" s="159">
        <v>78</v>
      </c>
      <c r="D87" s="250" t="s">
        <v>154</v>
      </c>
      <c r="E87" s="198"/>
      <c r="F87" s="198"/>
      <c r="G87" s="195">
        <f t="shared" si="91"/>
        <v>0</v>
      </c>
      <c r="H87" s="198"/>
      <c r="I87" s="198"/>
      <c r="J87" s="198"/>
      <c r="K87" s="198"/>
      <c r="L87" s="198"/>
      <c r="M87" s="198"/>
      <c r="N87" s="198"/>
      <c r="O87" s="198"/>
      <c r="P87" s="198"/>
      <c r="Q87" s="198"/>
      <c r="R87" s="198"/>
      <c r="S87" s="198"/>
      <c r="T87" s="198"/>
      <c r="U87" s="198"/>
      <c r="V87" s="198"/>
      <c r="W87" s="198"/>
      <c r="X87" s="198"/>
      <c r="Y87" s="198"/>
      <c r="Z87" s="198"/>
      <c r="AA87" s="198"/>
      <c r="AB87" s="198"/>
      <c r="AC87" s="198"/>
      <c r="AD87" s="198"/>
      <c r="AE87" s="198"/>
      <c r="AF87" s="198"/>
      <c r="AG87" s="198"/>
      <c r="AH87" s="198"/>
      <c r="AI87" s="198"/>
      <c r="AJ87" s="198"/>
      <c r="AK87" s="198"/>
      <c r="AL87" s="198"/>
      <c r="AM87" s="198"/>
      <c r="AN87" s="198"/>
      <c r="AO87" s="198"/>
      <c r="AP87" s="198"/>
      <c r="AQ87" s="198"/>
      <c r="AR87" s="198"/>
      <c r="AS87" s="198"/>
      <c r="AT87" s="198"/>
      <c r="AU87" s="195">
        <f>IF(G87-I87-J87-K87-L87-M87-N87-O87-P87-Q87-R87-S87-T87-U87-V87-W87-X87-Y87-Z87-AA87-AB87-AC87-AD87-AE87-AF87-AG87-AH87-AI87-AJ87-AL87-AM87-AN87-AO87-AP87-AQ87-AR87-AS87-AT87&lt;0,0,G87-I87-J87-K87-L87-M87-N87-O87-P87-Q87-R87-S87-T87-U87-V87-W87-X87-Y87-Z87-AA87-AB87-AC87-AD87-AE87-AF87-AG87-AH87-AI87-AJ87-AL87-AM87-AN87-AO87-AP87-AQ87-AR87-AS87-AT87)</f>
        <v>0</v>
      </c>
      <c r="AV87" s="235">
        <v>1.5</v>
      </c>
      <c r="AW87" s="243">
        <f t="shared" si="90"/>
        <v>0</v>
      </c>
      <c r="AX87" s="242" t="e">
        <f t="shared" si="50"/>
        <v>#DIV/0!</v>
      </c>
    </row>
    <row r="88" ht="20.5" customHeight="1" spans="3:50">
      <c r="C88" s="159">
        <v>79</v>
      </c>
      <c r="D88" s="251" t="s">
        <v>155</v>
      </c>
      <c r="E88" s="199">
        <f t="shared" ref="E88:H88" si="94">E89+E90</f>
        <v>0</v>
      </c>
      <c r="F88" s="199">
        <f t="shared" si="94"/>
        <v>0</v>
      </c>
      <c r="G88" s="195">
        <f>SUM(G89:G90)</f>
        <v>0</v>
      </c>
      <c r="H88" s="199">
        <f t="shared" si="94"/>
        <v>0</v>
      </c>
      <c r="I88" s="199">
        <f t="shared" ref="I88" si="95">I89+I90</f>
        <v>0</v>
      </c>
      <c r="J88" s="199">
        <f t="shared" ref="J88" si="96">J89+J90</f>
        <v>0</v>
      </c>
      <c r="K88" s="199">
        <f t="shared" ref="K88" si="97">K89+K90</f>
        <v>0</v>
      </c>
      <c r="L88" s="199">
        <f t="shared" ref="L88" si="98">L89+L90</f>
        <v>0</v>
      </c>
      <c r="M88" s="199">
        <f t="shared" ref="M88" si="99">M89+M90</f>
        <v>0</v>
      </c>
      <c r="N88" s="199">
        <f t="shared" ref="N88" si="100">N89+N90</f>
        <v>0</v>
      </c>
      <c r="O88" s="199">
        <f t="shared" ref="O88" si="101">O89+O90</f>
        <v>0</v>
      </c>
      <c r="P88" s="199">
        <f t="shared" ref="P88" si="102">P89+P90</f>
        <v>0</v>
      </c>
      <c r="Q88" s="199">
        <f t="shared" ref="Q88" si="103">Q89+Q90</f>
        <v>0</v>
      </c>
      <c r="R88" s="199">
        <f t="shared" ref="R88" si="104">R89+R90</f>
        <v>0</v>
      </c>
      <c r="S88" s="199">
        <f t="shared" ref="S88" si="105">S89+S90</f>
        <v>0</v>
      </c>
      <c r="T88" s="199">
        <f t="shared" ref="T88" si="106">T89+T90</f>
        <v>0</v>
      </c>
      <c r="U88" s="199">
        <f t="shared" ref="U88" si="107">U89+U90</f>
        <v>0</v>
      </c>
      <c r="V88" s="199">
        <f t="shared" ref="V88" si="108">V89+V90</f>
        <v>0</v>
      </c>
      <c r="W88" s="199">
        <f t="shared" ref="W88" si="109">W89+W90</f>
        <v>0</v>
      </c>
      <c r="X88" s="199">
        <f t="shared" ref="X88" si="110">X89+X90</f>
        <v>0</v>
      </c>
      <c r="Y88" s="199">
        <f t="shared" ref="Y88" si="111">Y89+Y90</f>
        <v>0</v>
      </c>
      <c r="Z88" s="199">
        <f t="shared" ref="Z88" si="112">Z89+Z90</f>
        <v>0</v>
      </c>
      <c r="AA88" s="199">
        <f t="shared" ref="AA88" si="113">AA89+AA90</f>
        <v>0</v>
      </c>
      <c r="AB88" s="199">
        <f t="shared" ref="AB88" si="114">AB89+AB90</f>
        <v>0</v>
      </c>
      <c r="AC88" s="199">
        <f t="shared" ref="AC88" si="115">AC89+AC90</f>
        <v>0</v>
      </c>
      <c r="AD88" s="199">
        <f t="shared" ref="AD88" si="116">AD89+AD90</f>
        <v>0</v>
      </c>
      <c r="AE88" s="199">
        <f t="shared" ref="AE88" si="117">AE89+AE90</f>
        <v>0</v>
      </c>
      <c r="AF88" s="199">
        <f t="shared" ref="AF88" si="118">AF89+AF90</f>
        <v>0</v>
      </c>
      <c r="AG88" s="199">
        <f t="shared" ref="AG88" si="119">AG89+AG90</f>
        <v>0</v>
      </c>
      <c r="AH88" s="199">
        <f t="shared" ref="AH88" si="120">AH89+AH90</f>
        <v>0</v>
      </c>
      <c r="AI88" s="199">
        <f t="shared" ref="AI88" si="121">AI89+AI90</f>
        <v>0</v>
      </c>
      <c r="AJ88" s="199">
        <f t="shared" ref="AJ88" si="122">AJ89+AJ90</f>
        <v>0</v>
      </c>
      <c r="AK88" s="199">
        <f t="shared" ref="AK88" si="123">AK89+AK90</f>
        <v>0</v>
      </c>
      <c r="AL88" s="199">
        <f t="shared" ref="AL88" si="124">AL89+AL90</f>
        <v>0</v>
      </c>
      <c r="AM88" s="199">
        <f t="shared" ref="AM88" si="125">AM89+AM90</f>
        <v>0</v>
      </c>
      <c r="AN88" s="199">
        <f t="shared" ref="AN88" si="126">AN89+AN90</f>
        <v>0</v>
      </c>
      <c r="AO88" s="199">
        <f t="shared" ref="AO88" si="127">AO89+AO90</f>
        <v>0</v>
      </c>
      <c r="AP88" s="199">
        <f t="shared" ref="AP88" si="128">AP89+AP90</f>
        <v>0</v>
      </c>
      <c r="AQ88" s="199">
        <f t="shared" ref="AQ88" si="129">AQ89+AQ90</f>
        <v>0</v>
      </c>
      <c r="AR88" s="199">
        <f t="shared" ref="AR88" si="130">AR89+AR90</f>
        <v>0</v>
      </c>
      <c r="AS88" s="199">
        <f t="shared" ref="AS88" si="131">AS89+AS90</f>
        <v>0</v>
      </c>
      <c r="AT88" s="199">
        <f t="shared" ref="AT88:AU88" si="132">AT89+AT90</f>
        <v>0</v>
      </c>
      <c r="AU88" s="199">
        <f t="shared" si="132"/>
        <v>0</v>
      </c>
      <c r="AV88" s="232"/>
      <c r="AW88" s="243">
        <f t="shared" si="90"/>
        <v>0</v>
      </c>
      <c r="AX88" s="242" t="e">
        <f t="shared" si="50"/>
        <v>#DIV/0!</v>
      </c>
    </row>
    <row r="89" ht="24" customHeight="1" spans="1:50">
      <c r="A89" t="s">
        <v>4</v>
      </c>
      <c r="C89" s="159">
        <v>80</v>
      </c>
      <c r="D89" s="179" t="s">
        <v>156</v>
      </c>
      <c r="E89" s="196"/>
      <c r="F89" s="196"/>
      <c r="G89" s="195">
        <f t="shared" ref="G89:G94" si="133">E89-F89</f>
        <v>0</v>
      </c>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228"/>
      <c r="AH89" s="196"/>
      <c r="AI89" s="196"/>
      <c r="AJ89" s="196"/>
      <c r="AK89" s="196"/>
      <c r="AL89" s="196"/>
      <c r="AM89" s="196"/>
      <c r="AN89" s="196"/>
      <c r="AO89" s="196"/>
      <c r="AP89" s="196"/>
      <c r="AQ89" s="196"/>
      <c r="AR89" s="196"/>
      <c r="AS89" s="196"/>
      <c r="AT89" s="196"/>
      <c r="AU89" s="195">
        <f>IF(G89-I89-J89-K89-L89-M89-N89-O89-P89-Q89-R89-S89-T89-U89-V89-W89-X89-Y89-Z89-AA89-AB89-AC89-AD89-AE89-AF89-AG89-AH89-AI89-AJ89-AL89-AM89-AN89-AO89-AP89-AQ89-AR89-AS89-AT89&lt;0,0,G89-I89-J89-K89-L89-M89-N89-O89-P89-Q89-R89-S89-T89-U89-V89-W89-X89-Y89-Z89-AA89-AB89-AC89-AD89-AE89-AF89-AG89-AH89-AI89-AJ89-AL89-AM89-AN89-AO89-AP89-AQ89-AR89-AS89-AT89)</f>
        <v>0</v>
      </c>
      <c r="AV89" s="233">
        <v>0.75</v>
      </c>
      <c r="AW89" s="243">
        <f t="shared" si="90"/>
        <v>0</v>
      </c>
      <c r="AX89" s="242" t="e">
        <f t="shared" si="50"/>
        <v>#DIV/0!</v>
      </c>
    </row>
    <row r="90" ht="23" customHeight="1" spans="2:50">
      <c r="B90" s="158" t="s">
        <v>70</v>
      </c>
      <c r="C90" s="159">
        <v>81</v>
      </c>
      <c r="D90" s="252" t="s">
        <v>157</v>
      </c>
      <c r="E90" s="196"/>
      <c r="F90" s="196"/>
      <c r="G90" s="195">
        <f t="shared" si="133"/>
        <v>0</v>
      </c>
      <c r="H90" s="196"/>
      <c r="I90" s="196"/>
      <c r="J90" s="196"/>
      <c r="K90" s="196"/>
      <c r="L90" s="196"/>
      <c r="M90" s="196"/>
      <c r="N90" s="196"/>
      <c r="O90" s="196"/>
      <c r="P90" s="196"/>
      <c r="Q90" s="196"/>
      <c r="R90" s="196"/>
      <c r="S90" s="196"/>
      <c r="T90" s="196"/>
      <c r="U90" s="196"/>
      <c r="V90" s="196"/>
      <c r="W90" s="196"/>
      <c r="X90" s="196"/>
      <c r="Y90" s="196"/>
      <c r="Z90" s="196"/>
      <c r="AA90" s="196"/>
      <c r="AB90" s="196"/>
      <c r="AC90" s="196"/>
      <c r="AD90" s="196"/>
      <c r="AE90" s="196"/>
      <c r="AF90" s="196"/>
      <c r="AG90" s="228"/>
      <c r="AH90" s="196"/>
      <c r="AI90" s="196"/>
      <c r="AJ90" s="196"/>
      <c r="AK90" s="196"/>
      <c r="AL90" s="196"/>
      <c r="AM90" s="196"/>
      <c r="AN90" s="196"/>
      <c r="AO90" s="196"/>
      <c r="AP90" s="196"/>
      <c r="AQ90" s="196"/>
      <c r="AR90" s="196"/>
      <c r="AS90" s="196"/>
      <c r="AT90" s="196"/>
      <c r="AU90" s="195">
        <f>IF(G90-I90-J90-K90-L90-M90-N90-O90-P90-Q90-R90-S90-T90-U90-V90-W90-X90-Y90-Z90-AA90-AB90-AC90-AD90-AE90-AF90-AG90-AH90-AI90-AJ90-AL90-AM90-AN90-AO90-AP90-AQ90-AR90-AS90-AT90&lt;0,0,G90-I90-J90-K90-L90-M90-N90-O90-P90-Q90-R90-S90-T90-U90-V90-W90-X90-Y90-Z90-AA90-AB90-AC90-AD90-AE90-AF90-AG90-AH90-AI90-AJ90-AL90-AM90-AN90-AO90-AP90-AQ90-AR90-AS90-AT90)</f>
        <v>0</v>
      </c>
      <c r="AV90" s="233">
        <v>1</v>
      </c>
      <c r="AW90" s="243">
        <f t="shared" si="90"/>
        <v>0</v>
      </c>
      <c r="AX90" s="242" t="e">
        <f t="shared" si="50"/>
        <v>#DIV/0!</v>
      </c>
    </row>
    <row r="91" ht="54" customHeight="1" spans="2:50">
      <c r="B91" s="253" t="s">
        <v>158</v>
      </c>
      <c r="C91" s="159">
        <v>82</v>
      </c>
      <c r="D91" s="163" t="s">
        <v>159</v>
      </c>
      <c r="E91" s="195">
        <f t="shared" ref="E91:H91" si="134">E92+E98</f>
        <v>0</v>
      </c>
      <c r="F91" s="195">
        <f t="shared" si="134"/>
        <v>0</v>
      </c>
      <c r="G91" s="195">
        <f t="shared" si="134"/>
        <v>0</v>
      </c>
      <c r="H91" s="195">
        <f t="shared" si="134"/>
        <v>0</v>
      </c>
      <c r="I91" s="195">
        <f t="shared" ref="I91:AU91" si="135">I92+I98</f>
        <v>0</v>
      </c>
      <c r="J91" s="195">
        <f t="shared" si="135"/>
        <v>0</v>
      </c>
      <c r="K91" s="195">
        <f t="shared" si="135"/>
        <v>0</v>
      </c>
      <c r="L91" s="195">
        <f t="shared" si="135"/>
        <v>0</v>
      </c>
      <c r="M91" s="195">
        <f t="shared" si="135"/>
        <v>0</v>
      </c>
      <c r="N91" s="195">
        <f t="shared" si="135"/>
        <v>0</v>
      </c>
      <c r="O91" s="195">
        <f t="shared" si="135"/>
        <v>0</v>
      </c>
      <c r="P91" s="195">
        <f t="shared" si="135"/>
        <v>0</v>
      </c>
      <c r="Q91" s="195">
        <f t="shared" si="135"/>
        <v>0</v>
      </c>
      <c r="R91" s="195">
        <f t="shared" si="135"/>
        <v>0</v>
      </c>
      <c r="S91" s="195">
        <f t="shared" si="135"/>
        <v>0</v>
      </c>
      <c r="T91" s="195">
        <f t="shared" si="135"/>
        <v>0</v>
      </c>
      <c r="U91" s="195">
        <f t="shared" si="135"/>
        <v>0</v>
      </c>
      <c r="V91" s="195">
        <f t="shared" si="135"/>
        <v>0</v>
      </c>
      <c r="W91" s="195">
        <f t="shared" si="135"/>
        <v>0</v>
      </c>
      <c r="X91" s="195">
        <f t="shared" si="135"/>
        <v>0</v>
      </c>
      <c r="Y91" s="195">
        <f t="shared" si="135"/>
        <v>0</v>
      </c>
      <c r="Z91" s="195">
        <f t="shared" si="135"/>
        <v>0</v>
      </c>
      <c r="AA91" s="195">
        <f t="shared" si="135"/>
        <v>0</v>
      </c>
      <c r="AB91" s="195">
        <f t="shared" si="135"/>
        <v>0</v>
      </c>
      <c r="AC91" s="195">
        <f t="shared" si="135"/>
        <v>0</v>
      </c>
      <c r="AD91" s="195">
        <f t="shared" si="135"/>
        <v>0</v>
      </c>
      <c r="AE91" s="195">
        <f t="shared" si="135"/>
        <v>0</v>
      </c>
      <c r="AF91" s="195">
        <f t="shared" si="135"/>
        <v>0</v>
      </c>
      <c r="AG91" s="195">
        <f t="shared" si="135"/>
        <v>0</v>
      </c>
      <c r="AH91" s="195">
        <f t="shared" si="135"/>
        <v>0</v>
      </c>
      <c r="AI91" s="195">
        <f t="shared" si="135"/>
        <v>0</v>
      </c>
      <c r="AJ91" s="195">
        <f t="shared" si="135"/>
        <v>0</v>
      </c>
      <c r="AK91" s="195">
        <f t="shared" si="135"/>
        <v>0</v>
      </c>
      <c r="AL91" s="195">
        <f t="shared" si="135"/>
        <v>0</v>
      </c>
      <c r="AM91" s="195">
        <f t="shared" si="135"/>
        <v>0</v>
      </c>
      <c r="AN91" s="195">
        <f t="shared" si="135"/>
        <v>0</v>
      </c>
      <c r="AO91" s="195">
        <f t="shared" si="135"/>
        <v>0</v>
      </c>
      <c r="AP91" s="195">
        <f t="shared" si="135"/>
        <v>0</v>
      </c>
      <c r="AQ91" s="195">
        <f t="shared" si="135"/>
        <v>0</v>
      </c>
      <c r="AR91" s="195">
        <f t="shared" si="135"/>
        <v>0</v>
      </c>
      <c r="AS91" s="195">
        <f t="shared" si="135"/>
        <v>0</v>
      </c>
      <c r="AT91" s="195">
        <f t="shared" si="135"/>
        <v>0</v>
      </c>
      <c r="AU91" s="195">
        <f t="shared" si="135"/>
        <v>0</v>
      </c>
      <c r="AV91" s="232"/>
      <c r="AW91" s="195">
        <f>AW92+AW98</f>
        <v>0</v>
      </c>
      <c r="AX91" s="242" t="e">
        <f t="shared" si="50"/>
        <v>#DIV/0!</v>
      </c>
    </row>
    <row r="92" ht="20.5" customHeight="1" spans="3:50">
      <c r="C92" s="159">
        <v>83</v>
      </c>
      <c r="D92" s="251" t="s">
        <v>160</v>
      </c>
      <c r="E92" s="195">
        <f t="shared" ref="E92:H92" si="136">E93+E94+E95+E96+E97</f>
        <v>0</v>
      </c>
      <c r="F92" s="195">
        <f t="shared" si="136"/>
        <v>0</v>
      </c>
      <c r="G92" s="195">
        <f>SUM(G93:G97)</f>
        <v>0</v>
      </c>
      <c r="H92" s="195">
        <f t="shared" si="136"/>
        <v>0</v>
      </c>
      <c r="I92" s="195">
        <f t="shared" ref="I92" si="137">I93+I94+I95+I96+I97</f>
        <v>0</v>
      </c>
      <c r="J92" s="195">
        <f t="shared" ref="J92" si="138">J93+J94+J95+J96+J97</f>
        <v>0</v>
      </c>
      <c r="K92" s="195">
        <f t="shared" ref="K92" si="139">K93+K94+K95+K96+K97</f>
        <v>0</v>
      </c>
      <c r="L92" s="195">
        <f t="shared" ref="L92" si="140">L93+L94+L95+L96+L97</f>
        <v>0</v>
      </c>
      <c r="M92" s="195">
        <f t="shared" ref="M92" si="141">M93+M94+M95+M96+M97</f>
        <v>0</v>
      </c>
      <c r="N92" s="195">
        <f t="shared" ref="N92" si="142">N93+N94+N95+N96+N97</f>
        <v>0</v>
      </c>
      <c r="O92" s="195">
        <f t="shared" ref="O92" si="143">O93+O94+O95+O96+O97</f>
        <v>0</v>
      </c>
      <c r="P92" s="195">
        <f t="shared" ref="P92" si="144">P93+P94+P95+P96+P97</f>
        <v>0</v>
      </c>
      <c r="Q92" s="195">
        <f t="shared" ref="Q92" si="145">Q93+Q94+Q95+Q96+Q97</f>
        <v>0</v>
      </c>
      <c r="R92" s="195">
        <f t="shared" ref="R92" si="146">R93+R94+R95+R96+R97</f>
        <v>0</v>
      </c>
      <c r="S92" s="195">
        <f t="shared" ref="S92" si="147">S93+S94+S95+S96+S97</f>
        <v>0</v>
      </c>
      <c r="T92" s="195">
        <f t="shared" ref="T92" si="148">T93+T94+T95+T96+T97</f>
        <v>0</v>
      </c>
      <c r="U92" s="195">
        <f t="shared" ref="U92" si="149">U93+U94+U95+U96+U97</f>
        <v>0</v>
      </c>
      <c r="V92" s="195">
        <f t="shared" ref="V92" si="150">V93+V94+V95+V96+V97</f>
        <v>0</v>
      </c>
      <c r="W92" s="195">
        <f t="shared" ref="W92" si="151">W93+W94+W95+W96+W97</f>
        <v>0</v>
      </c>
      <c r="X92" s="195">
        <f t="shared" ref="X92" si="152">X93+X94+X95+X96+X97</f>
        <v>0</v>
      </c>
      <c r="Y92" s="195">
        <f t="shared" ref="Y92" si="153">Y93+Y94+Y95+Y96+Y97</f>
        <v>0</v>
      </c>
      <c r="Z92" s="195">
        <f t="shared" ref="Z92" si="154">Z93+Z94+Z95+Z96+Z97</f>
        <v>0</v>
      </c>
      <c r="AA92" s="195">
        <f t="shared" ref="AA92" si="155">AA93+AA94+AA95+AA96+AA97</f>
        <v>0</v>
      </c>
      <c r="AB92" s="195">
        <f t="shared" ref="AB92" si="156">AB93+AB94+AB95+AB96+AB97</f>
        <v>0</v>
      </c>
      <c r="AC92" s="195">
        <f t="shared" ref="AC92" si="157">AC93+AC94+AC95+AC96+AC97</f>
        <v>0</v>
      </c>
      <c r="AD92" s="195">
        <f t="shared" ref="AD92" si="158">AD93+AD94+AD95+AD96+AD97</f>
        <v>0</v>
      </c>
      <c r="AE92" s="195">
        <f t="shared" ref="AE92" si="159">AE93+AE94+AE95+AE96+AE97</f>
        <v>0</v>
      </c>
      <c r="AF92" s="195">
        <f t="shared" ref="AF92" si="160">AF93+AF94+AF95+AF96+AF97</f>
        <v>0</v>
      </c>
      <c r="AG92" s="195">
        <f t="shared" ref="AG92" si="161">AG93+AG94+AG95+AG96+AG97</f>
        <v>0</v>
      </c>
      <c r="AH92" s="195">
        <f t="shared" ref="AH92" si="162">AH93+AH94+AH95+AH96+AH97</f>
        <v>0</v>
      </c>
      <c r="AI92" s="195">
        <f t="shared" ref="AI92" si="163">AI93+AI94+AI95+AI96+AI97</f>
        <v>0</v>
      </c>
      <c r="AJ92" s="195">
        <f t="shared" ref="AJ92" si="164">AJ93+AJ94+AJ95+AJ96+AJ97</f>
        <v>0</v>
      </c>
      <c r="AK92" s="195">
        <f t="shared" ref="AK92" si="165">AK93+AK94+AK95+AK96+AK97</f>
        <v>0</v>
      </c>
      <c r="AL92" s="195">
        <f t="shared" ref="AL92" si="166">AL93+AL94+AL95+AL96+AL97</f>
        <v>0</v>
      </c>
      <c r="AM92" s="195">
        <f t="shared" ref="AM92" si="167">AM93+AM94+AM95+AM96+AM97</f>
        <v>0</v>
      </c>
      <c r="AN92" s="195">
        <f t="shared" ref="AN92" si="168">AN93+AN94+AN95+AN96+AN97</f>
        <v>0</v>
      </c>
      <c r="AO92" s="195">
        <f t="shared" ref="AO92" si="169">AO93+AO94+AO95+AO96+AO97</f>
        <v>0</v>
      </c>
      <c r="AP92" s="195">
        <f t="shared" ref="AP92" si="170">AP93+AP94+AP95+AP96+AP97</f>
        <v>0</v>
      </c>
      <c r="AQ92" s="195">
        <f t="shared" ref="AQ92" si="171">AQ93+AQ94+AQ95+AQ96+AQ97</f>
        <v>0</v>
      </c>
      <c r="AR92" s="195">
        <f t="shared" ref="AR92" si="172">AR93+AR94+AR95+AR96+AR97</f>
        <v>0</v>
      </c>
      <c r="AS92" s="195">
        <f t="shared" ref="AS92" si="173">AS93+AS94+AS95+AS96+AS97</f>
        <v>0</v>
      </c>
      <c r="AT92" s="195">
        <f t="shared" ref="AT92" si="174">AT93+AT94+AT95+AT96+AT97</f>
        <v>0</v>
      </c>
      <c r="AU92" s="195">
        <f t="shared" ref="AU92" si="175">AU93+AU94+AU95+AU96+AU97</f>
        <v>0</v>
      </c>
      <c r="AV92" s="232"/>
      <c r="AW92" s="195">
        <f>AW93+AW94+AW95+AW96</f>
        <v>0</v>
      </c>
      <c r="AX92" s="242" t="e">
        <f t="shared" si="50"/>
        <v>#DIV/0!</v>
      </c>
    </row>
    <row r="93" ht="20.5" customHeight="1" spans="1:50">
      <c r="A93" t="s">
        <v>4</v>
      </c>
      <c r="C93" s="159">
        <v>84</v>
      </c>
      <c r="D93" s="179" t="s">
        <v>161</v>
      </c>
      <c r="E93" s="196"/>
      <c r="F93" s="196"/>
      <c r="G93" s="195">
        <f t="shared" si="133"/>
        <v>0</v>
      </c>
      <c r="H93" s="196"/>
      <c r="I93" s="196"/>
      <c r="J93" s="196"/>
      <c r="K93" s="196"/>
      <c r="L93" s="196"/>
      <c r="M93" s="196"/>
      <c r="N93" s="196"/>
      <c r="O93" s="196"/>
      <c r="P93" s="196"/>
      <c r="Q93" s="196"/>
      <c r="R93" s="196"/>
      <c r="S93" s="196"/>
      <c r="T93" s="196"/>
      <c r="U93" s="196"/>
      <c r="V93" s="196"/>
      <c r="W93" s="196"/>
      <c r="X93" s="196"/>
      <c r="Y93" s="196"/>
      <c r="Z93" s="196"/>
      <c r="AA93" s="196"/>
      <c r="AB93" s="196"/>
      <c r="AC93" s="196"/>
      <c r="AD93" s="196"/>
      <c r="AE93" s="196"/>
      <c r="AF93" s="196"/>
      <c r="AG93" s="196"/>
      <c r="AH93" s="196"/>
      <c r="AI93" s="196"/>
      <c r="AJ93" s="196"/>
      <c r="AK93" s="196"/>
      <c r="AL93" s="196"/>
      <c r="AM93" s="196"/>
      <c r="AN93" s="196"/>
      <c r="AO93" s="196"/>
      <c r="AP93" s="196"/>
      <c r="AQ93" s="196"/>
      <c r="AR93" s="196"/>
      <c r="AS93" s="196"/>
      <c r="AT93" s="196"/>
      <c r="AU93" s="195">
        <f>IF(G93-I93-J93-K93-L93-M93-N93-O93-P93-Q93-R93-S93-T93-U93-V93-W93-X93-Y93-Z93-AA93-AB93-AC93-AD93-AE93-AF93-AG93-AH93-AI93-AJ93-AL93-AM93-AN93-AO93-AP93-AQ93-AR93-AS93-AT93&lt;0,0,G93-I93-J93-K93-L93-M93-N93-O93-P93-Q93-R93-S93-T93-U93-V93-W93-X93-Y93-Z93-AA93-AB93-AC93-AD93-AE93-AF93-AG93-AH93-AI93-AJ93-AL93-AM93-AN93-AO93-AP93-AQ93-AR93-AS93-AT93)</f>
        <v>0</v>
      </c>
      <c r="AV93" s="233">
        <v>0.75</v>
      </c>
      <c r="AW93" s="243">
        <f>I93*$I$8+J93*$J$8+K93*$K$8+L93*$L$8+M93*$M$8+N93*$N$8+O93*$O$8+P93*$P$8+Q93*$Q$8+R93*$R$8+S93*$S$8+T93*$T$8+U93*$U$8+V93*$V$8+W93*$W$8+X93*$X$8+Y93*$Y$8+Z93*$Z$8+AA93*$AA$8++AB93*$AB$8+AC93*$AC$8+AD93*$AD$8+AE93*$AE$8+AF93*$AF$8+AG93*$AG$8+AH93*$AH$8+AI93*$AI$8+AJ93*$AJ$8+AL93*$AL$8+AM93*$AM$8+AN93*$AN$8+AO93*$AO$8+AP93*$AP$8+AQ93*$AQ$8+AR93*$AR$8+AS93*$AS$8+AT93*$AT$8</f>
        <v>0</v>
      </c>
      <c r="AX93" s="242" t="e">
        <f t="shared" si="50"/>
        <v>#DIV/0!</v>
      </c>
    </row>
    <row r="94" ht="20.5" customHeight="1" spans="1:50">
      <c r="A94" t="s">
        <v>162</v>
      </c>
      <c r="B94" s="158" t="s">
        <v>70</v>
      </c>
      <c r="C94" s="159">
        <v>85</v>
      </c>
      <c r="D94" s="179" t="s">
        <v>163</v>
      </c>
      <c r="E94" s="196"/>
      <c r="F94" s="196"/>
      <c r="G94" s="195">
        <f t="shared" si="133"/>
        <v>0</v>
      </c>
      <c r="H94" s="196"/>
      <c r="I94" s="196"/>
      <c r="J94" s="196"/>
      <c r="K94" s="196"/>
      <c r="L94" s="196"/>
      <c r="M94" s="196"/>
      <c r="N94" s="196"/>
      <c r="O94" s="196"/>
      <c r="P94" s="196"/>
      <c r="Q94" s="196"/>
      <c r="R94" s="196"/>
      <c r="S94" s="196"/>
      <c r="T94" s="196"/>
      <c r="U94" s="196"/>
      <c r="V94" s="196"/>
      <c r="W94" s="196"/>
      <c r="X94" s="196"/>
      <c r="Y94" s="196"/>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5">
        <f>IF(G94-I94-J94-K94-L94-M94-N94-O94-P94-Q94-R94-S94-T94-U94-V94-W94-X94-Y94-Z94-AA94-AB94-AC94-AD94-AE94-AF94-AG94-AH94-AI94-AJ94-AL94-AM94-AN94-AO94-AP94-AQ94-AR94-AS94-AT94&lt;0,0,G94-I94-J94-K94-L94-M94-N94-O94-P94-Q94-R94-S94-T94-U94-V94-W94-X94-Y94-Z94-AA94-AB94-AC94-AD94-AE94-AF94-AG94-AH94-AI94-AJ94-AL94-AM94-AN94-AO94-AP94-AQ94-AR94-AS94-AT94)</f>
        <v>0</v>
      </c>
      <c r="AV94" s="233">
        <v>0.85</v>
      </c>
      <c r="AW94" s="243">
        <f>I94*$I$8+J94*$J$8+K94*$K$8+L94*$L$8+M94*$M$8+N94*$N$8+O94*$O$8+P94*$P$8+Q94*$Q$8+R94*$R$8+S94*$S$8+T94*$T$8+U94*$U$8+V94*$V$8+W94*$W$8+X94*$X$8+Y94*$Y$8+Z94*$Z$8+AA94*$AA$8++AB94*$AB$8+AC94*$AC$8+AD94*$AD$8+AE94*$AE$8+AF94*$AF$8+AG94*$AG$8+AH94*$AH$8+AI94*$AI$8+AJ94*$AJ$8+AL94*$AL$8+AM94*$AM$8+AN94*$AN$8+AO94*$AO$8+AP94*$AP$8+AQ94*$AQ$8+AR94*$AR$8+AS94*$AS$8+AT94*$AT$8</f>
        <v>0</v>
      </c>
      <c r="AX94" s="242" t="e">
        <f t="shared" si="50"/>
        <v>#DIV/0!</v>
      </c>
    </row>
    <row r="95" ht="20.5" customHeight="1" spans="2:50">
      <c r="B95" s="158" t="s">
        <v>70</v>
      </c>
      <c r="C95" s="159">
        <v>86</v>
      </c>
      <c r="D95" s="252" t="s">
        <v>164</v>
      </c>
      <c r="E95" s="196"/>
      <c r="F95" s="196"/>
      <c r="G95" s="195">
        <f t="shared" ref="G95:G103" si="176">E95-F95</f>
        <v>0</v>
      </c>
      <c r="H95" s="196"/>
      <c r="I95" s="196"/>
      <c r="J95" s="196"/>
      <c r="K95" s="196"/>
      <c r="L95" s="196"/>
      <c r="M95" s="196"/>
      <c r="N95" s="196"/>
      <c r="O95" s="196"/>
      <c r="P95" s="196"/>
      <c r="Q95" s="196"/>
      <c r="R95" s="196"/>
      <c r="S95" s="196"/>
      <c r="T95" s="196"/>
      <c r="U95" s="196"/>
      <c r="V95" s="196"/>
      <c r="W95" s="196"/>
      <c r="X95" s="196"/>
      <c r="Y95" s="196"/>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5">
        <f>IF(G95-I95-J95-K95-L95-M95-N95-O95-P95-Q95-R95-S95-T95-U95-V95-W95-X95-Y95-Z95-AA95-AB95-AC95-AD95-AE95-AF95-AG95-AH95-AI95-AJ95-AL95-AM95-AN95-AO95-AP95-AQ95-AR95-AS95-AT95&lt;0,0,G95-I95-J95-K95-L95-M95-N95-O95-P95-Q95-R95-S95-T95-U95-V95-W95-X95-Y95-Z95-AA95-AB95-AC95-AD95-AE95-AF95-AG95-AH95-AI95-AJ95-AL95-AM95-AN95-AO95-AP95-AQ95-AR95-AS95-AT95)</f>
        <v>0</v>
      </c>
      <c r="AV95" s="233">
        <v>0.75</v>
      </c>
      <c r="AW95" s="243">
        <f>I95*$I$8+J95*$J$8+K95*$K$8+L95*$L$8+M95*$M$8+N95*$N$8+O95*$O$8+P95*$P$8+Q95*$Q$8+R95*$R$8+S95*$S$8+T95*$T$8+U95*$U$8+V95*$V$8+W95*$W$8+X95*$X$8+Y95*$Y$8+Z95*$Z$8+AA95*$AA$8++AB95*$AB$8+AC95*$AC$8+AD95*$AD$8+AE95*$AE$8+AF95*$AF$8+AG95*$AG$8+AH95*$AH$8+AI95*$AI$8+AJ95*$AJ$8+AL95*$AL$8+AM95*$AM$8+AN95*$AN$8+AO95*$AO$8+AP95*$AP$8+AQ95*$AQ$8+AR95*$AR$8+AS95*$AS$8+AT95*$AT$8</f>
        <v>0</v>
      </c>
      <c r="AX95" s="242" t="e">
        <f t="shared" si="50"/>
        <v>#DIV/0!</v>
      </c>
    </row>
    <row r="96" ht="20.5" customHeight="1" spans="2:50">
      <c r="B96" s="158" t="s">
        <v>70</v>
      </c>
      <c r="C96" s="159">
        <v>87</v>
      </c>
      <c r="D96" s="252" t="s">
        <v>165</v>
      </c>
      <c r="E96" s="196"/>
      <c r="F96" s="196"/>
      <c r="G96" s="195">
        <f t="shared" si="176"/>
        <v>0</v>
      </c>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196"/>
      <c r="AO96" s="196"/>
      <c r="AP96" s="196"/>
      <c r="AQ96" s="196"/>
      <c r="AR96" s="196"/>
      <c r="AS96" s="196"/>
      <c r="AT96" s="196"/>
      <c r="AU96" s="195">
        <f>IF(G96-I96-J96-K96-L96-M96-N96-O96-P96-Q96-R96-S96-T96-U96-V96-W96-X96-Y96-Z96-AA96-AB96-AC96-AD96-AE96-AF96-AG96-AH96-AI96-AJ96-AL96-AM96-AN96-AO96-AP96-AQ96-AR96-AS96-AT96&lt;0,0,G96-I96-J96-K96-L96-M96-N96-O96-P96-Q96-R96-S96-T96-U96-V96-W96-X96-Y96-Z96-AA96-AB96-AC96-AD96-AE96-AF96-AG96-AH96-AI96-AJ96-AL96-AM96-AN96-AO96-AP96-AQ96-AR96-AS96-AT96)</f>
        <v>0</v>
      </c>
      <c r="AV96" s="233">
        <v>1</v>
      </c>
      <c r="AW96" s="243">
        <f>I96*$I$8+J96*$J$8+K96*$K$8+L96*$L$8+M96*$M$8+N96*$N$8+O96*$O$8+P96*$P$8+Q96*$Q$8+R96*$R$8+S96*$S$8+T96*$T$8+U96*$U$8+V96*$V$8+W96*$W$8+X96*$X$8+Y96*$Y$8+Z96*$Z$8+AA96*$AA$8++AB96*$AB$8+AC96*$AC$8+AD96*$AD$8+AE96*$AE$8+AF96*$AF$8+AG96*$AG$8+AH96*$AH$8+AI96*$AI$8+AJ96*$AJ$8+AL96*$AL$8+AM96*$AM$8+AN96*$AN$8+AO96*$AO$8+AP96*$AP$8+AQ96*$AQ$8+AR96*$AR$8+AS96*$AS$8+AT96*$AT$8</f>
        <v>0</v>
      </c>
      <c r="AX96" s="242" t="e">
        <f t="shared" si="50"/>
        <v>#DIV/0!</v>
      </c>
    </row>
    <row r="97" ht="20.5" customHeight="1" spans="2:50">
      <c r="B97" s="247" t="s">
        <v>145</v>
      </c>
      <c r="C97" s="159">
        <v>88</v>
      </c>
      <c r="D97" s="179" t="s">
        <v>166</v>
      </c>
      <c r="E97" s="196"/>
      <c r="F97" s="196"/>
      <c r="G97" s="195">
        <f t="shared" si="176"/>
        <v>0</v>
      </c>
      <c r="H97" s="196"/>
      <c r="I97" s="196"/>
      <c r="J97" s="196"/>
      <c r="K97" s="196"/>
      <c r="L97" s="196"/>
      <c r="M97" s="196"/>
      <c r="N97" s="196"/>
      <c r="O97" s="196"/>
      <c r="P97" s="196"/>
      <c r="Q97" s="196"/>
      <c r="R97" s="196"/>
      <c r="S97" s="196"/>
      <c r="T97" s="196"/>
      <c r="U97" s="196"/>
      <c r="V97" s="196"/>
      <c r="W97" s="196"/>
      <c r="X97" s="196"/>
      <c r="Y97" s="196"/>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5">
        <f>IF(G97-I97-J97-K97-L97-M97-N97-O97-P97-Q97-R97-S97-T97-U97-V97-W97-X97-Y97-Z97-AA97-AB97-AC97-AD97-AE97-AF97-AG97-AH97-AI97-AJ97-AL97-AM97-AN97-AO97-AP97-AQ97-AR97-AS97-AT97&lt;0,0,G97-I97-J97-K97-L97-M97-N97-O97-P97-Q97-R97-S97-T97-U97-V97-W97-X97-Y97-Z97-AA97-AB97-AC97-AD97-AE97-AF97-AG97-AH97-AI97-AJ97-AL97-AM97-AN97-AO97-AP97-AQ97-AR97-AS97-AT97)</f>
        <v>0</v>
      </c>
      <c r="AV97" s="233">
        <v>1.5</v>
      </c>
      <c r="AW97" s="243">
        <f>I97*$I$8+J97*$J$8+K97*$K$8+L97*$L$8+M97*$M$8+N97*$N$8+O97*$O$8+P97*$P$8+Q97*$Q$8+R97*$R$8+S97*$S$8+T97*$T$8+U97*$U$8+V97*$V$8+W97*$W$8+X97*$X$8+Y97*$Y$8+Z97*$Z$8+AA97*$AA$8++AB97*$AB$8+AC97*$AC$8+AD97*$AD$8+AE97*$AE$8+AF97*$AF$8+AG97*$AG$8+AH97*$AH$8+AI97*$AI$8+AJ97*$AJ$8+AL97*$AL$8+AM97*$AM$8+AN97*$AN$8+AO97*$AO$8+AP97*$AP$8+AQ97*$AQ$8+AR97*$AR$8+AS97*$AS$8+AT97*$AT$8</f>
        <v>0</v>
      </c>
      <c r="AX97" s="242" t="e">
        <f t="shared" si="50"/>
        <v>#DIV/0!</v>
      </c>
    </row>
    <row r="98" ht="20.5" customHeight="1" spans="1:50">
      <c r="A98" t="s">
        <v>162</v>
      </c>
      <c r="C98" s="159">
        <v>89</v>
      </c>
      <c r="D98" s="254" t="s">
        <v>167</v>
      </c>
      <c r="E98" s="195">
        <f t="shared" ref="E98:H98" si="177">E99+E102+E103</f>
        <v>0</v>
      </c>
      <c r="F98" s="195">
        <f t="shared" si="177"/>
        <v>0</v>
      </c>
      <c r="G98" s="195">
        <f t="shared" si="177"/>
        <v>0</v>
      </c>
      <c r="H98" s="195">
        <f t="shared" si="177"/>
        <v>0</v>
      </c>
      <c r="I98" s="195">
        <f t="shared" ref="I98:AU98" si="178">I99+I102+I103</f>
        <v>0</v>
      </c>
      <c r="J98" s="195">
        <f t="shared" si="178"/>
        <v>0</v>
      </c>
      <c r="K98" s="195">
        <f t="shared" si="178"/>
        <v>0</v>
      </c>
      <c r="L98" s="195">
        <f t="shared" si="178"/>
        <v>0</v>
      </c>
      <c r="M98" s="195">
        <f t="shared" si="178"/>
        <v>0</v>
      </c>
      <c r="N98" s="195">
        <f t="shared" si="178"/>
        <v>0</v>
      </c>
      <c r="O98" s="195">
        <f t="shared" si="178"/>
        <v>0</v>
      </c>
      <c r="P98" s="195">
        <f t="shared" si="178"/>
        <v>0</v>
      </c>
      <c r="Q98" s="195">
        <f t="shared" si="178"/>
        <v>0</v>
      </c>
      <c r="R98" s="195">
        <f t="shared" si="178"/>
        <v>0</v>
      </c>
      <c r="S98" s="195">
        <f t="shared" si="178"/>
        <v>0</v>
      </c>
      <c r="T98" s="195">
        <f t="shared" si="178"/>
        <v>0</v>
      </c>
      <c r="U98" s="195">
        <f t="shared" si="178"/>
        <v>0</v>
      </c>
      <c r="V98" s="195">
        <f t="shared" si="178"/>
        <v>0</v>
      </c>
      <c r="W98" s="195">
        <f t="shared" si="178"/>
        <v>0</v>
      </c>
      <c r="X98" s="195">
        <f t="shared" si="178"/>
        <v>0</v>
      </c>
      <c r="Y98" s="195">
        <f t="shared" si="178"/>
        <v>0</v>
      </c>
      <c r="Z98" s="195">
        <f t="shared" si="178"/>
        <v>0</v>
      </c>
      <c r="AA98" s="195">
        <f t="shared" si="178"/>
        <v>0</v>
      </c>
      <c r="AB98" s="195">
        <f t="shared" si="178"/>
        <v>0</v>
      </c>
      <c r="AC98" s="195">
        <f t="shared" si="178"/>
        <v>0</v>
      </c>
      <c r="AD98" s="195">
        <f t="shared" si="178"/>
        <v>0</v>
      </c>
      <c r="AE98" s="195">
        <f t="shared" si="178"/>
        <v>0</v>
      </c>
      <c r="AF98" s="195">
        <f t="shared" si="178"/>
        <v>0</v>
      </c>
      <c r="AG98" s="195">
        <f t="shared" si="178"/>
        <v>0</v>
      </c>
      <c r="AH98" s="195">
        <f t="shared" si="178"/>
        <v>0</v>
      </c>
      <c r="AI98" s="195">
        <f t="shared" si="178"/>
        <v>0</v>
      </c>
      <c r="AJ98" s="195">
        <f t="shared" si="178"/>
        <v>0</v>
      </c>
      <c r="AK98" s="195">
        <f t="shared" si="178"/>
        <v>0</v>
      </c>
      <c r="AL98" s="195">
        <f t="shared" si="178"/>
        <v>0</v>
      </c>
      <c r="AM98" s="195">
        <f t="shared" si="178"/>
        <v>0</v>
      </c>
      <c r="AN98" s="195">
        <f t="shared" si="178"/>
        <v>0</v>
      </c>
      <c r="AO98" s="195">
        <f t="shared" si="178"/>
        <v>0</v>
      </c>
      <c r="AP98" s="195">
        <f t="shared" si="178"/>
        <v>0</v>
      </c>
      <c r="AQ98" s="195">
        <f t="shared" si="178"/>
        <v>0</v>
      </c>
      <c r="AR98" s="195">
        <f t="shared" si="178"/>
        <v>0</v>
      </c>
      <c r="AS98" s="195">
        <f t="shared" si="178"/>
        <v>0</v>
      </c>
      <c r="AT98" s="195">
        <f t="shared" si="178"/>
        <v>0</v>
      </c>
      <c r="AU98" s="195">
        <f t="shared" si="178"/>
        <v>0</v>
      </c>
      <c r="AV98" s="232"/>
      <c r="AW98" s="195">
        <f>AW99+AW102+AW103</f>
        <v>0</v>
      </c>
      <c r="AX98" s="242" t="e">
        <f t="shared" si="50"/>
        <v>#DIV/0!</v>
      </c>
    </row>
    <row r="99" ht="20.5" customHeight="1" spans="1:50">
      <c r="A99" t="s">
        <v>162</v>
      </c>
      <c r="C99" s="159">
        <v>90</v>
      </c>
      <c r="D99" s="179" t="s">
        <v>168</v>
      </c>
      <c r="E99" s="195">
        <f t="shared" ref="E99:H99" si="179">E100+E101</f>
        <v>0</v>
      </c>
      <c r="F99" s="195">
        <f t="shared" si="179"/>
        <v>0</v>
      </c>
      <c r="G99" s="195">
        <f>SUM(G100:G101)</f>
        <v>0</v>
      </c>
      <c r="H99" s="195">
        <f t="shared" si="179"/>
        <v>0</v>
      </c>
      <c r="I99" s="195">
        <f t="shared" ref="I99:AU99" si="180">I100+I101</f>
        <v>0</v>
      </c>
      <c r="J99" s="195">
        <f t="shared" si="180"/>
        <v>0</v>
      </c>
      <c r="K99" s="195">
        <f t="shared" si="180"/>
        <v>0</v>
      </c>
      <c r="L99" s="195">
        <f t="shared" si="180"/>
        <v>0</v>
      </c>
      <c r="M99" s="195">
        <f t="shared" si="180"/>
        <v>0</v>
      </c>
      <c r="N99" s="195">
        <f t="shared" si="180"/>
        <v>0</v>
      </c>
      <c r="O99" s="195">
        <f t="shared" si="180"/>
        <v>0</v>
      </c>
      <c r="P99" s="195">
        <f t="shared" si="180"/>
        <v>0</v>
      </c>
      <c r="Q99" s="195">
        <f t="shared" si="180"/>
        <v>0</v>
      </c>
      <c r="R99" s="195">
        <f t="shared" si="180"/>
        <v>0</v>
      </c>
      <c r="S99" s="195">
        <f t="shared" si="180"/>
        <v>0</v>
      </c>
      <c r="T99" s="195">
        <f t="shared" si="180"/>
        <v>0</v>
      </c>
      <c r="U99" s="195">
        <f t="shared" si="180"/>
        <v>0</v>
      </c>
      <c r="V99" s="195">
        <f t="shared" si="180"/>
        <v>0</v>
      </c>
      <c r="W99" s="195">
        <f t="shared" si="180"/>
        <v>0</v>
      </c>
      <c r="X99" s="195">
        <f t="shared" si="180"/>
        <v>0</v>
      </c>
      <c r="Y99" s="195">
        <f t="shared" si="180"/>
        <v>0</v>
      </c>
      <c r="Z99" s="195">
        <f t="shared" si="180"/>
        <v>0</v>
      </c>
      <c r="AA99" s="195">
        <f t="shared" si="180"/>
        <v>0</v>
      </c>
      <c r="AB99" s="195">
        <f t="shared" si="180"/>
        <v>0</v>
      </c>
      <c r="AC99" s="195">
        <f t="shared" si="180"/>
        <v>0</v>
      </c>
      <c r="AD99" s="195">
        <f t="shared" si="180"/>
        <v>0</v>
      </c>
      <c r="AE99" s="195">
        <f t="shared" si="180"/>
        <v>0</v>
      </c>
      <c r="AF99" s="195">
        <f t="shared" si="180"/>
        <v>0</v>
      </c>
      <c r="AG99" s="195">
        <f t="shared" si="180"/>
        <v>0</v>
      </c>
      <c r="AH99" s="195">
        <f t="shared" si="180"/>
        <v>0</v>
      </c>
      <c r="AI99" s="195">
        <f t="shared" si="180"/>
        <v>0</v>
      </c>
      <c r="AJ99" s="195">
        <f t="shared" si="180"/>
        <v>0</v>
      </c>
      <c r="AK99" s="195">
        <f t="shared" si="180"/>
        <v>0</v>
      </c>
      <c r="AL99" s="195">
        <f t="shared" si="180"/>
        <v>0</v>
      </c>
      <c r="AM99" s="195">
        <f t="shared" si="180"/>
        <v>0</v>
      </c>
      <c r="AN99" s="195">
        <f t="shared" si="180"/>
        <v>0</v>
      </c>
      <c r="AO99" s="195">
        <f t="shared" si="180"/>
        <v>0</v>
      </c>
      <c r="AP99" s="195">
        <f t="shared" si="180"/>
        <v>0</v>
      </c>
      <c r="AQ99" s="195">
        <f t="shared" si="180"/>
        <v>0</v>
      </c>
      <c r="AR99" s="195">
        <f t="shared" si="180"/>
        <v>0</v>
      </c>
      <c r="AS99" s="195">
        <f t="shared" si="180"/>
        <v>0</v>
      </c>
      <c r="AT99" s="195">
        <f t="shared" si="180"/>
        <v>0</v>
      </c>
      <c r="AU99" s="195">
        <f t="shared" si="180"/>
        <v>0</v>
      </c>
      <c r="AV99" s="232"/>
      <c r="AW99" s="195">
        <f>AW100+AW101</f>
        <v>0</v>
      </c>
      <c r="AX99" s="242" t="e">
        <f t="shared" si="50"/>
        <v>#DIV/0!</v>
      </c>
    </row>
    <row r="100" ht="20.5" customHeight="1" spans="1:50">
      <c r="A100" t="s">
        <v>162</v>
      </c>
      <c r="C100" s="159">
        <v>91</v>
      </c>
      <c r="D100" s="172" t="s">
        <v>169</v>
      </c>
      <c r="E100" s="196"/>
      <c r="F100" s="196"/>
      <c r="G100" s="195">
        <f t="shared" si="176"/>
        <v>0</v>
      </c>
      <c r="H100" s="196"/>
      <c r="I100" s="196"/>
      <c r="J100" s="196"/>
      <c r="K100" s="196"/>
      <c r="L100" s="196"/>
      <c r="M100" s="196"/>
      <c r="N100" s="196"/>
      <c r="O100" s="196"/>
      <c r="P100" s="196"/>
      <c r="Q100" s="196"/>
      <c r="R100" s="196"/>
      <c r="S100" s="196"/>
      <c r="T100" s="196"/>
      <c r="U100" s="196"/>
      <c r="V100" s="196"/>
      <c r="W100" s="196"/>
      <c r="X100" s="196"/>
      <c r="Y100" s="196"/>
      <c r="Z100" s="196"/>
      <c r="AA100" s="196"/>
      <c r="AB100" s="196"/>
      <c r="AC100" s="196"/>
      <c r="AD100" s="196"/>
      <c r="AE100" s="196"/>
      <c r="AF100" s="196"/>
      <c r="AG100" s="196"/>
      <c r="AH100" s="196"/>
      <c r="AI100" s="196"/>
      <c r="AJ100" s="196"/>
      <c r="AK100" s="196"/>
      <c r="AL100" s="196"/>
      <c r="AM100" s="196"/>
      <c r="AN100" s="196"/>
      <c r="AO100" s="196"/>
      <c r="AP100" s="196"/>
      <c r="AQ100" s="196"/>
      <c r="AR100" s="196"/>
      <c r="AS100" s="196"/>
      <c r="AT100" s="196"/>
      <c r="AU100" s="195">
        <f>IF(G100-I100-J100-K100-L100-M100-N100-O100-P100-Q100-R100-S100-T100-U100-V100-W100-X100-Y100-Z100-AA100-AB100-AC100-AD100-AE100-AF100-AG100-AH100-AI100-AJ100-AL100-AM100-AN100-AO100-AP100-AQ100-AR100-AS100-AT100&lt;0,0,G100-I100-J100-K100-L100-M100-N100-O100-P100-Q100-R100-S100-T100-U100-V100-W100-X100-Y100-Z100-AA100-AB100-AC100-AD100-AE100-AF100-AG100-AH100-AI100-AJ100-AL100-AM100-AN100-AO100-AP100-AQ100-AR100-AS100-AT100)</f>
        <v>0</v>
      </c>
      <c r="AV100" s="233">
        <v>1.3</v>
      </c>
      <c r="AW100" s="243">
        <f>I100*$I$8+J100*$J$8+K100*$K$8+L100*$L$8+M100*$M$8+N100*$N$8+O100*$O$8+P100*$P$8+Q100*$Q$8+R100*$R$8+S100*$S$8+T100*$T$8+U100*$U$8+V100*$V$8+W100*$W$8+X100*$X$8+Y100*$Y$8+Z100*$Z$8+AA100*$AA$8++AB100*$AB$8+AC100*$AC$8+AD100*$AD$8+AE100*$AE$8+AF100*$AF$8+AG100*$AG$8+AH100*$AH$8+AI100*$AI$8+AJ100*$AJ$8+AL100*$AL$8+AM100*$AM$8+AN100*$AN$8+AO100*$AO$8+AP100*$AP$8+AQ100*$AQ$8+AR100*$AR$8+AS100*$AS$8+AT100*$AT$8</f>
        <v>0</v>
      </c>
      <c r="AX100" s="242" t="e">
        <f t="shared" si="50"/>
        <v>#DIV/0!</v>
      </c>
    </row>
    <row r="101" ht="20.5" customHeight="1" spans="1:50">
      <c r="A101" t="s">
        <v>162</v>
      </c>
      <c r="C101" s="159">
        <v>92</v>
      </c>
      <c r="D101" s="172" t="s">
        <v>170</v>
      </c>
      <c r="E101" s="196"/>
      <c r="F101" s="196"/>
      <c r="G101" s="195">
        <f t="shared" si="176"/>
        <v>0</v>
      </c>
      <c r="H101" s="196"/>
      <c r="I101" s="196"/>
      <c r="J101" s="196"/>
      <c r="K101" s="196"/>
      <c r="L101" s="196"/>
      <c r="M101" s="196"/>
      <c r="N101" s="196"/>
      <c r="O101" s="196"/>
      <c r="P101" s="196"/>
      <c r="Q101" s="196"/>
      <c r="R101" s="196"/>
      <c r="S101" s="196"/>
      <c r="T101" s="196"/>
      <c r="U101" s="196"/>
      <c r="V101" s="196"/>
      <c r="W101" s="196"/>
      <c r="X101" s="196"/>
      <c r="Y101" s="196"/>
      <c r="Z101" s="196"/>
      <c r="AA101" s="196"/>
      <c r="AB101" s="196"/>
      <c r="AC101" s="196"/>
      <c r="AD101" s="196"/>
      <c r="AE101" s="196"/>
      <c r="AF101" s="196"/>
      <c r="AG101" s="196"/>
      <c r="AH101" s="196"/>
      <c r="AI101" s="196"/>
      <c r="AJ101" s="196"/>
      <c r="AK101" s="196"/>
      <c r="AL101" s="196"/>
      <c r="AM101" s="196"/>
      <c r="AN101" s="196"/>
      <c r="AO101" s="196"/>
      <c r="AP101" s="196"/>
      <c r="AQ101" s="196"/>
      <c r="AR101" s="196"/>
      <c r="AS101" s="196"/>
      <c r="AT101" s="196"/>
      <c r="AU101" s="195">
        <f>IF(G101-I101-J101-K101-L101-M101-N101-O101-P101-Q101-R101-S101-T101-U101-V101-W101-X101-Y101-Z101-AA101-AB101-AC101-AD101-AE101-AF101-AG101-AH101-AI101-AJ101-AL101-AM101-AN101-AO101-AP101-AQ101-AR101-AS101-AT101&lt;0,0,G101-I101-J101-K101-L101-M101-N101-O101-P101-Q101-R101-S101-T101-U101-V101-W101-X101-Y101-Z101-AA101-AB101-AC101-AD101-AE101-AF101-AG101-AH101-AI101-AJ101-AL101-AM101-AN101-AO101-AP101-AQ101-AR101-AS101-AT101)</f>
        <v>0</v>
      </c>
      <c r="AV101" s="233">
        <v>1</v>
      </c>
      <c r="AW101" s="243">
        <f>I101*$I$8+J101*$J$8+K101*$K$8+L101*$L$8+M101*$M$8+N101*$N$8+O101*$O$8+P101*$P$8+Q101*$Q$8+R101*$R$8+S101*$S$8+T101*$T$8+U101*$U$8+V101*$V$8+W101*$W$8+X101*$X$8+Y101*$Y$8+Z101*$Z$8+AA101*$AA$8++AB101*$AB$8+AC101*$AC$8+AD101*$AD$8+AE101*$AE$8+AF101*$AF$8+AG101*$AG$8+AH101*$AH$8+AI101*$AI$8+AJ101*$AJ$8+AL101*$AL$8+AM101*$AM$8+AN101*$AN$8+AO101*$AO$8+AP101*$AP$8+AQ101*$AQ$8+AR101*$AR$8+AS101*$AS$8+AT101*$AT$8</f>
        <v>0</v>
      </c>
      <c r="AX101" s="242" t="e">
        <f t="shared" si="50"/>
        <v>#DIV/0!</v>
      </c>
    </row>
    <row r="102" ht="20.5" customHeight="1" spans="1:50">
      <c r="A102" t="s">
        <v>162</v>
      </c>
      <c r="C102" s="159">
        <v>93</v>
      </c>
      <c r="D102" s="179" t="s">
        <v>171</v>
      </c>
      <c r="E102" s="196"/>
      <c r="F102" s="196"/>
      <c r="G102" s="195">
        <f t="shared" si="176"/>
        <v>0</v>
      </c>
      <c r="H102" s="196"/>
      <c r="I102" s="196"/>
      <c r="J102" s="196"/>
      <c r="K102" s="196"/>
      <c r="L102" s="196"/>
      <c r="M102" s="196"/>
      <c r="N102" s="196"/>
      <c r="O102" s="196"/>
      <c r="P102" s="196"/>
      <c r="Q102" s="196"/>
      <c r="R102" s="196"/>
      <c r="S102" s="196"/>
      <c r="T102" s="196"/>
      <c r="U102" s="196"/>
      <c r="V102" s="196"/>
      <c r="W102" s="196"/>
      <c r="X102" s="196"/>
      <c r="Y102" s="196"/>
      <c r="Z102" s="196"/>
      <c r="AA102" s="196"/>
      <c r="AB102" s="196"/>
      <c r="AC102" s="196"/>
      <c r="AD102" s="196"/>
      <c r="AE102" s="196"/>
      <c r="AF102" s="196"/>
      <c r="AG102" s="196"/>
      <c r="AH102" s="196"/>
      <c r="AI102" s="196"/>
      <c r="AJ102" s="196"/>
      <c r="AK102" s="196"/>
      <c r="AL102" s="196"/>
      <c r="AM102" s="196"/>
      <c r="AN102" s="196"/>
      <c r="AO102" s="196"/>
      <c r="AP102" s="196"/>
      <c r="AQ102" s="196"/>
      <c r="AR102" s="196"/>
      <c r="AS102" s="196"/>
      <c r="AT102" s="196"/>
      <c r="AU102" s="195">
        <f>IF(G102-I102-J102-K102-L102-M102-N102-O102-P102-Q102-R102-S102-T102-U102-V102-W102-X102-Y102-Z102-AA102-AB102-AC102-AD102-AE102-AF102-AG102-AH102-AI102-AJ102-AL102-AM102-AN102-AO102-AP102-AQ102-AR102-AS102-AT102&lt;0,0,G102-I102-J102-K102-L102-M102-N102-O102-P102-Q102-R102-S102-T102-U102-V102-W102-X102-Y102-Z102-AA102-AB102-AC102-AD102-AE102-AF102-AG102-AH102-AI102-AJ102-AL102-AM102-AN102-AO102-AP102-AQ102-AR102-AS102-AT102)</f>
        <v>0</v>
      </c>
      <c r="AV102" s="233">
        <v>1</v>
      </c>
      <c r="AW102" s="243">
        <f>I102*$I$8+J102*$J$8+K102*$K$8+L102*$L$8+M102*$M$8+N102*$N$8+O102*$O$8+P102*$P$8+Q102*$Q$8+R102*$R$8+S102*$S$8+T102*$T$8+U102*$U$8+V102*$V$8+W102*$W$8+X102*$X$8+Y102*$Y$8+Z102*$Z$8+AA102*$AA$8++AB102*$AB$8+AC102*$AC$8+AD102*$AD$8+AE102*$AE$8+AF102*$AF$8+AG102*$AG$8+AH102*$AH$8+AI102*$AI$8+AJ102*$AJ$8+AL102*$AL$8+AM102*$AM$8+AN102*$AN$8+AO102*$AO$8+AP102*$AP$8+AQ102*$AQ$8+AR102*$AR$8+AS102*$AS$8+AT102*$AT$8</f>
        <v>0</v>
      </c>
      <c r="AX102" s="242" t="e">
        <f t="shared" si="50"/>
        <v>#DIV/0!</v>
      </c>
    </row>
    <row r="103" ht="20.5" customHeight="1" spans="1:50">
      <c r="A103" t="s">
        <v>162</v>
      </c>
      <c r="C103" s="159">
        <v>94</v>
      </c>
      <c r="D103" s="179" t="s">
        <v>172</v>
      </c>
      <c r="E103" s="196"/>
      <c r="F103" s="196"/>
      <c r="G103" s="195">
        <f t="shared" si="176"/>
        <v>0</v>
      </c>
      <c r="H103" s="196"/>
      <c r="I103" s="196"/>
      <c r="J103" s="196"/>
      <c r="K103" s="196"/>
      <c r="L103" s="196"/>
      <c r="M103" s="196"/>
      <c r="N103" s="196"/>
      <c r="O103" s="196"/>
      <c r="P103" s="196"/>
      <c r="Q103" s="196"/>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5">
        <f>IF(G103-I103-J103-K103-L103-M103-N103-O103-P103-Q103-R103-S103-T103-U103-V103-W103-X103-Y103-Z103-AA103-AB103-AC103-AD103-AE103-AF103-AG103-AH103-AI103-AJ103-AL103-AM103-AN103-AO103-AP103-AQ103-AR103-AS103-AT103&lt;0,0,G103-I103-J103-K103-L103-M103-N103-O103-P103-Q103-R103-S103-T103-U103-V103-W103-X103-Y103-Z103-AA103-AB103-AC103-AD103-AE103-AF103-AG103-AH103-AI103-AJ103-AL103-AM103-AN103-AO103-AP103-AQ103-AR103-AS103-AT103)</f>
        <v>0</v>
      </c>
      <c r="AV103" s="233">
        <v>1</v>
      </c>
      <c r="AW103" s="243">
        <f>I103*$I$8+J103*$J$8+K103*$K$8+L103*$L$8+M103*$M$8+N103*$N$8+O103*$O$8+P103*$P$8+Q103*$Q$8+R103*$R$8+S103*$S$8+T103*$T$8+U103*$U$8+V103*$V$8+W103*$W$8+X103*$X$8+Y103*$Y$8+Z103*$Z$8+AA103*$AA$8++AB103*$AB$8+AC103*$AC$8+AD103*$AD$8+AE103*$AE$8+AF103*$AF$8+AG103*$AG$8+AH103*$AH$8+AI103*$AI$8+AJ103*$AJ$8+AL103*$AL$8+AM103*$AM$8+AN103*$AN$8+AO103*$AO$8+AP103*$AP$8+AQ103*$AQ$8+AR103*$AR$8+AS103*$AS$8+AT103*$AT$8</f>
        <v>0</v>
      </c>
      <c r="AX103" s="242" t="e">
        <f t="shared" si="50"/>
        <v>#DIV/0!</v>
      </c>
    </row>
    <row r="104" ht="58" customHeight="1" spans="2:50">
      <c r="B104" s="253" t="s">
        <v>173</v>
      </c>
      <c r="C104" s="159">
        <v>95</v>
      </c>
      <c r="D104" s="163" t="s">
        <v>174</v>
      </c>
      <c r="E104" s="195">
        <f t="shared" ref="E104:H104" si="181">E105+E110</f>
        <v>0</v>
      </c>
      <c r="F104" s="195">
        <f t="shared" si="181"/>
        <v>0</v>
      </c>
      <c r="G104" s="195">
        <f>G105+G110+G111</f>
        <v>0</v>
      </c>
      <c r="H104" s="195">
        <f t="shared" si="181"/>
        <v>0</v>
      </c>
      <c r="I104" s="195">
        <f t="shared" ref="I104:AU104" si="182">I105+I110</f>
        <v>0</v>
      </c>
      <c r="J104" s="195">
        <f t="shared" si="182"/>
        <v>0</v>
      </c>
      <c r="K104" s="195">
        <f t="shared" si="182"/>
        <v>0</v>
      </c>
      <c r="L104" s="195">
        <f t="shared" si="182"/>
        <v>0</v>
      </c>
      <c r="M104" s="195">
        <f t="shared" si="182"/>
        <v>0</v>
      </c>
      <c r="N104" s="195">
        <f t="shared" si="182"/>
        <v>0</v>
      </c>
      <c r="O104" s="195">
        <f t="shared" si="182"/>
        <v>0</v>
      </c>
      <c r="P104" s="195">
        <f t="shared" si="182"/>
        <v>0</v>
      </c>
      <c r="Q104" s="195">
        <f t="shared" si="182"/>
        <v>0</v>
      </c>
      <c r="R104" s="195">
        <f t="shared" si="182"/>
        <v>0</v>
      </c>
      <c r="S104" s="195">
        <f t="shared" si="182"/>
        <v>0</v>
      </c>
      <c r="T104" s="195">
        <f t="shared" si="182"/>
        <v>0</v>
      </c>
      <c r="U104" s="195">
        <f t="shared" si="182"/>
        <v>0</v>
      </c>
      <c r="V104" s="195">
        <f t="shared" si="182"/>
        <v>0</v>
      </c>
      <c r="W104" s="195">
        <f t="shared" si="182"/>
        <v>0</v>
      </c>
      <c r="X104" s="195">
        <f t="shared" si="182"/>
        <v>0</v>
      </c>
      <c r="Y104" s="195">
        <f t="shared" si="182"/>
        <v>0</v>
      </c>
      <c r="Z104" s="195">
        <f t="shared" si="182"/>
        <v>0</v>
      </c>
      <c r="AA104" s="195">
        <f t="shared" si="182"/>
        <v>0</v>
      </c>
      <c r="AB104" s="195">
        <f t="shared" si="182"/>
        <v>0</v>
      </c>
      <c r="AC104" s="195">
        <f t="shared" si="182"/>
        <v>0</v>
      </c>
      <c r="AD104" s="195">
        <f t="shared" si="182"/>
        <v>0</v>
      </c>
      <c r="AE104" s="195">
        <f t="shared" si="182"/>
        <v>0</v>
      </c>
      <c r="AF104" s="195">
        <f t="shared" si="182"/>
        <v>0</v>
      </c>
      <c r="AG104" s="195">
        <f t="shared" si="182"/>
        <v>0</v>
      </c>
      <c r="AH104" s="195">
        <f t="shared" si="182"/>
        <v>0</v>
      </c>
      <c r="AI104" s="195">
        <f t="shared" si="182"/>
        <v>0</v>
      </c>
      <c r="AJ104" s="195">
        <f t="shared" si="182"/>
        <v>0</v>
      </c>
      <c r="AK104" s="195">
        <f t="shared" si="182"/>
        <v>0</v>
      </c>
      <c r="AL104" s="195">
        <f t="shared" si="182"/>
        <v>0</v>
      </c>
      <c r="AM104" s="195">
        <f t="shared" si="182"/>
        <v>0</v>
      </c>
      <c r="AN104" s="195">
        <f t="shared" si="182"/>
        <v>0</v>
      </c>
      <c r="AO104" s="195">
        <f t="shared" si="182"/>
        <v>0</v>
      </c>
      <c r="AP104" s="195">
        <f t="shared" si="182"/>
        <v>0</v>
      </c>
      <c r="AQ104" s="195">
        <f t="shared" si="182"/>
        <v>0</v>
      </c>
      <c r="AR104" s="195">
        <f t="shared" si="182"/>
        <v>0</v>
      </c>
      <c r="AS104" s="195">
        <f t="shared" si="182"/>
        <v>0</v>
      </c>
      <c r="AT104" s="195">
        <f t="shared" si="182"/>
        <v>0</v>
      </c>
      <c r="AU104" s="195">
        <f t="shared" si="182"/>
        <v>0</v>
      </c>
      <c r="AV104" s="232"/>
      <c r="AW104" s="195">
        <f>AW105+AW110</f>
        <v>0</v>
      </c>
      <c r="AX104" s="242" t="e">
        <f t="shared" si="50"/>
        <v>#DIV/0!</v>
      </c>
    </row>
    <row r="105" ht="20.5" customHeight="1" spans="1:50">
      <c r="A105" t="s">
        <v>4</v>
      </c>
      <c r="C105" s="159">
        <v>96</v>
      </c>
      <c r="D105" s="248" t="s">
        <v>175</v>
      </c>
      <c r="E105" s="195">
        <f t="shared" ref="E105:H105" si="183">E106+E109</f>
        <v>0</v>
      </c>
      <c r="F105" s="195">
        <f t="shared" si="183"/>
        <v>0</v>
      </c>
      <c r="G105" s="195">
        <f t="shared" si="183"/>
        <v>0</v>
      </c>
      <c r="H105" s="195">
        <f t="shared" si="183"/>
        <v>0</v>
      </c>
      <c r="I105" s="195">
        <f t="shared" ref="I105:AU105" si="184">I106+I109</f>
        <v>0</v>
      </c>
      <c r="J105" s="195">
        <f t="shared" si="184"/>
        <v>0</v>
      </c>
      <c r="K105" s="195">
        <f t="shared" si="184"/>
        <v>0</v>
      </c>
      <c r="L105" s="195">
        <f t="shared" si="184"/>
        <v>0</v>
      </c>
      <c r="M105" s="195">
        <f t="shared" si="184"/>
        <v>0</v>
      </c>
      <c r="N105" s="195">
        <f t="shared" si="184"/>
        <v>0</v>
      </c>
      <c r="O105" s="195">
        <f t="shared" si="184"/>
        <v>0</v>
      </c>
      <c r="P105" s="195">
        <f t="shared" si="184"/>
        <v>0</v>
      </c>
      <c r="Q105" s="195">
        <f t="shared" si="184"/>
        <v>0</v>
      </c>
      <c r="R105" s="195">
        <f t="shared" si="184"/>
        <v>0</v>
      </c>
      <c r="S105" s="195">
        <f t="shared" si="184"/>
        <v>0</v>
      </c>
      <c r="T105" s="195">
        <f t="shared" si="184"/>
        <v>0</v>
      </c>
      <c r="U105" s="195">
        <f t="shared" si="184"/>
        <v>0</v>
      </c>
      <c r="V105" s="195">
        <f t="shared" si="184"/>
        <v>0</v>
      </c>
      <c r="W105" s="195">
        <f t="shared" si="184"/>
        <v>0</v>
      </c>
      <c r="X105" s="195">
        <f t="shared" si="184"/>
        <v>0</v>
      </c>
      <c r="Y105" s="195">
        <f t="shared" si="184"/>
        <v>0</v>
      </c>
      <c r="Z105" s="195">
        <f t="shared" si="184"/>
        <v>0</v>
      </c>
      <c r="AA105" s="195">
        <f t="shared" si="184"/>
        <v>0</v>
      </c>
      <c r="AB105" s="195">
        <f t="shared" si="184"/>
        <v>0</v>
      </c>
      <c r="AC105" s="195">
        <f t="shared" si="184"/>
        <v>0</v>
      </c>
      <c r="AD105" s="195">
        <f t="shared" si="184"/>
        <v>0</v>
      </c>
      <c r="AE105" s="195">
        <f t="shared" si="184"/>
        <v>0</v>
      </c>
      <c r="AF105" s="195">
        <f t="shared" si="184"/>
        <v>0</v>
      </c>
      <c r="AG105" s="195">
        <f t="shared" si="184"/>
        <v>0</v>
      </c>
      <c r="AH105" s="195">
        <f t="shared" si="184"/>
        <v>0</v>
      </c>
      <c r="AI105" s="195">
        <f t="shared" si="184"/>
        <v>0</v>
      </c>
      <c r="AJ105" s="195">
        <f t="shared" si="184"/>
        <v>0</v>
      </c>
      <c r="AK105" s="195">
        <f t="shared" si="184"/>
        <v>0</v>
      </c>
      <c r="AL105" s="195">
        <f t="shared" si="184"/>
        <v>0</v>
      </c>
      <c r="AM105" s="195">
        <f t="shared" si="184"/>
        <v>0</v>
      </c>
      <c r="AN105" s="195">
        <f t="shared" si="184"/>
        <v>0</v>
      </c>
      <c r="AO105" s="195">
        <f t="shared" si="184"/>
        <v>0</v>
      </c>
      <c r="AP105" s="195">
        <f t="shared" si="184"/>
        <v>0</v>
      </c>
      <c r="AQ105" s="195">
        <f t="shared" si="184"/>
        <v>0</v>
      </c>
      <c r="AR105" s="195">
        <f t="shared" si="184"/>
        <v>0</v>
      </c>
      <c r="AS105" s="195">
        <f t="shared" si="184"/>
        <v>0</v>
      </c>
      <c r="AT105" s="195">
        <f t="shared" si="184"/>
        <v>0</v>
      </c>
      <c r="AU105" s="195">
        <f t="shared" si="184"/>
        <v>0</v>
      </c>
      <c r="AV105" s="232"/>
      <c r="AW105" s="195">
        <f>AW106+AW109</f>
        <v>0</v>
      </c>
      <c r="AX105" s="242" t="e">
        <f t="shared" si="50"/>
        <v>#DIV/0!</v>
      </c>
    </row>
    <row r="106" ht="20.5" customHeight="1" spans="1:50">
      <c r="A106" t="s">
        <v>4</v>
      </c>
      <c r="C106" s="159">
        <v>97</v>
      </c>
      <c r="D106" s="179" t="s">
        <v>176</v>
      </c>
      <c r="E106" s="195">
        <f t="shared" ref="E106:H106" si="185">E107+E108</f>
        <v>0</v>
      </c>
      <c r="F106" s="195">
        <f t="shared" si="185"/>
        <v>0</v>
      </c>
      <c r="G106" s="195">
        <f t="shared" si="185"/>
        <v>0</v>
      </c>
      <c r="H106" s="195">
        <f t="shared" si="185"/>
        <v>0</v>
      </c>
      <c r="I106" s="195">
        <f t="shared" ref="I106:AU106" si="186">I107+I108</f>
        <v>0</v>
      </c>
      <c r="J106" s="195">
        <f t="shared" si="186"/>
        <v>0</v>
      </c>
      <c r="K106" s="195">
        <f t="shared" si="186"/>
        <v>0</v>
      </c>
      <c r="L106" s="195">
        <f t="shared" si="186"/>
        <v>0</v>
      </c>
      <c r="M106" s="195">
        <f t="shared" si="186"/>
        <v>0</v>
      </c>
      <c r="N106" s="195">
        <f t="shared" si="186"/>
        <v>0</v>
      </c>
      <c r="O106" s="195">
        <f t="shared" si="186"/>
        <v>0</v>
      </c>
      <c r="P106" s="195">
        <f t="shared" si="186"/>
        <v>0</v>
      </c>
      <c r="Q106" s="195">
        <f t="shared" si="186"/>
        <v>0</v>
      </c>
      <c r="R106" s="195">
        <f t="shared" si="186"/>
        <v>0</v>
      </c>
      <c r="S106" s="195">
        <f t="shared" si="186"/>
        <v>0</v>
      </c>
      <c r="T106" s="195">
        <f t="shared" si="186"/>
        <v>0</v>
      </c>
      <c r="U106" s="195">
        <f t="shared" si="186"/>
        <v>0</v>
      </c>
      <c r="V106" s="195">
        <f t="shared" si="186"/>
        <v>0</v>
      </c>
      <c r="W106" s="195">
        <f t="shared" si="186"/>
        <v>0</v>
      </c>
      <c r="X106" s="195">
        <f t="shared" si="186"/>
        <v>0</v>
      </c>
      <c r="Y106" s="195">
        <f t="shared" si="186"/>
        <v>0</v>
      </c>
      <c r="Z106" s="195">
        <f t="shared" si="186"/>
        <v>0</v>
      </c>
      <c r="AA106" s="195">
        <f t="shared" si="186"/>
        <v>0</v>
      </c>
      <c r="AB106" s="195">
        <f t="shared" si="186"/>
        <v>0</v>
      </c>
      <c r="AC106" s="195">
        <f t="shared" si="186"/>
        <v>0</v>
      </c>
      <c r="AD106" s="195">
        <f t="shared" si="186"/>
        <v>0</v>
      </c>
      <c r="AE106" s="195">
        <f t="shared" si="186"/>
        <v>0</v>
      </c>
      <c r="AF106" s="195">
        <f t="shared" si="186"/>
        <v>0</v>
      </c>
      <c r="AG106" s="195">
        <f t="shared" si="186"/>
        <v>0</v>
      </c>
      <c r="AH106" s="195">
        <f t="shared" si="186"/>
        <v>0</v>
      </c>
      <c r="AI106" s="195">
        <f t="shared" si="186"/>
        <v>0</v>
      </c>
      <c r="AJ106" s="195">
        <f t="shared" si="186"/>
        <v>0</v>
      </c>
      <c r="AK106" s="195">
        <f t="shared" si="186"/>
        <v>0</v>
      </c>
      <c r="AL106" s="195">
        <f t="shared" si="186"/>
        <v>0</v>
      </c>
      <c r="AM106" s="195">
        <f t="shared" si="186"/>
        <v>0</v>
      </c>
      <c r="AN106" s="195">
        <f t="shared" si="186"/>
        <v>0</v>
      </c>
      <c r="AO106" s="195">
        <f t="shared" si="186"/>
        <v>0</v>
      </c>
      <c r="AP106" s="195">
        <f t="shared" si="186"/>
        <v>0</v>
      </c>
      <c r="AQ106" s="195">
        <f t="shared" si="186"/>
        <v>0</v>
      </c>
      <c r="AR106" s="195">
        <f t="shared" si="186"/>
        <v>0</v>
      </c>
      <c r="AS106" s="195">
        <f t="shared" si="186"/>
        <v>0</v>
      </c>
      <c r="AT106" s="195">
        <f t="shared" si="186"/>
        <v>0</v>
      </c>
      <c r="AU106" s="195">
        <f t="shared" si="186"/>
        <v>0</v>
      </c>
      <c r="AV106" s="232"/>
      <c r="AW106" s="195">
        <f>AW107+AW108</f>
        <v>0</v>
      </c>
      <c r="AX106" s="242" t="e">
        <f t="shared" si="50"/>
        <v>#DIV/0!</v>
      </c>
    </row>
    <row r="107" ht="20" customHeight="1" spans="1:50">
      <c r="A107" t="s">
        <v>4</v>
      </c>
      <c r="C107" s="159">
        <v>98</v>
      </c>
      <c r="D107" s="172" t="s">
        <v>177</v>
      </c>
      <c r="E107" s="196"/>
      <c r="F107" s="196"/>
      <c r="G107" s="195">
        <f>E107-F107</f>
        <v>0</v>
      </c>
      <c r="H107" s="196"/>
      <c r="I107" s="196"/>
      <c r="J107" s="196"/>
      <c r="K107" s="196"/>
      <c r="L107" s="196"/>
      <c r="M107" s="196"/>
      <c r="N107" s="196"/>
      <c r="O107" s="196"/>
      <c r="P107" s="196"/>
      <c r="Q107" s="196"/>
      <c r="R107" s="196"/>
      <c r="S107" s="196"/>
      <c r="T107" s="196"/>
      <c r="U107" s="196"/>
      <c r="V107" s="196"/>
      <c r="W107" s="196"/>
      <c r="X107" s="213"/>
      <c r="Y107" s="196"/>
      <c r="Z107" s="196"/>
      <c r="AA107" s="196"/>
      <c r="AB107" s="196"/>
      <c r="AC107" s="196"/>
      <c r="AD107" s="196"/>
      <c r="AE107" s="196"/>
      <c r="AF107" s="213"/>
      <c r="AG107" s="228"/>
      <c r="AH107" s="213"/>
      <c r="AI107" s="228"/>
      <c r="AJ107" s="228"/>
      <c r="AK107" s="213"/>
      <c r="AL107" s="228"/>
      <c r="AM107" s="228"/>
      <c r="AN107" s="228"/>
      <c r="AO107" s="228"/>
      <c r="AP107" s="228"/>
      <c r="AQ107" s="213"/>
      <c r="AR107" s="196"/>
      <c r="AS107" s="196"/>
      <c r="AT107" s="196"/>
      <c r="AU107" s="195">
        <f>IF(G107-I107-J107-K107-L107-M107-N107-O107-P107-Q107-R107-S107-T107-U107-V107-W107-X107-Y107-Z107-AA107-AB107-AC107-AD107-AE107-AF107-AG107-AH107-AI107-AJ107-AL107-AM107-AN107-AO107-AP107-AQ107-AR107-AS107-AT107&lt;0,0,G107-I107-J107-K107-L107-M107-N107-O107-P107-Q107-R107-S107-T107-U107-V107-W107-X107-Y107-Z107-AA107-AB107-AC107-AD107-AE107-AF107-AG107-AH107-AI107-AJ107-AL107-AM107-AN107-AO107-AP107-AQ107-AR107-AS107-AT107)</f>
        <v>0</v>
      </c>
      <c r="AV107" s="233">
        <v>0.45</v>
      </c>
      <c r="AW107" s="243">
        <f>I107*$I$8+J107*$J$8+K107*$K$8+L107*$L$8+M107*$M$8+N107*$N$8+O107*$O$8+P107*$P$8+Q107*$Q$8+R107*$R$8+S107*$S$8+T107*$T$8+U107*$U$8+V107*$V$8+W107*$W$8+X107*$X$8+Y107*$Y$8+Z107*$Z$8+AA107*$AA$8++AB107*$AB$8+AC107*$AC$8+AD107*$AD$8+AE107*$AE$8+AF107*$AF$8+AG107*$AG$8+AH107*$AH$8+AI107*$AI$8+AJ107*$AJ$8+AL107*$AL$8+AM107*$AM$8+AN107*$AN$8+AO107*$AO$8+AP107*$AP$8+AQ107*$AQ$8+AR107*$AR$8+AS107*$AS$8+AT107*$AT$8</f>
        <v>0</v>
      </c>
      <c r="AX107" s="242" t="e">
        <f t="shared" si="50"/>
        <v>#DIV/0!</v>
      </c>
    </row>
    <row r="108" ht="20.5" customHeight="1" spans="1:50">
      <c r="A108" t="s">
        <v>4</v>
      </c>
      <c r="C108" s="159">
        <v>99</v>
      </c>
      <c r="D108" s="172" t="s">
        <v>178</v>
      </c>
      <c r="E108" s="196"/>
      <c r="F108" s="196"/>
      <c r="G108" s="195">
        <f>E108-F108</f>
        <v>0</v>
      </c>
      <c r="H108" s="196"/>
      <c r="I108" s="196"/>
      <c r="J108" s="196"/>
      <c r="K108" s="196"/>
      <c r="L108" s="196"/>
      <c r="M108" s="196"/>
      <c r="N108" s="196"/>
      <c r="O108" s="196"/>
      <c r="P108" s="196"/>
      <c r="Q108" s="196"/>
      <c r="R108" s="196"/>
      <c r="S108" s="196"/>
      <c r="T108" s="196"/>
      <c r="U108" s="196"/>
      <c r="V108" s="196"/>
      <c r="W108" s="196"/>
      <c r="X108" s="196"/>
      <c r="Y108" s="196"/>
      <c r="Z108" s="196"/>
      <c r="AA108" s="196"/>
      <c r="AB108" s="196"/>
      <c r="AC108" s="196"/>
      <c r="AD108" s="196"/>
      <c r="AE108" s="196"/>
      <c r="AF108" s="196"/>
      <c r="AG108" s="228"/>
      <c r="AH108" s="196"/>
      <c r="AI108" s="196"/>
      <c r="AJ108" s="196"/>
      <c r="AK108" s="196"/>
      <c r="AL108" s="196"/>
      <c r="AM108" s="196"/>
      <c r="AN108" s="196"/>
      <c r="AO108" s="196"/>
      <c r="AP108" s="196"/>
      <c r="AQ108" s="196"/>
      <c r="AR108" s="196"/>
      <c r="AS108" s="196"/>
      <c r="AT108" s="196"/>
      <c r="AU108" s="195">
        <f>IF(G108-I108-J108-K108-L108-M108-N108-O108-P108-Q108-R108-S108-T108-U108-V108-W108-X108-Y108-Z108-AA108-AB108-AC108-AD108-AE108-AF108-AG108-AH108-AI108-AJ108-AL108-AM108-AN108-AO108-AP108-AQ108-AR108-AS108-AT108&lt;0,0,G108-I108-J108-K108-L108-M108-N108-O108-P108-Q108-R108-S108-T108-U108-V108-W108-X108-Y108-Z108-AA108-AB108-AC108-AD108-AE108-AF108-AG108-AH108-AI108-AJ108-AL108-AM108-AN108-AO108-AP108-AQ108-AR108-AS108-AT108)</f>
        <v>0</v>
      </c>
      <c r="AV108" s="233">
        <v>0.75</v>
      </c>
      <c r="AW108" s="243">
        <f>I108*$I$8+J108*$J$8+K108*$K$8+L108*$L$8+M108*$M$8+N108*$N$8+O108*$O$8+P108*$P$8+Q108*$Q$8+R108*$R$8+S108*$S$8+T108*$T$8+U108*$U$8+V108*$V$8+W108*$W$8+X108*$X$8+Y108*$Y$8+Z108*$Z$8+AA108*$AA$8++AB108*$AB$8+AC108*$AC$8+AD108*$AD$8+AE108*$AE$8+AF108*$AF$8+AG108*$AG$8+AH108*$AH$8+AI108*$AI$8+AJ108*$AJ$8+AL108*$AL$8+AM108*$AM$8+AN108*$AN$8+AO108*$AO$8+AP108*$AP$8+AQ108*$AQ$8+AR108*$AR$8+AS108*$AS$8+AT108*$AT$8</f>
        <v>0</v>
      </c>
      <c r="AX108" s="242" t="e">
        <f t="shared" si="50"/>
        <v>#DIV/0!</v>
      </c>
    </row>
    <row r="109" ht="20.5" customHeight="1" spans="1:50">
      <c r="A109" t="s">
        <v>4</v>
      </c>
      <c r="C109" s="159">
        <v>100</v>
      </c>
      <c r="D109" s="179" t="s">
        <v>179</v>
      </c>
      <c r="E109" s="196"/>
      <c r="F109" s="196"/>
      <c r="G109" s="195">
        <f>E109-F109</f>
        <v>0</v>
      </c>
      <c r="H109" s="196"/>
      <c r="I109" s="196"/>
      <c r="J109" s="196"/>
      <c r="K109" s="196"/>
      <c r="L109" s="196"/>
      <c r="M109" s="196"/>
      <c r="N109" s="196"/>
      <c r="O109" s="196"/>
      <c r="P109" s="196"/>
      <c r="Q109" s="196"/>
      <c r="R109" s="196"/>
      <c r="S109" s="196"/>
      <c r="T109" s="196"/>
      <c r="U109" s="196"/>
      <c r="V109" s="196"/>
      <c r="W109" s="196"/>
      <c r="X109" s="196"/>
      <c r="Y109" s="196"/>
      <c r="Z109" s="196"/>
      <c r="AA109" s="196"/>
      <c r="AB109" s="196"/>
      <c r="AC109" s="196"/>
      <c r="AD109" s="196"/>
      <c r="AE109" s="196"/>
      <c r="AF109" s="196"/>
      <c r="AG109" s="228"/>
      <c r="AH109" s="196"/>
      <c r="AI109" s="196"/>
      <c r="AJ109" s="196"/>
      <c r="AK109" s="196"/>
      <c r="AL109" s="196"/>
      <c r="AM109" s="196"/>
      <c r="AN109" s="196"/>
      <c r="AO109" s="196"/>
      <c r="AP109" s="196"/>
      <c r="AQ109" s="196"/>
      <c r="AR109" s="196"/>
      <c r="AS109" s="196"/>
      <c r="AT109" s="196"/>
      <c r="AU109" s="195">
        <f>IF(G109-I109-J109-K109-L109-M109-N109-O109-P109-Q109-R109-S109-T109-U109-V109-W109-X109-Y109-Z109-AA109-AB109-AC109-AD109-AE109-AF109-AG109-AH109-AI109-AJ109-AL109-AM109-AN109-AO109-AP109-AQ109-AR109-AS109-AT109&lt;0,0,G109-I109-J109-K109-L109-M109-N109-O109-P109-Q109-R109-S109-T109-U109-V109-W109-X109-Y109-Z109-AA109-AB109-AC109-AD109-AE109-AF109-AG109-AH109-AI109-AJ109-AL109-AM109-AN109-AO109-AP109-AQ109-AR109-AS109-AT109)</f>
        <v>0</v>
      </c>
      <c r="AV109" s="233">
        <v>1</v>
      </c>
      <c r="AW109" s="243">
        <f>I109*$I$8+J109*$J$8+K109*$K$8+L109*$L$8+M109*$M$8+N109*$N$8+O109*$O$8+P109*$P$8+Q109*$Q$8+R109*$R$8+S109*$S$8+T109*$T$8+U109*$U$8+V109*$V$8+W109*$W$8+X109*$X$8+Y109*$Y$8+Z109*$Z$8+AA109*$AA$8++AB109*$AB$8+AC109*$AC$8+AD109*$AD$8+AE109*$AE$8+AF109*$AF$8+AG109*$AG$8+AH109*$AH$8+AI109*$AI$8+AJ109*$AJ$8+AL109*$AL$8+AM109*$AM$8+AN109*$AN$8+AO109*$AO$8+AP109*$AP$8+AQ109*$AQ$8+AR109*$AR$8+AS109*$AS$8+AT109*$AT$8</f>
        <v>0</v>
      </c>
      <c r="AX109" s="242" t="e">
        <f t="shared" si="50"/>
        <v>#DIV/0!</v>
      </c>
    </row>
    <row r="110" ht="20.5" customHeight="1" spans="1:50">
      <c r="A110" t="s">
        <v>4</v>
      </c>
      <c r="C110" s="159">
        <v>101</v>
      </c>
      <c r="D110" s="254" t="s">
        <v>180</v>
      </c>
      <c r="E110" s="196"/>
      <c r="F110" s="196"/>
      <c r="G110" s="195">
        <f>E110-F110</f>
        <v>0</v>
      </c>
      <c r="H110" s="196"/>
      <c r="I110" s="196"/>
      <c r="J110" s="196"/>
      <c r="K110" s="196"/>
      <c r="L110" s="196"/>
      <c r="M110" s="196"/>
      <c r="N110" s="196"/>
      <c r="O110" s="196"/>
      <c r="P110" s="196"/>
      <c r="Q110" s="196"/>
      <c r="R110" s="196"/>
      <c r="S110" s="196"/>
      <c r="T110" s="196"/>
      <c r="U110" s="196"/>
      <c r="V110" s="196"/>
      <c r="W110" s="196"/>
      <c r="X110" s="196"/>
      <c r="Y110" s="196"/>
      <c r="Z110" s="196"/>
      <c r="AA110" s="196"/>
      <c r="AB110" s="196"/>
      <c r="AC110" s="196"/>
      <c r="AD110" s="196"/>
      <c r="AE110" s="196"/>
      <c r="AF110" s="196"/>
      <c r="AG110" s="228"/>
      <c r="AH110" s="196"/>
      <c r="AI110" s="196"/>
      <c r="AJ110" s="196"/>
      <c r="AK110" s="196"/>
      <c r="AL110" s="196"/>
      <c r="AM110" s="196"/>
      <c r="AN110" s="196"/>
      <c r="AO110" s="196"/>
      <c r="AP110" s="196"/>
      <c r="AQ110" s="196"/>
      <c r="AR110" s="196"/>
      <c r="AS110" s="196"/>
      <c r="AT110" s="196"/>
      <c r="AU110" s="195">
        <f>IF(G110-I110-J110-K110-L110-M110-N110-O110-P110-Q110-R110-S110-T110-U110-V110-W110-X110-Y110-Z110-AA110-AB110-AC110-AD110-AE110-AF110-AG110-AH110-AI110-AJ110-AL110-AM110-AN110-AO110-AP110-AQ110-AR110-AS110-AT110&lt;0,0,G110-I110-J110-K110-L110-M110-N110-O110-P110-Q110-R110-S110-T110-U110-V110-W110-X110-Y110-Z110-AA110-AB110-AC110-AD110-AE110-AF110-AG110-AH110-AI110-AJ110-AL110-AM110-AN110-AO110-AP110-AQ110-AR110-AS110-AT110)</f>
        <v>0</v>
      </c>
      <c r="AV110" s="233">
        <v>1.5</v>
      </c>
      <c r="AW110" s="243">
        <f>I110*$I$8+J110*$J$8+K110*$K$8+L110*$L$8+M110*$M$8+N110*$N$8+O110*$O$8+P110*$P$8+Q110*$Q$8+R110*$R$8+S110*$S$8+T110*$T$8+U110*$U$8+V110*$V$8+W110*$W$8+X110*$X$8+Y110*$Y$8+Z110*$Z$8+AA110*$AA$8++AB110*$AB$8+AC110*$AC$8+AD110*$AD$8+AE110*$AE$8+AF110*$AF$8+AG110*$AG$8+AH110*$AH$8+AI110*$AI$8+AJ110*$AJ$8+AL110*$AL$8+AM110*$AM$8+AN110*$AN$8+AO110*$AO$8+AP110*$AP$8+AQ110*$AQ$8+AR110*$AR$8+AS110*$AS$8+AT110*$AT$8</f>
        <v>0</v>
      </c>
      <c r="AX110" s="242" t="e">
        <f t="shared" si="50"/>
        <v>#DIV/0!</v>
      </c>
    </row>
    <row r="111" ht="20.5" customHeight="1" spans="2:50">
      <c r="B111" s="247" t="s">
        <v>145</v>
      </c>
      <c r="C111" s="159">
        <v>102</v>
      </c>
      <c r="D111" s="255" t="s">
        <v>181</v>
      </c>
      <c r="E111" s="195">
        <f t="shared" ref="E111:H111" si="187">E112+E113+E114+E117</f>
        <v>0</v>
      </c>
      <c r="F111" s="195">
        <f t="shared" si="187"/>
        <v>0</v>
      </c>
      <c r="G111" s="195">
        <f t="shared" si="187"/>
        <v>0</v>
      </c>
      <c r="H111" s="195">
        <f t="shared" si="187"/>
        <v>0</v>
      </c>
      <c r="I111" s="195">
        <f t="shared" ref="I111" si="188">I112+I113+I114+I117</f>
        <v>0</v>
      </c>
      <c r="J111" s="195">
        <f t="shared" ref="J111" si="189">J112+J113+J114+J117</f>
        <v>0</v>
      </c>
      <c r="K111" s="195">
        <f t="shared" ref="K111" si="190">K112+K113+K114+K117</f>
        <v>0</v>
      </c>
      <c r="L111" s="195">
        <f t="shared" ref="L111" si="191">L112+L113+L114+L117</f>
        <v>0</v>
      </c>
      <c r="M111" s="195">
        <f t="shared" ref="M111" si="192">M112+M113+M114+M117</f>
        <v>0</v>
      </c>
      <c r="N111" s="195">
        <f t="shared" ref="N111" si="193">N112+N113+N114+N117</f>
        <v>0</v>
      </c>
      <c r="O111" s="195">
        <f t="shared" ref="O111" si="194">O112+O113+O114+O117</f>
        <v>0</v>
      </c>
      <c r="P111" s="195">
        <f t="shared" ref="P111" si="195">P112+P113+P114+P117</f>
        <v>0</v>
      </c>
      <c r="Q111" s="195">
        <f t="shared" ref="Q111" si="196">Q112+Q113+Q114+Q117</f>
        <v>0</v>
      </c>
      <c r="R111" s="195">
        <f t="shared" ref="R111" si="197">R112+R113+R114+R117</f>
        <v>0</v>
      </c>
      <c r="S111" s="195">
        <f t="shared" ref="S111" si="198">S112+S113+S114+S117</f>
        <v>0</v>
      </c>
      <c r="T111" s="195">
        <f t="shared" ref="T111" si="199">T112+T113+T114+T117</f>
        <v>0</v>
      </c>
      <c r="U111" s="195">
        <f t="shared" ref="U111" si="200">U112+U113+U114+U117</f>
        <v>0</v>
      </c>
      <c r="V111" s="195">
        <f t="shared" ref="V111" si="201">V112+V113+V114+V117</f>
        <v>0</v>
      </c>
      <c r="W111" s="195">
        <f t="shared" ref="W111" si="202">W112+W113+W114+W117</f>
        <v>0</v>
      </c>
      <c r="X111" s="195">
        <f t="shared" ref="X111" si="203">X112+X113+X114+X117</f>
        <v>0</v>
      </c>
      <c r="Y111" s="195">
        <f t="shared" ref="Y111" si="204">Y112+Y113+Y114+Y117</f>
        <v>0</v>
      </c>
      <c r="Z111" s="195">
        <f t="shared" ref="Z111" si="205">Z112+Z113+Z114+Z117</f>
        <v>0</v>
      </c>
      <c r="AA111" s="195">
        <f t="shared" ref="AA111" si="206">AA112+AA113+AA114+AA117</f>
        <v>0</v>
      </c>
      <c r="AB111" s="195">
        <f t="shared" ref="AB111" si="207">AB112+AB113+AB114+AB117</f>
        <v>0</v>
      </c>
      <c r="AC111" s="195">
        <f t="shared" ref="AC111" si="208">AC112+AC113+AC114+AC117</f>
        <v>0</v>
      </c>
      <c r="AD111" s="195">
        <f t="shared" ref="AD111" si="209">AD112+AD113+AD114+AD117</f>
        <v>0</v>
      </c>
      <c r="AE111" s="195">
        <f t="shared" ref="AE111" si="210">AE112+AE113+AE114+AE117</f>
        <v>0</v>
      </c>
      <c r="AF111" s="195">
        <f t="shared" ref="AF111" si="211">AF112+AF113+AF114+AF117</f>
        <v>0</v>
      </c>
      <c r="AG111" s="195">
        <f t="shared" ref="AG111" si="212">AG112+AG113+AG114+AG117</f>
        <v>0</v>
      </c>
      <c r="AH111" s="195">
        <f t="shared" ref="AH111" si="213">AH112+AH113+AH114+AH117</f>
        <v>0</v>
      </c>
      <c r="AI111" s="195">
        <f t="shared" ref="AI111" si="214">AI112+AI113+AI114+AI117</f>
        <v>0</v>
      </c>
      <c r="AJ111" s="195">
        <f t="shared" ref="AJ111" si="215">AJ112+AJ113+AJ114+AJ117</f>
        <v>0</v>
      </c>
      <c r="AK111" s="195">
        <f t="shared" ref="AK111" si="216">AK112+AK113+AK114+AK117</f>
        <v>0</v>
      </c>
      <c r="AL111" s="195">
        <f t="shared" ref="AL111" si="217">AL112+AL113+AL114+AL117</f>
        <v>0</v>
      </c>
      <c r="AM111" s="195">
        <f t="shared" ref="AM111" si="218">AM112+AM113+AM114+AM117</f>
        <v>0</v>
      </c>
      <c r="AN111" s="195">
        <f t="shared" ref="AN111" si="219">AN112+AN113+AN114+AN117</f>
        <v>0</v>
      </c>
      <c r="AO111" s="195">
        <f t="shared" ref="AO111" si="220">AO112+AO113+AO114+AO117</f>
        <v>0</v>
      </c>
      <c r="AP111" s="195">
        <f t="shared" ref="AP111" si="221">AP112+AP113+AP114+AP117</f>
        <v>0</v>
      </c>
      <c r="AQ111" s="195">
        <f t="shared" ref="AQ111" si="222">AQ112+AQ113+AQ114+AQ117</f>
        <v>0</v>
      </c>
      <c r="AR111" s="195">
        <f t="shared" ref="AR111" si="223">AR112+AR113+AR114+AR117</f>
        <v>0</v>
      </c>
      <c r="AS111" s="195">
        <f t="shared" ref="AS111" si="224">AS112+AS113+AS114+AS117</f>
        <v>0</v>
      </c>
      <c r="AT111" s="195">
        <f t="shared" ref="AT111" si="225">AT112+AT113+AT114+AT117</f>
        <v>0</v>
      </c>
      <c r="AU111" s="195">
        <f t="shared" ref="AU111" si="226">AU112+AU113+AU114+AU117</f>
        <v>0</v>
      </c>
      <c r="AV111" s="232"/>
      <c r="AW111" s="243">
        <f t="shared" ref="AW111:AW117" si="227">I111*$I$8+J111*$J$8+K111*$K$8+L111*$L$8+M111*$M$8+N111*$N$8+O111*$O$8+P111*$P$8+Q111*$Q$8+R111*$R$8+S111*$S$8+T111*$T$8+U111*$U$8+V111*$V$8+W111*$W$8+X111*$X$8+Y111*$Y$8+Z111*$Z$8+AA111*$AA$8++AB111*$AB$8+AC111*$AC$8+AD111*$AD$8+AE111*$AE$8+AF111*$AF$8+AG111*$AG$8+AH111*$AH$8+AI111*$AI$8+AJ111*$AJ$8+AL111*$AL$8+AM111*$AM$8+AN111*$AN$8+AO111*$AO$8+AP111*$AP$8+AQ111*$AQ$8+AR111*$AR$8+AS111*$AS$8+AT111*$AT$8</f>
        <v>0</v>
      </c>
      <c r="AX111" s="242" t="e">
        <f t="shared" si="50"/>
        <v>#DIV/0!</v>
      </c>
    </row>
    <row r="112" ht="20.5" customHeight="1" spans="2:50">
      <c r="B112" s="247" t="s">
        <v>145</v>
      </c>
      <c r="C112" s="159">
        <v>103</v>
      </c>
      <c r="D112" s="179" t="s">
        <v>182</v>
      </c>
      <c r="E112" s="258"/>
      <c r="F112" s="258"/>
      <c r="G112" s="195">
        <f t="shared" ref="G112" si="228">G113+G114</f>
        <v>0</v>
      </c>
      <c r="H112" s="258"/>
      <c r="I112" s="258"/>
      <c r="J112" s="258"/>
      <c r="K112" s="258"/>
      <c r="L112" s="258"/>
      <c r="M112" s="258"/>
      <c r="N112" s="258"/>
      <c r="O112" s="258"/>
      <c r="P112" s="258"/>
      <c r="Q112" s="258"/>
      <c r="R112" s="258"/>
      <c r="S112" s="258"/>
      <c r="T112" s="258"/>
      <c r="U112" s="258"/>
      <c r="V112" s="258"/>
      <c r="W112" s="258"/>
      <c r="X112" s="258"/>
      <c r="Y112" s="258"/>
      <c r="Z112" s="258"/>
      <c r="AA112" s="258"/>
      <c r="AB112" s="258"/>
      <c r="AC112" s="258"/>
      <c r="AD112" s="258"/>
      <c r="AE112" s="258"/>
      <c r="AF112" s="258"/>
      <c r="AG112" s="259"/>
      <c r="AH112" s="258"/>
      <c r="AI112" s="258"/>
      <c r="AJ112" s="258"/>
      <c r="AK112" s="213"/>
      <c r="AL112" s="258"/>
      <c r="AM112" s="258"/>
      <c r="AN112" s="258"/>
      <c r="AO112" s="258"/>
      <c r="AP112" s="258"/>
      <c r="AQ112" s="258"/>
      <c r="AR112" s="258"/>
      <c r="AS112" s="258"/>
      <c r="AT112" s="258"/>
      <c r="AU112" s="195">
        <f t="shared" ref="AU112:AU113" si="229">IF(G112-I112-J112-K112-L112-M112-N112-O112-P112-Q112-R112-S112-T112-U112-V112-W112-X112-Y112-Z112-AA112-AB112-AC112-AD112-AE112-AF112-AG112-AH112-AI112-AJ112-AL112-AM112-AN112-AO112-AP112-AQ112-AR112-AS112-AT112&lt;0,0,G112-I112-J112-K112-L112-M112-N112-O112-P112-Q112-R112-S112-T112-U112-V112-W112-X112-Y112-Z112-AA112-AB112-AC112-AD112-AE112-AF112-AG112-AH112-AI112-AJ112-AL112-AM112-AN112-AO112-AP112-AQ112-AR112-AS112-AT112)</f>
        <v>0</v>
      </c>
      <c r="AV112" s="233">
        <v>0.5</v>
      </c>
      <c r="AW112" s="243">
        <f t="shared" si="227"/>
        <v>0</v>
      </c>
      <c r="AX112" s="242" t="e">
        <f t="shared" si="50"/>
        <v>#DIV/0!</v>
      </c>
    </row>
    <row r="113" ht="20.5" customHeight="1" spans="2:50">
      <c r="B113" s="247" t="s">
        <v>145</v>
      </c>
      <c r="C113" s="159">
        <v>104</v>
      </c>
      <c r="D113" s="179" t="s">
        <v>183</v>
      </c>
      <c r="E113" s="258"/>
      <c r="F113" s="258"/>
      <c r="G113" s="195">
        <f t="shared" ref="G113" si="230">G114+G117</f>
        <v>0</v>
      </c>
      <c r="H113" s="258"/>
      <c r="I113" s="258"/>
      <c r="J113" s="258"/>
      <c r="K113" s="258"/>
      <c r="L113" s="258"/>
      <c r="M113" s="258"/>
      <c r="N113" s="258"/>
      <c r="O113" s="258"/>
      <c r="P113" s="258"/>
      <c r="Q113" s="258"/>
      <c r="R113" s="258"/>
      <c r="S113" s="258"/>
      <c r="T113" s="258"/>
      <c r="U113" s="258"/>
      <c r="V113" s="258"/>
      <c r="W113" s="258"/>
      <c r="X113" s="258"/>
      <c r="Y113" s="258"/>
      <c r="Z113" s="258"/>
      <c r="AA113" s="258"/>
      <c r="AB113" s="258"/>
      <c r="AC113" s="258"/>
      <c r="AD113" s="258"/>
      <c r="AE113" s="258"/>
      <c r="AF113" s="258"/>
      <c r="AG113" s="259"/>
      <c r="AH113" s="258"/>
      <c r="AI113" s="258"/>
      <c r="AJ113" s="258"/>
      <c r="AK113" s="258"/>
      <c r="AL113" s="258"/>
      <c r="AM113" s="258"/>
      <c r="AN113" s="258"/>
      <c r="AO113" s="258"/>
      <c r="AP113" s="258"/>
      <c r="AQ113" s="258"/>
      <c r="AR113" s="258"/>
      <c r="AS113" s="258"/>
      <c r="AT113" s="258"/>
      <c r="AU113" s="195">
        <f t="shared" si="229"/>
        <v>0</v>
      </c>
      <c r="AV113" s="233">
        <v>1.5</v>
      </c>
      <c r="AW113" s="243">
        <f t="shared" si="227"/>
        <v>0</v>
      </c>
      <c r="AX113" s="242" t="e">
        <f t="shared" si="50"/>
        <v>#DIV/0!</v>
      </c>
    </row>
    <row r="114" ht="20.5" customHeight="1" spans="2:50">
      <c r="B114" s="247" t="s">
        <v>145</v>
      </c>
      <c r="C114" s="159">
        <v>105</v>
      </c>
      <c r="D114" s="179" t="s">
        <v>184</v>
      </c>
      <c r="E114" s="195">
        <f t="shared" ref="E114:H114" si="231">E115+E116</f>
        <v>0</v>
      </c>
      <c r="F114" s="195">
        <f t="shared" si="231"/>
        <v>0</v>
      </c>
      <c r="G114" s="195">
        <f t="shared" si="231"/>
        <v>0</v>
      </c>
      <c r="H114" s="195">
        <f t="shared" si="231"/>
        <v>0</v>
      </c>
      <c r="I114" s="195">
        <f t="shared" ref="I114" si="232">I115+I116</f>
        <v>0</v>
      </c>
      <c r="J114" s="195">
        <f t="shared" ref="J114" si="233">J115+J116</f>
        <v>0</v>
      </c>
      <c r="K114" s="195">
        <f t="shared" ref="K114" si="234">K115+K116</f>
        <v>0</v>
      </c>
      <c r="L114" s="195">
        <f t="shared" ref="L114" si="235">L115+L116</f>
        <v>0</v>
      </c>
      <c r="M114" s="195">
        <f t="shared" ref="M114" si="236">M115+M116</f>
        <v>0</v>
      </c>
      <c r="N114" s="195">
        <f t="shared" ref="N114" si="237">N115+N116</f>
        <v>0</v>
      </c>
      <c r="O114" s="195">
        <f t="shared" ref="O114" si="238">O115+O116</f>
        <v>0</v>
      </c>
      <c r="P114" s="195">
        <f t="shared" ref="P114" si="239">P115+P116</f>
        <v>0</v>
      </c>
      <c r="Q114" s="195">
        <f t="shared" ref="Q114" si="240">Q115+Q116</f>
        <v>0</v>
      </c>
      <c r="R114" s="195">
        <f t="shared" ref="R114" si="241">R115+R116</f>
        <v>0</v>
      </c>
      <c r="S114" s="195">
        <f t="shared" ref="S114" si="242">S115+S116</f>
        <v>0</v>
      </c>
      <c r="T114" s="195">
        <f t="shared" ref="T114" si="243">T115+T116</f>
        <v>0</v>
      </c>
      <c r="U114" s="195">
        <f t="shared" ref="U114" si="244">U115+U116</f>
        <v>0</v>
      </c>
      <c r="V114" s="195">
        <f t="shared" ref="V114" si="245">V115+V116</f>
        <v>0</v>
      </c>
      <c r="W114" s="195">
        <f t="shared" ref="W114" si="246">W115+W116</f>
        <v>0</v>
      </c>
      <c r="X114" s="195">
        <f t="shared" ref="X114" si="247">X115+X116</f>
        <v>0</v>
      </c>
      <c r="Y114" s="195">
        <f t="shared" ref="Y114" si="248">Y115+Y116</f>
        <v>0</v>
      </c>
      <c r="Z114" s="195">
        <f t="shared" ref="Z114" si="249">Z115+Z116</f>
        <v>0</v>
      </c>
      <c r="AA114" s="195">
        <f t="shared" ref="AA114" si="250">AA115+AA116</f>
        <v>0</v>
      </c>
      <c r="AB114" s="195">
        <f t="shared" ref="AB114" si="251">AB115+AB116</f>
        <v>0</v>
      </c>
      <c r="AC114" s="195">
        <f t="shared" ref="AC114" si="252">AC115+AC116</f>
        <v>0</v>
      </c>
      <c r="AD114" s="195">
        <f t="shared" ref="AD114" si="253">AD115+AD116</f>
        <v>0</v>
      </c>
      <c r="AE114" s="195">
        <f t="shared" ref="AE114" si="254">AE115+AE116</f>
        <v>0</v>
      </c>
      <c r="AF114" s="195">
        <f t="shared" ref="AF114" si="255">AF115+AF116</f>
        <v>0</v>
      </c>
      <c r="AG114" s="195">
        <f t="shared" ref="AG114" si="256">AG115+AG116</f>
        <v>0</v>
      </c>
      <c r="AH114" s="195">
        <f t="shared" ref="AH114" si="257">AH115+AH116</f>
        <v>0</v>
      </c>
      <c r="AI114" s="195">
        <f t="shared" ref="AI114" si="258">AI115+AI116</f>
        <v>0</v>
      </c>
      <c r="AJ114" s="195">
        <f t="shared" ref="AJ114" si="259">AJ115+AJ116</f>
        <v>0</v>
      </c>
      <c r="AK114" s="195">
        <f t="shared" ref="AK114" si="260">AK115+AK116</f>
        <v>0</v>
      </c>
      <c r="AL114" s="195">
        <f t="shared" ref="AL114" si="261">AL115+AL116</f>
        <v>0</v>
      </c>
      <c r="AM114" s="195">
        <f t="shared" ref="AM114" si="262">AM115+AM116</f>
        <v>0</v>
      </c>
      <c r="AN114" s="195">
        <f t="shared" ref="AN114" si="263">AN115+AN116</f>
        <v>0</v>
      </c>
      <c r="AO114" s="195">
        <f t="shared" ref="AO114" si="264">AO115+AO116</f>
        <v>0</v>
      </c>
      <c r="AP114" s="195">
        <f t="shared" ref="AP114" si="265">AP115+AP116</f>
        <v>0</v>
      </c>
      <c r="AQ114" s="195">
        <f t="shared" ref="AQ114" si="266">AQ115+AQ116</f>
        <v>0</v>
      </c>
      <c r="AR114" s="195">
        <f t="shared" ref="AR114" si="267">AR115+AR116</f>
        <v>0</v>
      </c>
      <c r="AS114" s="195">
        <f t="shared" ref="AS114" si="268">AS115+AS116</f>
        <v>0</v>
      </c>
      <c r="AT114" s="195">
        <f t="shared" ref="AT114:AU114" si="269">AT115+AT116</f>
        <v>0</v>
      </c>
      <c r="AU114" s="195">
        <f t="shared" si="269"/>
        <v>0</v>
      </c>
      <c r="AV114" s="232"/>
      <c r="AW114" s="243">
        <f t="shared" si="227"/>
        <v>0</v>
      </c>
      <c r="AX114" s="242" t="e">
        <f t="shared" si="50"/>
        <v>#DIV/0!</v>
      </c>
    </row>
    <row r="115" ht="20.5" customHeight="1" spans="2:50">
      <c r="B115" s="247" t="s">
        <v>145</v>
      </c>
      <c r="C115" s="159">
        <v>106</v>
      </c>
      <c r="D115" s="172" t="s">
        <v>185</v>
      </c>
      <c r="E115" s="258"/>
      <c r="F115" s="258"/>
      <c r="G115" s="195">
        <f>E115-F115</f>
        <v>0</v>
      </c>
      <c r="H115" s="258"/>
      <c r="I115" s="258"/>
      <c r="J115" s="258"/>
      <c r="K115" s="258"/>
      <c r="L115" s="258"/>
      <c r="M115" s="258"/>
      <c r="N115" s="258"/>
      <c r="O115" s="258"/>
      <c r="P115" s="258"/>
      <c r="Q115" s="258"/>
      <c r="R115" s="258"/>
      <c r="S115" s="258"/>
      <c r="T115" s="258"/>
      <c r="U115" s="258"/>
      <c r="V115" s="258"/>
      <c r="W115" s="258"/>
      <c r="X115" s="258"/>
      <c r="Y115" s="258"/>
      <c r="Z115" s="258"/>
      <c r="AA115" s="258"/>
      <c r="AB115" s="258"/>
      <c r="AC115" s="258"/>
      <c r="AD115" s="258"/>
      <c r="AE115" s="258"/>
      <c r="AF115" s="258"/>
      <c r="AG115" s="259"/>
      <c r="AH115" s="258"/>
      <c r="AI115" s="258"/>
      <c r="AJ115" s="258"/>
      <c r="AK115" s="213"/>
      <c r="AL115" s="258"/>
      <c r="AM115" s="258"/>
      <c r="AN115" s="258"/>
      <c r="AO115" s="258"/>
      <c r="AP115" s="258"/>
      <c r="AQ115" s="258"/>
      <c r="AR115" s="258"/>
      <c r="AS115" s="258"/>
      <c r="AT115" s="258"/>
      <c r="AU115" s="195"/>
      <c r="AV115" s="233">
        <v>0.45</v>
      </c>
      <c r="AW115" s="243">
        <f t="shared" si="227"/>
        <v>0</v>
      </c>
      <c r="AX115" s="242" t="e">
        <f t="shared" si="50"/>
        <v>#DIV/0!</v>
      </c>
    </row>
    <row r="116" ht="20.5" customHeight="1" spans="2:50">
      <c r="B116" s="247" t="s">
        <v>145</v>
      </c>
      <c r="C116" s="159">
        <v>107</v>
      </c>
      <c r="D116" s="172" t="s">
        <v>186</v>
      </c>
      <c r="E116" s="258"/>
      <c r="F116" s="258"/>
      <c r="G116" s="195">
        <f>E116-F116</f>
        <v>0</v>
      </c>
      <c r="H116" s="258"/>
      <c r="I116" s="258"/>
      <c r="J116" s="258"/>
      <c r="K116" s="258"/>
      <c r="L116" s="258"/>
      <c r="M116" s="258"/>
      <c r="N116" s="258"/>
      <c r="O116" s="258"/>
      <c r="P116" s="258"/>
      <c r="Q116" s="258"/>
      <c r="R116" s="258"/>
      <c r="S116" s="258"/>
      <c r="T116" s="258"/>
      <c r="U116" s="258"/>
      <c r="V116" s="258"/>
      <c r="W116" s="258"/>
      <c r="X116" s="258"/>
      <c r="Y116" s="258"/>
      <c r="Z116" s="258"/>
      <c r="AA116" s="258"/>
      <c r="AB116" s="258"/>
      <c r="AC116" s="258"/>
      <c r="AD116" s="258"/>
      <c r="AE116" s="258"/>
      <c r="AF116" s="258"/>
      <c r="AG116" s="259"/>
      <c r="AH116" s="258"/>
      <c r="AI116" s="258"/>
      <c r="AJ116" s="258"/>
      <c r="AK116" s="258"/>
      <c r="AL116" s="258"/>
      <c r="AM116" s="258"/>
      <c r="AN116" s="258"/>
      <c r="AO116" s="258"/>
      <c r="AP116" s="258"/>
      <c r="AQ116" s="258"/>
      <c r="AR116" s="258"/>
      <c r="AS116" s="258"/>
      <c r="AT116" s="258"/>
      <c r="AU116" s="195"/>
      <c r="AV116" s="233">
        <v>0.75</v>
      </c>
      <c r="AW116" s="243">
        <f t="shared" si="227"/>
        <v>0</v>
      </c>
      <c r="AX116" s="242" t="e">
        <f t="shared" si="50"/>
        <v>#DIV/0!</v>
      </c>
    </row>
    <row r="117" ht="20.5" customHeight="1" spans="2:50">
      <c r="B117" s="247" t="s">
        <v>145</v>
      </c>
      <c r="C117" s="159">
        <v>108</v>
      </c>
      <c r="D117" s="179" t="s">
        <v>187</v>
      </c>
      <c r="E117" s="258"/>
      <c r="F117" s="258"/>
      <c r="G117" s="195">
        <f>E117-F117</f>
        <v>0</v>
      </c>
      <c r="H117" s="258"/>
      <c r="I117" s="258"/>
      <c r="J117" s="258"/>
      <c r="K117" s="258"/>
      <c r="L117" s="258"/>
      <c r="M117" s="258"/>
      <c r="N117" s="258"/>
      <c r="O117" s="258"/>
      <c r="P117" s="258"/>
      <c r="Q117" s="258"/>
      <c r="R117" s="258"/>
      <c r="S117" s="258"/>
      <c r="T117" s="258"/>
      <c r="U117" s="258"/>
      <c r="V117" s="258"/>
      <c r="W117" s="258"/>
      <c r="X117" s="258"/>
      <c r="Y117" s="258"/>
      <c r="Z117" s="258"/>
      <c r="AA117" s="258"/>
      <c r="AB117" s="258"/>
      <c r="AC117" s="258"/>
      <c r="AD117" s="258"/>
      <c r="AE117" s="258"/>
      <c r="AF117" s="258"/>
      <c r="AG117" s="259"/>
      <c r="AH117" s="258"/>
      <c r="AI117" s="258"/>
      <c r="AJ117" s="258"/>
      <c r="AK117" s="258"/>
      <c r="AL117" s="258"/>
      <c r="AM117" s="258"/>
      <c r="AN117" s="258"/>
      <c r="AO117" s="258"/>
      <c r="AP117" s="258"/>
      <c r="AQ117" s="258"/>
      <c r="AR117" s="258"/>
      <c r="AS117" s="258"/>
      <c r="AT117" s="258"/>
      <c r="AU117" s="195"/>
      <c r="AV117" s="233">
        <v>1</v>
      </c>
      <c r="AW117" s="243">
        <f t="shared" si="227"/>
        <v>0</v>
      </c>
      <c r="AX117" s="242" t="e">
        <f t="shared" si="50"/>
        <v>#DIV/0!</v>
      </c>
    </row>
    <row r="118" ht="20.5" customHeight="1" spans="1:50">
      <c r="A118" t="s">
        <v>4</v>
      </c>
      <c r="B118" s="158" t="s">
        <v>70</v>
      </c>
      <c r="C118" s="159">
        <v>109</v>
      </c>
      <c r="D118" s="256" t="s">
        <v>188</v>
      </c>
      <c r="E118" s="197">
        <f t="shared" ref="E118:H118" si="270">E119+E120</f>
        <v>0</v>
      </c>
      <c r="F118" s="197">
        <f t="shared" si="270"/>
        <v>0</v>
      </c>
      <c r="G118" s="195">
        <f t="shared" si="270"/>
        <v>0</v>
      </c>
      <c r="H118" s="197">
        <f t="shared" si="270"/>
        <v>0</v>
      </c>
      <c r="I118" s="197">
        <f t="shared" ref="I118:AU118" si="271">I119+I120</f>
        <v>0</v>
      </c>
      <c r="J118" s="197">
        <f t="shared" si="271"/>
        <v>0</v>
      </c>
      <c r="K118" s="197">
        <f t="shared" si="271"/>
        <v>0</v>
      </c>
      <c r="L118" s="197">
        <f t="shared" si="271"/>
        <v>0</v>
      </c>
      <c r="M118" s="197">
        <f t="shared" si="271"/>
        <v>0</v>
      </c>
      <c r="N118" s="197">
        <f t="shared" si="271"/>
        <v>0</v>
      </c>
      <c r="O118" s="197">
        <f t="shared" si="271"/>
        <v>0</v>
      </c>
      <c r="P118" s="197">
        <f t="shared" si="271"/>
        <v>0</v>
      </c>
      <c r="Q118" s="197">
        <f t="shared" si="271"/>
        <v>0</v>
      </c>
      <c r="R118" s="197">
        <f t="shared" si="271"/>
        <v>0</v>
      </c>
      <c r="S118" s="197">
        <f t="shared" si="271"/>
        <v>0</v>
      </c>
      <c r="T118" s="197">
        <f t="shared" si="271"/>
        <v>0</v>
      </c>
      <c r="U118" s="197">
        <f t="shared" si="271"/>
        <v>0</v>
      </c>
      <c r="V118" s="197">
        <f t="shared" si="271"/>
        <v>0</v>
      </c>
      <c r="W118" s="197">
        <f t="shared" si="271"/>
        <v>0</v>
      </c>
      <c r="X118" s="197">
        <f t="shared" si="271"/>
        <v>0</v>
      </c>
      <c r="Y118" s="197">
        <f t="shared" si="271"/>
        <v>0</v>
      </c>
      <c r="Z118" s="197">
        <f t="shared" si="271"/>
        <v>0</v>
      </c>
      <c r="AA118" s="197">
        <f t="shared" si="271"/>
        <v>0</v>
      </c>
      <c r="AB118" s="197">
        <f t="shared" si="271"/>
        <v>0</v>
      </c>
      <c r="AC118" s="197">
        <f t="shared" si="271"/>
        <v>0</v>
      </c>
      <c r="AD118" s="197">
        <f t="shared" si="271"/>
        <v>0</v>
      </c>
      <c r="AE118" s="197">
        <f t="shared" si="271"/>
        <v>0</v>
      </c>
      <c r="AF118" s="197">
        <f t="shared" si="271"/>
        <v>0</v>
      </c>
      <c r="AG118" s="197">
        <f t="shared" si="271"/>
        <v>0</v>
      </c>
      <c r="AH118" s="197">
        <f t="shared" si="271"/>
        <v>0</v>
      </c>
      <c r="AI118" s="197">
        <f t="shared" si="271"/>
        <v>0</v>
      </c>
      <c r="AJ118" s="197">
        <f t="shared" si="271"/>
        <v>0</v>
      </c>
      <c r="AK118" s="197">
        <f t="shared" si="271"/>
        <v>0</v>
      </c>
      <c r="AL118" s="197">
        <f t="shared" si="271"/>
        <v>0</v>
      </c>
      <c r="AM118" s="197">
        <f t="shared" si="271"/>
        <v>0</v>
      </c>
      <c r="AN118" s="197">
        <f t="shared" si="271"/>
        <v>0</v>
      </c>
      <c r="AO118" s="197">
        <f t="shared" si="271"/>
        <v>0</v>
      </c>
      <c r="AP118" s="197">
        <f t="shared" si="271"/>
        <v>0</v>
      </c>
      <c r="AQ118" s="197">
        <f t="shared" si="271"/>
        <v>0</v>
      </c>
      <c r="AR118" s="197">
        <f t="shared" si="271"/>
        <v>0</v>
      </c>
      <c r="AS118" s="197">
        <f t="shared" si="271"/>
        <v>0</v>
      </c>
      <c r="AT118" s="197">
        <f t="shared" si="271"/>
        <v>0</v>
      </c>
      <c r="AU118" s="195">
        <f t="shared" si="271"/>
        <v>0</v>
      </c>
      <c r="AV118" s="232"/>
      <c r="AW118" s="195">
        <f>AW119+AW120</f>
        <v>0</v>
      </c>
      <c r="AX118" s="242" t="e">
        <f t="shared" si="50"/>
        <v>#DIV/0!</v>
      </c>
    </row>
    <row r="119" ht="20.5" customHeight="1" spans="1:50">
      <c r="A119" t="s">
        <v>4</v>
      </c>
      <c r="B119" s="158" t="s">
        <v>70</v>
      </c>
      <c r="C119" s="159">
        <v>110</v>
      </c>
      <c r="D119" s="254" t="s">
        <v>189</v>
      </c>
      <c r="E119" s="196"/>
      <c r="F119" s="196"/>
      <c r="G119" s="195">
        <f>E119-F119</f>
        <v>0</v>
      </c>
      <c r="H119" s="196"/>
      <c r="I119" s="196"/>
      <c r="J119" s="196"/>
      <c r="K119" s="196"/>
      <c r="L119" s="196"/>
      <c r="M119" s="196"/>
      <c r="N119" s="196"/>
      <c r="O119" s="196"/>
      <c r="P119" s="196"/>
      <c r="Q119" s="196"/>
      <c r="R119" s="196"/>
      <c r="S119" s="196"/>
      <c r="T119" s="196"/>
      <c r="U119" s="196"/>
      <c r="V119" s="196"/>
      <c r="W119" s="196"/>
      <c r="X119" s="196"/>
      <c r="Y119" s="196"/>
      <c r="Z119" s="196"/>
      <c r="AA119" s="196"/>
      <c r="AB119" s="196"/>
      <c r="AC119" s="196"/>
      <c r="AD119" s="196"/>
      <c r="AE119" s="196"/>
      <c r="AF119" s="196"/>
      <c r="AG119" s="228"/>
      <c r="AH119" s="196"/>
      <c r="AI119" s="196"/>
      <c r="AJ119" s="196"/>
      <c r="AK119" s="196"/>
      <c r="AL119" s="196"/>
      <c r="AM119" s="196"/>
      <c r="AN119" s="196"/>
      <c r="AO119" s="196"/>
      <c r="AP119" s="196"/>
      <c r="AQ119" s="196"/>
      <c r="AR119" s="196"/>
      <c r="AS119" s="196"/>
      <c r="AT119" s="196"/>
      <c r="AU119" s="195">
        <f>IF(G119-I119-J119-K119-L119-M119-N119-O119-P119-Q119-R119-S119-T119-U119-V119-W119-X119-Y119-Z119-AA119-AB119-AC119-AD119-AE119-AF119-AG119-AH119-AI119-AJ119-AL119-AM119-AN119-AO119-AP119-AQ119-AR119-AS119-AT119&lt;0,0,G119-I119-J119-K119-L119-M119-N119-O119-P119-Q119-R119-S119-T119-U119-V119-W119-X119-Y119-Z119-AA119-AB119-AC119-AD119-AE119-AF119-AG119-AH119-AI119-AJ119-AL119-AM119-AN119-AO119-AP119-AQ119-AR119-AS119-AT119)</f>
        <v>0</v>
      </c>
      <c r="AV119" s="233">
        <v>1</v>
      </c>
      <c r="AW119" s="243">
        <f>I119*$I$8+J119*$J$8+K119*$K$8+L119*$L$8+M119*$M$8+N119*$N$8+O119*$O$8+P119*$P$8+Q119*$Q$8+R119*$R$8+S119*$S$8+T119*$T$8+U119*$U$8+V119*$V$8+W119*$W$8+X119*$X$8+Y119*$Y$8+Z119*$Z$8+AA119*$AA$8++AB119*$AB$8+AC119*$AC$8+AD119*$AD$8+AE119*$AE$8+AF119*$AF$8+AG119*$AG$8+AH119*$AH$8+AI119*$AI$8+AJ119*$AJ$8+AL119*$AL$8+AM119*$AM$8+AN119*$AN$8+AO119*$AO$8+AP119*$AP$8+AQ119*$AQ$8+AR119*$AR$8+AS119*$AS$8+AT119*$AT$8</f>
        <v>0</v>
      </c>
      <c r="AX119" s="242" t="e">
        <f t="shared" si="50"/>
        <v>#DIV/0!</v>
      </c>
    </row>
    <row r="120" ht="20.5" customHeight="1" spans="1:50">
      <c r="A120" t="s">
        <v>4</v>
      </c>
      <c r="B120" s="158" t="s">
        <v>70</v>
      </c>
      <c r="C120" s="159">
        <v>111</v>
      </c>
      <c r="D120" s="254" t="s">
        <v>190</v>
      </c>
      <c r="E120" s="196"/>
      <c r="F120" s="196"/>
      <c r="G120" s="195">
        <f>E120-F120</f>
        <v>0</v>
      </c>
      <c r="H120" s="196"/>
      <c r="I120" s="196"/>
      <c r="J120" s="196"/>
      <c r="K120" s="196"/>
      <c r="L120" s="196"/>
      <c r="M120" s="196"/>
      <c r="N120" s="196"/>
      <c r="O120" s="196"/>
      <c r="P120" s="196"/>
      <c r="Q120" s="196"/>
      <c r="R120" s="196"/>
      <c r="S120" s="196"/>
      <c r="T120" s="196"/>
      <c r="U120" s="196"/>
      <c r="V120" s="196"/>
      <c r="W120" s="196"/>
      <c r="X120" s="196"/>
      <c r="Y120" s="196"/>
      <c r="Z120" s="196"/>
      <c r="AA120" s="196"/>
      <c r="AB120" s="196"/>
      <c r="AC120" s="196"/>
      <c r="AD120" s="196"/>
      <c r="AE120" s="196"/>
      <c r="AF120" s="196"/>
      <c r="AG120" s="228"/>
      <c r="AH120" s="196"/>
      <c r="AI120" s="196"/>
      <c r="AJ120" s="196"/>
      <c r="AK120" s="196"/>
      <c r="AL120" s="196"/>
      <c r="AM120" s="196"/>
      <c r="AN120" s="196"/>
      <c r="AO120" s="196"/>
      <c r="AP120" s="196"/>
      <c r="AQ120" s="196"/>
      <c r="AR120" s="196"/>
      <c r="AS120" s="196"/>
      <c r="AT120" s="196"/>
      <c r="AU120" s="195">
        <f>IF(G120-I120-J120-K120-L120-M120-N120-O120-P120-Q120-R120-S120-T120-U120-V120-W120-X120-Y120-Z120-AA120-AB120-AC120-AD120-AE120-AF120-AG120-AH120-AI120-AJ120-AL120-AM120-AN120-AO120-AP120-AQ120-AR120-AS120-AT120&lt;0,0,G120-I120-J120-K120-L120-M120-N120-O120-P120-Q120-R120-S120-T120-U120-V120-W120-X120-Y120-Z120-AA120-AB120-AC120-AD120-AE120-AF120-AG120-AH120-AI120-AJ120-AL120-AM120-AN120-AO120-AP120-AQ120-AR120-AS120-AT120)</f>
        <v>0</v>
      </c>
      <c r="AV120" s="233">
        <v>1.5</v>
      </c>
      <c r="AW120" s="243">
        <f>I120*$I$8+J120*$J$8+K120*$K$8+L120*$L$8+M120*$M$8+N120*$N$8+O120*$O$8+P120*$P$8+Q120*$Q$8+R120*$R$8+S120*$S$8+T120*$T$8+U120*$U$8+V120*$V$8+W120*$W$8+X120*$X$8+Y120*$Y$8+Z120*$Z$8+AA120*$AA$8++AB120*$AB$8+AC120*$AC$8+AD120*$AD$8+AE120*$AE$8+AF120*$AF$8+AG120*$AG$8+AH120*$AH$8+AI120*$AI$8+AJ120*$AJ$8+AL120*$AL$8+AM120*$AM$8+AN120*$AN$8+AO120*$AO$8+AP120*$AP$8+AQ120*$AQ$8+AR120*$AR$8+AS120*$AS$8+AT120*$AT$8</f>
        <v>0</v>
      </c>
      <c r="AX120" s="242" t="e">
        <f t="shared" si="50"/>
        <v>#DIV/0!</v>
      </c>
    </row>
    <row r="121" ht="20.5" customHeight="1" spans="1:50">
      <c r="A121" t="s">
        <v>4</v>
      </c>
      <c r="C121" s="159">
        <v>112</v>
      </c>
      <c r="D121" s="257" t="s">
        <v>191</v>
      </c>
      <c r="E121" s="197">
        <f t="shared" ref="E121:H121" si="272">E122+E136+E143</f>
        <v>0</v>
      </c>
      <c r="F121" s="197">
        <f t="shared" si="272"/>
        <v>0</v>
      </c>
      <c r="G121" s="195">
        <f t="shared" si="272"/>
        <v>0</v>
      </c>
      <c r="H121" s="197">
        <f t="shared" si="272"/>
        <v>0</v>
      </c>
      <c r="I121" s="197">
        <f t="shared" ref="I121:AU121" si="273">I122+I136+I143</f>
        <v>0</v>
      </c>
      <c r="J121" s="197">
        <f t="shared" si="273"/>
        <v>0</v>
      </c>
      <c r="K121" s="197">
        <f t="shared" si="273"/>
        <v>0</v>
      </c>
      <c r="L121" s="197">
        <f t="shared" si="273"/>
        <v>0</v>
      </c>
      <c r="M121" s="197">
        <f t="shared" si="273"/>
        <v>0</v>
      </c>
      <c r="N121" s="197">
        <f t="shared" si="273"/>
        <v>0</v>
      </c>
      <c r="O121" s="197">
        <f t="shared" si="273"/>
        <v>0</v>
      </c>
      <c r="P121" s="197">
        <f t="shared" si="273"/>
        <v>0</v>
      </c>
      <c r="Q121" s="197">
        <f t="shared" si="273"/>
        <v>0</v>
      </c>
      <c r="R121" s="197">
        <f t="shared" si="273"/>
        <v>0</v>
      </c>
      <c r="S121" s="197">
        <f t="shared" si="273"/>
        <v>0</v>
      </c>
      <c r="T121" s="197">
        <f t="shared" si="273"/>
        <v>0</v>
      </c>
      <c r="U121" s="197">
        <f t="shared" si="273"/>
        <v>0</v>
      </c>
      <c r="V121" s="197">
        <f t="shared" si="273"/>
        <v>0</v>
      </c>
      <c r="W121" s="197">
        <f t="shared" si="273"/>
        <v>0</v>
      </c>
      <c r="X121" s="197">
        <f t="shared" si="273"/>
        <v>0</v>
      </c>
      <c r="Y121" s="197">
        <f t="shared" si="273"/>
        <v>0</v>
      </c>
      <c r="Z121" s="197">
        <f t="shared" si="273"/>
        <v>0</v>
      </c>
      <c r="AA121" s="197">
        <f t="shared" si="273"/>
        <v>0</v>
      </c>
      <c r="AB121" s="197">
        <f t="shared" si="273"/>
        <v>0</v>
      </c>
      <c r="AC121" s="197">
        <f t="shared" si="273"/>
        <v>0</v>
      </c>
      <c r="AD121" s="197">
        <f t="shared" si="273"/>
        <v>0</v>
      </c>
      <c r="AE121" s="197">
        <f t="shared" si="273"/>
        <v>0</v>
      </c>
      <c r="AF121" s="197">
        <f t="shared" si="273"/>
        <v>0</v>
      </c>
      <c r="AG121" s="197">
        <f t="shared" si="273"/>
        <v>0</v>
      </c>
      <c r="AH121" s="197">
        <f t="shared" si="273"/>
        <v>0</v>
      </c>
      <c r="AI121" s="197">
        <f t="shared" si="273"/>
        <v>0</v>
      </c>
      <c r="AJ121" s="197">
        <f t="shared" si="273"/>
        <v>0</v>
      </c>
      <c r="AK121" s="197">
        <f t="shared" si="273"/>
        <v>0</v>
      </c>
      <c r="AL121" s="197">
        <f t="shared" si="273"/>
        <v>0</v>
      </c>
      <c r="AM121" s="197">
        <f t="shared" si="273"/>
        <v>0</v>
      </c>
      <c r="AN121" s="197">
        <f t="shared" si="273"/>
        <v>0</v>
      </c>
      <c r="AO121" s="197">
        <f t="shared" si="273"/>
        <v>0</v>
      </c>
      <c r="AP121" s="197">
        <f t="shared" si="273"/>
        <v>0</v>
      </c>
      <c r="AQ121" s="197">
        <f t="shared" si="273"/>
        <v>0</v>
      </c>
      <c r="AR121" s="197">
        <f t="shared" si="273"/>
        <v>0</v>
      </c>
      <c r="AS121" s="197">
        <f t="shared" si="273"/>
        <v>0</v>
      </c>
      <c r="AT121" s="197">
        <f t="shared" si="273"/>
        <v>0</v>
      </c>
      <c r="AU121" s="195">
        <f t="shared" si="273"/>
        <v>0</v>
      </c>
      <c r="AV121" s="232"/>
      <c r="AW121" s="195">
        <f>AW122+AW136+AW143</f>
        <v>0</v>
      </c>
      <c r="AX121" s="242" t="e">
        <f t="shared" si="50"/>
        <v>#DIV/0!</v>
      </c>
    </row>
    <row r="122" ht="20.5" customHeight="1" spans="1:50">
      <c r="A122" t="s">
        <v>4</v>
      </c>
      <c r="C122" s="159">
        <v>113</v>
      </c>
      <c r="D122" s="248" t="s">
        <v>192</v>
      </c>
      <c r="E122" s="197">
        <f t="shared" ref="E122:H122" si="274">E123+E132</f>
        <v>0</v>
      </c>
      <c r="F122" s="197">
        <f t="shared" si="274"/>
        <v>0</v>
      </c>
      <c r="G122" s="195">
        <f t="shared" si="274"/>
        <v>0</v>
      </c>
      <c r="H122" s="197">
        <f t="shared" si="274"/>
        <v>0</v>
      </c>
      <c r="I122" s="197">
        <f t="shared" ref="I122:AU122" si="275">I123+I132</f>
        <v>0</v>
      </c>
      <c r="J122" s="197">
        <f t="shared" si="275"/>
        <v>0</v>
      </c>
      <c r="K122" s="197">
        <f t="shared" si="275"/>
        <v>0</v>
      </c>
      <c r="L122" s="197">
        <f t="shared" si="275"/>
        <v>0</v>
      </c>
      <c r="M122" s="197">
        <f t="shared" si="275"/>
        <v>0</v>
      </c>
      <c r="N122" s="197">
        <f t="shared" si="275"/>
        <v>0</v>
      </c>
      <c r="O122" s="197">
        <f t="shared" si="275"/>
        <v>0</v>
      </c>
      <c r="P122" s="197">
        <f t="shared" si="275"/>
        <v>0</v>
      </c>
      <c r="Q122" s="197">
        <f t="shared" si="275"/>
        <v>0</v>
      </c>
      <c r="R122" s="197">
        <f t="shared" si="275"/>
        <v>0</v>
      </c>
      <c r="S122" s="197">
        <f t="shared" si="275"/>
        <v>0</v>
      </c>
      <c r="T122" s="197">
        <f t="shared" si="275"/>
        <v>0</v>
      </c>
      <c r="U122" s="197">
        <f t="shared" si="275"/>
        <v>0</v>
      </c>
      <c r="V122" s="197">
        <f t="shared" si="275"/>
        <v>0</v>
      </c>
      <c r="W122" s="197">
        <f t="shared" si="275"/>
        <v>0</v>
      </c>
      <c r="X122" s="197">
        <f t="shared" si="275"/>
        <v>0</v>
      </c>
      <c r="Y122" s="197">
        <f t="shared" si="275"/>
        <v>0</v>
      </c>
      <c r="Z122" s="197">
        <f t="shared" si="275"/>
        <v>0</v>
      </c>
      <c r="AA122" s="197">
        <f t="shared" si="275"/>
        <v>0</v>
      </c>
      <c r="AB122" s="197">
        <f t="shared" si="275"/>
        <v>0</v>
      </c>
      <c r="AC122" s="197">
        <f t="shared" si="275"/>
        <v>0</v>
      </c>
      <c r="AD122" s="197">
        <f t="shared" si="275"/>
        <v>0</v>
      </c>
      <c r="AE122" s="197">
        <f t="shared" si="275"/>
        <v>0</v>
      </c>
      <c r="AF122" s="197">
        <f t="shared" si="275"/>
        <v>0</v>
      </c>
      <c r="AG122" s="197">
        <f t="shared" si="275"/>
        <v>0</v>
      </c>
      <c r="AH122" s="197">
        <f t="shared" si="275"/>
        <v>0</v>
      </c>
      <c r="AI122" s="197">
        <f t="shared" si="275"/>
        <v>0</v>
      </c>
      <c r="AJ122" s="197">
        <f t="shared" si="275"/>
        <v>0</v>
      </c>
      <c r="AK122" s="197">
        <f t="shared" si="275"/>
        <v>0</v>
      </c>
      <c r="AL122" s="197">
        <f t="shared" si="275"/>
        <v>0</v>
      </c>
      <c r="AM122" s="197">
        <f t="shared" si="275"/>
        <v>0</v>
      </c>
      <c r="AN122" s="197">
        <f t="shared" si="275"/>
        <v>0</v>
      </c>
      <c r="AO122" s="197">
        <f t="shared" si="275"/>
        <v>0</v>
      </c>
      <c r="AP122" s="197">
        <f t="shared" si="275"/>
        <v>0</v>
      </c>
      <c r="AQ122" s="197">
        <f t="shared" si="275"/>
        <v>0</v>
      </c>
      <c r="AR122" s="197">
        <f t="shared" si="275"/>
        <v>0</v>
      </c>
      <c r="AS122" s="197">
        <f t="shared" si="275"/>
        <v>0</v>
      </c>
      <c r="AT122" s="197">
        <f t="shared" si="275"/>
        <v>0</v>
      </c>
      <c r="AU122" s="195">
        <f t="shared" si="275"/>
        <v>0</v>
      </c>
      <c r="AV122" s="232"/>
      <c r="AW122" s="195">
        <f>AW123+AW132</f>
        <v>0</v>
      </c>
      <c r="AX122" s="242" t="e">
        <f t="shared" si="50"/>
        <v>#DIV/0!</v>
      </c>
    </row>
    <row r="123" ht="20.5" customHeight="1" spans="1:50">
      <c r="A123" t="s">
        <v>4</v>
      </c>
      <c r="C123" s="159">
        <v>114</v>
      </c>
      <c r="D123" s="179" t="s">
        <v>193</v>
      </c>
      <c r="E123" s="197">
        <f t="shared" ref="E123:H123" si="276">E124+E125+E126+E127+E128</f>
        <v>0</v>
      </c>
      <c r="F123" s="197">
        <f t="shared" si="276"/>
        <v>0</v>
      </c>
      <c r="G123" s="195">
        <f>SUM(G124:G128)</f>
        <v>0</v>
      </c>
      <c r="H123" s="197">
        <f t="shared" si="276"/>
        <v>0</v>
      </c>
      <c r="I123" s="197">
        <f t="shared" ref="I123:AT123" si="277">I124+I125+I126+I127+I128</f>
        <v>0</v>
      </c>
      <c r="J123" s="197">
        <f t="shared" si="277"/>
        <v>0</v>
      </c>
      <c r="K123" s="197">
        <f t="shared" si="277"/>
        <v>0</v>
      </c>
      <c r="L123" s="197">
        <f t="shared" si="277"/>
        <v>0</v>
      </c>
      <c r="M123" s="197">
        <f t="shared" si="277"/>
        <v>0</v>
      </c>
      <c r="N123" s="197">
        <f t="shared" si="277"/>
        <v>0</v>
      </c>
      <c r="O123" s="197">
        <f t="shared" si="277"/>
        <v>0</v>
      </c>
      <c r="P123" s="197">
        <f t="shared" si="277"/>
        <v>0</v>
      </c>
      <c r="Q123" s="197">
        <f t="shared" si="277"/>
        <v>0</v>
      </c>
      <c r="R123" s="197">
        <f t="shared" si="277"/>
        <v>0</v>
      </c>
      <c r="S123" s="197">
        <f t="shared" si="277"/>
        <v>0</v>
      </c>
      <c r="T123" s="197">
        <f t="shared" si="277"/>
        <v>0</v>
      </c>
      <c r="U123" s="197">
        <f t="shared" si="277"/>
        <v>0</v>
      </c>
      <c r="V123" s="197">
        <f t="shared" si="277"/>
        <v>0</v>
      </c>
      <c r="W123" s="197">
        <f t="shared" si="277"/>
        <v>0</v>
      </c>
      <c r="X123" s="197">
        <f t="shared" si="277"/>
        <v>0</v>
      </c>
      <c r="Y123" s="197">
        <f t="shared" si="277"/>
        <v>0</v>
      </c>
      <c r="Z123" s="197">
        <f t="shared" si="277"/>
        <v>0</v>
      </c>
      <c r="AA123" s="197">
        <f t="shared" si="277"/>
        <v>0</v>
      </c>
      <c r="AB123" s="197">
        <f t="shared" si="277"/>
        <v>0</v>
      </c>
      <c r="AC123" s="197">
        <f t="shared" si="277"/>
        <v>0</v>
      </c>
      <c r="AD123" s="197">
        <f t="shared" si="277"/>
        <v>0</v>
      </c>
      <c r="AE123" s="197">
        <f t="shared" si="277"/>
        <v>0</v>
      </c>
      <c r="AF123" s="197">
        <f t="shared" si="277"/>
        <v>0</v>
      </c>
      <c r="AG123" s="197">
        <f t="shared" si="277"/>
        <v>0</v>
      </c>
      <c r="AH123" s="197">
        <f t="shared" si="277"/>
        <v>0</v>
      </c>
      <c r="AI123" s="197">
        <f t="shared" si="277"/>
        <v>0</v>
      </c>
      <c r="AJ123" s="197">
        <f t="shared" si="277"/>
        <v>0</v>
      </c>
      <c r="AK123" s="197">
        <f t="shared" si="277"/>
        <v>0</v>
      </c>
      <c r="AL123" s="197">
        <f t="shared" si="277"/>
        <v>0</v>
      </c>
      <c r="AM123" s="197">
        <f t="shared" si="277"/>
        <v>0</v>
      </c>
      <c r="AN123" s="197">
        <f t="shared" si="277"/>
        <v>0</v>
      </c>
      <c r="AO123" s="197">
        <f t="shared" si="277"/>
        <v>0</v>
      </c>
      <c r="AP123" s="197">
        <f t="shared" si="277"/>
        <v>0</v>
      </c>
      <c r="AQ123" s="197">
        <f t="shared" si="277"/>
        <v>0</v>
      </c>
      <c r="AR123" s="197">
        <f t="shared" si="277"/>
        <v>0</v>
      </c>
      <c r="AS123" s="197">
        <f t="shared" si="277"/>
        <v>0</v>
      </c>
      <c r="AT123" s="197">
        <f t="shared" si="277"/>
        <v>0</v>
      </c>
      <c r="AU123" s="195">
        <f>SUM(AU124:AU128)</f>
        <v>0</v>
      </c>
      <c r="AV123" s="232"/>
      <c r="AW123" s="195">
        <f>SUM(AW124:AW128)</f>
        <v>0</v>
      </c>
      <c r="AX123" s="242" t="e">
        <f t="shared" si="50"/>
        <v>#DIV/0!</v>
      </c>
    </row>
    <row r="124" ht="20.5" customHeight="1" spans="1:50">
      <c r="A124" t="s">
        <v>4</v>
      </c>
      <c r="C124" s="159">
        <v>115</v>
      </c>
      <c r="D124" s="172" t="s">
        <v>194</v>
      </c>
      <c r="E124" s="196"/>
      <c r="F124" s="196"/>
      <c r="G124" s="195">
        <f>E124-F124</f>
        <v>0</v>
      </c>
      <c r="H124" s="196"/>
      <c r="I124" s="196"/>
      <c r="J124" s="196"/>
      <c r="K124" s="196"/>
      <c r="L124" s="196"/>
      <c r="M124" s="196"/>
      <c r="N124" s="196"/>
      <c r="O124" s="196"/>
      <c r="P124" s="196"/>
      <c r="Q124" s="196"/>
      <c r="R124" s="196"/>
      <c r="S124" s="196"/>
      <c r="T124" s="196"/>
      <c r="U124" s="196"/>
      <c r="V124" s="196"/>
      <c r="W124" s="196"/>
      <c r="X124" s="213"/>
      <c r="Y124" s="196"/>
      <c r="Z124" s="196"/>
      <c r="AA124" s="196"/>
      <c r="AB124" s="196"/>
      <c r="AC124" s="196"/>
      <c r="AD124" s="196"/>
      <c r="AE124" s="196"/>
      <c r="AF124" s="213"/>
      <c r="AG124" s="228"/>
      <c r="AH124" s="213"/>
      <c r="AI124" s="196"/>
      <c r="AJ124" s="213"/>
      <c r="AK124" s="213"/>
      <c r="AL124" s="196"/>
      <c r="AM124" s="196"/>
      <c r="AN124" s="196"/>
      <c r="AO124" s="196"/>
      <c r="AP124" s="196"/>
      <c r="AQ124" s="213"/>
      <c r="AR124" s="196"/>
      <c r="AS124" s="196"/>
      <c r="AT124" s="196"/>
      <c r="AU124" s="195">
        <f>IF(G124-I124-J124-K124-L124-M124-N124-O124-P124-Q124-R124-S124-T124-U124-V124-W124-X124-Y124-Z124-AA124-AB124-AC124-AD124-AE124-AF124-AG124-AH124-AI124-AJ124-AL124-AM124-AN124-AO124-AP124-AQ124-AR124-AS124-AT124&lt;0,0,G124-I124-J124-K124-L124-M124-N124-O124-P124-Q124-R124-S124-T124-U124-V124-W124-X124-Y124-Z124-AA124-AB124-AC124-AD124-AE124-AF124-AG124-AH124-AI124-AJ124-AL124-AM124-AN124-AO124-AP124-AQ124-AR124-AS124-AT124)</f>
        <v>0</v>
      </c>
      <c r="AV124" s="233">
        <v>0.4</v>
      </c>
      <c r="AW124" s="243">
        <f>I124*$I$8+J124*$J$8+K124*$K$8+L124*$L$8+M124*$M$8+N124*$N$8+O124*$O$8+P124*$P$8+Q124*$Q$8+R124*$R$8+S124*$S$8+T124*$T$8+U124*$U$8+V124*$V$8+W124*$W$8+X124*$X$8+Y124*$Y$8+Z124*$Z$8+AA124*$AA$8++AB124*$AB$8+AC124*$AC$8+AD124*$AD$8+AE124*$AE$8+AF124*$AF$8+AG124*$AG$8+AH124*$AH$8+AI124*$AI$8+AJ124*$AJ$8+AL124*$AL$8+AM124*$AM$8+AN124*$AN$8+AO124*$AO$8+AP124*$AP$8+AQ124*$AQ$8+AR124*$AR$8+AS124*$AS$8+AT124*$AT$8</f>
        <v>0</v>
      </c>
      <c r="AX124" s="242" t="e">
        <f t="shared" si="50"/>
        <v>#DIV/0!</v>
      </c>
    </row>
    <row r="125" ht="20.5" customHeight="1" spans="1:50">
      <c r="A125" t="s">
        <v>4</v>
      </c>
      <c r="C125" s="159">
        <v>116</v>
      </c>
      <c r="D125" s="172" t="s">
        <v>195</v>
      </c>
      <c r="E125" s="196"/>
      <c r="F125" s="196"/>
      <c r="G125" s="195">
        <f>E125-F125</f>
        <v>0</v>
      </c>
      <c r="H125" s="196"/>
      <c r="I125" s="196"/>
      <c r="J125" s="196"/>
      <c r="K125" s="196"/>
      <c r="L125" s="196"/>
      <c r="M125" s="196"/>
      <c r="N125" s="196"/>
      <c r="O125" s="196"/>
      <c r="P125" s="196"/>
      <c r="Q125" s="196"/>
      <c r="R125" s="196"/>
      <c r="S125" s="196"/>
      <c r="T125" s="196"/>
      <c r="U125" s="196"/>
      <c r="V125" s="196"/>
      <c r="W125" s="196"/>
      <c r="X125" s="213"/>
      <c r="Y125" s="196"/>
      <c r="Z125" s="196"/>
      <c r="AA125" s="196"/>
      <c r="AB125" s="196"/>
      <c r="AC125" s="196"/>
      <c r="AD125" s="196"/>
      <c r="AE125" s="196"/>
      <c r="AF125" s="213"/>
      <c r="AG125" s="228"/>
      <c r="AH125" s="213"/>
      <c r="AI125" s="228"/>
      <c r="AJ125" s="228"/>
      <c r="AK125" s="213"/>
      <c r="AL125" s="228"/>
      <c r="AM125" s="228"/>
      <c r="AN125" s="228"/>
      <c r="AO125" s="228"/>
      <c r="AP125" s="228"/>
      <c r="AQ125" s="213"/>
      <c r="AR125" s="196"/>
      <c r="AS125" s="196"/>
      <c r="AT125" s="196"/>
      <c r="AU125" s="195">
        <f>IF(G125-I125-J125-K125-L125-M125-N125-O125-P125-Q125-R125-S125-T125-U125-V125-W125-X125-Y125-Z125-AA125-AB125-AC125-AD125-AE125-AF125-AG125-AH125-AI125-AJ125-AL125-AM125-AN125-AO125-AP125-AQ125-AR125-AS125-AT125&lt;0,0,G125-I125-J125-K125-L125-M125-N125-O125-P125-Q125-R125-S125-T125-U125-V125-W125-X125-Y125-Z125-AA125-AB125-AC125-AD125-AE125-AF125-AG125-AH125-AI125-AJ125-AL125-AM125-AN125-AO125-AP125-AQ125-AR125-AS125-AT125)</f>
        <v>0</v>
      </c>
      <c r="AV125" s="233">
        <v>0.45</v>
      </c>
      <c r="AW125" s="243">
        <f>I125*$I$8+J125*$J$8+K125*$K$8+L125*$L$8+M125*$M$8+N125*$N$8+O125*$O$8+P125*$P$8+Q125*$Q$8+R125*$R$8+S125*$S$8+T125*$T$8+U125*$U$8+V125*$V$8+W125*$W$8+X125*$X$8+Y125*$Y$8+Z125*$Z$8+AA125*$AA$8++AB125*$AB$8+AC125*$AC$8+AD125*$AD$8+AE125*$AE$8+AF125*$AF$8+AG125*$AG$8+AH125*$AH$8+AI125*$AI$8+AJ125*$AJ$8+AL125*$AL$8+AM125*$AM$8+AN125*$AN$8+AO125*$AO$8+AP125*$AP$8+AQ125*$AQ$8+AR125*$AR$8+AS125*$AS$8+AT125*$AT$8</f>
        <v>0</v>
      </c>
      <c r="AX125" s="242" t="e">
        <f t="shared" si="50"/>
        <v>#DIV/0!</v>
      </c>
    </row>
    <row r="126" ht="20.5" customHeight="1" spans="1:50">
      <c r="A126" t="s">
        <v>4</v>
      </c>
      <c r="C126" s="159">
        <v>117</v>
      </c>
      <c r="D126" s="172" t="s">
        <v>196</v>
      </c>
      <c r="E126" s="196"/>
      <c r="F126" s="196"/>
      <c r="G126" s="195">
        <f>E126-F126</f>
        <v>0</v>
      </c>
      <c r="H126" s="196"/>
      <c r="I126" s="196"/>
      <c r="J126" s="196"/>
      <c r="K126" s="196"/>
      <c r="L126" s="196"/>
      <c r="M126" s="196"/>
      <c r="N126" s="196"/>
      <c r="O126" s="196"/>
      <c r="P126" s="196"/>
      <c r="Q126" s="196"/>
      <c r="R126" s="196"/>
      <c r="S126" s="196"/>
      <c r="T126" s="196"/>
      <c r="U126" s="196"/>
      <c r="V126" s="196"/>
      <c r="W126" s="196"/>
      <c r="X126" s="196"/>
      <c r="Y126" s="196"/>
      <c r="Z126" s="196"/>
      <c r="AA126" s="196"/>
      <c r="AB126" s="196"/>
      <c r="AC126" s="196"/>
      <c r="AD126" s="196"/>
      <c r="AE126" s="196"/>
      <c r="AF126" s="196"/>
      <c r="AG126" s="228"/>
      <c r="AH126" s="196"/>
      <c r="AI126" s="196"/>
      <c r="AJ126" s="196"/>
      <c r="AK126" s="196"/>
      <c r="AL126" s="196"/>
      <c r="AM126" s="196"/>
      <c r="AN126" s="196"/>
      <c r="AO126" s="196"/>
      <c r="AP126" s="196"/>
      <c r="AQ126" s="196"/>
      <c r="AR126" s="196"/>
      <c r="AS126" s="196"/>
      <c r="AT126" s="196"/>
      <c r="AU126" s="195">
        <f>IF(G126-I126-J126-K126-L126-M126-N126-O126-P126-Q126-R126-S126-T126-U126-V126-W126-X126-Y126-Z126-AA126-AB126-AC126-AD126-AE126-AF126-AG126-AH126-AI126-AJ126-AL126-AM126-AN126-AO126-AP126-AQ126-AR126-AS126-AT126&lt;0,0,G126-I126-J126-K126-L126-M126-N126-O126-P126-Q126-R126-S126-T126-U126-V126-W126-X126-Y126-Z126-AA126-AB126-AC126-AD126-AE126-AF126-AG126-AH126-AI126-AJ126-AL126-AM126-AN126-AO126-AP126-AQ126-AR126-AS126-AT126)</f>
        <v>0</v>
      </c>
      <c r="AV126" s="233">
        <v>0.7</v>
      </c>
      <c r="AW126" s="243">
        <f>I126*$I$8+J126*$J$8+K126*$K$8+L126*$L$8+M126*$M$8+N126*$N$8+O126*$O$8+P126*$P$8+Q126*$Q$8+R126*$R$8+S126*$S$8+T126*$T$8+U126*$U$8+V126*$V$8+W126*$W$8+X126*$X$8+Y126*$Y$8+Z126*$Z$8+AA126*$AA$8++AB126*$AB$8+AC126*$AC$8+AD126*$AD$8+AE126*$AE$8+AF126*$AF$8+AG126*$AG$8+AH126*$AH$8+AI126*$AI$8+AJ126*$AJ$8+AL126*$AL$8+AM126*$AM$8+AN126*$AN$8+AO126*$AO$8+AP126*$AP$8+AQ126*$AQ$8+AR126*$AR$8+AS126*$AS$8+AT126*$AT$8</f>
        <v>0</v>
      </c>
      <c r="AX126" s="242" t="e">
        <f t="shared" si="50"/>
        <v>#DIV/0!</v>
      </c>
    </row>
    <row r="127" ht="20.5" customHeight="1" spans="1:50">
      <c r="A127" t="s">
        <v>4</v>
      </c>
      <c r="C127" s="159">
        <v>118</v>
      </c>
      <c r="D127" s="172" t="s">
        <v>197</v>
      </c>
      <c r="E127" s="196"/>
      <c r="F127" s="196"/>
      <c r="G127" s="195">
        <f>E127-F127</f>
        <v>0</v>
      </c>
      <c r="H127" s="196"/>
      <c r="I127" s="196"/>
      <c r="J127" s="196"/>
      <c r="K127" s="196"/>
      <c r="L127" s="196"/>
      <c r="M127" s="196"/>
      <c r="N127" s="196"/>
      <c r="O127" s="196"/>
      <c r="P127" s="196"/>
      <c r="Q127" s="196"/>
      <c r="R127" s="196"/>
      <c r="S127" s="196"/>
      <c r="T127" s="196"/>
      <c r="U127" s="196"/>
      <c r="V127" s="196"/>
      <c r="W127" s="196"/>
      <c r="X127" s="196"/>
      <c r="Y127" s="196"/>
      <c r="Z127" s="196"/>
      <c r="AA127" s="196"/>
      <c r="AB127" s="196"/>
      <c r="AC127" s="196"/>
      <c r="AD127" s="196"/>
      <c r="AE127" s="196"/>
      <c r="AF127" s="196"/>
      <c r="AG127" s="228"/>
      <c r="AH127" s="196"/>
      <c r="AI127" s="196"/>
      <c r="AJ127" s="196"/>
      <c r="AK127" s="196"/>
      <c r="AL127" s="196"/>
      <c r="AM127" s="196"/>
      <c r="AN127" s="196"/>
      <c r="AO127" s="196"/>
      <c r="AP127" s="196"/>
      <c r="AQ127" s="196"/>
      <c r="AR127" s="196"/>
      <c r="AS127" s="196"/>
      <c r="AT127" s="196"/>
      <c r="AU127" s="195">
        <f>IF(G127-I127-J127-K127-L127-M127-N127-O127-P127-Q127-R127-S127-T127-U127-V127-W127-X127-Y127-Z127-AA127-AB127-AC127-AD127-AE127-AF127-AG127-AH127-AI127-AJ127-AL127-AM127-AN127-AO127-AP127-AQ127-AR127-AS127-AT127&lt;0,0,G127-I127-J127-K127-L127-M127-N127-O127-P127-Q127-R127-S127-T127-U127-V127-W127-X127-Y127-Z127-AA127-AB127-AC127-AD127-AE127-AF127-AG127-AH127-AI127-AJ127-AL127-AM127-AN127-AO127-AP127-AQ127-AR127-AS127-AT127)</f>
        <v>0</v>
      </c>
      <c r="AV127" s="233">
        <v>0.75</v>
      </c>
      <c r="AW127" s="243">
        <f>I127*$I$8+J127*$J$8+K127*$K$8+L127*$L$8+M127*$M$8+N127*$N$8+O127*$O$8+P127*$P$8+Q127*$Q$8+R127*$R$8+S127*$S$8+T127*$T$8+U127*$U$8+V127*$V$8+W127*$W$8+X127*$X$8+Y127*$Y$8+Z127*$Z$8+AA127*$AA$8++AB127*$AB$8+AC127*$AC$8+AD127*$AD$8+AE127*$AE$8+AF127*$AF$8+AG127*$AG$8+AH127*$AH$8+AI127*$AI$8+AJ127*$AJ$8+AL127*$AL$8+AM127*$AM$8+AN127*$AN$8+AO127*$AO$8+AP127*$AP$8+AQ127*$AQ$8+AR127*$AR$8+AS127*$AS$8+AT127*$AT$8</f>
        <v>0</v>
      </c>
      <c r="AX127" s="242" t="e">
        <f t="shared" si="50"/>
        <v>#DIV/0!</v>
      </c>
    </row>
    <row r="128" ht="20.5" customHeight="1" spans="1:50">
      <c r="A128" t="s">
        <v>4</v>
      </c>
      <c r="C128" s="159">
        <v>119</v>
      </c>
      <c r="D128" s="172" t="s">
        <v>198</v>
      </c>
      <c r="E128" s="197">
        <f t="shared" ref="E128:H128" si="278">E129+E130+E131</f>
        <v>0</v>
      </c>
      <c r="F128" s="197">
        <f t="shared" si="278"/>
        <v>0</v>
      </c>
      <c r="G128" s="197">
        <f>SUM(G129:G131)</f>
        <v>0</v>
      </c>
      <c r="H128" s="197">
        <f t="shared" si="278"/>
        <v>0</v>
      </c>
      <c r="I128" s="197">
        <f t="shared" ref="I128:AT128" si="279">I129+I130+I131</f>
        <v>0</v>
      </c>
      <c r="J128" s="197">
        <f t="shared" si="279"/>
        <v>0</v>
      </c>
      <c r="K128" s="197">
        <f t="shared" si="279"/>
        <v>0</v>
      </c>
      <c r="L128" s="197">
        <f t="shared" si="279"/>
        <v>0</v>
      </c>
      <c r="M128" s="197">
        <f t="shared" si="279"/>
        <v>0</v>
      </c>
      <c r="N128" s="197">
        <f t="shared" si="279"/>
        <v>0</v>
      </c>
      <c r="O128" s="197">
        <f t="shared" si="279"/>
        <v>0</v>
      </c>
      <c r="P128" s="197">
        <f t="shared" si="279"/>
        <v>0</v>
      </c>
      <c r="Q128" s="197">
        <f t="shared" si="279"/>
        <v>0</v>
      </c>
      <c r="R128" s="197">
        <f t="shared" si="279"/>
        <v>0</v>
      </c>
      <c r="S128" s="197">
        <f t="shared" si="279"/>
        <v>0</v>
      </c>
      <c r="T128" s="197">
        <f t="shared" si="279"/>
        <v>0</v>
      </c>
      <c r="U128" s="197">
        <f t="shared" si="279"/>
        <v>0</v>
      </c>
      <c r="V128" s="197">
        <f t="shared" si="279"/>
        <v>0</v>
      </c>
      <c r="W128" s="197">
        <f t="shared" si="279"/>
        <v>0</v>
      </c>
      <c r="X128" s="197">
        <f t="shared" si="279"/>
        <v>0</v>
      </c>
      <c r="Y128" s="197">
        <f t="shared" si="279"/>
        <v>0</v>
      </c>
      <c r="Z128" s="197">
        <f t="shared" si="279"/>
        <v>0</v>
      </c>
      <c r="AA128" s="197">
        <f t="shared" si="279"/>
        <v>0</v>
      </c>
      <c r="AB128" s="197">
        <f t="shared" si="279"/>
        <v>0</v>
      </c>
      <c r="AC128" s="197">
        <f t="shared" si="279"/>
        <v>0</v>
      </c>
      <c r="AD128" s="197">
        <f t="shared" si="279"/>
        <v>0</v>
      </c>
      <c r="AE128" s="197">
        <f t="shared" si="279"/>
        <v>0</v>
      </c>
      <c r="AF128" s="197">
        <f t="shared" si="279"/>
        <v>0</v>
      </c>
      <c r="AG128" s="197">
        <f t="shared" si="279"/>
        <v>0</v>
      </c>
      <c r="AH128" s="197">
        <f t="shared" si="279"/>
        <v>0</v>
      </c>
      <c r="AI128" s="197">
        <f t="shared" si="279"/>
        <v>0</v>
      </c>
      <c r="AJ128" s="197">
        <f t="shared" si="279"/>
        <v>0</v>
      </c>
      <c r="AK128" s="197">
        <f t="shared" si="279"/>
        <v>0</v>
      </c>
      <c r="AL128" s="197">
        <f t="shared" si="279"/>
        <v>0</v>
      </c>
      <c r="AM128" s="197">
        <f t="shared" si="279"/>
        <v>0</v>
      </c>
      <c r="AN128" s="197">
        <f t="shared" si="279"/>
        <v>0</v>
      </c>
      <c r="AO128" s="197">
        <f t="shared" si="279"/>
        <v>0</v>
      </c>
      <c r="AP128" s="197">
        <f t="shared" si="279"/>
        <v>0</v>
      </c>
      <c r="AQ128" s="197">
        <f t="shared" si="279"/>
        <v>0</v>
      </c>
      <c r="AR128" s="197">
        <f t="shared" si="279"/>
        <v>0</v>
      </c>
      <c r="AS128" s="197">
        <f t="shared" si="279"/>
        <v>0</v>
      </c>
      <c r="AT128" s="197">
        <f t="shared" si="279"/>
        <v>0</v>
      </c>
      <c r="AU128" s="195">
        <f>SUM(AU129:AU131)</f>
        <v>0</v>
      </c>
      <c r="AV128" s="232"/>
      <c r="AW128" s="195">
        <f>SUM(AW129:AW131)</f>
        <v>0</v>
      </c>
      <c r="AX128" s="242" t="e">
        <f t="shared" si="50"/>
        <v>#DIV/0!</v>
      </c>
    </row>
    <row r="129" ht="20.5" customHeight="1" spans="1:50">
      <c r="A129" t="s">
        <v>4</v>
      </c>
      <c r="C129" s="159">
        <v>120</v>
      </c>
      <c r="D129" s="260" t="s">
        <v>199</v>
      </c>
      <c r="E129" s="196"/>
      <c r="F129" s="196"/>
      <c r="G129" s="195">
        <f>E129-F129</f>
        <v>0</v>
      </c>
      <c r="H129" s="196"/>
      <c r="I129" s="196"/>
      <c r="J129" s="196"/>
      <c r="K129" s="196"/>
      <c r="L129" s="196"/>
      <c r="M129" s="196"/>
      <c r="N129" s="196"/>
      <c r="O129" s="196"/>
      <c r="P129" s="196"/>
      <c r="Q129" s="196"/>
      <c r="R129" s="196"/>
      <c r="S129" s="196"/>
      <c r="T129" s="196"/>
      <c r="U129" s="196"/>
      <c r="V129" s="196"/>
      <c r="W129" s="196"/>
      <c r="X129" s="196"/>
      <c r="Y129" s="196"/>
      <c r="Z129" s="196"/>
      <c r="AA129" s="196"/>
      <c r="AB129" s="196"/>
      <c r="AC129" s="196"/>
      <c r="AD129" s="196"/>
      <c r="AE129" s="196"/>
      <c r="AF129" s="196"/>
      <c r="AG129" s="196"/>
      <c r="AH129" s="196"/>
      <c r="AI129" s="196"/>
      <c r="AJ129" s="196"/>
      <c r="AK129" s="196"/>
      <c r="AL129" s="196"/>
      <c r="AM129" s="196"/>
      <c r="AN129" s="196"/>
      <c r="AO129" s="196"/>
      <c r="AP129" s="196"/>
      <c r="AQ129" s="196"/>
      <c r="AR129" s="196"/>
      <c r="AS129" s="196"/>
      <c r="AT129" s="196"/>
      <c r="AU129" s="195">
        <f>IF(G129-I129-J129-K129-L129-M129-N129-O129-P129-Q129-R129-S129-T129-U129-V129-W129-X129-Y129-Z129-AA129-AB129-AC129-AD129-AE129-AF129-AG129-AH129-AI129-AJ129-AL129-AM129-AN129-AO129-AP129-AQ129-AR129-AS129-AT129&lt;0,0,G129-I129-J129-K129-L129-M129-N129-O129-P129-Q129-R129-S129-T129-U129-V129-W129-X129-Y129-Z129-AA129-AB129-AC129-AD129-AE129-AF129-AG129-AH129-AI129-AJ129-AL129-AM129-AN129-AO129-AP129-AQ129-AR129-AS129-AT129)</f>
        <v>0</v>
      </c>
      <c r="AV129" s="233">
        <v>0.75</v>
      </c>
      <c r="AW129" s="243">
        <f>I129*$I$8+J129*$J$8+K129*$K$8+L129*$L$8+M129*$M$8+N129*$N$8+O129*$O$8+P129*$P$8+Q129*$Q$8+R129*$R$8+S129*$S$8+T129*$T$8+U129*$U$8+V129*$V$8+W129*$W$8+X129*$X$8+Y129*$Y$8+Z129*$Z$8+AA129*$AA$8++AB129*$AB$8+AC129*$AC$8+AD129*$AD$8+AE129*$AE$8+AF129*$AF$8+AG129*$AG$8+AH129*$AH$8+AI129*$AI$8+AJ129*$AJ$8+AL129*$AL$8+AM129*$AM$8+AN129*$AN$8+AO129*$AO$8+AP129*$AP$8+AQ129*$AQ$8+AR129*$AR$8+AS129*$AS$8+AT129*$AT$8</f>
        <v>0</v>
      </c>
      <c r="AX129" s="242" t="e">
        <f t="shared" si="50"/>
        <v>#DIV/0!</v>
      </c>
    </row>
    <row r="130" ht="20.5" customHeight="1" spans="1:50">
      <c r="A130" t="s">
        <v>4</v>
      </c>
      <c r="C130" s="159">
        <v>121</v>
      </c>
      <c r="D130" s="260" t="s">
        <v>200</v>
      </c>
      <c r="E130" s="196"/>
      <c r="F130" s="196"/>
      <c r="G130" s="195">
        <f>E130-F130</f>
        <v>0</v>
      </c>
      <c r="H130" s="196"/>
      <c r="I130" s="196"/>
      <c r="J130" s="196"/>
      <c r="K130" s="196"/>
      <c r="L130" s="196"/>
      <c r="M130" s="196"/>
      <c r="N130" s="196"/>
      <c r="O130" s="196"/>
      <c r="P130" s="196"/>
      <c r="Q130" s="196"/>
      <c r="R130" s="196"/>
      <c r="S130" s="196"/>
      <c r="T130" s="196"/>
      <c r="U130" s="196"/>
      <c r="V130" s="196"/>
      <c r="W130" s="196"/>
      <c r="X130" s="196"/>
      <c r="Y130" s="196"/>
      <c r="Z130" s="196"/>
      <c r="AA130" s="196"/>
      <c r="AB130" s="196"/>
      <c r="AC130" s="196"/>
      <c r="AD130" s="196"/>
      <c r="AE130" s="196"/>
      <c r="AF130" s="196"/>
      <c r="AG130" s="228"/>
      <c r="AH130" s="196"/>
      <c r="AI130" s="196"/>
      <c r="AJ130" s="196"/>
      <c r="AK130" s="196"/>
      <c r="AL130" s="196"/>
      <c r="AM130" s="196"/>
      <c r="AN130" s="196"/>
      <c r="AO130" s="196"/>
      <c r="AP130" s="196"/>
      <c r="AQ130" s="196"/>
      <c r="AR130" s="196"/>
      <c r="AS130" s="196"/>
      <c r="AT130" s="196"/>
      <c r="AU130" s="195">
        <f>IF(G130-I130-J130-K130-L130-M130-N130-O130-P130-Q130-R130-S130-T130-U130-V130-W130-X130-Y130-Z130-AA130-AB130-AC130-AD130-AE130-AF130-AG130-AH130-AI130-AJ130-AL130-AM130-AN130-AO130-AP130-AQ130-AR130-AS130-AT130&lt;0,0,G130-I130-J130-K130-L130-M130-N130-O130-P130-Q130-R130-S130-T130-U130-V130-W130-X130-Y130-Z130-AA130-AB130-AC130-AD130-AE130-AF130-AG130-AH130-AI130-AJ130-AL130-AM130-AN130-AO130-AP130-AQ130-AR130-AS130-AT130)</f>
        <v>0</v>
      </c>
      <c r="AV130" s="233">
        <v>0.85</v>
      </c>
      <c r="AW130" s="243">
        <f>I130*$I$8+J130*$J$8+K130*$K$8+L130*$L$8+M130*$M$8+N130*$N$8+O130*$O$8+P130*$P$8+Q130*$Q$8+R130*$R$8+S130*$S$8+T130*$T$8+U130*$U$8+V130*$V$8+W130*$W$8+X130*$X$8+Y130*$Y$8+Z130*$Z$8+AA130*$AA$8++AB130*$AB$8+AC130*$AC$8+AD130*$AD$8+AE130*$AE$8+AF130*$AF$8+AG130*$AG$8+AH130*$AH$8+AI130*$AI$8+AJ130*$AJ$8+AL130*$AL$8+AM130*$AM$8+AN130*$AN$8+AO130*$AO$8+AP130*$AP$8+AQ130*$AQ$8+AR130*$AR$8+AS130*$AS$8+AT130*$AT$8</f>
        <v>0</v>
      </c>
      <c r="AX130" s="242" t="e">
        <f t="shared" si="50"/>
        <v>#DIV/0!</v>
      </c>
    </row>
    <row r="131" ht="20.5" customHeight="1" spans="1:50">
      <c r="A131" t="s">
        <v>4</v>
      </c>
      <c r="C131" s="159">
        <v>122</v>
      </c>
      <c r="D131" s="260" t="s">
        <v>201</v>
      </c>
      <c r="E131" s="196"/>
      <c r="F131" s="196"/>
      <c r="G131" s="195">
        <f>E131-F131</f>
        <v>0</v>
      </c>
      <c r="H131" s="196"/>
      <c r="I131" s="196"/>
      <c r="J131" s="196"/>
      <c r="K131" s="196"/>
      <c r="L131" s="196"/>
      <c r="M131" s="196"/>
      <c r="N131" s="196"/>
      <c r="O131" s="196"/>
      <c r="P131" s="196"/>
      <c r="Q131" s="196"/>
      <c r="R131" s="196"/>
      <c r="S131" s="196"/>
      <c r="T131" s="196"/>
      <c r="U131" s="196"/>
      <c r="V131" s="196"/>
      <c r="W131" s="196"/>
      <c r="X131" s="196"/>
      <c r="Y131" s="196"/>
      <c r="Z131" s="196"/>
      <c r="AA131" s="196"/>
      <c r="AB131" s="196"/>
      <c r="AC131" s="196"/>
      <c r="AD131" s="196"/>
      <c r="AE131" s="196"/>
      <c r="AF131" s="196"/>
      <c r="AG131" s="228"/>
      <c r="AH131" s="196"/>
      <c r="AI131" s="196"/>
      <c r="AJ131" s="196"/>
      <c r="AK131" s="196"/>
      <c r="AL131" s="196"/>
      <c r="AM131" s="196"/>
      <c r="AN131" s="196"/>
      <c r="AO131" s="196"/>
      <c r="AP131" s="196"/>
      <c r="AQ131" s="196"/>
      <c r="AR131" s="196"/>
      <c r="AS131" s="196"/>
      <c r="AT131" s="196"/>
      <c r="AU131" s="195">
        <f>IF(G131-I131-J131-K131-L131-M131-N131-O131-P131-Q131-R131-S131-T131-U131-V131-W131-X131-Y131-Z131-AA131-AB131-AC131-AD131-AE131-AF131-AG131-AH131-AI131-AJ131-AL131-AM131-AN131-AO131-AP131-AQ131-AR131-AS131-AT131&lt;0,0,G131-I131-J131-K131-L131-M131-N131-O131-P131-Q131-R131-S131-T131-U131-V131-W131-X131-Y131-Z131-AA131-AB131-AC131-AD131-AE131-AF131-AG131-AH131-AI131-AJ131-AL131-AM131-AN131-AO131-AP131-AQ131-AR131-AS131-AT131)</f>
        <v>0</v>
      </c>
      <c r="AV131" s="233">
        <v>1</v>
      </c>
      <c r="AW131" s="243">
        <f>I131*$I$8+J131*$J$8+K131*$K$8+L131*$L$8+M131*$M$8+N131*$N$8+O131*$O$8+P131*$P$8+Q131*$Q$8+R131*$R$8+S131*$S$8+T131*$T$8+U131*$U$8+V131*$V$8+W131*$W$8+X131*$X$8+Y131*$Y$8+Z131*$Z$8+AA131*$AA$8++AB131*$AB$8+AC131*$AC$8+AD131*$AD$8+AE131*$AE$8+AF131*$AF$8+AG131*$AG$8+AH131*$AH$8+AI131*$AI$8+AJ131*$AJ$8+AL131*$AL$8+AM131*$AM$8+AN131*$AN$8+AO131*$AO$8+AP131*$AP$8+AQ131*$AQ$8+AR131*$AR$8+AS131*$AS$8+AT131*$AT$8</f>
        <v>0</v>
      </c>
      <c r="AX131" s="242" t="e">
        <f t="shared" si="50"/>
        <v>#DIV/0!</v>
      </c>
    </row>
    <row r="132" ht="20.5" customHeight="1" spans="1:50">
      <c r="A132" t="s">
        <v>4</v>
      </c>
      <c r="C132" s="159">
        <v>123</v>
      </c>
      <c r="D132" s="179" t="s">
        <v>202</v>
      </c>
      <c r="E132" s="197">
        <f t="shared" ref="E132:H132" si="280">SUM(E133:E135)</f>
        <v>0</v>
      </c>
      <c r="F132" s="197">
        <f t="shared" si="280"/>
        <v>0</v>
      </c>
      <c r="G132" s="197">
        <f t="shared" si="280"/>
        <v>0</v>
      </c>
      <c r="H132" s="197">
        <f t="shared" si="280"/>
        <v>0</v>
      </c>
      <c r="I132" s="197">
        <f t="shared" ref="I132:AU132" si="281">SUM(I133:I135)</f>
        <v>0</v>
      </c>
      <c r="J132" s="197">
        <f t="shared" si="281"/>
        <v>0</v>
      </c>
      <c r="K132" s="197">
        <f t="shared" si="281"/>
        <v>0</v>
      </c>
      <c r="L132" s="197">
        <f t="shared" si="281"/>
        <v>0</v>
      </c>
      <c r="M132" s="197">
        <f t="shared" si="281"/>
        <v>0</v>
      </c>
      <c r="N132" s="197">
        <f t="shared" si="281"/>
        <v>0</v>
      </c>
      <c r="O132" s="197">
        <f t="shared" si="281"/>
        <v>0</v>
      </c>
      <c r="P132" s="197">
        <f t="shared" si="281"/>
        <v>0</v>
      </c>
      <c r="Q132" s="197">
        <f t="shared" si="281"/>
        <v>0</v>
      </c>
      <c r="R132" s="197">
        <f t="shared" si="281"/>
        <v>0</v>
      </c>
      <c r="S132" s="197">
        <f t="shared" si="281"/>
        <v>0</v>
      </c>
      <c r="T132" s="197">
        <f t="shared" si="281"/>
        <v>0</v>
      </c>
      <c r="U132" s="197">
        <f t="shared" si="281"/>
        <v>0</v>
      </c>
      <c r="V132" s="197">
        <f t="shared" si="281"/>
        <v>0</v>
      </c>
      <c r="W132" s="197">
        <f t="shared" si="281"/>
        <v>0</v>
      </c>
      <c r="X132" s="197">
        <f t="shared" si="281"/>
        <v>0</v>
      </c>
      <c r="Y132" s="197">
        <f t="shared" si="281"/>
        <v>0</v>
      </c>
      <c r="Z132" s="197">
        <f t="shared" si="281"/>
        <v>0</v>
      </c>
      <c r="AA132" s="197">
        <f t="shared" si="281"/>
        <v>0</v>
      </c>
      <c r="AB132" s="197">
        <f t="shared" si="281"/>
        <v>0</v>
      </c>
      <c r="AC132" s="197">
        <f t="shared" si="281"/>
        <v>0</v>
      </c>
      <c r="AD132" s="197">
        <f t="shared" si="281"/>
        <v>0</v>
      </c>
      <c r="AE132" s="197">
        <f t="shared" si="281"/>
        <v>0</v>
      </c>
      <c r="AF132" s="197">
        <f t="shared" si="281"/>
        <v>0</v>
      </c>
      <c r="AG132" s="197">
        <f t="shared" si="281"/>
        <v>0</v>
      </c>
      <c r="AH132" s="197">
        <f t="shared" si="281"/>
        <v>0</v>
      </c>
      <c r="AI132" s="197">
        <f t="shared" si="281"/>
        <v>0</v>
      </c>
      <c r="AJ132" s="197">
        <f t="shared" si="281"/>
        <v>0</v>
      </c>
      <c r="AK132" s="197">
        <f t="shared" si="281"/>
        <v>0</v>
      </c>
      <c r="AL132" s="197">
        <f t="shared" si="281"/>
        <v>0</v>
      </c>
      <c r="AM132" s="197">
        <f t="shared" si="281"/>
        <v>0</v>
      </c>
      <c r="AN132" s="197">
        <f t="shared" si="281"/>
        <v>0</v>
      </c>
      <c r="AO132" s="197">
        <f t="shared" si="281"/>
        <v>0</v>
      </c>
      <c r="AP132" s="197">
        <f t="shared" si="281"/>
        <v>0</v>
      </c>
      <c r="AQ132" s="197">
        <f t="shared" si="281"/>
        <v>0</v>
      </c>
      <c r="AR132" s="197">
        <f t="shared" si="281"/>
        <v>0</v>
      </c>
      <c r="AS132" s="197">
        <f t="shared" si="281"/>
        <v>0</v>
      </c>
      <c r="AT132" s="197">
        <f t="shared" si="281"/>
        <v>0</v>
      </c>
      <c r="AU132" s="195">
        <f t="shared" si="281"/>
        <v>0</v>
      </c>
      <c r="AV132" s="232"/>
      <c r="AW132" s="195">
        <f>SUM(AW133:AW135)</f>
        <v>0</v>
      </c>
      <c r="AX132" s="242" t="e">
        <f t="shared" si="50"/>
        <v>#DIV/0!</v>
      </c>
    </row>
    <row r="133" ht="20.5" customHeight="1" spans="1:50">
      <c r="A133" t="s">
        <v>4</v>
      </c>
      <c r="C133" s="159">
        <v>124</v>
      </c>
      <c r="D133" s="172" t="s">
        <v>203</v>
      </c>
      <c r="E133" s="196"/>
      <c r="F133" s="196"/>
      <c r="G133" s="195">
        <f>E133-F133</f>
        <v>0</v>
      </c>
      <c r="H133" s="196"/>
      <c r="I133" s="196"/>
      <c r="J133" s="196"/>
      <c r="K133" s="196"/>
      <c r="L133" s="196"/>
      <c r="M133" s="196"/>
      <c r="N133" s="196"/>
      <c r="O133" s="196"/>
      <c r="P133" s="196"/>
      <c r="Q133" s="196"/>
      <c r="R133" s="196"/>
      <c r="S133" s="196"/>
      <c r="T133" s="196"/>
      <c r="U133" s="196"/>
      <c r="V133" s="196"/>
      <c r="W133" s="196"/>
      <c r="X133" s="196"/>
      <c r="Y133" s="196"/>
      <c r="Z133" s="196"/>
      <c r="AA133" s="196"/>
      <c r="AB133" s="196"/>
      <c r="AC133" s="196"/>
      <c r="AD133" s="196"/>
      <c r="AE133" s="196"/>
      <c r="AF133" s="196"/>
      <c r="AG133" s="196"/>
      <c r="AH133" s="196"/>
      <c r="AI133" s="196"/>
      <c r="AJ133" s="196"/>
      <c r="AK133" s="196"/>
      <c r="AL133" s="196"/>
      <c r="AM133" s="196"/>
      <c r="AN133" s="196"/>
      <c r="AO133" s="196"/>
      <c r="AP133" s="196"/>
      <c r="AQ133" s="196"/>
      <c r="AR133" s="196"/>
      <c r="AS133" s="196"/>
      <c r="AT133" s="196"/>
      <c r="AU133" s="195">
        <f>IF(G133-I133-J133-K133-L133-M133-N133-O133-P133-Q133-R133-S133-T133-U133-V133-W133-X133-Y133-Z133-AA133-AB133-AC133-AD133-AE133-AF133-AG133-AH133-AI133-AJ133-AL133-AM133-AN133-AO133-AP133-AQ133-AR133-AS133-AT133&lt;0,0,G133-I133-J133-K133-L133-M133-N133-O133-P133-Q133-R133-S133-T133-U133-V133-W133-X133-Y133-Z133-AA133-AB133-AC133-AD133-AE133-AF133-AG133-AH133-AI133-AJ133-AL133-AM133-AN133-AO133-AP133-AQ133-AR133-AS133-AT133)</f>
        <v>0</v>
      </c>
      <c r="AV133" s="233">
        <v>0.75</v>
      </c>
      <c r="AW133" s="243">
        <f>I133*$I$8+J133*$J$8+K133*$K$8+L133*$L$8+M133*$M$8+N133*$N$8+O133*$O$8+P133*$P$8+Q133*$Q$8+R133*$R$8+S133*$S$8+T133*$T$8+U133*$U$8+V133*$V$8+W133*$W$8+X133*$X$8+Y133*$Y$8+Z133*$Z$8+AA133*$AA$8++AB133*$AB$8+AC133*$AC$8+AD133*$AD$8+AE133*$AE$8+AF133*$AF$8+AG133*$AG$8+AH133*$AH$8+AI133*$AI$8+AJ133*$AJ$8+AL133*$AL$8+AM133*$AM$8+AN133*$AN$8+AO133*$AO$8+AP133*$AP$8+AQ133*$AQ$8+AR133*$AR$8+AS133*$AS$8+AT133*$AT$8</f>
        <v>0</v>
      </c>
      <c r="AX133" s="242" t="e">
        <f t="shared" si="50"/>
        <v>#DIV/0!</v>
      </c>
    </row>
    <row r="134" ht="20.5" customHeight="1" spans="1:50">
      <c r="A134" t="s">
        <v>4</v>
      </c>
      <c r="C134" s="159">
        <v>125</v>
      </c>
      <c r="D134" s="172" t="s">
        <v>204</v>
      </c>
      <c r="E134" s="196"/>
      <c r="F134" s="196"/>
      <c r="G134" s="195">
        <f>E134-F134</f>
        <v>0</v>
      </c>
      <c r="H134" s="196"/>
      <c r="I134" s="196"/>
      <c r="J134" s="196"/>
      <c r="K134" s="196"/>
      <c r="L134" s="196"/>
      <c r="M134" s="196"/>
      <c r="N134" s="196"/>
      <c r="O134" s="196"/>
      <c r="P134" s="196"/>
      <c r="Q134" s="196"/>
      <c r="R134" s="196"/>
      <c r="S134" s="196"/>
      <c r="T134" s="196"/>
      <c r="U134" s="196"/>
      <c r="V134" s="196"/>
      <c r="W134" s="196"/>
      <c r="X134" s="196"/>
      <c r="Y134" s="196"/>
      <c r="Z134" s="196"/>
      <c r="AA134" s="196"/>
      <c r="AB134" s="196"/>
      <c r="AC134" s="196"/>
      <c r="AD134" s="196"/>
      <c r="AE134" s="196"/>
      <c r="AF134" s="196"/>
      <c r="AG134" s="228"/>
      <c r="AH134" s="196"/>
      <c r="AI134" s="196"/>
      <c r="AJ134" s="196"/>
      <c r="AK134" s="196"/>
      <c r="AL134" s="196"/>
      <c r="AM134" s="196"/>
      <c r="AN134" s="196"/>
      <c r="AO134" s="196"/>
      <c r="AP134" s="196"/>
      <c r="AQ134" s="196"/>
      <c r="AR134" s="196"/>
      <c r="AS134" s="196"/>
      <c r="AT134" s="196"/>
      <c r="AU134" s="195">
        <f>IF(G134-I134-J134-K134-L134-M134-N134-O134-P134-Q134-R134-S134-T134-U134-V134-W134-X134-Y134-Z134-AA134-AB134-AC134-AD134-AE134-AF134-AG134-AH134-AI134-AJ134-AL134-AM134-AN134-AO134-AP134-AQ134-AR134-AS134-AT134&lt;0,0,G134-I134-J134-K134-L134-M134-N134-O134-P134-Q134-R134-S134-T134-U134-V134-W134-X134-Y134-Z134-AA134-AB134-AC134-AD134-AE134-AF134-AG134-AH134-AI134-AJ134-AL134-AM134-AN134-AO134-AP134-AQ134-AR134-AS134-AT134)</f>
        <v>0</v>
      </c>
      <c r="AV134" s="233">
        <v>0.85</v>
      </c>
      <c r="AW134" s="243">
        <f>I134*$I$8+J134*$J$8+K134*$K$8+L134*$L$8+M134*$M$8+N134*$N$8+O134*$O$8+P134*$P$8+Q134*$Q$8+R134*$R$8+S134*$S$8+T134*$T$8+U134*$U$8+V134*$V$8+W134*$W$8+X134*$X$8+Y134*$Y$8+Z134*$Z$8+AA134*$AA$8++AB134*$AB$8+AC134*$AC$8+AD134*$AD$8+AE134*$AE$8+AF134*$AF$8+AG134*$AG$8+AH134*$AH$8+AI134*$AI$8+AJ134*$AJ$8+AL134*$AL$8+AM134*$AM$8+AN134*$AN$8+AO134*$AO$8+AP134*$AP$8+AQ134*$AQ$8+AR134*$AR$8+AS134*$AS$8+AT134*$AT$8</f>
        <v>0</v>
      </c>
      <c r="AX134" s="242" t="e">
        <f t="shared" si="50"/>
        <v>#DIV/0!</v>
      </c>
    </row>
    <row r="135" ht="20.5" customHeight="1" spans="1:50">
      <c r="A135" t="s">
        <v>4</v>
      </c>
      <c r="C135" s="159">
        <v>126</v>
      </c>
      <c r="D135" s="172" t="s">
        <v>205</v>
      </c>
      <c r="E135" s="196"/>
      <c r="F135" s="196"/>
      <c r="G135" s="195">
        <f>E135-F135</f>
        <v>0</v>
      </c>
      <c r="H135" s="196"/>
      <c r="I135" s="196"/>
      <c r="J135" s="196"/>
      <c r="K135" s="196"/>
      <c r="L135" s="196"/>
      <c r="M135" s="196"/>
      <c r="N135" s="196"/>
      <c r="O135" s="196"/>
      <c r="P135" s="196"/>
      <c r="Q135" s="196"/>
      <c r="R135" s="196"/>
      <c r="S135" s="196"/>
      <c r="T135" s="196"/>
      <c r="U135" s="196"/>
      <c r="V135" s="196"/>
      <c r="W135" s="196"/>
      <c r="X135" s="196"/>
      <c r="Y135" s="196"/>
      <c r="Z135" s="196"/>
      <c r="AA135" s="196"/>
      <c r="AB135" s="196"/>
      <c r="AC135" s="196"/>
      <c r="AD135" s="196"/>
      <c r="AE135" s="196"/>
      <c r="AF135" s="196"/>
      <c r="AG135" s="228"/>
      <c r="AH135" s="196"/>
      <c r="AI135" s="196"/>
      <c r="AJ135" s="196"/>
      <c r="AK135" s="196"/>
      <c r="AL135" s="196"/>
      <c r="AM135" s="196"/>
      <c r="AN135" s="196"/>
      <c r="AO135" s="196"/>
      <c r="AP135" s="196"/>
      <c r="AQ135" s="196"/>
      <c r="AR135" s="196"/>
      <c r="AS135" s="196"/>
      <c r="AT135" s="196"/>
      <c r="AU135" s="195">
        <f>IF(G135-I135-J135-K135-L135-M135-N135-O135-P135-Q135-R135-S135-T135-U135-V135-W135-X135-Y135-Z135-AA135-AB135-AC135-AD135-AE135-AF135-AG135-AH135-AI135-AJ135-AL135-AM135-AN135-AO135-AP135-AQ135-AR135-AS135-AT135&lt;0,0,G135-I135-J135-K135-L135-M135-N135-O135-P135-Q135-R135-S135-T135-U135-V135-W135-X135-Y135-Z135-AA135-AB135-AC135-AD135-AE135-AF135-AG135-AH135-AI135-AJ135-AL135-AM135-AN135-AO135-AP135-AQ135-AR135-AS135-AT135)</f>
        <v>0</v>
      </c>
      <c r="AV135" s="233">
        <v>1</v>
      </c>
      <c r="AW135" s="243">
        <f>I135*$I$8+J135*$J$8+K135*$K$8+L135*$L$8+M135*$M$8+N135*$N$8+O135*$O$8+P135*$P$8+Q135*$Q$8+R135*$R$8+S135*$S$8+T135*$T$8+U135*$U$8+V135*$V$8+W135*$W$8+X135*$X$8+Y135*$Y$8+Z135*$Z$8+AA135*$AA$8++AB135*$AB$8+AC135*$AC$8+AD135*$AD$8+AE135*$AE$8+AF135*$AF$8+AG135*$AG$8+AH135*$AH$8+AI135*$AI$8+AJ135*$AJ$8+AL135*$AL$8+AM135*$AM$8+AN135*$AN$8+AO135*$AO$8+AP135*$AP$8+AQ135*$AQ$8+AR135*$AR$8+AS135*$AS$8+AT135*$AT$8</f>
        <v>0</v>
      </c>
      <c r="AX135" s="242" t="e">
        <f t="shared" si="50"/>
        <v>#DIV/0!</v>
      </c>
    </row>
    <row r="136" ht="20.5" customHeight="1" spans="1:50">
      <c r="A136" t="s">
        <v>4</v>
      </c>
      <c r="C136" s="159">
        <v>127</v>
      </c>
      <c r="D136" s="248" t="s">
        <v>206</v>
      </c>
      <c r="E136" s="197">
        <f t="shared" ref="E136:H136" si="282">E137+E142</f>
        <v>0</v>
      </c>
      <c r="F136" s="197">
        <f t="shared" si="282"/>
        <v>0</v>
      </c>
      <c r="G136" s="197">
        <f t="shared" si="282"/>
        <v>0</v>
      </c>
      <c r="H136" s="197">
        <f t="shared" si="282"/>
        <v>0</v>
      </c>
      <c r="I136" s="197">
        <f t="shared" ref="I136:AU136" si="283">I137+I142</f>
        <v>0</v>
      </c>
      <c r="J136" s="197">
        <f t="shared" si="283"/>
        <v>0</v>
      </c>
      <c r="K136" s="197">
        <f t="shared" si="283"/>
        <v>0</v>
      </c>
      <c r="L136" s="197">
        <f t="shared" si="283"/>
        <v>0</v>
      </c>
      <c r="M136" s="197">
        <f t="shared" si="283"/>
        <v>0</v>
      </c>
      <c r="N136" s="197">
        <f t="shared" si="283"/>
        <v>0</v>
      </c>
      <c r="O136" s="197">
        <f t="shared" si="283"/>
        <v>0</v>
      </c>
      <c r="P136" s="197">
        <f t="shared" si="283"/>
        <v>0</v>
      </c>
      <c r="Q136" s="197">
        <f t="shared" si="283"/>
        <v>0</v>
      </c>
      <c r="R136" s="197">
        <f t="shared" si="283"/>
        <v>0</v>
      </c>
      <c r="S136" s="197">
        <f t="shared" si="283"/>
        <v>0</v>
      </c>
      <c r="T136" s="197">
        <f t="shared" si="283"/>
        <v>0</v>
      </c>
      <c r="U136" s="197">
        <f t="shared" si="283"/>
        <v>0</v>
      </c>
      <c r="V136" s="197">
        <f t="shared" si="283"/>
        <v>0</v>
      </c>
      <c r="W136" s="197">
        <f t="shared" si="283"/>
        <v>0</v>
      </c>
      <c r="X136" s="197">
        <f t="shared" si="283"/>
        <v>0</v>
      </c>
      <c r="Y136" s="197">
        <f t="shared" si="283"/>
        <v>0</v>
      </c>
      <c r="Z136" s="197">
        <f t="shared" si="283"/>
        <v>0</v>
      </c>
      <c r="AA136" s="197">
        <f t="shared" si="283"/>
        <v>0</v>
      </c>
      <c r="AB136" s="197">
        <f t="shared" si="283"/>
        <v>0</v>
      </c>
      <c r="AC136" s="197">
        <f t="shared" si="283"/>
        <v>0</v>
      </c>
      <c r="AD136" s="197">
        <f t="shared" si="283"/>
        <v>0</v>
      </c>
      <c r="AE136" s="197">
        <f t="shared" si="283"/>
        <v>0</v>
      </c>
      <c r="AF136" s="197">
        <f t="shared" si="283"/>
        <v>0</v>
      </c>
      <c r="AG136" s="197">
        <f t="shared" si="283"/>
        <v>0</v>
      </c>
      <c r="AH136" s="197">
        <f t="shared" si="283"/>
        <v>0</v>
      </c>
      <c r="AI136" s="197">
        <f t="shared" si="283"/>
        <v>0</v>
      </c>
      <c r="AJ136" s="197">
        <f t="shared" si="283"/>
        <v>0</v>
      </c>
      <c r="AK136" s="197">
        <f t="shared" si="283"/>
        <v>0</v>
      </c>
      <c r="AL136" s="197">
        <f t="shared" si="283"/>
        <v>0</v>
      </c>
      <c r="AM136" s="197">
        <f t="shared" si="283"/>
        <v>0</v>
      </c>
      <c r="AN136" s="197">
        <f t="shared" si="283"/>
        <v>0</v>
      </c>
      <c r="AO136" s="197">
        <f t="shared" si="283"/>
        <v>0</v>
      </c>
      <c r="AP136" s="197">
        <f t="shared" si="283"/>
        <v>0</v>
      </c>
      <c r="AQ136" s="197">
        <f t="shared" si="283"/>
        <v>0</v>
      </c>
      <c r="AR136" s="197">
        <f t="shared" si="283"/>
        <v>0</v>
      </c>
      <c r="AS136" s="197">
        <f t="shared" si="283"/>
        <v>0</v>
      </c>
      <c r="AT136" s="197">
        <f t="shared" si="283"/>
        <v>0</v>
      </c>
      <c r="AU136" s="195">
        <f t="shared" si="283"/>
        <v>0</v>
      </c>
      <c r="AV136" s="232"/>
      <c r="AW136" s="195">
        <f>AW137+AW142</f>
        <v>0</v>
      </c>
      <c r="AX136" s="242" t="e">
        <f t="shared" si="50"/>
        <v>#DIV/0!</v>
      </c>
    </row>
    <row r="137" ht="20.5" customHeight="1" spans="1:50">
      <c r="A137" t="s">
        <v>4</v>
      </c>
      <c r="C137" s="159">
        <v>128</v>
      </c>
      <c r="D137" s="179" t="s">
        <v>207</v>
      </c>
      <c r="E137" s="197">
        <f t="shared" ref="E137:H137" si="284">E138+E139+E140+E141</f>
        <v>0</v>
      </c>
      <c r="F137" s="197">
        <f t="shared" si="284"/>
        <v>0</v>
      </c>
      <c r="G137" s="197">
        <f t="shared" si="284"/>
        <v>0</v>
      </c>
      <c r="H137" s="197">
        <f t="shared" si="284"/>
        <v>0</v>
      </c>
      <c r="I137" s="197">
        <f t="shared" ref="I137:AT137" si="285">I138+I139+I140+I141</f>
        <v>0</v>
      </c>
      <c r="J137" s="197">
        <f t="shared" si="285"/>
        <v>0</v>
      </c>
      <c r="K137" s="197">
        <f t="shared" si="285"/>
        <v>0</v>
      </c>
      <c r="L137" s="197">
        <f t="shared" si="285"/>
        <v>0</v>
      </c>
      <c r="M137" s="197">
        <f t="shared" si="285"/>
        <v>0</v>
      </c>
      <c r="N137" s="197">
        <f t="shared" si="285"/>
        <v>0</v>
      </c>
      <c r="O137" s="197">
        <f t="shared" si="285"/>
        <v>0</v>
      </c>
      <c r="P137" s="197">
        <f t="shared" si="285"/>
        <v>0</v>
      </c>
      <c r="Q137" s="197">
        <f t="shared" si="285"/>
        <v>0</v>
      </c>
      <c r="R137" s="197">
        <f t="shared" si="285"/>
        <v>0</v>
      </c>
      <c r="S137" s="197">
        <f t="shared" si="285"/>
        <v>0</v>
      </c>
      <c r="T137" s="197">
        <f t="shared" si="285"/>
        <v>0</v>
      </c>
      <c r="U137" s="197">
        <f t="shared" si="285"/>
        <v>0</v>
      </c>
      <c r="V137" s="197">
        <f t="shared" si="285"/>
        <v>0</v>
      </c>
      <c r="W137" s="197">
        <f t="shared" si="285"/>
        <v>0</v>
      </c>
      <c r="X137" s="197">
        <f t="shared" si="285"/>
        <v>0</v>
      </c>
      <c r="Y137" s="197">
        <f t="shared" si="285"/>
        <v>0</v>
      </c>
      <c r="Z137" s="197">
        <f t="shared" si="285"/>
        <v>0</v>
      </c>
      <c r="AA137" s="197">
        <f t="shared" si="285"/>
        <v>0</v>
      </c>
      <c r="AB137" s="197">
        <f t="shared" si="285"/>
        <v>0</v>
      </c>
      <c r="AC137" s="197">
        <f t="shared" si="285"/>
        <v>0</v>
      </c>
      <c r="AD137" s="197">
        <f t="shared" si="285"/>
        <v>0</v>
      </c>
      <c r="AE137" s="197">
        <f t="shared" si="285"/>
        <v>0</v>
      </c>
      <c r="AF137" s="197">
        <f t="shared" si="285"/>
        <v>0</v>
      </c>
      <c r="AG137" s="197">
        <f t="shared" si="285"/>
        <v>0</v>
      </c>
      <c r="AH137" s="197">
        <f t="shared" si="285"/>
        <v>0</v>
      </c>
      <c r="AI137" s="197">
        <f t="shared" si="285"/>
        <v>0</v>
      </c>
      <c r="AJ137" s="197">
        <f t="shared" si="285"/>
        <v>0</v>
      </c>
      <c r="AK137" s="197">
        <f t="shared" si="285"/>
        <v>0</v>
      </c>
      <c r="AL137" s="197">
        <f t="shared" si="285"/>
        <v>0</v>
      </c>
      <c r="AM137" s="197">
        <f t="shared" si="285"/>
        <v>0</v>
      </c>
      <c r="AN137" s="197">
        <f t="shared" si="285"/>
        <v>0</v>
      </c>
      <c r="AO137" s="197">
        <f t="shared" si="285"/>
        <v>0</v>
      </c>
      <c r="AP137" s="197">
        <f t="shared" si="285"/>
        <v>0</v>
      </c>
      <c r="AQ137" s="197">
        <f t="shared" si="285"/>
        <v>0</v>
      </c>
      <c r="AR137" s="197">
        <f t="shared" si="285"/>
        <v>0</v>
      </c>
      <c r="AS137" s="197">
        <f t="shared" si="285"/>
        <v>0</v>
      </c>
      <c r="AT137" s="197">
        <f t="shared" si="285"/>
        <v>0</v>
      </c>
      <c r="AU137" s="195">
        <f>SUM(AU138:AU141)</f>
        <v>0</v>
      </c>
      <c r="AV137" s="232"/>
      <c r="AW137" s="195">
        <f>SUM(AW138:AW141)</f>
        <v>0</v>
      </c>
      <c r="AX137" s="242" t="e">
        <f t="shared" si="50"/>
        <v>#DIV/0!</v>
      </c>
    </row>
    <row r="138" ht="20.5" customHeight="1" spans="1:50">
      <c r="A138" t="s">
        <v>4</v>
      </c>
      <c r="C138" s="159">
        <v>129</v>
      </c>
      <c r="D138" s="172" t="s">
        <v>208</v>
      </c>
      <c r="E138" s="196"/>
      <c r="F138" s="196"/>
      <c r="G138" s="195">
        <f t="shared" ref="G138:G143" si="286">E138-F138</f>
        <v>0</v>
      </c>
      <c r="H138" s="196"/>
      <c r="I138" s="196"/>
      <c r="J138" s="196"/>
      <c r="K138" s="196"/>
      <c r="L138" s="196"/>
      <c r="M138" s="196"/>
      <c r="N138" s="196"/>
      <c r="O138" s="196"/>
      <c r="P138" s="196"/>
      <c r="Q138" s="196"/>
      <c r="R138" s="196"/>
      <c r="S138" s="196"/>
      <c r="T138" s="196"/>
      <c r="U138" s="196"/>
      <c r="V138" s="196"/>
      <c r="W138" s="196"/>
      <c r="X138" s="213"/>
      <c r="Y138" s="196"/>
      <c r="Z138" s="196"/>
      <c r="AA138" s="196"/>
      <c r="AB138" s="196"/>
      <c r="AC138" s="196"/>
      <c r="AD138" s="196"/>
      <c r="AE138" s="196"/>
      <c r="AF138" s="213"/>
      <c r="AG138" s="228"/>
      <c r="AH138" s="213"/>
      <c r="AI138" s="228"/>
      <c r="AJ138" s="228"/>
      <c r="AK138" s="213"/>
      <c r="AL138" s="228"/>
      <c r="AM138" s="228"/>
      <c r="AN138" s="228"/>
      <c r="AO138" s="228"/>
      <c r="AP138" s="228"/>
      <c r="AQ138" s="213"/>
      <c r="AR138" s="196"/>
      <c r="AS138" s="196"/>
      <c r="AT138" s="196"/>
      <c r="AU138" s="195">
        <f t="shared" ref="AU138:AU143" si="287">IF(G138-I138-J138-K138-L138-M138-N138-O138-P138-Q138-R138-S138-T138-U138-V138-W138-X138-Y138-Z138-AA138-AB138-AC138-AD138-AE138-AF138-AG138-AH138-AI138-AJ138-AL138-AM138-AN138-AO138-AP138-AQ138-AR138-AS138-AT138&lt;0,0,G138-I138-J138-K138-L138-M138-N138-O138-P138-Q138-R138-S138-T138-U138-V138-W138-X138-Y138-Z138-AA138-AB138-AC138-AD138-AE138-AF138-AG138-AH138-AI138-AJ138-AL138-AM138-AN138-AO138-AP138-AQ138-AR138-AS138-AT138)</f>
        <v>0</v>
      </c>
      <c r="AV138" s="233">
        <v>0.5</v>
      </c>
      <c r="AW138" s="243">
        <f t="shared" ref="AW138:AW143" si="288">I138*$I$8+J138*$J$8+K138*$K$8+L138*$L$8+M138*$M$8+N138*$N$8+O138*$O$8+P138*$P$8+Q138*$Q$8+R138*$R$8+S138*$S$8+T138*$T$8+U138*$U$8+V138*$V$8+W138*$W$8+X138*$X$8+Y138*$Y$8+Z138*$Z$8+AA138*$AA$8++AB138*$AB$8+AC138*$AC$8+AD138*$AD$8+AE138*$AE$8+AF138*$AF$8+AG138*$AG$8+AH138*$AH$8+AI138*$AI$8+AJ138*$AJ$8+AL138*$AL$8+AM138*$AM$8+AN138*$AN$8+AO138*$AO$8+AP138*$AP$8+AQ138*$AQ$8+AR138*$AR$8+AS138*$AS$8+AT138*$AT$8</f>
        <v>0</v>
      </c>
      <c r="AX138" s="242" t="e">
        <f t="shared" si="50"/>
        <v>#DIV/0!</v>
      </c>
    </row>
    <row r="139" ht="20.5" customHeight="1" spans="1:50">
      <c r="A139" t="s">
        <v>4</v>
      </c>
      <c r="C139" s="159">
        <v>130</v>
      </c>
      <c r="D139" s="172" t="s">
        <v>209</v>
      </c>
      <c r="E139" s="196"/>
      <c r="F139" s="196"/>
      <c r="G139" s="195">
        <f t="shared" si="286"/>
        <v>0</v>
      </c>
      <c r="H139" s="196"/>
      <c r="I139" s="196"/>
      <c r="J139" s="196"/>
      <c r="K139" s="196"/>
      <c r="L139" s="196"/>
      <c r="M139" s="196"/>
      <c r="N139" s="196"/>
      <c r="O139" s="196"/>
      <c r="P139" s="196"/>
      <c r="Q139" s="196"/>
      <c r="R139" s="196"/>
      <c r="S139" s="196"/>
      <c r="T139" s="196"/>
      <c r="U139" s="196"/>
      <c r="V139" s="196"/>
      <c r="W139" s="196"/>
      <c r="X139" s="196"/>
      <c r="Y139" s="196"/>
      <c r="Z139" s="196"/>
      <c r="AA139" s="196"/>
      <c r="AB139" s="196"/>
      <c r="AC139" s="196"/>
      <c r="AD139" s="196"/>
      <c r="AE139" s="196"/>
      <c r="AF139" s="196"/>
      <c r="AG139" s="228"/>
      <c r="AH139" s="196"/>
      <c r="AI139" s="196"/>
      <c r="AJ139" s="196"/>
      <c r="AK139" s="196"/>
      <c r="AL139" s="196"/>
      <c r="AM139" s="196"/>
      <c r="AN139" s="196"/>
      <c r="AO139" s="196"/>
      <c r="AP139" s="196"/>
      <c r="AQ139" s="196"/>
      <c r="AR139" s="196"/>
      <c r="AS139" s="196"/>
      <c r="AT139" s="196"/>
      <c r="AU139" s="195">
        <f t="shared" si="287"/>
        <v>0</v>
      </c>
      <c r="AV139" s="233">
        <v>0.6</v>
      </c>
      <c r="AW139" s="243">
        <f t="shared" si="288"/>
        <v>0</v>
      </c>
      <c r="AX139" s="242" t="e">
        <f t="shared" ref="AX139:AX163" si="289">AW139/G139</f>
        <v>#DIV/0!</v>
      </c>
    </row>
    <row r="140" ht="20.5" customHeight="1" spans="1:50">
      <c r="A140" t="s">
        <v>4</v>
      </c>
      <c r="C140" s="159">
        <v>131</v>
      </c>
      <c r="D140" s="172" t="s">
        <v>210</v>
      </c>
      <c r="E140" s="196"/>
      <c r="F140" s="196"/>
      <c r="G140" s="195">
        <f t="shared" si="286"/>
        <v>0</v>
      </c>
      <c r="H140" s="196"/>
      <c r="I140" s="196"/>
      <c r="J140" s="196"/>
      <c r="K140" s="196"/>
      <c r="L140" s="196"/>
      <c r="M140" s="196"/>
      <c r="N140" s="196"/>
      <c r="O140" s="196"/>
      <c r="P140" s="196"/>
      <c r="Q140" s="196"/>
      <c r="R140" s="196"/>
      <c r="S140" s="196"/>
      <c r="T140" s="196"/>
      <c r="U140" s="196"/>
      <c r="V140" s="196"/>
      <c r="W140" s="196"/>
      <c r="X140" s="196"/>
      <c r="Y140" s="196"/>
      <c r="Z140" s="196"/>
      <c r="AA140" s="196"/>
      <c r="AB140" s="196"/>
      <c r="AC140" s="196"/>
      <c r="AD140" s="196"/>
      <c r="AE140" s="196"/>
      <c r="AF140" s="196"/>
      <c r="AG140" s="228"/>
      <c r="AH140" s="196"/>
      <c r="AI140" s="196"/>
      <c r="AJ140" s="196"/>
      <c r="AK140" s="196"/>
      <c r="AL140" s="196"/>
      <c r="AM140" s="196"/>
      <c r="AN140" s="196"/>
      <c r="AO140" s="196"/>
      <c r="AP140" s="196"/>
      <c r="AQ140" s="196"/>
      <c r="AR140" s="196"/>
      <c r="AS140" s="196"/>
      <c r="AT140" s="196"/>
      <c r="AU140" s="195">
        <f t="shared" si="287"/>
        <v>0</v>
      </c>
      <c r="AV140" s="233">
        <v>0.75</v>
      </c>
      <c r="AW140" s="243">
        <f t="shared" si="288"/>
        <v>0</v>
      </c>
      <c r="AX140" s="242" t="e">
        <f t="shared" si="289"/>
        <v>#DIV/0!</v>
      </c>
    </row>
    <row r="141" ht="20.5" customHeight="1" spans="1:50">
      <c r="A141" t="s">
        <v>4</v>
      </c>
      <c r="C141" s="159">
        <v>132</v>
      </c>
      <c r="D141" s="172" t="s">
        <v>211</v>
      </c>
      <c r="E141" s="196"/>
      <c r="F141" s="196"/>
      <c r="G141" s="195">
        <f t="shared" si="286"/>
        <v>0</v>
      </c>
      <c r="H141" s="196"/>
      <c r="I141" s="196"/>
      <c r="J141" s="196"/>
      <c r="K141" s="196"/>
      <c r="L141" s="196"/>
      <c r="M141" s="196"/>
      <c r="N141" s="196"/>
      <c r="O141" s="196"/>
      <c r="P141" s="196"/>
      <c r="Q141" s="196"/>
      <c r="R141" s="196"/>
      <c r="S141" s="196"/>
      <c r="T141" s="196"/>
      <c r="U141" s="196"/>
      <c r="V141" s="196"/>
      <c r="W141" s="196"/>
      <c r="X141" s="196"/>
      <c r="Y141" s="196"/>
      <c r="Z141" s="196"/>
      <c r="AA141" s="196"/>
      <c r="AB141" s="196"/>
      <c r="AC141" s="196"/>
      <c r="AD141" s="196"/>
      <c r="AE141" s="196"/>
      <c r="AF141" s="196"/>
      <c r="AG141" s="228"/>
      <c r="AH141" s="196"/>
      <c r="AI141" s="196"/>
      <c r="AJ141" s="196"/>
      <c r="AK141" s="196"/>
      <c r="AL141" s="196"/>
      <c r="AM141" s="196"/>
      <c r="AN141" s="196"/>
      <c r="AO141" s="196"/>
      <c r="AP141" s="196"/>
      <c r="AQ141" s="196"/>
      <c r="AR141" s="196"/>
      <c r="AS141" s="196"/>
      <c r="AT141" s="196"/>
      <c r="AU141" s="195">
        <f t="shared" si="287"/>
        <v>0</v>
      </c>
      <c r="AV141" s="233">
        <v>1.05</v>
      </c>
      <c r="AW141" s="243">
        <f t="shared" si="288"/>
        <v>0</v>
      </c>
      <c r="AX141" s="242" t="e">
        <f t="shared" si="289"/>
        <v>#DIV/0!</v>
      </c>
    </row>
    <row r="142" ht="18" customHeight="1" spans="1:50">
      <c r="A142" t="s">
        <v>4</v>
      </c>
      <c r="C142" s="159">
        <v>133</v>
      </c>
      <c r="D142" s="179" t="s">
        <v>212</v>
      </c>
      <c r="E142" s="196"/>
      <c r="F142" s="196"/>
      <c r="G142" s="195">
        <f t="shared" si="286"/>
        <v>0</v>
      </c>
      <c r="H142" s="196"/>
      <c r="I142" s="196"/>
      <c r="J142" s="196"/>
      <c r="K142" s="196"/>
      <c r="L142" s="196"/>
      <c r="M142" s="196"/>
      <c r="N142" s="196"/>
      <c r="O142" s="196"/>
      <c r="P142" s="196"/>
      <c r="Q142" s="196"/>
      <c r="R142" s="196"/>
      <c r="S142" s="196"/>
      <c r="T142" s="196"/>
      <c r="U142" s="196"/>
      <c r="V142" s="196"/>
      <c r="W142" s="196"/>
      <c r="X142" s="196"/>
      <c r="Y142" s="196"/>
      <c r="Z142" s="196"/>
      <c r="AA142" s="196"/>
      <c r="AB142" s="196"/>
      <c r="AC142" s="196"/>
      <c r="AD142" s="196"/>
      <c r="AE142" s="196"/>
      <c r="AF142" s="196"/>
      <c r="AG142" s="228"/>
      <c r="AH142" s="196"/>
      <c r="AI142" s="196"/>
      <c r="AJ142" s="196"/>
      <c r="AK142" s="196"/>
      <c r="AL142" s="196"/>
      <c r="AM142" s="196"/>
      <c r="AN142" s="196"/>
      <c r="AO142" s="196"/>
      <c r="AP142" s="196"/>
      <c r="AQ142" s="196"/>
      <c r="AR142" s="196"/>
      <c r="AS142" s="196"/>
      <c r="AT142" s="196"/>
      <c r="AU142" s="195">
        <f t="shared" si="287"/>
        <v>0</v>
      </c>
      <c r="AV142" s="233">
        <v>1.5</v>
      </c>
      <c r="AW142" s="243">
        <f t="shared" si="288"/>
        <v>0</v>
      </c>
      <c r="AX142" s="242" t="e">
        <f t="shared" si="289"/>
        <v>#DIV/0!</v>
      </c>
    </row>
    <row r="143" ht="18" customHeight="1" spans="1:50">
      <c r="A143" t="s">
        <v>4</v>
      </c>
      <c r="C143" s="159">
        <v>134</v>
      </c>
      <c r="D143" s="248" t="s">
        <v>213</v>
      </c>
      <c r="E143" s="196"/>
      <c r="F143" s="196"/>
      <c r="G143" s="195">
        <f t="shared" si="286"/>
        <v>0</v>
      </c>
      <c r="H143" s="196"/>
      <c r="I143" s="196"/>
      <c r="J143" s="196"/>
      <c r="K143" s="196"/>
      <c r="L143" s="196"/>
      <c r="M143" s="196"/>
      <c r="N143" s="196"/>
      <c r="O143" s="196"/>
      <c r="P143" s="196"/>
      <c r="Q143" s="196"/>
      <c r="R143" s="196"/>
      <c r="S143" s="196"/>
      <c r="T143" s="196"/>
      <c r="U143" s="196"/>
      <c r="V143" s="196"/>
      <c r="W143" s="196"/>
      <c r="X143" s="196"/>
      <c r="Y143" s="196"/>
      <c r="Z143" s="196"/>
      <c r="AA143" s="196"/>
      <c r="AB143" s="196"/>
      <c r="AC143" s="196"/>
      <c r="AD143" s="196"/>
      <c r="AE143" s="196"/>
      <c r="AF143" s="196"/>
      <c r="AG143" s="228"/>
      <c r="AH143" s="196"/>
      <c r="AI143" s="196"/>
      <c r="AJ143" s="196"/>
      <c r="AK143" s="196"/>
      <c r="AL143" s="196"/>
      <c r="AM143" s="196"/>
      <c r="AN143" s="196"/>
      <c r="AO143" s="196"/>
      <c r="AP143" s="196"/>
      <c r="AQ143" s="196"/>
      <c r="AR143" s="196"/>
      <c r="AS143" s="196"/>
      <c r="AT143" s="196"/>
      <c r="AU143" s="195">
        <f t="shared" si="287"/>
        <v>0</v>
      </c>
      <c r="AV143" s="233">
        <v>1.5</v>
      </c>
      <c r="AW143" s="243">
        <f t="shared" si="288"/>
        <v>0</v>
      </c>
      <c r="AX143" s="242" t="e">
        <f t="shared" si="289"/>
        <v>#DIV/0!</v>
      </c>
    </row>
    <row r="144" ht="20.5" customHeight="1" spans="1:50">
      <c r="A144" t="s">
        <v>4</v>
      </c>
      <c r="C144" s="159">
        <v>135</v>
      </c>
      <c r="D144" s="257" t="s">
        <v>214</v>
      </c>
      <c r="E144" s="197">
        <f t="shared" ref="E144:AU144" si="290">E145+E156</f>
        <v>0</v>
      </c>
      <c r="F144" s="197">
        <f t="shared" si="290"/>
        <v>0</v>
      </c>
      <c r="G144" s="197">
        <f t="shared" si="290"/>
        <v>0</v>
      </c>
      <c r="H144" s="197">
        <f t="shared" si="290"/>
        <v>0</v>
      </c>
      <c r="I144" s="197">
        <f t="shared" si="290"/>
        <v>0</v>
      </c>
      <c r="J144" s="197">
        <f t="shared" si="290"/>
        <v>0</v>
      </c>
      <c r="K144" s="197">
        <f t="shared" si="290"/>
        <v>0</v>
      </c>
      <c r="L144" s="197">
        <f t="shared" si="290"/>
        <v>0</v>
      </c>
      <c r="M144" s="197">
        <f t="shared" si="290"/>
        <v>0</v>
      </c>
      <c r="N144" s="197">
        <f t="shared" si="290"/>
        <v>0</v>
      </c>
      <c r="O144" s="197">
        <f t="shared" si="290"/>
        <v>0</v>
      </c>
      <c r="P144" s="197">
        <f t="shared" si="290"/>
        <v>0</v>
      </c>
      <c r="Q144" s="197">
        <f t="shared" si="290"/>
        <v>0</v>
      </c>
      <c r="R144" s="197">
        <f t="shared" si="290"/>
        <v>0</v>
      </c>
      <c r="S144" s="197">
        <f t="shared" si="290"/>
        <v>0</v>
      </c>
      <c r="T144" s="197">
        <f t="shared" si="290"/>
        <v>0</v>
      </c>
      <c r="U144" s="197">
        <f t="shared" si="290"/>
        <v>0</v>
      </c>
      <c r="V144" s="197">
        <f t="shared" si="290"/>
        <v>0</v>
      </c>
      <c r="W144" s="197">
        <f t="shared" si="290"/>
        <v>0</v>
      </c>
      <c r="X144" s="197">
        <f t="shared" si="290"/>
        <v>0</v>
      </c>
      <c r="Y144" s="197">
        <f t="shared" si="290"/>
        <v>0</v>
      </c>
      <c r="Z144" s="197">
        <f t="shared" si="290"/>
        <v>0</v>
      </c>
      <c r="AA144" s="197">
        <f t="shared" si="290"/>
        <v>0</v>
      </c>
      <c r="AB144" s="197">
        <f t="shared" si="290"/>
        <v>0</v>
      </c>
      <c r="AC144" s="197">
        <f t="shared" si="290"/>
        <v>0</v>
      </c>
      <c r="AD144" s="197">
        <f t="shared" si="290"/>
        <v>0</v>
      </c>
      <c r="AE144" s="197">
        <f t="shared" si="290"/>
        <v>0</v>
      </c>
      <c r="AF144" s="197">
        <f t="shared" si="290"/>
        <v>0</v>
      </c>
      <c r="AG144" s="197">
        <f t="shared" si="290"/>
        <v>0</v>
      </c>
      <c r="AH144" s="197">
        <f t="shared" si="290"/>
        <v>0</v>
      </c>
      <c r="AI144" s="197">
        <f t="shared" si="290"/>
        <v>0</v>
      </c>
      <c r="AJ144" s="197">
        <f t="shared" si="290"/>
        <v>0</v>
      </c>
      <c r="AK144" s="197">
        <f t="shared" si="290"/>
        <v>0</v>
      </c>
      <c r="AL144" s="197">
        <f t="shared" si="290"/>
        <v>0</v>
      </c>
      <c r="AM144" s="197">
        <f t="shared" si="290"/>
        <v>0</v>
      </c>
      <c r="AN144" s="197">
        <f t="shared" si="290"/>
        <v>0</v>
      </c>
      <c r="AO144" s="197">
        <f t="shared" si="290"/>
        <v>0</v>
      </c>
      <c r="AP144" s="197">
        <f t="shared" si="290"/>
        <v>0</v>
      </c>
      <c r="AQ144" s="197">
        <f t="shared" si="290"/>
        <v>0</v>
      </c>
      <c r="AR144" s="197">
        <f t="shared" si="290"/>
        <v>0</v>
      </c>
      <c r="AS144" s="197">
        <f t="shared" si="290"/>
        <v>0</v>
      </c>
      <c r="AT144" s="197">
        <f t="shared" si="290"/>
        <v>0</v>
      </c>
      <c r="AU144" s="197">
        <f t="shared" si="290"/>
        <v>0</v>
      </c>
      <c r="AV144" s="232"/>
      <c r="AW144" s="197">
        <f>AW145+AW156</f>
        <v>0</v>
      </c>
      <c r="AX144" s="242" t="e">
        <f t="shared" si="289"/>
        <v>#DIV/0!</v>
      </c>
    </row>
    <row r="145" ht="20.5" customHeight="1" spans="1:50">
      <c r="A145" t="s">
        <v>4</v>
      </c>
      <c r="C145" s="159">
        <v>136</v>
      </c>
      <c r="D145" s="248" t="s">
        <v>215</v>
      </c>
      <c r="E145" s="197">
        <f t="shared" ref="E145:H145" si="291">E146+E152</f>
        <v>0</v>
      </c>
      <c r="F145" s="197">
        <f t="shared" si="291"/>
        <v>0</v>
      </c>
      <c r="G145" s="195">
        <f t="shared" si="291"/>
        <v>0</v>
      </c>
      <c r="H145" s="197">
        <f t="shared" si="291"/>
        <v>0</v>
      </c>
      <c r="I145" s="197">
        <f t="shared" ref="I145:AU145" si="292">I146+I152</f>
        <v>0</v>
      </c>
      <c r="J145" s="197">
        <f t="shared" si="292"/>
        <v>0</v>
      </c>
      <c r="K145" s="197">
        <f t="shared" si="292"/>
        <v>0</v>
      </c>
      <c r="L145" s="197">
        <f t="shared" si="292"/>
        <v>0</v>
      </c>
      <c r="M145" s="197">
        <f t="shared" si="292"/>
        <v>0</v>
      </c>
      <c r="N145" s="197">
        <f t="shared" si="292"/>
        <v>0</v>
      </c>
      <c r="O145" s="197">
        <f t="shared" si="292"/>
        <v>0</v>
      </c>
      <c r="P145" s="197">
        <f t="shared" si="292"/>
        <v>0</v>
      </c>
      <c r="Q145" s="197">
        <f t="shared" si="292"/>
        <v>0</v>
      </c>
      <c r="R145" s="197">
        <f t="shared" si="292"/>
        <v>0</v>
      </c>
      <c r="S145" s="197">
        <f t="shared" si="292"/>
        <v>0</v>
      </c>
      <c r="T145" s="197">
        <f t="shared" si="292"/>
        <v>0</v>
      </c>
      <c r="U145" s="197">
        <f t="shared" si="292"/>
        <v>0</v>
      </c>
      <c r="V145" s="197">
        <f t="shared" si="292"/>
        <v>0</v>
      </c>
      <c r="W145" s="197">
        <f t="shared" si="292"/>
        <v>0</v>
      </c>
      <c r="X145" s="197">
        <f t="shared" si="292"/>
        <v>0</v>
      </c>
      <c r="Y145" s="197">
        <f t="shared" si="292"/>
        <v>0</v>
      </c>
      <c r="Z145" s="197">
        <f t="shared" si="292"/>
        <v>0</v>
      </c>
      <c r="AA145" s="197">
        <f t="shared" si="292"/>
        <v>0</v>
      </c>
      <c r="AB145" s="197">
        <f t="shared" si="292"/>
        <v>0</v>
      </c>
      <c r="AC145" s="197">
        <f t="shared" si="292"/>
        <v>0</v>
      </c>
      <c r="AD145" s="197">
        <f t="shared" si="292"/>
        <v>0</v>
      </c>
      <c r="AE145" s="197">
        <f t="shared" si="292"/>
        <v>0</v>
      </c>
      <c r="AF145" s="197">
        <f t="shared" si="292"/>
        <v>0</v>
      </c>
      <c r="AG145" s="197">
        <f t="shared" si="292"/>
        <v>0</v>
      </c>
      <c r="AH145" s="197">
        <f t="shared" si="292"/>
        <v>0</v>
      </c>
      <c r="AI145" s="197">
        <f t="shared" si="292"/>
        <v>0</v>
      </c>
      <c r="AJ145" s="197">
        <f t="shared" si="292"/>
        <v>0</v>
      </c>
      <c r="AK145" s="197">
        <f t="shared" si="292"/>
        <v>0</v>
      </c>
      <c r="AL145" s="197">
        <f t="shared" si="292"/>
        <v>0</v>
      </c>
      <c r="AM145" s="197">
        <f t="shared" si="292"/>
        <v>0</v>
      </c>
      <c r="AN145" s="197">
        <f t="shared" si="292"/>
        <v>0</v>
      </c>
      <c r="AO145" s="197">
        <f t="shared" si="292"/>
        <v>0</v>
      </c>
      <c r="AP145" s="197">
        <f t="shared" si="292"/>
        <v>0</v>
      </c>
      <c r="AQ145" s="197">
        <f t="shared" si="292"/>
        <v>0</v>
      </c>
      <c r="AR145" s="197">
        <f t="shared" si="292"/>
        <v>0</v>
      </c>
      <c r="AS145" s="197">
        <f t="shared" si="292"/>
        <v>0</v>
      </c>
      <c r="AT145" s="197">
        <f t="shared" si="292"/>
        <v>0</v>
      </c>
      <c r="AU145" s="195">
        <f t="shared" si="292"/>
        <v>0</v>
      </c>
      <c r="AV145" s="232"/>
      <c r="AW145" s="195">
        <f>AW146+AW152</f>
        <v>0</v>
      </c>
      <c r="AX145" s="242" t="e">
        <f t="shared" si="289"/>
        <v>#DIV/0!</v>
      </c>
    </row>
    <row r="146" ht="20.5" customHeight="1" spans="1:50">
      <c r="A146" t="s">
        <v>4</v>
      </c>
      <c r="C146" s="159">
        <v>137</v>
      </c>
      <c r="D146" s="179" t="s">
        <v>216</v>
      </c>
      <c r="E146" s="197">
        <f>E147+E148</f>
        <v>0</v>
      </c>
      <c r="F146" s="197">
        <f>+F147+F148</f>
        <v>0</v>
      </c>
      <c r="G146" s="195">
        <f>G147+G148</f>
        <v>0</v>
      </c>
      <c r="H146" s="197">
        <f>+H147+H148</f>
        <v>0</v>
      </c>
      <c r="I146" s="197">
        <f t="shared" ref="I146:AT146" si="293">+I147+I148</f>
        <v>0</v>
      </c>
      <c r="J146" s="197">
        <f t="shared" si="293"/>
        <v>0</v>
      </c>
      <c r="K146" s="197">
        <f t="shared" si="293"/>
        <v>0</v>
      </c>
      <c r="L146" s="197">
        <f t="shared" si="293"/>
        <v>0</v>
      </c>
      <c r="M146" s="197">
        <f t="shared" si="293"/>
        <v>0</v>
      </c>
      <c r="N146" s="197">
        <f t="shared" si="293"/>
        <v>0</v>
      </c>
      <c r="O146" s="197">
        <f t="shared" si="293"/>
        <v>0</v>
      </c>
      <c r="P146" s="197">
        <f t="shared" si="293"/>
        <v>0</v>
      </c>
      <c r="Q146" s="197">
        <f t="shared" si="293"/>
        <v>0</v>
      </c>
      <c r="R146" s="197">
        <f t="shared" si="293"/>
        <v>0</v>
      </c>
      <c r="S146" s="197">
        <f t="shared" si="293"/>
        <v>0</v>
      </c>
      <c r="T146" s="197">
        <f t="shared" si="293"/>
        <v>0</v>
      </c>
      <c r="U146" s="197">
        <f t="shared" si="293"/>
        <v>0</v>
      </c>
      <c r="V146" s="197">
        <f t="shared" si="293"/>
        <v>0</v>
      </c>
      <c r="W146" s="197">
        <f t="shared" si="293"/>
        <v>0</v>
      </c>
      <c r="X146" s="197">
        <f t="shared" si="293"/>
        <v>0</v>
      </c>
      <c r="Y146" s="197">
        <f t="shared" si="293"/>
        <v>0</v>
      </c>
      <c r="Z146" s="197">
        <f t="shared" si="293"/>
        <v>0</v>
      </c>
      <c r="AA146" s="197">
        <f t="shared" si="293"/>
        <v>0</v>
      </c>
      <c r="AB146" s="197">
        <f t="shared" si="293"/>
        <v>0</v>
      </c>
      <c r="AC146" s="197">
        <f t="shared" si="293"/>
        <v>0</v>
      </c>
      <c r="AD146" s="197">
        <f t="shared" si="293"/>
        <v>0</v>
      </c>
      <c r="AE146" s="197">
        <f t="shared" si="293"/>
        <v>0</v>
      </c>
      <c r="AF146" s="197">
        <f t="shared" si="293"/>
        <v>0</v>
      </c>
      <c r="AG146" s="197">
        <f t="shared" si="293"/>
        <v>0</v>
      </c>
      <c r="AH146" s="197">
        <f t="shared" si="293"/>
        <v>0</v>
      </c>
      <c r="AI146" s="197">
        <f t="shared" si="293"/>
        <v>0</v>
      </c>
      <c r="AJ146" s="197">
        <f t="shared" si="293"/>
        <v>0</v>
      </c>
      <c r="AK146" s="197">
        <f t="shared" si="293"/>
        <v>0</v>
      </c>
      <c r="AL146" s="197">
        <f t="shared" si="293"/>
        <v>0</v>
      </c>
      <c r="AM146" s="197">
        <f t="shared" si="293"/>
        <v>0</v>
      </c>
      <c r="AN146" s="197">
        <f t="shared" si="293"/>
        <v>0</v>
      </c>
      <c r="AO146" s="197">
        <f t="shared" si="293"/>
        <v>0</v>
      </c>
      <c r="AP146" s="197">
        <f t="shared" si="293"/>
        <v>0</v>
      </c>
      <c r="AQ146" s="197">
        <f t="shared" si="293"/>
        <v>0</v>
      </c>
      <c r="AR146" s="197">
        <f t="shared" si="293"/>
        <v>0</v>
      </c>
      <c r="AS146" s="197">
        <f t="shared" si="293"/>
        <v>0</v>
      </c>
      <c r="AT146" s="197">
        <f t="shared" si="293"/>
        <v>0</v>
      </c>
      <c r="AU146" s="195">
        <f>SUM(AU147:AU148)</f>
        <v>0</v>
      </c>
      <c r="AV146" s="232"/>
      <c r="AW146" s="195">
        <f>SUM(AW147:AW148)</f>
        <v>0</v>
      </c>
      <c r="AX146" s="242" t="e">
        <f t="shared" si="289"/>
        <v>#DIV/0!</v>
      </c>
    </row>
    <row r="147" ht="20.5" customHeight="1" spans="1:50">
      <c r="A147" t="s">
        <v>4</v>
      </c>
      <c r="C147" s="159">
        <v>138</v>
      </c>
      <c r="D147" s="172" t="s">
        <v>217</v>
      </c>
      <c r="E147" s="196"/>
      <c r="F147" s="196"/>
      <c r="G147" s="195">
        <f>E147-F147</f>
        <v>0</v>
      </c>
      <c r="H147" s="196"/>
      <c r="I147" s="196"/>
      <c r="J147" s="196"/>
      <c r="K147" s="196"/>
      <c r="L147" s="196"/>
      <c r="M147" s="196"/>
      <c r="N147" s="196"/>
      <c r="O147" s="196"/>
      <c r="P147" s="196"/>
      <c r="Q147" s="196"/>
      <c r="R147" s="196"/>
      <c r="S147" s="196"/>
      <c r="T147" s="196"/>
      <c r="U147" s="196"/>
      <c r="V147" s="196"/>
      <c r="W147" s="196"/>
      <c r="X147" s="196"/>
      <c r="Y147" s="196"/>
      <c r="Z147" s="196"/>
      <c r="AA147" s="196"/>
      <c r="AB147" s="196"/>
      <c r="AC147" s="196"/>
      <c r="AD147" s="196"/>
      <c r="AE147" s="196"/>
      <c r="AF147" s="196"/>
      <c r="AG147" s="228"/>
      <c r="AH147" s="196"/>
      <c r="AI147" s="196"/>
      <c r="AJ147" s="196"/>
      <c r="AK147" s="196"/>
      <c r="AL147" s="196"/>
      <c r="AM147" s="196"/>
      <c r="AN147" s="196"/>
      <c r="AO147" s="196"/>
      <c r="AP147" s="196"/>
      <c r="AQ147" s="196"/>
      <c r="AR147" s="196"/>
      <c r="AS147" s="196"/>
      <c r="AT147" s="196"/>
      <c r="AU147" s="195">
        <f>IF(G147-I147-J147-K147-L147-M147-N147-O147-P147-Q147-R147-S147-T147-U147-V147-W147-X147-Y147-Z147-AA147-AB147-AC147-AD147-AE147-AF147-AG147-AH147-AI147-AJ147-AL147-AM147-AN147-AO147-AP147-AQ147-AR147-AS147-AT147&lt;0,0,G147-I147-J147-K147-L147-M147-N147-O147-P147-Q147-R147-S147-T147-U147-V147-W147-X147-Y147-Z147-AA147-AB147-AC147-AD147-AE147-AF147-AG147-AH147-AI147-AJ147-AL147-AM147-AN147-AO147-AP147-AQ147-AR147-AS147-AT147)</f>
        <v>0</v>
      </c>
      <c r="AV147" s="233">
        <v>0.65</v>
      </c>
      <c r="AW147" s="243">
        <f>I147*$I$8+J147*$J$8+K147*$K$8+L147*$L$8+M147*$M$8+N147*$N$8+O147*$O$8+P147*$P$8+Q147*$Q$8+R147*$R$8+S147*$S$8+T147*$T$8+U147*$U$8+V147*$V$8+W147*$W$8+X147*$X$8+Y147*$Y$8+Z147*$Z$8+AA147*$AA$8++AB147*$AB$8+AC147*$AC$8+AD147*$AD$8+AE147*$AE$8+AF147*$AF$8+AG147*$AG$8+AH147*$AH$8+AI147*$AI$8+AJ147*$AJ$8+AL147*$AL$8+AM147*$AM$8+AN147*$AN$8+AO147*$AO$8+AP147*$AP$8+AQ147*$AQ$8+AR147*$AR$8+AS147*$AS$8+AT147*$AT$8</f>
        <v>0</v>
      </c>
      <c r="AX147" s="242" t="e">
        <f t="shared" si="289"/>
        <v>#DIV/0!</v>
      </c>
    </row>
    <row r="148" ht="20.5" customHeight="1" spans="1:50">
      <c r="A148" t="s">
        <v>4</v>
      </c>
      <c r="C148" s="159">
        <v>139</v>
      </c>
      <c r="D148" s="172" t="s">
        <v>218</v>
      </c>
      <c r="E148" s="197">
        <f t="shared" ref="E148:H148" si="294">E149+E150+E151</f>
        <v>0</v>
      </c>
      <c r="F148" s="197">
        <f t="shared" si="294"/>
        <v>0</v>
      </c>
      <c r="G148" s="195">
        <f>SUM(G149:G151)</f>
        <v>0</v>
      </c>
      <c r="H148" s="197">
        <f t="shared" si="294"/>
        <v>0</v>
      </c>
      <c r="I148" s="197">
        <f t="shared" ref="I148:AT148" si="295">I149+I150+I151</f>
        <v>0</v>
      </c>
      <c r="J148" s="197">
        <f t="shared" si="295"/>
        <v>0</v>
      </c>
      <c r="K148" s="197">
        <f t="shared" si="295"/>
        <v>0</v>
      </c>
      <c r="L148" s="197">
        <f t="shared" si="295"/>
        <v>0</v>
      </c>
      <c r="M148" s="197">
        <f t="shared" si="295"/>
        <v>0</v>
      </c>
      <c r="N148" s="197">
        <f t="shared" si="295"/>
        <v>0</v>
      </c>
      <c r="O148" s="197">
        <f t="shared" si="295"/>
        <v>0</v>
      </c>
      <c r="P148" s="197">
        <f t="shared" si="295"/>
        <v>0</v>
      </c>
      <c r="Q148" s="197">
        <f t="shared" si="295"/>
        <v>0</v>
      </c>
      <c r="R148" s="197">
        <f t="shared" si="295"/>
        <v>0</v>
      </c>
      <c r="S148" s="197">
        <f t="shared" si="295"/>
        <v>0</v>
      </c>
      <c r="T148" s="197">
        <f t="shared" si="295"/>
        <v>0</v>
      </c>
      <c r="U148" s="197">
        <f t="shared" si="295"/>
        <v>0</v>
      </c>
      <c r="V148" s="197">
        <f t="shared" si="295"/>
        <v>0</v>
      </c>
      <c r="W148" s="197">
        <f t="shared" si="295"/>
        <v>0</v>
      </c>
      <c r="X148" s="197">
        <f t="shared" si="295"/>
        <v>0</v>
      </c>
      <c r="Y148" s="197">
        <f t="shared" si="295"/>
        <v>0</v>
      </c>
      <c r="Z148" s="197">
        <f t="shared" si="295"/>
        <v>0</v>
      </c>
      <c r="AA148" s="197">
        <f t="shared" si="295"/>
        <v>0</v>
      </c>
      <c r="AB148" s="197">
        <f t="shared" si="295"/>
        <v>0</v>
      </c>
      <c r="AC148" s="197">
        <f t="shared" si="295"/>
        <v>0</v>
      </c>
      <c r="AD148" s="197">
        <f t="shared" si="295"/>
        <v>0</v>
      </c>
      <c r="AE148" s="197">
        <f t="shared" si="295"/>
        <v>0</v>
      </c>
      <c r="AF148" s="197">
        <f t="shared" si="295"/>
        <v>0</v>
      </c>
      <c r="AG148" s="197">
        <f t="shared" si="295"/>
        <v>0</v>
      </c>
      <c r="AH148" s="197">
        <f t="shared" si="295"/>
        <v>0</v>
      </c>
      <c r="AI148" s="197">
        <f t="shared" si="295"/>
        <v>0</v>
      </c>
      <c r="AJ148" s="197">
        <f t="shared" si="295"/>
        <v>0</v>
      </c>
      <c r="AK148" s="197">
        <f t="shared" si="295"/>
        <v>0</v>
      </c>
      <c r="AL148" s="197">
        <f t="shared" si="295"/>
        <v>0</v>
      </c>
      <c r="AM148" s="197">
        <f t="shared" si="295"/>
        <v>0</v>
      </c>
      <c r="AN148" s="197">
        <f t="shared" si="295"/>
        <v>0</v>
      </c>
      <c r="AO148" s="197">
        <f t="shared" si="295"/>
        <v>0</v>
      </c>
      <c r="AP148" s="197">
        <f t="shared" si="295"/>
        <v>0</v>
      </c>
      <c r="AQ148" s="197">
        <f t="shared" si="295"/>
        <v>0</v>
      </c>
      <c r="AR148" s="197">
        <f t="shared" si="295"/>
        <v>0</v>
      </c>
      <c r="AS148" s="197">
        <f t="shared" si="295"/>
        <v>0</v>
      </c>
      <c r="AT148" s="197">
        <f t="shared" si="295"/>
        <v>0</v>
      </c>
      <c r="AU148" s="195">
        <f>SUM(AU149:AU151)</f>
        <v>0</v>
      </c>
      <c r="AV148" s="233"/>
      <c r="AW148" s="195">
        <f>SUM(AW149:AW151)</f>
        <v>0</v>
      </c>
      <c r="AX148" s="242" t="e">
        <f t="shared" si="289"/>
        <v>#DIV/0!</v>
      </c>
    </row>
    <row r="149" ht="20.5" customHeight="1" spans="1:50">
      <c r="A149" t="s">
        <v>4</v>
      </c>
      <c r="C149" s="159">
        <v>140</v>
      </c>
      <c r="D149" s="260" t="s">
        <v>219</v>
      </c>
      <c r="E149" s="196"/>
      <c r="F149" s="196"/>
      <c r="G149" s="195">
        <f>E149-F149</f>
        <v>0</v>
      </c>
      <c r="H149" s="196"/>
      <c r="I149" s="196"/>
      <c r="J149" s="196"/>
      <c r="K149" s="196"/>
      <c r="L149" s="196"/>
      <c r="M149" s="196"/>
      <c r="N149" s="196"/>
      <c r="O149" s="196"/>
      <c r="P149" s="196"/>
      <c r="Q149" s="196"/>
      <c r="R149" s="196"/>
      <c r="S149" s="196"/>
      <c r="T149" s="196"/>
      <c r="U149" s="196"/>
      <c r="V149" s="196"/>
      <c r="W149" s="196"/>
      <c r="X149" s="196"/>
      <c r="Y149" s="196"/>
      <c r="Z149" s="196"/>
      <c r="AA149" s="196"/>
      <c r="AB149" s="196"/>
      <c r="AC149" s="196"/>
      <c r="AD149" s="196"/>
      <c r="AE149" s="196"/>
      <c r="AF149" s="196"/>
      <c r="AG149" s="196"/>
      <c r="AH149" s="196"/>
      <c r="AI149" s="196"/>
      <c r="AJ149" s="196"/>
      <c r="AK149" s="196"/>
      <c r="AL149" s="196"/>
      <c r="AM149" s="196"/>
      <c r="AN149" s="196"/>
      <c r="AO149" s="196"/>
      <c r="AP149" s="196"/>
      <c r="AQ149" s="196"/>
      <c r="AR149" s="196"/>
      <c r="AS149" s="196"/>
      <c r="AT149" s="196"/>
      <c r="AU149" s="195">
        <f>IF(G149-I149-J149-K149-L149-M149-N149-O149-P149-Q149-R149-S149-T149-U149-V149-W149-X149-Y149-Z149-AA149-AB149-AC149-AD149-AE149-AF149-AG149-AH149-AI149-AJ149-AL149-AM149-AN149-AO149-AP149-AQ149-AR149-AS149-AT149&lt;0,0,G149-I149-J149-K149-L149-M149-N149-O149-P149-Q149-R149-S149-T149-U149-V149-W149-X149-Y149-Z149-AA149-AB149-AC149-AD149-AE149-AF149-AG149-AH149-AI149-AJ149-AL149-AM149-AN149-AO149-AP149-AQ149-AR149-AS149-AT149)</f>
        <v>0</v>
      </c>
      <c r="AV149" s="233">
        <v>0.75</v>
      </c>
      <c r="AW149" s="243">
        <f>I149*$I$8+J149*$J$8+K149*$K$8+L149*$L$8+M149*$M$8+N149*$N$8+O149*$O$8+P149*$P$8+Q149*$Q$8+R149*$R$8+S149*$S$8+T149*$T$8+U149*$U$8+V149*$V$8+W149*$W$8+X149*$X$8+Y149*$Y$8+Z149*$Z$8+AA149*$AA$8++AB149*$AB$8+AC149*$AC$8+AD149*$AD$8+AE149*$AE$8+AF149*$AF$8+AG149*$AG$8+AH149*$AH$8+AI149*$AI$8+AJ149*$AJ$8+AL149*$AL$8+AM149*$AM$8+AN149*$AN$8+AO149*$AO$8+AP149*$AP$8+AQ149*$AQ$8+AR149*$AR$8+AS149*$AS$8+AT149*$AT$8</f>
        <v>0</v>
      </c>
      <c r="AX149" s="242" t="e">
        <f t="shared" si="289"/>
        <v>#DIV/0!</v>
      </c>
    </row>
    <row r="150" ht="20.5" customHeight="1" spans="1:50">
      <c r="A150" t="s">
        <v>4</v>
      </c>
      <c r="C150" s="159">
        <v>141</v>
      </c>
      <c r="D150" s="260" t="s">
        <v>220</v>
      </c>
      <c r="E150" s="196"/>
      <c r="F150" s="196"/>
      <c r="G150" s="195">
        <f>E150-F150</f>
        <v>0</v>
      </c>
      <c r="H150" s="196"/>
      <c r="I150" s="196"/>
      <c r="J150" s="196"/>
      <c r="K150" s="196"/>
      <c r="L150" s="196"/>
      <c r="M150" s="196"/>
      <c r="N150" s="196"/>
      <c r="O150" s="196"/>
      <c r="P150" s="196"/>
      <c r="Q150" s="196"/>
      <c r="R150" s="196"/>
      <c r="S150" s="196"/>
      <c r="T150" s="196"/>
      <c r="U150" s="196"/>
      <c r="V150" s="196"/>
      <c r="W150" s="196"/>
      <c r="X150" s="196"/>
      <c r="Y150" s="196"/>
      <c r="Z150" s="196"/>
      <c r="AA150" s="196"/>
      <c r="AB150" s="196"/>
      <c r="AC150" s="196"/>
      <c r="AD150" s="196"/>
      <c r="AE150" s="196"/>
      <c r="AF150" s="196"/>
      <c r="AG150" s="228"/>
      <c r="AH150" s="196"/>
      <c r="AI150" s="196"/>
      <c r="AJ150" s="196"/>
      <c r="AK150" s="196"/>
      <c r="AL150" s="196"/>
      <c r="AM150" s="196"/>
      <c r="AN150" s="196"/>
      <c r="AO150" s="196"/>
      <c r="AP150" s="196"/>
      <c r="AQ150" s="196"/>
      <c r="AR150" s="196"/>
      <c r="AS150" s="196"/>
      <c r="AT150" s="196"/>
      <c r="AU150" s="195">
        <f>IF(G150-I150-J150-K150-L150-M150-N150-O150-P150-Q150-R150-S150-T150-U150-V150-W150-X150-Y150-Z150-AA150-AB150-AC150-AD150-AE150-AF150-AG150-AH150-AI150-AJ150-AL150-AM150-AN150-AO150-AP150-AQ150-AR150-AS150-AT150&lt;0,0,G150-I150-J150-K150-L150-M150-N150-O150-P150-Q150-R150-S150-T150-U150-V150-W150-X150-Y150-Z150-AA150-AB150-AC150-AD150-AE150-AF150-AG150-AH150-AI150-AJ150-AL150-AM150-AN150-AO150-AP150-AQ150-AR150-AS150-AT150)</f>
        <v>0</v>
      </c>
      <c r="AV150" s="233">
        <v>0.85</v>
      </c>
      <c r="AW150" s="243">
        <f>I150*$I$8+J150*$J$8+K150*$K$8+L150*$L$8+M150*$M$8+N150*$N$8+O150*$O$8+P150*$P$8+Q150*$Q$8+R150*$R$8+S150*$S$8+T150*$T$8+U150*$U$8+V150*$V$8+W150*$W$8+X150*$X$8+Y150*$Y$8+Z150*$Z$8+AA150*$AA$8++AB150*$AB$8+AC150*$AC$8+AD150*$AD$8+AE150*$AE$8+AF150*$AF$8+AG150*$AG$8+AH150*$AH$8+AI150*$AI$8+AJ150*$AJ$8+AL150*$AL$8+AM150*$AM$8+AN150*$AN$8+AO150*$AO$8+AP150*$AP$8+AQ150*$AQ$8+AR150*$AR$8+AS150*$AS$8+AT150*$AT$8</f>
        <v>0</v>
      </c>
      <c r="AX150" s="242" t="e">
        <f t="shared" si="289"/>
        <v>#DIV/0!</v>
      </c>
    </row>
    <row r="151" ht="20.5" customHeight="1" spans="1:50">
      <c r="A151" t="s">
        <v>4</v>
      </c>
      <c r="C151" s="159">
        <v>142</v>
      </c>
      <c r="D151" s="260" t="s">
        <v>221</v>
      </c>
      <c r="E151" s="196"/>
      <c r="F151" s="196"/>
      <c r="G151" s="195">
        <f>E151-F151</f>
        <v>0</v>
      </c>
      <c r="H151" s="196"/>
      <c r="I151" s="196"/>
      <c r="J151" s="196"/>
      <c r="K151" s="196"/>
      <c r="L151" s="196"/>
      <c r="M151" s="196"/>
      <c r="N151" s="196"/>
      <c r="O151" s="196"/>
      <c r="P151" s="196"/>
      <c r="Q151" s="196"/>
      <c r="R151" s="196"/>
      <c r="S151" s="196"/>
      <c r="T151" s="196"/>
      <c r="U151" s="196"/>
      <c r="V151" s="196"/>
      <c r="W151" s="196"/>
      <c r="X151" s="196"/>
      <c r="Y151" s="196"/>
      <c r="Z151" s="196"/>
      <c r="AA151" s="196"/>
      <c r="AB151" s="196"/>
      <c r="AC151" s="196"/>
      <c r="AD151" s="196"/>
      <c r="AE151" s="196"/>
      <c r="AF151" s="196"/>
      <c r="AG151" s="228"/>
      <c r="AH151" s="196"/>
      <c r="AI151" s="196"/>
      <c r="AJ151" s="196"/>
      <c r="AK151" s="196"/>
      <c r="AL151" s="196"/>
      <c r="AM151" s="196"/>
      <c r="AN151" s="196"/>
      <c r="AO151" s="196"/>
      <c r="AP151" s="196"/>
      <c r="AQ151" s="196"/>
      <c r="AR151" s="196"/>
      <c r="AS151" s="196"/>
      <c r="AT151" s="196"/>
      <c r="AU151" s="195">
        <f>IF(G151-I151-J151-K151-L151-M151-N151-O151-P151-Q151-R151-S151-T151-U151-V151-W151-X151-Y151-Z151-AA151-AB151-AC151-AD151-AE151-AF151-AG151-AH151-AI151-AJ151-AL151-AM151-AN151-AO151-AP151-AQ151-AR151-AS151-AT151&lt;0,0,G151-I151-J151-K151-L151-M151-N151-O151-P151-Q151-R151-S151-T151-U151-V151-W151-X151-Y151-Z151-AA151-AB151-AC151-AD151-AE151-AF151-AG151-AH151-AI151-AJ151-AL151-AM151-AN151-AO151-AP151-AQ151-AR151-AS151-AT151)</f>
        <v>0</v>
      </c>
      <c r="AV151" s="233">
        <v>1</v>
      </c>
      <c r="AW151" s="243">
        <f>I151*$I$8+J151*$J$8+K151*$K$8+L151*$L$8+M151*$M$8+N151*$N$8+O151*$O$8+P151*$P$8+Q151*$Q$8+R151*$R$8+S151*$S$8+T151*$T$8+U151*$U$8+V151*$V$8+W151*$W$8+X151*$X$8+Y151*$Y$8+Z151*$Z$8+AA151*$AA$8++AB151*$AB$8+AC151*$AC$8+AD151*$AD$8+AE151*$AE$8+AF151*$AF$8+AG151*$AG$8+AH151*$AH$8+AI151*$AI$8+AJ151*$AJ$8+AL151*$AL$8+AM151*$AM$8+AN151*$AN$8+AO151*$AO$8+AP151*$AP$8+AQ151*$AQ$8+AR151*$AR$8+AS151*$AS$8+AT151*$AT$8</f>
        <v>0</v>
      </c>
      <c r="AX151" s="242" t="e">
        <f t="shared" si="289"/>
        <v>#DIV/0!</v>
      </c>
    </row>
    <row r="152" ht="20.5" customHeight="1" spans="1:50">
      <c r="A152" t="s">
        <v>4</v>
      </c>
      <c r="C152" s="159">
        <v>143</v>
      </c>
      <c r="D152" s="179" t="s">
        <v>222</v>
      </c>
      <c r="E152" s="197">
        <f t="shared" ref="E152:H152" si="296">E153+E154+E155</f>
        <v>0</v>
      </c>
      <c r="F152" s="197">
        <f t="shared" si="296"/>
        <v>0</v>
      </c>
      <c r="G152" s="195">
        <f>SUM(G153:G155)</f>
        <v>0</v>
      </c>
      <c r="H152" s="197">
        <f t="shared" si="296"/>
        <v>0</v>
      </c>
      <c r="I152" s="197">
        <f t="shared" ref="I152:AT152" si="297">I153+I154+I155</f>
        <v>0</v>
      </c>
      <c r="J152" s="197">
        <f t="shared" si="297"/>
        <v>0</v>
      </c>
      <c r="K152" s="197">
        <f t="shared" si="297"/>
        <v>0</v>
      </c>
      <c r="L152" s="197">
        <f t="shared" si="297"/>
        <v>0</v>
      </c>
      <c r="M152" s="197">
        <f t="shared" si="297"/>
        <v>0</v>
      </c>
      <c r="N152" s="197">
        <f t="shared" si="297"/>
        <v>0</v>
      </c>
      <c r="O152" s="197">
        <f t="shared" si="297"/>
        <v>0</v>
      </c>
      <c r="P152" s="197">
        <f t="shared" si="297"/>
        <v>0</v>
      </c>
      <c r="Q152" s="197">
        <f t="shared" si="297"/>
        <v>0</v>
      </c>
      <c r="R152" s="197">
        <f t="shared" si="297"/>
        <v>0</v>
      </c>
      <c r="S152" s="197">
        <f t="shared" si="297"/>
        <v>0</v>
      </c>
      <c r="T152" s="197">
        <f t="shared" si="297"/>
        <v>0</v>
      </c>
      <c r="U152" s="197">
        <f t="shared" si="297"/>
        <v>0</v>
      </c>
      <c r="V152" s="197">
        <f t="shared" si="297"/>
        <v>0</v>
      </c>
      <c r="W152" s="197">
        <f t="shared" si="297"/>
        <v>0</v>
      </c>
      <c r="X152" s="197">
        <f t="shared" si="297"/>
        <v>0</v>
      </c>
      <c r="Y152" s="197">
        <f t="shared" si="297"/>
        <v>0</v>
      </c>
      <c r="Z152" s="197">
        <f t="shared" si="297"/>
        <v>0</v>
      </c>
      <c r="AA152" s="197">
        <f t="shared" si="297"/>
        <v>0</v>
      </c>
      <c r="AB152" s="197">
        <f t="shared" si="297"/>
        <v>0</v>
      </c>
      <c r="AC152" s="197">
        <f t="shared" si="297"/>
        <v>0</v>
      </c>
      <c r="AD152" s="197">
        <f t="shared" si="297"/>
        <v>0</v>
      </c>
      <c r="AE152" s="197">
        <f t="shared" si="297"/>
        <v>0</v>
      </c>
      <c r="AF152" s="197">
        <f t="shared" si="297"/>
        <v>0</v>
      </c>
      <c r="AG152" s="197">
        <f t="shared" si="297"/>
        <v>0</v>
      </c>
      <c r="AH152" s="197">
        <f t="shared" si="297"/>
        <v>0</v>
      </c>
      <c r="AI152" s="197">
        <f t="shared" si="297"/>
        <v>0</v>
      </c>
      <c r="AJ152" s="197">
        <f t="shared" si="297"/>
        <v>0</v>
      </c>
      <c r="AK152" s="197">
        <f t="shared" si="297"/>
        <v>0</v>
      </c>
      <c r="AL152" s="197">
        <f t="shared" si="297"/>
        <v>0</v>
      </c>
      <c r="AM152" s="197">
        <f t="shared" si="297"/>
        <v>0</v>
      </c>
      <c r="AN152" s="197">
        <f t="shared" si="297"/>
        <v>0</v>
      </c>
      <c r="AO152" s="197">
        <f t="shared" si="297"/>
        <v>0</v>
      </c>
      <c r="AP152" s="197">
        <f t="shared" si="297"/>
        <v>0</v>
      </c>
      <c r="AQ152" s="197">
        <f t="shared" si="297"/>
        <v>0</v>
      </c>
      <c r="AR152" s="197">
        <f t="shared" si="297"/>
        <v>0</v>
      </c>
      <c r="AS152" s="197">
        <f t="shared" si="297"/>
        <v>0</v>
      </c>
      <c r="AT152" s="197">
        <f t="shared" si="297"/>
        <v>0</v>
      </c>
      <c r="AU152" s="195">
        <f>SUM(AU153:AU155)</f>
        <v>0</v>
      </c>
      <c r="AV152" s="232"/>
      <c r="AW152" s="195">
        <f>SUM(AW153:AW155)</f>
        <v>0</v>
      </c>
      <c r="AX152" s="242" t="e">
        <f t="shared" si="289"/>
        <v>#DIV/0!</v>
      </c>
    </row>
    <row r="153" ht="20.5" customHeight="1" spans="1:50">
      <c r="A153" t="s">
        <v>4</v>
      </c>
      <c r="C153" s="159">
        <v>144</v>
      </c>
      <c r="D153" s="172" t="s">
        <v>223</v>
      </c>
      <c r="E153" s="196"/>
      <c r="F153" s="196"/>
      <c r="G153" s="195">
        <f>E153-F153</f>
        <v>0</v>
      </c>
      <c r="H153" s="196"/>
      <c r="I153" s="196"/>
      <c r="J153" s="196"/>
      <c r="K153" s="196"/>
      <c r="L153" s="196"/>
      <c r="M153" s="196"/>
      <c r="N153" s="196"/>
      <c r="O153" s="196"/>
      <c r="P153" s="196"/>
      <c r="Q153" s="196"/>
      <c r="R153" s="196"/>
      <c r="S153" s="196"/>
      <c r="T153" s="196"/>
      <c r="U153" s="196"/>
      <c r="V153" s="196"/>
      <c r="W153" s="196"/>
      <c r="X153" s="196"/>
      <c r="Y153" s="196"/>
      <c r="Z153" s="196"/>
      <c r="AA153" s="196"/>
      <c r="AB153" s="196"/>
      <c r="AC153" s="196"/>
      <c r="AD153" s="196"/>
      <c r="AE153" s="196"/>
      <c r="AF153" s="196"/>
      <c r="AG153" s="196"/>
      <c r="AH153" s="196"/>
      <c r="AI153" s="196"/>
      <c r="AJ153" s="196"/>
      <c r="AK153" s="196"/>
      <c r="AL153" s="196"/>
      <c r="AM153" s="196"/>
      <c r="AN153" s="196"/>
      <c r="AO153" s="196"/>
      <c r="AP153" s="196"/>
      <c r="AQ153" s="196"/>
      <c r="AR153" s="196"/>
      <c r="AS153" s="196"/>
      <c r="AT153" s="196"/>
      <c r="AU153" s="195">
        <f>IF(G153-I153-J153-K153-L153-M153-N153-O153-P153-Q153-R153-S153-T153-U153-V153-W153-X153-Y153-Z153-AA153-AB153-AC153-AD153-AE153-AF153-AG153-AH153-AI153-AJ153-AL153-AM153-AN153-AO153-AP153-AQ153-AR153-AS153-AT153&lt;0,0,G153-I153-J153-K153-L153-M153-N153-O153-P153-Q153-R153-S153-T153-U153-V153-W153-X153-Y153-Z153-AA153-AB153-AC153-AD153-AE153-AF153-AG153-AH153-AI153-AJ153-AL153-AM153-AN153-AO153-AP153-AQ153-AR153-AS153-AT153)</f>
        <v>0</v>
      </c>
      <c r="AV153" s="233">
        <v>0.75</v>
      </c>
      <c r="AW153" s="243">
        <f>I153*$I$8+J153*$J$8+K153*$K$8+L153*$L$8+M153*$M$8+N153*$N$8+O153*$O$8+P153*$P$8+Q153*$Q$8+R153*$R$8+S153*$S$8+T153*$T$8+U153*$U$8+V153*$V$8+W153*$W$8+X153*$X$8+Y153*$Y$8+Z153*$Z$8+AA153*$AA$8++AB153*$AB$8+AC153*$AC$8+AD153*$AD$8+AE153*$AE$8+AF153*$AF$8+AG153*$AG$8+AH153*$AH$8+AI153*$AI$8+AJ153*$AJ$8+AL153*$AL$8+AM153*$AM$8+AN153*$AN$8+AO153*$AO$8+AP153*$AP$8+AQ153*$AQ$8+AR153*$AR$8+AS153*$AS$8+AT153*$AT$8</f>
        <v>0</v>
      </c>
      <c r="AX153" s="242" t="e">
        <f t="shared" si="289"/>
        <v>#DIV/0!</v>
      </c>
    </row>
    <row r="154" ht="20.5" customHeight="1" spans="1:50">
      <c r="A154" t="s">
        <v>4</v>
      </c>
      <c r="C154" s="159">
        <v>145</v>
      </c>
      <c r="D154" s="172" t="s">
        <v>224</v>
      </c>
      <c r="E154" s="196"/>
      <c r="F154" s="196"/>
      <c r="G154" s="195">
        <f>E154-F154</f>
        <v>0</v>
      </c>
      <c r="H154" s="196"/>
      <c r="I154" s="196"/>
      <c r="J154" s="196"/>
      <c r="K154" s="196"/>
      <c r="L154" s="196"/>
      <c r="M154" s="196"/>
      <c r="N154" s="196"/>
      <c r="O154" s="196"/>
      <c r="P154" s="196"/>
      <c r="Q154" s="196"/>
      <c r="R154" s="196"/>
      <c r="S154" s="196"/>
      <c r="T154" s="196"/>
      <c r="U154" s="196"/>
      <c r="V154" s="196"/>
      <c r="W154" s="196"/>
      <c r="X154" s="196"/>
      <c r="Y154" s="196"/>
      <c r="Z154" s="196"/>
      <c r="AA154" s="196"/>
      <c r="AB154" s="196"/>
      <c r="AC154" s="196"/>
      <c r="AD154" s="196"/>
      <c r="AE154" s="196"/>
      <c r="AF154" s="196"/>
      <c r="AG154" s="228"/>
      <c r="AH154" s="196"/>
      <c r="AI154" s="196"/>
      <c r="AJ154" s="196"/>
      <c r="AK154" s="196"/>
      <c r="AL154" s="196"/>
      <c r="AM154" s="196"/>
      <c r="AN154" s="196"/>
      <c r="AO154" s="196"/>
      <c r="AP154" s="196"/>
      <c r="AQ154" s="196"/>
      <c r="AR154" s="196"/>
      <c r="AS154" s="196"/>
      <c r="AT154" s="196"/>
      <c r="AU154" s="195">
        <f>IF(G154-I154-J154-K154-L154-M154-N154-O154-P154-Q154-R154-S154-T154-U154-V154-W154-X154-Y154-Z154-AA154-AB154-AC154-AD154-AE154-AF154-AG154-AH154-AI154-AJ154-AL154-AM154-AN154-AO154-AP154-AQ154-AR154-AS154-AT154&lt;0,0,G154-I154-J154-K154-L154-M154-N154-O154-P154-Q154-R154-S154-T154-U154-V154-W154-X154-Y154-Z154-AA154-AB154-AC154-AD154-AE154-AF154-AG154-AH154-AI154-AJ154-AL154-AM154-AN154-AO154-AP154-AQ154-AR154-AS154-AT154)</f>
        <v>0</v>
      </c>
      <c r="AV154" s="233">
        <v>0.85</v>
      </c>
      <c r="AW154" s="243">
        <f>I154*$I$8+J154*$J$8+K154*$K$8+L154*$L$8+M154*$M$8+N154*$N$8+O154*$O$8+P154*$P$8+Q154*$Q$8+R154*$R$8+S154*$S$8+T154*$T$8+U154*$U$8+V154*$V$8+W154*$W$8+X154*$X$8+Y154*$Y$8+Z154*$Z$8+AA154*$AA$8++AB154*$AB$8+AC154*$AC$8+AD154*$AD$8+AE154*$AE$8+AF154*$AF$8+AG154*$AG$8+AH154*$AH$8+AI154*$AI$8+AJ154*$AJ$8+AL154*$AL$8+AM154*$AM$8+AN154*$AN$8+AO154*$AO$8+AP154*$AP$8+AQ154*$AQ$8+AR154*$AR$8+AS154*$AS$8+AT154*$AT$8</f>
        <v>0</v>
      </c>
      <c r="AX154" s="242" t="e">
        <f t="shared" si="289"/>
        <v>#DIV/0!</v>
      </c>
    </row>
    <row r="155" ht="20.5" customHeight="1" spans="1:50">
      <c r="A155" t="s">
        <v>4</v>
      </c>
      <c r="C155" s="159">
        <v>146</v>
      </c>
      <c r="D155" s="172" t="s">
        <v>225</v>
      </c>
      <c r="E155" s="196"/>
      <c r="F155" s="196"/>
      <c r="G155" s="195">
        <f>E155-F155</f>
        <v>0</v>
      </c>
      <c r="H155" s="196"/>
      <c r="I155" s="196"/>
      <c r="J155" s="196"/>
      <c r="K155" s="196"/>
      <c r="L155" s="196"/>
      <c r="M155" s="196"/>
      <c r="N155" s="196"/>
      <c r="O155" s="196"/>
      <c r="P155" s="196"/>
      <c r="Q155" s="196"/>
      <c r="R155" s="196"/>
      <c r="S155" s="196"/>
      <c r="T155" s="196"/>
      <c r="U155" s="196"/>
      <c r="V155" s="196"/>
      <c r="W155" s="196"/>
      <c r="X155" s="196"/>
      <c r="Y155" s="196"/>
      <c r="Z155" s="196"/>
      <c r="AA155" s="196"/>
      <c r="AB155" s="196"/>
      <c r="AC155" s="196"/>
      <c r="AD155" s="196"/>
      <c r="AE155" s="196"/>
      <c r="AF155" s="196"/>
      <c r="AG155" s="228"/>
      <c r="AH155" s="196"/>
      <c r="AI155" s="196"/>
      <c r="AJ155" s="196"/>
      <c r="AK155" s="196"/>
      <c r="AL155" s="196"/>
      <c r="AM155" s="196"/>
      <c r="AN155" s="196"/>
      <c r="AO155" s="196"/>
      <c r="AP155" s="196"/>
      <c r="AQ155" s="196"/>
      <c r="AR155" s="196"/>
      <c r="AS155" s="196"/>
      <c r="AT155" s="196"/>
      <c r="AU155" s="195">
        <f>IF(G155-I155-J155-K155-L155-M155-N155-O155-P155-Q155-R155-S155-T155-U155-V155-W155-X155-Y155-Z155-AA155-AB155-AC155-AD155-AE155-AF155-AG155-AH155-AI155-AJ155-AL155-AM155-AN155-AO155-AP155-AQ155-AR155-AS155-AT155&lt;0,0,G155-I155-J155-K155-L155-M155-N155-O155-P155-Q155-R155-S155-T155-U155-V155-W155-X155-Y155-Z155-AA155-AB155-AC155-AD155-AE155-AF155-AG155-AH155-AI155-AJ155-AL155-AM155-AN155-AO155-AP155-AQ155-AR155-AS155-AT155)</f>
        <v>0</v>
      </c>
      <c r="AV155" s="233">
        <v>1</v>
      </c>
      <c r="AW155" s="243">
        <f>I155*$I$8+J155*$J$8+K155*$K$8+L155*$L$8+M155*$M$8+N155*$N$8+O155*$O$8+P155*$P$8+Q155*$Q$8+R155*$R$8+S155*$S$8+T155*$T$8+U155*$U$8+V155*$V$8+W155*$W$8+X155*$X$8+Y155*$Y$8+Z155*$Z$8+AA155*$AA$8++AB155*$AB$8+AC155*$AC$8+AD155*$AD$8+AE155*$AE$8+AF155*$AF$8+AG155*$AG$8+AH155*$AH$8+AI155*$AI$8+AJ155*$AJ$8+AL155*$AL$8+AM155*$AM$8+AN155*$AN$8+AO155*$AO$8+AP155*$AP$8+AQ155*$AQ$8+AR155*$AR$8+AS155*$AS$8+AT155*$AT$8</f>
        <v>0</v>
      </c>
      <c r="AX155" s="242" t="e">
        <f t="shared" si="289"/>
        <v>#DIV/0!</v>
      </c>
    </row>
    <row r="156" ht="20.5" customHeight="1" spans="1:50">
      <c r="A156" t="s">
        <v>4</v>
      </c>
      <c r="C156" s="159">
        <v>147</v>
      </c>
      <c r="D156" s="248" t="s">
        <v>226</v>
      </c>
      <c r="E156" s="197">
        <f t="shared" ref="E156:H156" si="298">E157+E163</f>
        <v>0</v>
      </c>
      <c r="F156" s="197">
        <f t="shared" si="298"/>
        <v>0</v>
      </c>
      <c r="G156" s="195">
        <f t="shared" si="298"/>
        <v>0</v>
      </c>
      <c r="H156" s="197">
        <f t="shared" si="298"/>
        <v>0</v>
      </c>
      <c r="I156" s="197">
        <f t="shared" ref="I156:AU156" si="299">I157+I163</f>
        <v>0</v>
      </c>
      <c r="J156" s="197">
        <f t="shared" si="299"/>
        <v>0</v>
      </c>
      <c r="K156" s="197">
        <f t="shared" si="299"/>
        <v>0</v>
      </c>
      <c r="L156" s="197">
        <f t="shared" si="299"/>
        <v>0</v>
      </c>
      <c r="M156" s="197">
        <f t="shared" si="299"/>
        <v>0</v>
      </c>
      <c r="N156" s="197">
        <f t="shared" si="299"/>
        <v>0</v>
      </c>
      <c r="O156" s="197">
        <f t="shared" si="299"/>
        <v>0</v>
      </c>
      <c r="P156" s="197">
        <f t="shared" si="299"/>
        <v>0</v>
      </c>
      <c r="Q156" s="197">
        <f t="shared" si="299"/>
        <v>0</v>
      </c>
      <c r="R156" s="197">
        <f t="shared" si="299"/>
        <v>0</v>
      </c>
      <c r="S156" s="197">
        <f t="shared" si="299"/>
        <v>0</v>
      </c>
      <c r="T156" s="197">
        <f t="shared" si="299"/>
        <v>0</v>
      </c>
      <c r="U156" s="197">
        <f t="shared" si="299"/>
        <v>0</v>
      </c>
      <c r="V156" s="197">
        <f t="shared" si="299"/>
        <v>0</v>
      </c>
      <c r="W156" s="197">
        <f t="shared" si="299"/>
        <v>0</v>
      </c>
      <c r="X156" s="197">
        <f t="shared" si="299"/>
        <v>0</v>
      </c>
      <c r="Y156" s="197">
        <f t="shared" si="299"/>
        <v>0</v>
      </c>
      <c r="Z156" s="197">
        <f t="shared" si="299"/>
        <v>0</v>
      </c>
      <c r="AA156" s="197">
        <f t="shared" si="299"/>
        <v>0</v>
      </c>
      <c r="AB156" s="197">
        <f t="shared" si="299"/>
        <v>0</v>
      </c>
      <c r="AC156" s="197">
        <f t="shared" si="299"/>
        <v>0</v>
      </c>
      <c r="AD156" s="197">
        <f t="shared" si="299"/>
        <v>0</v>
      </c>
      <c r="AE156" s="197">
        <f t="shared" si="299"/>
        <v>0</v>
      </c>
      <c r="AF156" s="197">
        <f t="shared" si="299"/>
        <v>0</v>
      </c>
      <c r="AG156" s="197">
        <f t="shared" si="299"/>
        <v>0</v>
      </c>
      <c r="AH156" s="197">
        <f t="shared" si="299"/>
        <v>0</v>
      </c>
      <c r="AI156" s="197">
        <f t="shared" si="299"/>
        <v>0</v>
      </c>
      <c r="AJ156" s="197">
        <f t="shared" si="299"/>
        <v>0</v>
      </c>
      <c r="AK156" s="197">
        <f t="shared" si="299"/>
        <v>0</v>
      </c>
      <c r="AL156" s="197">
        <f t="shared" si="299"/>
        <v>0</v>
      </c>
      <c r="AM156" s="197">
        <f t="shared" si="299"/>
        <v>0</v>
      </c>
      <c r="AN156" s="197">
        <f t="shared" si="299"/>
        <v>0</v>
      </c>
      <c r="AO156" s="197">
        <f t="shared" si="299"/>
        <v>0</v>
      </c>
      <c r="AP156" s="197">
        <f t="shared" si="299"/>
        <v>0</v>
      </c>
      <c r="AQ156" s="197">
        <f t="shared" si="299"/>
        <v>0</v>
      </c>
      <c r="AR156" s="197">
        <f t="shared" si="299"/>
        <v>0</v>
      </c>
      <c r="AS156" s="197">
        <f t="shared" si="299"/>
        <v>0</v>
      </c>
      <c r="AT156" s="197">
        <f t="shared" si="299"/>
        <v>0</v>
      </c>
      <c r="AU156" s="195">
        <f t="shared" si="299"/>
        <v>0</v>
      </c>
      <c r="AV156" s="232"/>
      <c r="AW156" s="195">
        <f>AW157+AW163</f>
        <v>0</v>
      </c>
      <c r="AX156" s="242" t="e">
        <f t="shared" si="289"/>
        <v>#DIV/0!</v>
      </c>
    </row>
    <row r="157" ht="20.5" customHeight="1" spans="1:50">
      <c r="A157" t="s">
        <v>4</v>
      </c>
      <c r="C157" s="159">
        <v>148</v>
      </c>
      <c r="D157" s="179" t="s">
        <v>227</v>
      </c>
      <c r="E157" s="197">
        <f>E158+E159+E162</f>
        <v>0</v>
      </c>
      <c r="F157" s="197">
        <f>F158+F159</f>
        <v>0</v>
      </c>
      <c r="G157" s="195">
        <f>G158+G159+G162</f>
        <v>0</v>
      </c>
      <c r="H157" s="197">
        <f>H158+H159</f>
        <v>0</v>
      </c>
      <c r="I157" s="197">
        <f t="shared" ref="I157:AT157" si="300">I158+I159</f>
        <v>0</v>
      </c>
      <c r="J157" s="197">
        <f t="shared" si="300"/>
        <v>0</v>
      </c>
      <c r="K157" s="197">
        <f t="shared" si="300"/>
        <v>0</v>
      </c>
      <c r="L157" s="197">
        <f t="shared" si="300"/>
        <v>0</v>
      </c>
      <c r="M157" s="197">
        <f t="shared" si="300"/>
        <v>0</v>
      </c>
      <c r="N157" s="197">
        <f t="shared" si="300"/>
        <v>0</v>
      </c>
      <c r="O157" s="197">
        <f t="shared" si="300"/>
        <v>0</v>
      </c>
      <c r="P157" s="197">
        <f t="shared" si="300"/>
        <v>0</v>
      </c>
      <c r="Q157" s="197">
        <f t="shared" si="300"/>
        <v>0</v>
      </c>
      <c r="R157" s="197">
        <f t="shared" si="300"/>
        <v>0</v>
      </c>
      <c r="S157" s="197">
        <f t="shared" si="300"/>
        <v>0</v>
      </c>
      <c r="T157" s="197">
        <f t="shared" si="300"/>
        <v>0</v>
      </c>
      <c r="U157" s="197">
        <f t="shared" si="300"/>
        <v>0</v>
      </c>
      <c r="V157" s="197">
        <f t="shared" si="300"/>
        <v>0</v>
      </c>
      <c r="W157" s="197">
        <f t="shared" si="300"/>
        <v>0</v>
      </c>
      <c r="X157" s="197">
        <f t="shared" si="300"/>
        <v>0</v>
      </c>
      <c r="Y157" s="197">
        <f t="shared" si="300"/>
        <v>0</v>
      </c>
      <c r="Z157" s="197">
        <f t="shared" si="300"/>
        <v>0</v>
      </c>
      <c r="AA157" s="197">
        <f t="shared" si="300"/>
        <v>0</v>
      </c>
      <c r="AB157" s="197">
        <f t="shared" si="300"/>
        <v>0</v>
      </c>
      <c r="AC157" s="197">
        <f t="shared" si="300"/>
        <v>0</v>
      </c>
      <c r="AD157" s="197">
        <f t="shared" si="300"/>
        <v>0</v>
      </c>
      <c r="AE157" s="197">
        <f t="shared" si="300"/>
        <v>0</v>
      </c>
      <c r="AF157" s="197">
        <f t="shared" si="300"/>
        <v>0</v>
      </c>
      <c r="AG157" s="197">
        <f t="shared" si="300"/>
        <v>0</v>
      </c>
      <c r="AH157" s="197">
        <f t="shared" si="300"/>
        <v>0</v>
      </c>
      <c r="AI157" s="197">
        <f t="shared" si="300"/>
        <v>0</v>
      </c>
      <c r="AJ157" s="197">
        <f t="shared" si="300"/>
        <v>0</v>
      </c>
      <c r="AK157" s="197">
        <f t="shared" si="300"/>
        <v>0</v>
      </c>
      <c r="AL157" s="197">
        <f t="shared" si="300"/>
        <v>0</v>
      </c>
      <c r="AM157" s="197">
        <f t="shared" si="300"/>
        <v>0</v>
      </c>
      <c r="AN157" s="197">
        <f t="shared" si="300"/>
        <v>0</v>
      </c>
      <c r="AO157" s="197">
        <f t="shared" si="300"/>
        <v>0</v>
      </c>
      <c r="AP157" s="197">
        <f t="shared" si="300"/>
        <v>0</v>
      </c>
      <c r="AQ157" s="197">
        <f t="shared" si="300"/>
        <v>0</v>
      </c>
      <c r="AR157" s="197">
        <f t="shared" si="300"/>
        <v>0</v>
      </c>
      <c r="AS157" s="197">
        <f t="shared" si="300"/>
        <v>0</v>
      </c>
      <c r="AT157" s="197">
        <f t="shared" si="300"/>
        <v>0</v>
      </c>
      <c r="AU157" s="195">
        <f>AU158+AU159+AU162</f>
        <v>0</v>
      </c>
      <c r="AV157" s="232"/>
      <c r="AW157" s="195">
        <f>AW158+AW159+AW162</f>
        <v>0</v>
      </c>
      <c r="AX157" s="242" t="e">
        <f t="shared" si="289"/>
        <v>#DIV/0!</v>
      </c>
    </row>
    <row r="158" ht="20.5" customHeight="1" spans="1:50">
      <c r="A158" t="s">
        <v>4</v>
      </c>
      <c r="C158" s="159">
        <v>149</v>
      </c>
      <c r="D158" s="172" t="s">
        <v>228</v>
      </c>
      <c r="E158" s="196"/>
      <c r="F158" s="196"/>
      <c r="G158" s="195">
        <f>E158-F158</f>
        <v>0</v>
      </c>
      <c r="H158" s="196"/>
      <c r="I158" s="196"/>
      <c r="J158" s="196"/>
      <c r="K158" s="196"/>
      <c r="L158" s="196"/>
      <c r="M158" s="196"/>
      <c r="N158" s="196"/>
      <c r="O158" s="196"/>
      <c r="P158" s="196"/>
      <c r="Q158" s="196"/>
      <c r="R158" s="196"/>
      <c r="S158" s="196"/>
      <c r="T158" s="196"/>
      <c r="U158" s="196"/>
      <c r="V158" s="196"/>
      <c r="W158" s="196"/>
      <c r="X158" s="196"/>
      <c r="Y158" s="196"/>
      <c r="Z158" s="196"/>
      <c r="AA158" s="196"/>
      <c r="AB158" s="196"/>
      <c r="AC158" s="196"/>
      <c r="AD158" s="196"/>
      <c r="AE158" s="196"/>
      <c r="AF158" s="196"/>
      <c r="AG158" s="228"/>
      <c r="AH158" s="196"/>
      <c r="AI158" s="196"/>
      <c r="AJ158" s="196"/>
      <c r="AK158" s="196"/>
      <c r="AL158" s="196"/>
      <c r="AM158" s="196"/>
      <c r="AN158" s="196"/>
      <c r="AO158" s="196"/>
      <c r="AP158" s="196"/>
      <c r="AQ158" s="196"/>
      <c r="AR158" s="196"/>
      <c r="AS158" s="196"/>
      <c r="AT158" s="196"/>
      <c r="AU158" s="195">
        <f>IF(G158-I158-J158-K158-L158-M158-N158-O158-P158-Q158-R158-S158-T158-U158-V158-W158-X158-Y158-Z158-AA158-AB158-AC158-AD158-AE158-AF158-AG158-AH158-AI158-AJ158-AL158-AM158-AN158-AO158-AP158-AQ158-AR158-AS158-AT158&lt;0,0,G158-I158-J158-K158-L158-M158-N158-O158-P158-Q158-R158-S158-T158-U158-V158-W158-X158-Y158-Z158-AA158-AB158-AC158-AD158-AE158-AF158-AG158-AH158-AI158-AJ158-AL158-AM158-AN158-AO158-AP158-AQ158-AR158-AS158-AT158)</f>
        <v>0</v>
      </c>
      <c r="AV158" s="233">
        <v>0.75</v>
      </c>
      <c r="AW158" s="243">
        <f>I158*$I$8+J158*$J$8+K158*$K$8+L158*$L$8+M158*$M$8+N158*$N$8+O158*$O$8+P158*$P$8+Q158*$Q$8+R158*$R$8+S158*$S$8+T158*$T$8+U158*$U$8+V158*$V$8+W158*$W$8+X158*$X$8+Y158*$Y$8+Z158*$Z$8+AA158*$AA$8++AB158*$AB$8+AC158*$AC$8+AD158*$AD$8+AE158*$AE$8+AF158*$AF$8+AG158*$AG$8+AH158*$AH$8+AI158*$AI$8+AJ158*$AJ$8+AL158*$AL$8+AM158*$AM$8+AN158*$AN$8+AO158*$AO$8+AP158*$AP$8+AQ158*$AQ$8+AR158*$AR$8+AS158*$AS$8+AT158*$AT$8</f>
        <v>0</v>
      </c>
      <c r="AX158" s="242" t="e">
        <f t="shared" si="289"/>
        <v>#DIV/0!</v>
      </c>
    </row>
    <row r="159" ht="20.5" customHeight="1" spans="1:50">
      <c r="A159" t="s">
        <v>4</v>
      </c>
      <c r="C159" s="159">
        <v>150</v>
      </c>
      <c r="D159" s="172" t="s">
        <v>229</v>
      </c>
      <c r="E159" s="263">
        <f t="shared" ref="E159:H159" si="301">E160+E161</f>
        <v>0</v>
      </c>
      <c r="F159" s="263">
        <f t="shared" si="301"/>
        <v>0</v>
      </c>
      <c r="G159" s="195">
        <f>SUM(G160:G161)</f>
        <v>0</v>
      </c>
      <c r="H159" s="263">
        <f t="shared" si="301"/>
        <v>0</v>
      </c>
      <c r="I159" s="263">
        <f t="shared" ref="I159:AT159" si="302">I160+I161</f>
        <v>0</v>
      </c>
      <c r="J159" s="263">
        <f t="shared" si="302"/>
        <v>0</v>
      </c>
      <c r="K159" s="263">
        <f t="shared" si="302"/>
        <v>0</v>
      </c>
      <c r="L159" s="263">
        <f t="shared" si="302"/>
        <v>0</v>
      </c>
      <c r="M159" s="263">
        <f t="shared" si="302"/>
        <v>0</v>
      </c>
      <c r="N159" s="263">
        <f t="shared" si="302"/>
        <v>0</v>
      </c>
      <c r="O159" s="263">
        <f t="shared" si="302"/>
        <v>0</v>
      </c>
      <c r="P159" s="263">
        <f t="shared" si="302"/>
        <v>0</v>
      </c>
      <c r="Q159" s="263">
        <f t="shared" si="302"/>
        <v>0</v>
      </c>
      <c r="R159" s="263">
        <f t="shared" si="302"/>
        <v>0</v>
      </c>
      <c r="S159" s="263">
        <f t="shared" si="302"/>
        <v>0</v>
      </c>
      <c r="T159" s="263">
        <f t="shared" si="302"/>
        <v>0</v>
      </c>
      <c r="U159" s="263">
        <f t="shared" si="302"/>
        <v>0</v>
      </c>
      <c r="V159" s="263">
        <f t="shared" si="302"/>
        <v>0</v>
      </c>
      <c r="W159" s="263">
        <f t="shared" si="302"/>
        <v>0</v>
      </c>
      <c r="X159" s="263">
        <f t="shared" si="302"/>
        <v>0</v>
      </c>
      <c r="Y159" s="263">
        <f t="shared" si="302"/>
        <v>0</v>
      </c>
      <c r="Z159" s="263">
        <f t="shared" si="302"/>
        <v>0</v>
      </c>
      <c r="AA159" s="263">
        <f t="shared" si="302"/>
        <v>0</v>
      </c>
      <c r="AB159" s="263">
        <f t="shared" si="302"/>
        <v>0</v>
      </c>
      <c r="AC159" s="263">
        <f t="shared" si="302"/>
        <v>0</v>
      </c>
      <c r="AD159" s="263">
        <f t="shared" si="302"/>
        <v>0</v>
      </c>
      <c r="AE159" s="263">
        <f t="shared" si="302"/>
        <v>0</v>
      </c>
      <c r="AF159" s="263">
        <f t="shared" si="302"/>
        <v>0</v>
      </c>
      <c r="AG159" s="263">
        <f t="shared" si="302"/>
        <v>0</v>
      </c>
      <c r="AH159" s="263">
        <f t="shared" si="302"/>
        <v>0</v>
      </c>
      <c r="AI159" s="263">
        <f t="shared" si="302"/>
        <v>0</v>
      </c>
      <c r="AJ159" s="263">
        <f t="shared" si="302"/>
        <v>0</v>
      </c>
      <c r="AK159" s="263">
        <f t="shared" si="302"/>
        <v>0</v>
      </c>
      <c r="AL159" s="263">
        <f t="shared" si="302"/>
        <v>0</v>
      </c>
      <c r="AM159" s="263">
        <f t="shared" si="302"/>
        <v>0</v>
      </c>
      <c r="AN159" s="263">
        <f t="shared" si="302"/>
        <v>0</v>
      </c>
      <c r="AO159" s="263">
        <f t="shared" si="302"/>
        <v>0</v>
      </c>
      <c r="AP159" s="263">
        <f t="shared" si="302"/>
        <v>0</v>
      </c>
      <c r="AQ159" s="263">
        <f t="shared" si="302"/>
        <v>0</v>
      </c>
      <c r="AR159" s="263">
        <f t="shared" si="302"/>
        <v>0</v>
      </c>
      <c r="AS159" s="263">
        <f t="shared" si="302"/>
        <v>0</v>
      </c>
      <c r="AT159" s="263">
        <f t="shared" si="302"/>
        <v>0</v>
      </c>
      <c r="AU159" s="195">
        <f>SUM(AU160:AU161)</f>
        <v>0</v>
      </c>
      <c r="AV159" s="233"/>
      <c r="AW159" s="195">
        <f>SUM(AW160:AW161)</f>
        <v>0</v>
      </c>
      <c r="AX159" s="242" t="e">
        <f t="shared" si="289"/>
        <v>#DIV/0!</v>
      </c>
    </row>
    <row r="160" ht="20.5" customHeight="1" spans="1:50">
      <c r="A160" t="s">
        <v>4</v>
      </c>
      <c r="C160" s="159">
        <v>151</v>
      </c>
      <c r="D160" s="260" t="s">
        <v>230</v>
      </c>
      <c r="E160" s="196"/>
      <c r="F160" s="196"/>
      <c r="G160" s="195">
        <f>E160-F160</f>
        <v>0</v>
      </c>
      <c r="H160" s="196"/>
      <c r="I160" s="196"/>
      <c r="J160" s="196"/>
      <c r="K160" s="196"/>
      <c r="L160" s="196"/>
      <c r="M160" s="196"/>
      <c r="N160" s="196"/>
      <c r="O160" s="196"/>
      <c r="P160" s="196"/>
      <c r="Q160" s="196"/>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c r="AP160" s="196"/>
      <c r="AQ160" s="196"/>
      <c r="AR160" s="196"/>
      <c r="AS160" s="196"/>
      <c r="AT160" s="196"/>
      <c r="AU160" s="195">
        <f>IF(G160-I160-J160-K160-L160-M160-N160-O160-P160-Q160-R160-S160-T160-U160-V160-W160-X160-Y160-Z160-AA160-AB160-AC160-AD160-AE160-AF160-AG160-AH160-AI160-AJ160-AL160-AM160-AN160-AO160-AP160-AQ160-AR160-AS160-AT160&lt;0,0,G160-I160-J160-K160-L160-M160-N160-O160-P160-Q160-R160-S160-T160-U160-V160-W160-X160-Y160-Z160-AA160-AB160-AC160-AD160-AE160-AF160-AG160-AH160-AI160-AJ160-AL160-AM160-AN160-AO160-AP160-AQ160-AR160-AS160-AT160)</f>
        <v>0</v>
      </c>
      <c r="AV160" s="233">
        <v>0.9</v>
      </c>
      <c r="AW160" s="243">
        <f>I160*$I$8+J160*$J$8+K160*$K$8+L160*$L$8+M160*$M$8+N160*$N$8+O160*$O$8+P160*$P$8+Q160*$Q$8+R160*$R$8+S160*$S$8+T160*$T$8+U160*$U$8+V160*$V$8+W160*$W$8+X160*$X$8+Y160*$Y$8+Z160*$Z$8+AA160*$AA$8++AB160*$AB$8+AC160*$AC$8+AD160*$AD$8+AE160*$AE$8+AF160*$AF$8+AG160*$AG$8+AH160*$AH$8+AI160*$AI$8+AJ160*$AJ$8+AL160*$AL$8+AM160*$AM$8+AN160*$AN$8+AO160*$AO$8+AP160*$AP$8+AQ160*$AQ$8+AR160*$AR$8+AS160*$AS$8+AT160*$AT$8</f>
        <v>0</v>
      </c>
      <c r="AX160" s="242" t="e">
        <f t="shared" si="289"/>
        <v>#DIV/0!</v>
      </c>
    </row>
    <row r="161" ht="20.5" customHeight="1" spans="1:50">
      <c r="A161" t="s">
        <v>4</v>
      </c>
      <c r="C161" s="159">
        <v>152</v>
      </c>
      <c r="D161" s="260" t="s">
        <v>231</v>
      </c>
      <c r="E161" s="196"/>
      <c r="F161" s="196"/>
      <c r="G161" s="195">
        <f>E161-F161</f>
        <v>0</v>
      </c>
      <c r="H161" s="196"/>
      <c r="I161" s="196"/>
      <c r="J161" s="196"/>
      <c r="K161" s="196"/>
      <c r="L161" s="196"/>
      <c r="M161" s="196"/>
      <c r="N161" s="196"/>
      <c r="O161" s="196"/>
      <c r="P161" s="196"/>
      <c r="Q161" s="196"/>
      <c r="R161" s="196"/>
      <c r="S161" s="196"/>
      <c r="T161" s="196"/>
      <c r="U161" s="196"/>
      <c r="V161" s="196"/>
      <c r="W161" s="196"/>
      <c r="X161" s="196"/>
      <c r="Y161" s="196"/>
      <c r="Z161" s="196"/>
      <c r="AA161" s="196"/>
      <c r="AB161" s="196"/>
      <c r="AC161" s="196"/>
      <c r="AD161" s="196"/>
      <c r="AE161" s="196"/>
      <c r="AF161" s="196"/>
      <c r="AG161" s="228"/>
      <c r="AH161" s="196"/>
      <c r="AI161" s="196"/>
      <c r="AJ161" s="196"/>
      <c r="AK161" s="196"/>
      <c r="AL161" s="196"/>
      <c r="AM161" s="196"/>
      <c r="AN161" s="196"/>
      <c r="AO161" s="196"/>
      <c r="AP161" s="196"/>
      <c r="AQ161" s="196"/>
      <c r="AR161" s="196"/>
      <c r="AS161" s="196"/>
      <c r="AT161" s="196"/>
      <c r="AU161" s="195">
        <f>IF(G161-I161-J161-K161-L161-M161-N161-O161-P161-Q161-R161-S161-T161-U161-V161-W161-X161-Y161-Z161-AA161-AB161-AC161-AD161-AE161-AF161-AG161-AH161-AI161-AJ161-AL161-AM161-AN161-AO161-AP161-AQ161-AR161-AS161-AT161&lt;0,0,G161-I161-J161-K161-L161-M161-N161-O161-P161-Q161-R161-S161-T161-U161-V161-W161-X161-Y161-Z161-AA161-AB161-AC161-AD161-AE161-AF161-AG161-AH161-AI161-AJ161-AL161-AM161-AN161-AO161-AP161-AQ161-AR161-AS161-AT161)</f>
        <v>0</v>
      </c>
      <c r="AV161" s="233">
        <v>1</v>
      </c>
      <c r="AW161" s="243">
        <f>I161*$I$8+J161*$J$8+K161*$K$8+L161*$L$8+M161*$M$8+N161*$N$8+O161*$O$8+P161*$P$8+Q161*$Q$8+R161*$R$8+S161*$S$8+T161*$T$8+U161*$U$8+V161*$V$8+W161*$W$8+X161*$X$8+Y161*$Y$8+Z161*$Z$8+AA161*$AA$8++AB161*$AB$8+AC161*$AC$8+AD161*$AD$8+AE161*$AE$8+AF161*$AF$8+AG161*$AG$8+AH161*$AH$8+AI161*$AI$8+AJ161*$AJ$8+AL161*$AL$8+AM161*$AM$8+AN161*$AN$8+AO161*$AO$8+AP161*$AP$8+AQ161*$AQ$8+AR161*$AR$8+AS161*$AS$8+AT161*$AT$8</f>
        <v>0</v>
      </c>
      <c r="AX161" s="242" t="e">
        <f t="shared" si="289"/>
        <v>#DIV/0!</v>
      </c>
    </row>
    <row r="162" ht="20.5" customHeight="1" spans="1:50">
      <c r="A162" t="s">
        <v>4</v>
      </c>
      <c r="C162" s="159">
        <v>153</v>
      </c>
      <c r="D162" s="172" t="s">
        <v>232</v>
      </c>
      <c r="E162" s="196"/>
      <c r="F162" s="196"/>
      <c r="G162" s="195">
        <f>E162-F162</f>
        <v>0</v>
      </c>
      <c r="H162" s="196"/>
      <c r="I162" s="196"/>
      <c r="J162" s="196"/>
      <c r="K162" s="196"/>
      <c r="L162" s="196"/>
      <c r="M162" s="196"/>
      <c r="N162" s="196"/>
      <c r="O162" s="196"/>
      <c r="P162" s="196"/>
      <c r="Q162" s="196"/>
      <c r="R162" s="196"/>
      <c r="S162" s="196"/>
      <c r="T162" s="196"/>
      <c r="U162" s="196"/>
      <c r="V162" s="196"/>
      <c r="W162" s="196"/>
      <c r="X162" s="196"/>
      <c r="Y162" s="196"/>
      <c r="Z162" s="196"/>
      <c r="AA162" s="196"/>
      <c r="AB162" s="196"/>
      <c r="AC162" s="196"/>
      <c r="AD162" s="196"/>
      <c r="AE162" s="196"/>
      <c r="AF162" s="196"/>
      <c r="AG162" s="228"/>
      <c r="AH162" s="196"/>
      <c r="AI162" s="196"/>
      <c r="AJ162" s="196"/>
      <c r="AK162" s="196"/>
      <c r="AL162" s="196"/>
      <c r="AM162" s="196"/>
      <c r="AN162" s="196"/>
      <c r="AO162" s="196"/>
      <c r="AP162" s="196"/>
      <c r="AQ162" s="196"/>
      <c r="AR162" s="196"/>
      <c r="AS162" s="196"/>
      <c r="AT162" s="196"/>
      <c r="AU162" s="195">
        <f>IF(G162-I162-J162-K162-L162-M162-N162-O162-P162-Q162-R162-S162-T162-U162-V162-W162-X162-Y162-Z162-AA162-AB162-AC162-AD162-AE162-AF162-AG162-AH162-AI162-AJ162-AL162-AM162-AN162-AO162-AP162-AQ162-AR162-AS162-AT162&lt;0,0,G162-I162-J162-K162-L162-M162-N162-O162-P162-Q162-R162-S162-T162-U162-V162-W162-X162-Y162-Z162-AA162-AB162-AC162-AD162-AE162-AF162-AG162-AH162-AI162-AJ162-AL162-AM162-AN162-AO162-AP162-AQ162-AR162-AS162-AT162)</f>
        <v>0</v>
      </c>
      <c r="AV162" s="233">
        <v>1.1</v>
      </c>
      <c r="AW162" s="243">
        <f>I162*$I$8+J162*$J$8+K162*$K$8+L162*$L$8+M162*$M$8+N162*$N$8+O162*$O$8+P162*$P$8+Q162*$Q$8+R162*$R$8+S162*$S$8+T162*$T$8+U162*$U$8+V162*$V$8+W162*$W$8+X162*$X$8+Y162*$Y$8+Z162*$Z$8+AA162*$AA$8++AB162*$AB$8+AC162*$AC$8+AD162*$AD$8+AE162*$AE$8+AF162*$AF$8+AG162*$AG$8+AH162*$AH$8+AI162*$AI$8+AJ162*$AJ$8+AL162*$AL$8+AM162*$AM$8+AN162*$AN$8+AO162*$AO$8+AP162*$AP$8+AQ162*$AQ$8+AR162*$AR$8+AS162*$AS$8+AT162*$AT$8</f>
        <v>0</v>
      </c>
      <c r="AX162" s="242" t="e">
        <f t="shared" si="289"/>
        <v>#DIV/0!</v>
      </c>
    </row>
    <row r="163" ht="20.5" customHeight="1" spans="1:50">
      <c r="A163" t="s">
        <v>4</v>
      </c>
      <c r="C163" s="159">
        <v>154</v>
      </c>
      <c r="D163" s="179" t="s">
        <v>233</v>
      </c>
      <c r="E163" s="196"/>
      <c r="F163" s="196"/>
      <c r="G163" s="195">
        <f>E163-F163</f>
        <v>0</v>
      </c>
      <c r="H163" s="196"/>
      <c r="I163" s="196"/>
      <c r="J163" s="196"/>
      <c r="K163" s="196"/>
      <c r="L163" s="196"/>
      <c r="M163" s="196"/>
      <c r="N163" s="196"/>
      <c r="O163" s="196"/>
      <c r="P163" s="196"/>
      <c r="Q163" s="196"/>
      <c r="R163" s="196"/>
      <c r="S163" s="196"/>
      <c r="T163" s="196"/>
      <c r="U163" s="196"/>
      <c r="V163" s="196"/>
      <c r="W163" s="196"/>
      <c r="X163" s="196"/>
      <c r="Y163" s="196"/>
      <c r="Z163" s="196"/>
      <c r="AA163" s="196"/>
      <c r="AB163" s="196"/>
      <c r="AC163" s="196"/>
      <c r="AD163" s="196"/>
      <c r="AE163" s="196"/>
      <c r="AF163" s="196"/>
      <c r="AG163" s="228"/>
      <c r="AH163" s="196"/>
      <c r="AI163" s="196"/>
      <c r="AJ163" s="196"/>
      <c r="AK163" s="196"/>
      <c r="AL163" s="196"/>
      <c r="AM163" s="196"/>
      <c r="AN163" s="196"/>
      <c r="AO163" s="196"/>
      <c r="AP163" s="196"/>
      <c r="AQ163" s="196"/>
      <c r="AR163" s="196"/>
      <c r="AS163" s="196"/>
      <c r="AT163" s="196"/>
      <c r="AU163" s="195">
        <f>IF(G163-I163-J163-K163-L163-M163-N163-O163-P163-Q163-R163-S163-T163-U163-V163-W163-X163-Y163-Z163-AA163-AB163-AC163-AD163-AE163-AF163-AG163-AH163-AI163-AJ163-AL163-AM163-AN163-AO163-AP163-AQ163-AR163-AS163-AT163&lt;0,0,G163-I163-J163-K163-L163-M163-N163-O163-P163-Q163-R163-S163-T163-U163-V163-W163-X163-Y163-Z163-AA163-AB163-AC163-AD163-AE163-AF163-AG163-AH163-AI163-AJ163-AL163-AM163-AN163-AO163-AP163-AQ163-AR163-AS163-AT163)</f>
        <v>0</v>
      </c>
      <c r="AV163" s="233">
        <v>1.5</v>
      </c>
      <c r="AW163" s="243">
        <f>I163*$I$8+J163*$J$8+K163*$K$8+L163*$L$8+M163*$M$8+N163*$N$8+O163*$O$8+P163*$P$8+Q163*$Q$8+R163*$R$8+S163*$S$8+T163*$T$8+U163*$U$8+V163*$V$8+W163*$W$8+X163*$X$8+Y163*$Y$8+Z163*$Z$8+AA163*$AA$8++AB163*$AB$8+AC163*$AC$8+AD163*$AD$8+AE163*$AE$8+AF163*$AF$8+AG163*$AG$8+AH163*$AH$8+AI163*$AI$8+AJ163*$AJ$8+AL163*$AL$8+AM163*$AM$8+AN163*$AN$8+AO163*$AO$8+AP163*$AP$8+AQ163*$AQ$8+AR163*$AR$8+AS163*$AS$8+AT163*$AT$8</f>
        <v>0</v>
      </c>
      <c r="AX163" s="242" t="e">
        <f t="shared" si="289"/>
        <v>#DIV/0!</v>
      </c>
    </row>
    <row r="164" ht="20.5" customHeight="1" spans="2:50">
      <c r="B164" s="158" t="s">
        <v>70</v>
      </c>
      <c r="C164" s="159">
        <v>156</v>
      </c>
      <c r="D164" s="173" t="s">
        <v>234</v>
      </c>
      <c r="E164" s="263">
        <f t="shared" ref="E164:H164" si="303">E165+E166</f>
        <v>0</v>
      </c>
      <c r="F164" s="263">
        <f t="shared" si="303"/>
        <v>0</v>
      </c>
      <c r="G164" s="263">
        <f t="shared" si="303"/>
        <v>0</v>
      </c>
      <c r="H164" s="263">
        <f t="shared" si="303"/>
        <v>0</v>
      </c>
      <c r="I164" s="263">
        <f t="shared" ref="I164:AU164" si="304">I165+I166</f>
        <v>0</v>
      </c>
      <c r="J164" s="263">
        <f t="shared" si="304"/>
        <v>0</v>
      </c>
      <c r="K164" s="263">
        <f t="shared" si="304"/>
        <v>0</v>
      </c>
      <c r="L164" s="263">
        <f t="shared" si="304"/>
        <v>0</v>
      </c>
      <c r="M164" s="263">
        <f t="shared" si="304"/>
        <v>0</v>
      </c>
      <c r="N164" s="263">
        <f t="shared" si="304"/>
        <v>0</v>
      </c>
      <c r="O164" s="263">
        <f t="shared" si="304"/>
        <v>0</v>
      </c>
      <c r="P164" s="263">
        <f t="shared" si="304"/>
        <v>0</v>
      </c>
      <c r="Q164" s="263">
        <f t="shared" si="304"/>
        <v>0</v>
      </c>
      <c r="R164" s="263">
        <f t="shared" si="304"/>
        <v>0</v>
      </c>
      <c r="S164" s="263">
        <f t="shared" si="304"/>
        <v>0</v>
      </c>
      <c r="T164" s="263">
        <f t="shared" si="304"/>
        <v>0</v>
      </c>
      <c r="U164" s="263">
        <f t="shared" si="304"/>
        <v>0</v>
      </c>
      <c r="V164" s="263">
        <f t="shared" si="304"/>
        <v>0</v>
      </c>
      <c r="W164" s="263">
        <f t="shared" si="304"/>
        <v>0</v>
      </c>
      <c r="X164" s="263">
        <f t="shared" si="304"/>
        <v>0</v>
      </c>
      <c r="Y164" s="263">
        <f t="shared" si="304"/>
        <v>0</v>
      </c>
      <c r="Z164" s="263">
        <f t="shared" si="304"/>
        <v>0</v>
      </c>
      <c r="AA164" s="263">
        <f t="shared" si="304"/>
        <v>0</v>
      </c>
      <c r="AB164" s="263">
        <f t="shared" si="304"/>
        <v>0</v>
      </c>
      <c r="AC164" s="263">
        <f t="shared" si="304"/>
        <v>0</v>
      </c>
      <c r="AD164" s="263">
        <f t="shared" si="304"/>
        <v>0</v>
      </c>
      <c r="AE164" s="263">
        <f t="shared" si="304"/>
        <v>0</v>
      </c>
      <c r="AF164" s="263">
        <f t="shared" si="304"/>
        <v>0</v>
      </c>
      <c r="AG164" s="263">
        <f t="shared" si="304"/>
        <v>0</v>
      </c>
      <c r="AH164" s="263">
        <f t="shared" si="304"/>
        <v>0</v>
      </c>
      <c r="AI164" s="263">
        <f t="shared" si="304"/>
        <v>0</v>
      </c>
      <c r="AJ164" s="263">
        <f t="shared" si="304"/>
        <v>0</v>
      </c>
      <c r="AK164" s="263">
        <f t="shared" si="304"/>
        <v>0</v>
      </c>
      <c r="AL164" s="263">
        <f t="shared" si="304"/>
        <v>0</v>
      </c>
      <c r="AM164" s="263">
        <f t="shared" si="304"/>
        <v>0</v>
      </c>
      <c r="AN164" s="263">
        <f t="shared" si="304"/>
        <v>0</v>
      </c>
      <c r="AO164" s="263">
        <f t="shared" si="304"/>
        <v>0</v>
      </c>
      <c r="AP164" s="263">
        <f t="shared" si="304"/>
        <v>0</v>
      </c>
      <c r="AQ164" s="263">
        <f t="shared" si="304"/>
        <v>0</v>
      </c>
      <c r="AR164" s="263">
        <f t="shared" si="304"/>
        <v>0</v>
      </c>
      <c r="AS164" s="263">
        <f t="shared" si="304"/>
        <v>0</v>
      </c>
      <c r="AT164" s="263">
        <f t="shared" si="304"/>
        <v>0</v>
      </c>
      <c r="AU164" s="195">
        <f t="shared" si="304"/>
        <v>0</v>
      </c>
      <c r="AV164" s="232"/>
      <c r="AW164" s="195">
        <f>AW165+AW166</f>
        <v>0</v>
      </c>
      <c r="AX164" s="242" t="e">
        <f t="shared" ref="AX164:AX201" si="305">AW164/G164</f>
        <v>#DIV/0!</v>
      </c>
    </row>
    <row r="165" ht="20.5" customHeight="1" spans="1:50">
      <c r="A165" t="s">
        <v>4</v>
      </c>
      <c r="B165" s="158" t="s">
        <v>70</v>
      </c>
      <c r="C165" s="159">
        <v>157</v>
      </c>
      <c r="D165" s="254" t="s">
        <v>235</v>
      </c>
      <c r="E165" s="196"/>
      <c r="F165" s="196"/>
      <c r="G165" s="195">
        <f>E165-F165</f>
        <v>0</v>
      </c>
      <c r="H165" s="196"/>
      <c r="I165" s="196"/>
      <c r="J165" s="196"/>
      <c r="K165" s="196"/>
      <c r="L165" s="196"/>
      <c r="M165" s="196"/>
      <c r="N165" s="196"/>
      <c r="O165" s="196"/>
      <c r="P165" s="196"/>
      <c r="Q165" s="196"/>
      <c r="R165" s="196"/>
      <c r="S165" s="196"/>
      <c r="T165" s="196"/>
      <c r="U165" s="196"/>
      <c r="V165" s="196"/>
      <c r="W165" s="196"/>
      <c r="X165" s="196"/>
      <c r="Y165" s="196"/>
      <c r="Z165" s="196"/>
      <c r="AA165" s="196"/>
      <c r="AB165" s="196"/>
      <c r="AC165" s="196"/>
      <c r="AD165" s="196"/>
      <c r="AE165" s="196"/>
      <c r="AF165" s="196"/>
      <c r="AG165" s="228"/>
      <c r="AH165" s="196"/>
      <c r="AI165" s="196"/>
      <c r="AJ165" s="196"/>
      <c r="AK165" s="196"/>
      <c r="AL165" s="196"/>
      <c r="AM165" s="196"/>
      <c r="AN165" s="196"/>
      <c r="AO165" s="196"/>
      <c r="AP165" s="196"/>
      <c r="AQ165" s="196"/>
      <c r="AR165" s="196"/>
      <c r="AS165" s="196"/>
      <c r="AT165" s="196"/>
      <c r="AU165" s="195">
        <f>IF(G165-I165-J165-K165-L165-M165-N165-O165-P165-Q165-R165-S165-T165-U165-V165-W165-X165-Y165-Z165-AA165-AB165-AC165-AD165-AE165-AF165-AG165-AH165-AI165-AJ165-AL165-AM165-AN165-AO165-AP165-AQ165-AR165-AS165-AT165&lt;0,0,G165-I165-J165-K165-L165-M165-N165-O165-P165-Q165-R165-S165-T165-U165-V165-W165-X165-Y165-Z165-AA165-AB165-AC165-AD165-AE165-AF165-AG165-AH165-AI165-AJ165-AL165-AM165-AN165-AO165-AP165-AQ165-AR165-AS165-AT165)</f>
        <v>0</v>
      </c>
      <c r="AV165" s="233">
        <v>1</v>
      </c>
      <c r="AW165" s="243">
        <f>I165*$I$8+J165*$J$8+K165*$K$8+L165*$L$8+M165*$M$8+N165*$N$8+O165*$O$8+P165*$P$8+Q165*$Q$8+R165*$R$8+S165*$S$8+T165*$T$8+U165*$U$8+V165*$V$8+W165*$W$8+X165*$X$8+Y165*$Y$8+Z165*$Z$8+AA165*$AA$8++AB165*$AB$8+AC165*$AC$8+AD165*$AD$8+AE165*$AE$8+AF165*$AF$8+AG165*$AG$8+AH165*$AH$8+AI165*$AI$8+AJ165*$AJ$8+AL165*$AL$8+AM165*$AM$8+AN165*$AN$8+AO165*$AO$8+AP165*$AP$8+AQ165*$AQ$8+AR165*$AR$8+AS165*$AS$8+AT165*$AT$8</f>
        <v>0</v>
      </c>
      <c r="AX165" s="242" t="e">
        <f t="shared" si="305"/>
        <v>#DIV/0!</v>
      </c>
    </row>
    <row r="166" ht="20.5" customHeight="1" spans="2:50">
      <c r="B166" s="158" t="s">
        <v>70</v>
      </c>
      <c r="C166" s="159">
        <v>158</v>
      </c>
      <c r="D166" s="261" t="s">
        <v>236</v>
      </c>
      <c r="E166" s="263">
        <f t="shared" ref="E166:H166" si="306">E167+E168</f>
        <v>0</v>
      </c>
      <c r="F166" s="263">
        <f t="shared" si="306"/>
        <v>0</v>
      </c>
      <c r="G166" s="263">
        <f t="shared" si="306"/>
        <v>0</v>
      </c>
      <c r="H166" s="263">
        <f t="shared" si="306"/>
        <v>0</v>
      </c>
      <c r="I166" s="263">
        <f t="shared" ref="I166:AU166" si="307">I167+I168</f>
        <v>0</v>
      </c>
      <c r="J166" s="263">
        <f t="shared" si="307"/>
        <v>0</v>
      </c>
      <c r="K166" s="263">
        <f t="shared" si="307"/>
        <v>0</v>
      </c>
      <c r="L166" s="263">
        <f t="shared" si="307"/>
        <v>0</v>
      </c>
      <c r="M166" s="263">
        <f t="shared" si="307"/>
        <v>0</v>
      </c>
      <c r="N166" s="263">
        <f t="shared" si="307"/>
        <v>0</v>
      </c>
      <c r="O166" s="263">
        <f t="shared" si="307"/>
        <v>0</v>
      </c>
      <c r="P166" s="263">
        <f t="shared" si="307"/>
        <v>0</v>
      </c>
      <c r="Q166" s="263">
        <f t="shared" si="307"/>
        <v>0</v>
      </c>
      <c r="R166" s="263">
        <f t="shared" si="307"/>
        <v>0</v>
      </c>
      <c r="S166" s="263">
        <f t="shared" si="307"/>
        <v>0</v>
      </c>
      <c r="T166" s="263">
        <f t="shared" si="307"/>
        <v>0</v>
      </c>
      <c r="U166" s="263">
        <f t="shared" si="307"/>
        <v>0</v>
      </c>
      <c r="V166" s="263">
        <f t="shared" si="307"/>
        <v>0</v>
      </c>
      <c r="W166" s="263">
        <f t="shared" si="307"/>
        <v>0</v>
      </c>
      <c r="X166" s="263">
        <f t="shared" si="307"/>
        <v>0</v>
      </c>
      <c r="Y166" s="263">
        <f t="shared" si="307"/>
        <v>0</v>
      </c>
      <c r="Z166" s="263">
        <f t="shared" si="307"/>
        <v>0</v>
      </c>
      <c r="AA166" s="263">
        <f t="shared" si="307"/>
        <v>0</v>
      </c>
      <c r="AB166" s="263">
        <f t="shared" si="307"/>
        <v>0</v>
      </c>
      <c r="AC166" s="263">
        <f t="shared" si="307"/>
        <v>0</v>
      </c>
      <c r="AD166" s="263">
        <f t="shared" si="307"/>
        <v>0</v>
      </c>
      <c r="AE166" s="263">
        <f t="shared" si="307"/>
        <v>0</v>
      </c>
      <c r="AF166" s="263">
        <f t="shared" si="307"/>
        <v>0</v>
      </c>
      <c r="AG166" s="263">
        <f t="shared" si="307"/>
        <v>0</v>
      </c>
      <c r="AH166" s="263">
        <f t="shared" si="307"/>
        <v>0</v>
      </c>
      <c r="AI166" s="263">
        <f t="shared" si="307"/>
        <v>0</v>
      </c>
      <c r="AJ166" s="263">
        <f t="shared" si="307"/>
        <v>0</v>
      </c>
      <c r="AK166" s="263">
        <f t="shared" si="307"/>
        <v>0</v>
      </c>
      <c r="AL166" s="263">
        <f t="shared" si="307"/>
        <v>0</v>
      </c>
      <c r="AM166" s="263">
        <f t="shared" si="307"/>
        <v>0</v>
      </c>
      <c r="AN166" s="263">
        <f t="shared" si="307"/>
        <v>0</v>
      </c>
      <c r="AO166" s="263">
        <f t="shared" si="307"/>
        <v>0</v>
      </c>
      <c r="AP166" s="263">
        <f t="shared" si="307"/>
        <v>0</v>
      </c>
      <c r="AQ166" s="263">
        <f t="shared" si="307"/>
        <v>0</v>
      </c>
      <c r="AR166" s="263">
        <f t="shared" si="307"/>
        <v>0</v>
      </c>
      <c r="AS166" s="263">
        <f t="shared" si="307"/>
        <v>0</v>
      </c>
      <c r="AT166" s="263">
        <f t="shared" si="307"/>
        <v>0</v>
      </c>
      <c r="AU166" s="195">
        <f t="shared" si="307"/>
        <v>0</v>
      </c>
      <c r="AV166" s="232"/>
      <c r="AW166" s="195">
        <f>AW167+AW168</f>
        <v>0</v>
      </c>
      <c r="AX166" s="242" t="e">
        <f t="shared" si="305"/>
        <v>#DIV/0!</v>
      </c>
    </row>
    <row r="167" ht="20.5" customHeight="1" spans="2:50">
      <c r="B167" s="158" t="s">
        <v>70</v>
      </c>
      <c r="C167" s="159">
        <v>159</v>
      </c>
      <c r="D167" s="252" t="s">
        <v>237</v>
      </c>
      <c r="E167" s="196"/>
      <c r="F167" s="196"/>
      <c r="G167" s="195">
        <f>E167-F167</f>
        <v>0</v>
      </c>
      <c r="H167" s="196"/>
      <c r="I167" s="196"/>
      <c r="J167" s="196"/>
      <c r="K167" s="196"/>
      <c r="L167" s="196"/>
      <c r="M167" s="196"/>
      <c r="N167" s="196"/>
      <c r="O167" s="196"/>
      <c r="P167" s="196"/>
      <c r="Q167" s="196"/>
      <c r="R167" s="196"/>
      <c r="S167" s="196"/>
      <c r="T167" s="196"/>
      <c r="U167" s="196"/>
      <c r="V167" s="196"/>
      <c r="W167" s="196"/>
      <c r="X167" s="196"/>
      <c r="Y167" s="196"/>
      <c r="Z167" s="196"/>
      <c r="AA167" s="196"/>
      <c r="AB167" s="196"/>
      <c r="AC167" s="196"/>
      <c r="AD167" s="196"/>
      <c r="AE167" s="196"/>
      <c r="AF167" s="196"/>
      <c r="AG167" s="228"/>
      <c r="AH167" s="196"/>
      <c r="AI167" s="196"/>
      <c r="AJ167" s="196"/>
      <c r="AK167" s="196"/>
      <c r="AL167" s="196"/>
      <c r="AM167" s="196"/>
      <c r="AN167" s="196"/>
      <c r="AO167" s="196"/>
      <c r="AP167" s="196"/>
      <c r="AQ167" s="196"/>
      <c r="AR167" s="196"/>
      <c r="AS167" s="196"/>
      <c r="AT167" s="196"/>
      <c r="AU167" s="195">
        <f>IF(G167-I167-J167-K167-L167-M167-N167-O167-P167-Q167-R167-S167-T167-U167-V167-W167-X167-Y167-Z167-AA167-AB167-AC167-AD167-AE167-AF167-AG167-AH167-AI167-AJ167-AL167-AM167-AN167-AO167-AP167-AQ167-AR167-AS167-AT167&lt;0,0,G167-I167-J167-K167-L167-M167-N167-O167-P167-Q167-R167-S167-T167-U167-V167-W167-X167-Y167-Z167-AA167-AB167-AC167-AD167-AE167-AF167-AG167-AH167-AI167-AJ167-AL167-AM167-AN167-AO167-AP167-AQ167-AR167-AS167-AT167)</f>
        <v>0</v>
      </c>
      <c r="AV167" s="233">
        <v>1</v>
      </c>
      <c r="AW167" s="243">
        <f>I167*$I$8+J167*$J$8+K167*$K$8+L167*$L$8+M167*$M$8+N167*$N$8+O167*$O$8+P167*$P$8+Q167*$Q$8+R167*$R$8+S167*$S$8+T167*$T$8+U167*$U$8+V167*$V$8+W167*$W$8+X167*$X$8+Y167*$Y$8+Z167*$Z$8+AA167*$AA$8++AB167*$AB$8+AC167*$AC$8+AD167*$AD$8+AE167*$AE$8+AF167*$AF$8+AG167*$AG$8+AH167*$AH$8+AI167*$AI$8+AJ167*$AJ$8+AL167*$AL$8+AM167*$AM$8+AN167*$AN$8+AO167*$AO$8+AP167*$AP$8+AQ167*$AQ$8+AR167*$AR$8+AS167*$AS$8+AT167*$AT$8</f>
        <v>0</v>
      </c>
      <c r="AX167" s="242" t="e">
        <f t="shared" si="305"/>
        <v>#DIV/0!</v>
      </c>
    </row>
    <row r="168" ht="20.5" customHeight="1" spans="1:50">
      <c r="A168" t="s">
        <v>13</v>
      </c>
      <c r="B168" s="158" t="s">
        <v>70</v>
      </c>
      <c r="C168" s="159">
        <v>160</v>
      </c>
      <c r="D168" s="252" t="s">
        <v>238</v>
      </c>
      <c r="E168" s="196"/>
      <c r="F168" s="196"/>
      <c r="G168" s="195">
        <f>E168-F168</f>
        <v>0</v>
      </c>
      <c r="H168" s="196"/>
      <c r="I168" s="196"/>
      <c r="J168" s="196"/>
      <c r="K168" s="196"/>
      <c r="L168" s="196"/>
      <c r="M168" s="196"/>
      <c r="N168" s="196"/>
      <c r="O168" s="196"/>
      <c r="P168" s="196"/>
      <c r="Q168" s="196"/>
      <c r="R168" s="196"/>
      <c r="S168" s="196"/>
      <c r="T168" s="196"/>
      <c r="U168" s="196"/>
      <c r="V168" s="196"/>
      <c r="W168" s="196"/>
      <c r="X168" s="196"/>
      <c r="Y168" s="196"/>
      <c r="Z168" s="196"/>
      <c r="AA168" s="196"/>
      <c r="AB168" s="196"/>
      <c r="AC168" s="196"/>
      <c r="AD168" s="196"/>
      <c r="AE168" s="196"/>
      <c r="AF168" s="196"/>
      <c r="AG168" s="228"/>
      <c r="AH168" s="196"/>
      <c r="AI168" s="196"/>
      <c r="AJ168" s="196"/>
      <c r="AK168" s="196"/>
      <c r="AL168" s="196"/>
      <c r="AM168" s="196"/>
      <c r="AN168" s="196"/>
      <c r="AO168" s="196"/>
      <c r="AP168" s="196"/>
      <c r="AQ168" s="196"/>
      <c r="AR168" s="196"/>
      <c r="AS168" s="196"/>
      <c r="AT168" s="196"/>
      <c r="AU168" s="195">
        <f>IF(G168-I168-J168-K168-L168-M168-N168-O168-P168-Q168-R168-S168-T168-U168-V168-W168-X168-Y168-Z168-AA168-AB168-AC168-AD168-AE168-AF168-AG168-AH168-AI168-AJ168-AL168-AM168-AN168-AO168-AP168-AQ168-AR168-AS168-AT168&lt;0,0,G168-I168-J168-K168-L168-M168-N168-O168-P168-Q168-R168-S168-T168-U168-V168-W168-X168-Y168-Z168-AA168-AB168-AC168-AD168-AE168-AF168-AG168-AH168-AI168-AJ168-AL168-AM168-AN168-AO168-AP168-AQ168-AR168-AS168-AT168)</f>
        <v>0</v>
      </c>
      <c r="AV168" s="233">
        <v>4</v>
      </c>
      <c r="AW168" s="243">
        <f>I168*$I$8+J168*$J$8+K168*$K$8+L168*$L$8+M168*$M$8+N168*$N$8+O168*$O$8+P168*$P$8+Q168*$Q$8+R168*$R$8+S168*$S$8+T168*$T$8+U168*$U$8+V168*$V$8+W168*$W$8+X168*$X$8+Y168*$Y$8+Z168*$Z$8+AA168*$AA$8++AB168*$AB$8+AC168*$AC$8+AD168*$AD$8+AE168*$AE$8+AF168*$AF$8+AG168*$AG$8+AH168*$AH$8+AI168*$AI$8+AJ168*$AJ$8+AL168*$AL$8+AM168*$AM$8+AN168*$AN$8+AO168*$AO$8+AP168*$AP$8+AQ168*$AQ$8+AR168*$AR$8+AS168*$AS$8+AT168*$AT$8</f>
        <v>0</v>
      </c>
      <c r="AX168" s="242" t="e">
        <f t="shared" si="305"/>
        <v>#DIV/0!</v>
      </c>
    </row>
    <row r="169" ht="20.5" customHeight="1" spans="2:50">
      <c r="B169" s="158" t="s">
        <v>70</v>
      </c>
      <c r="C169" s="159">
        <v>161</v>
      </c>
      <c r="D169" s="163" t="s">
        <v>239</v>
      </c>
      <c r="E169" s="196"/>
      <c r="F169" s="196"/>
      <c r="G169" s="195">
        <f>E169-F169</f>
        <v>0</v>
      </c>
      <c r="H169" s="196"/>
      <c r="I169" s="196"/>
      <c r="J169" s="196"/>
      <c r="K169" s="196"/>
      <c r="L169" s="196"/>
      <c r="M169" s="196"/>
      <c r="N169" s="196"/>
      <c r="O169" s="196"/>
      <c r="P169" s="196"/>
      <c r="Q169" s="196"/>
      <c r="R169" s="196"/>
      <c r="S169" s="196"/>
      <c r="T169" s="196"/>
      <c r="U169" s="196"/>
      <c r="V169" s="196"/>
      <c r="W169" s="196"/>
      <c r="X169" s="196"/>
      <c r="Y169" s="196"/>
      <c r="Z169" s="196"/>
      <c r="AA169" s="196"/>
      <c r="AB169" s="196"/>
      <c r="AC169" s="196"/>
      <c r="AD169" s="196"/>
      <c r="AE169" s="196"/>
      <c r="AF169" s="196"/>
      <c r="AG169" s="196"/>
      <c r="AH169" s="196"/>
      <c r="AI169" s="196"/>
      <c r="AJ169" s="196"/>
      <c r="AK169" s="196"/>
      <c r="AL169" s="196"/>
      <c r="AM169" s="196"/>
      <c r="AN169" s="196"/>
      <c r="AO169" s="196"/>
      <c r="AP169" s="196"/>
      <c r="AQ169" s="196"/>
      <c r="AR169" s="196"/>
      <c r="AS169" s="196"/>
      <c r="AT169" s="196"/>
      <c r="AU169" s="195">
        <f>IF(G169-I169-J169-K169-L169-M169-N169-O169-P169-Q169-R169-S169-T169-U169-V169-W169-X169-Y169-Z169-AA169-AB169-AC169-AD169-AE169-AF169-AG169-AH169-AI169-AJ169-AL169-AM169-AN169-AO169-AP169-AQ169-AR169-AS169-AT169&lt;0,0,G169-I169-J169-K169-L169-M169-N169-O169-P169-Q169-R169-S169-T169-U169-V169-W169-X169-Y169-Z169-AA169-AB169-AC169-AD169-AE169-AF169-AG169-AH169-AI169-AJ169-AL169-AM169-AN169-AO169-AP169-AQ169-AR169-AS169-AT169)</f>
        <v>0</v>
      </c>
      <c r="AV169" s="233">
        <v>1</v>
      </c>
      <c r="AW169" s="243">
        <f>I169*$I$8+J169*$J$8+K169*$K$8+L169*$L$8+M169*$M$8+N169*$N$8+O169*$O$8+P169*$P$8+Q169*$Q$8+R169*$R$8+S169*$S$8+T169*$T$8+U169*$U$8+V169*$V$8+W169*$W$8+X169*$X$8+Y169*$Y$8+Z169*$Z$8+AA169*$AA$8++AB169*$AB$8+AC169*$AC$8+AD169*$AD$8+AE169*$AE$8+AF169*$AF$8+AG169*$AG$8+AH169*$AH$8+AI169*$AI$8+AJ169*$AJ$8+AL169*$AL$8+AM169*$AM$8+AN169*$AN$8+AO169*$AO$8+AP169*$AP$8+AQ169*$AQ$8+AR169*$AR$8+AS169*$AS$8+AT169*$AT$8</f>
        <v>0</v>
      </c>
      <c r="AX169" s="242" t="e">
        <f t="shared" si="305"/>
        <v>#DIV/0!</v>
      </c>
    </row>
    <row r="170" ht="20.5" customHeight="1" spans="2:50">
      <c r="B170" s="158" t="s">
        <v>70</v>
      </c>
      <c r="C170" s="159">
        <v>162</v>
      </c>
      <c r="D170" s="163" t="s">
        <v>240</v>
      </c>
      <c r="E170" s="195">
        <f t="shared" ref="E170:H170" si="308">E171+E172+E173+E174</f>
        <v>0</v>
      </c>
      <c r="F170" s="195">
        <f t="shared" si="308"/>
        <v>0</v>
      </c>
      <c r="G170" s="195">
        <f t="shared" si="308"/>
        <v>0</v>
      </c>
      <c r="H170" s="195">
        <f t="shared" si="308"/>
        <v>0</v>
      </c>
      <c r="I170" s="195">
        <f t="shared" ref="I170:AT170" si="309">I171+I172+I173+I174</f>
        <v>0</v>
      </c>
      <c r="J170" s="195">
        <f t="shared" si="309"/>
        <v>0</v>
      </c>
      <c r="K170" s="195">
        <f t="shared" si="309"/>
        <v>0</v>
      </c>
      <c r="L170" s="195">
        <f t="shared" si="309"/>
        <v>0</v>
      </c>
      <c r="M170" s="195">
        <f t="shared" si="309"/>
        <v>0</v>
      </c>
      <c r="N170" s="195">
        <f t="shared" si="309"/>
        <v>0</v>
      </c>
      <c r="O170" s="195">
        <f t="shared" si="309"/>
        <v>0</v>
      </c>
      <c r="P170" s="195">
        <f t="shared" si="309"/>
        <v>0</v>
      </c>
      <c r="Q170" s="195">
        <f t="shared" si="309"/>
        <v>0</v>
      </c>
      <c r="R170" s="195">
        <f t="shared" si="309"/>
        <v>0</v>
      </c>
      <c r="S170" s="195">
        <f t="shared" si="309"/>
        <v>0</v>
      </c>
      <c r="T170" s="195">
        <f t="shared" si="309"/>
        <v>0</v>
      </c>
      <c r="U170" s="195">
        <f t="shared" si="309"/>
        <v>0</v>
      </c>
      <c r="V170" s="195">
        <f t="shared" si="309"/>
        <v>0</v>
      </c>
      <c r="W170" s="195">
        <f t="shared" si="309"/>
        <v>0</v>
      </c>
      <c r="X170" s="195">
        <f t="shared" si="309"/>
        <v>0</v>
      </c>
      <c r="Y170" s="195">
        <f t="shared" si="309"/>
        <v>0</v>
      </c>
      <c r="Z170" s="195">
        <f t="shared" si="309"/>
        <v>0</v>
      </c>
      <c r="AA170" s="195">
        <f t="shared" si="309"/>
        <v>0</v>
      </c>
      <c r="AB170" s="195">
        <f t="shared" si="309"/>
        <v>0</v>
      </c>
      <c r="AC170" s="195">
        <f t="shared" si="309"/>
        <v>0</v>
      </c>
      <c r="AD170" s="195">
        <f t="shared" si="309"/>
        <v>0</v>
      </c>
      <c r="AE170" s="195">
        <f t="shared" si="309"/>
        <v>0</v>
      </c>
      <c r="AF170" s="195">
        <f t="shared" si="309"/>
        <v>0</v>
      </c>
      <c r="AG170" s="195">
        <f t="shared" si="309"/>
        <v>0</v>
      </c>
      <c r="AH170" s="195">
        <f t="shared" si="309"/>
        <v>0</v>
      </c>
      <c r="AI170" s="195">
        <f t="shared" si="309"/>
        <v>0</v>
      </c>
      <c r="AJ170" s="195">
        <f t="shared" si="309"/>
        <v>0</v>
      </c>
      <c r="AK170" s="195">
        <f t="shared" si="309"/>
        <v>0</v>
      </c>
      <c r="AL170" s="195">
        <f t="shared" si="309"/>
        <v>0</v>
      </c>
      <c r="AM170" s="195">
        <f t="shared" si="309"/>
        <v>0</v>
      </c>
      <c r="AN170" s="195">
        <f t="shared" si="309"/>
        <v>0</v>
      </c>
      <c r="AO170" s="195">
        <f t="shared" si="309"/>
        <v>0</v>
      </c>
      <c r="AP170" s="195">
        <f t="shared" si="309"/>
        <v>0</v>
      </c>
      <c r="AQ170" s="195">
        <f t="shared" si="309"/>
        <v>0</v>
      </c>
      <c r="AR170" s="195">
        <f t="shared" si="309"/>
        <v>0</v>
      </c>
      <c r="AS170" s="195">
        <f t="shared" si="309"/>
        <v>0</v>
      </c>
      <c r="AT170" s="195">
        <f t="shared" si="309"/>
        <v>0</v>
      </c>
      <c r="AU170" s="195">
        <f>SUM(AU171:AU174)</f>
        <v>0</v>
      </c>
      <c r="AV170" s="232"/>
      <c r="AW170" s="195">
        <f>SUM(AW171:AW174)</f>
        <v>0</v>
      </c>
      <c r="AX170" s="242" t="e">
        <f t="shared" si="305"/>
        <v>#DIV/0!</v>
      </c>
    </row>
    <row r="171" ht="20.5" customHeight="1" spans="1:50">
      <c r="A171" t="s">
        <v>4</v>
      </c>
      <c r="B171" s="158" t="s">
        <v>70</v>
      </c>
      <c r="C171" s="159">
        <v>163</v>
      </c>
      <c r="D171" s="254" t="s">
        <v>241</v>
      </c>
      <c r="E171" s="196"/>
      <c r="F171" s="196"/>
      <c r="G171" s="195">
        <f>E171-F171</f>
        <v>0</v>
      </c>
      <c r="H171" s="196"/>
      <c r="I171" s="196"/>
      <c r="J171" s="196"/>
      <c r="K171" s="196"/>
      <c r="L171" s="196"/>
      <c r="M171" s="196"/>
      <c r="N171" s="196"/>
      <c r="O171" s="196"/>
      <c r="P171" s="196"/>
      <c r="Q171" s="196"/>
      <c r="R171" s="196"/>
      <c r="S171" s="196"/>
      <c r="T171" s="196"/>
      <c r="U171" s="196"/>
      <c r="V171" s="196"/>
      <c r="W171" s="196"/>
      <c r="X171" s="196"/>
      <c r="Y171" s="196"/>
      <c r="Z171" s="196"/>
      <c r="AA171" s="196"/>
      <c r="AB171" s="196"/>
      <c r="AC171" s="196"/>
      <c r="AD171" s="196"/>
      <c r="AE171" s="196"/>
      <c r="AF171" s="196"/>
      <c r="AG171" s="196"/>
      <c r="AH171" s="196"/>
      <c r="AI171" s="196"/>
      <c r="AJ171" s="196"/>
      <c r="AK171" s="196"/>
      <c r="AL171" s="196"/>
      <c r="AM171" s="196"/>
      <c r="AN171" s="196"/>
      <c r="AO171" s="196"/>
      <c r="AP171" s="196"/>
      <c r="AQ171" s="196"/>
      <c r="AR171" s="196"/>
      <c r="AS171" s="196"/>
      <c r="AT171" s="196"/>
      <c r="AU171" s="195">
        <f>IF(G171-I171-J171-K171-L171-M171-N171-O171-P171-Q171-R171-S171-T171-U171-V171-W171-X171-Y171-Z171-AA171-AB171-AC171-AD171-AE171-AF171-AG171-AH171-AI171-AJ171-AL171-AM171-AN171-AO171-AP171-AQ171-AR171-AS171-AT171&lt;0,0,G171-I171-J171-K171-L171-M171-N171-O171-P171-Q171-R171-S171-T171-U171-V171-W171-X171-Y171-Z171-AA171-AB171-AC171-AD171-AE171-AF171-AG171-AH171-AI171-AJ171-AL171-AM171-AN171-AO171-AP171-AQ171-AR171-AS171-AT171)</f>
        <v>0</v>
      </c>
      <c r="AV171" s="233">
        <v>12.5</v>
      </c>
      <c r="AW171" s="243">
        <f>I171*$I$8+J171*$J$8+K171*$K$8+L171*$L$8+M171*$M$8+N171*$N$8+O171*$O$8+P171*$P$8+Q171*$Q$8+R171*$R$8+S171*$S$8+T171*$T$8+U171*$U$8+V171*$V$8+W171*$W$8+X171*$X$8+Y171*$Y$8+Z171*$Z$8+AA171*$AA$8++AB171*$AB$8+AC171*$AC$8+AD171*$AD$8+AE171*$AE$8+AF171*$AF$8+AG171*$AG$8+AH171*$AH$8+AI171*$AI$8+AJ171*$AJ$8+AL171*$AL$8+AM171*$AM$8+AN171*$AN$8+AO171*$AO$8+AP171*$AP$8+AQ171*$AQ$8+AR171*$AR$8+AS171*$AS$8+AT171*$AT$8</f>
        <v>0</v>
      </c>
      <c r="AX171" s="242" t="e">
        <f t="shared" si="305"/>
        <v>#DIV/0!</v>
      </c>
    </row>
    <row r="172" ht="20.5" customHeight="1" spans="1:50">
      <c r="A172" t="s">
        <v>4</v>
      </c>
      <c r="B172" s="158" t="s">
        <v>70</v>
      </c>
      <c r="C172" s="159">
        <v>164</v>
      </c>
      <c r="D172" s="254" t="s">
        <v>242</v>
      </c>
      <c r="E172" s="196"/>
      <c r="F172" s="196"/>
      <c r="G172" s="195">
        <f>E172-F172</f>
        <v>0</v>
      </c>
      <c r="H172" s="196"/>
      <c r="I172" s="196"/>
      <c r="J172" s="196"/>
      <c r="K172" s="196"/>
      <c r="L172" s="196"/>
      <c r="M172" s="196"/>
      <c r="N172" s="196"/>
      <c r="O172" s="196"/>
      <c r="P172" s="196"/>
      <c r="Q172" s="196"/>
      <c r="R172" s="196"/>
      <c r="S172" s="196"/>
      <c r="T172" s="196"/>
      <c r="U172" s="196"/>
      <c r="V172" s="196"/>
      <c r="W172" s="196"/>
      <c r="X172" s="196"/>
      <c r="Y172" s="196"/>
      <c r="Z172" s="196"/>
      <c r="AA172" s="196"/>
      <c r="AB172" s="196"/>
      <c r="AC172" s="196"/>
      <c r="AD172" s="196"/>
      <c r="AE172" s="196"/>
      <c r="AF172" s="196"/>
      <c r="AG172" s="196"/>
      <c r="AH172" s="196"/>
      <c r="AI172" s="196"/>
      <c r="AJ172" s="196"/>
      <c r="AK172" s="196"/>
      <c r="AL172" s="196"/>
      <c r="AM172" s="196"/>
      <c r="AN172" s="196"/>
      <c r="AO172" s="196"/>
      <c r="AP172" s="196"/>
      <c r="AQ172" s="196"/>
      <c r="AR172" s="196"/>
      <c r="AS172" s="196"/>
      <c r="AT172" s="196"/>
      <c r="AU172" s="195">
        <f>IF(G172-I172-J172-K172-L172-M172-N172-O172-P172-Q172-R172-S172-T172-U172-V172-W172-X172-Y172-Z172-AA172-AB172-AC172-AD172-AE172-AF172-AG172-AH172-AI172-AJ172-AL172-AM172-AN172-AO172-AP172-AQ172-AR172-AS172-AT172&lt;0,0,G172-I172-J172-K172-L172-M172-N172-O172-P172-Q172-R172-S172-T172-U172-V172-W172-X172-Y172-Z172-AA172-AB172-AC172-AD172-AE172-AF172-AG172-AH172-AI172-AJ172-AL172-AM172-AN172-AO172-AP172-AQ172-AR172-AS172-AT172)</f>
        <v>0</v>
      </c>
      <c r="AV172" s="233">
        <v>4</v>
      </c>
      <c r="AW172" s="243">
        <f>I172*$I$8+J172*$J$8+K172*$K$8+L172*$L$8+M172*$M$8+N172*$N$8+O172*$O$8+P172*$P$8+Q172*$Q$8+R172*$R$8+S172*$S$8+T172*$T$8+U172*$U$8+V172*$V$8+W172*$W$8+X172*$X$8+Y172*$Y$8+Z172*$Z$8+AA172*$AA$8++AB172*$AB$8+AC172*$AC$8+AD172*$AD$8+AE172*$AE$8+AF172*$AF$8+AG172*$AG$8+AH172*$AH$8+AI172*$AI$8+AJ172*$AJ$8+AL172*$AL$8+AM172*$AM$8+AN172*$AN$8+AO172*$AO$8+AP172*$AP$8+AQ172*$AQ$8+AR172*$AR$8+AS172*$AS$8+AT172*$AT$8</f>
        <v>0</v>
      </c>
      <c r="AX172" s="242" t="e">
        <f t="shared" si="305"/>
        <v>#DIV/0!</v>
      </c>
    </row>
    <row r="173" ht="20.5" customHeight="1" spans="1:50">
      <c r="A173" t="s">
        <v>4</v>
      </c>
      <c r="B173" s="158" t="s">
        <v>70</v>
      </c>
      <c r="C173" s="159">
        <v>165</v>
      </c>
      <c r="D173" s="254" t="s">
        <v>243</v>
      </c>
      <c r="E173" s="196"/>
      <c r="F173" s="196"/>
      <c r="G173" s="195">
        <f>E173-F173</f>
        <v>0</v>
      </c>
      <c r="H173" s="196"/>
      <c r="I173" s="196"/>
      <c r="J173" s="196"/>
      <c r="K173" s="196"/>
      <c r="L173" s="196"/>
      <c r="M173" s="196"/>
      <c r="N173" s="196"/>
      <c r="O173" s="196"/>
      <c r="P173" s="196"/>
      <c r="Q173" s="196"/>
      <c r="R173" s="196"/>
      <c r="S173" s="196"/>
      <c r="T173" s="196"/>
      <c r="U173" s="196"/>
      <c r="V173" s="196"/>
      <c r="W173" s="196"/>
      <c r="X173" s="196"/>
      <c r="Y173" s="196"/>
      <c r="Z173" s="196"/>
      <c r="AA173" s="196"/>
      <c r="AB173" s="196"/>
      <c r="AC173" s="196"/>
      <c r="AD173" s="196"/>
      <c r="AE173" s="196"/>
      <c r="AF173" s="196"/>
      <c r="AG173" s="196"/>
      <c r="AH173" s="196"/>
      <c r="AI173" s="196"/>
      <c r="AJ173" s="196"/>
      <c r="AK173" s="196"/>
      <c r="AL173" s="196"/>
      <c r="AM173" s="196"/>
      <c r="AN173" s="196"/>
      <c r="AO173" s="196"/>
      <c r="AP173" s="196"/>
      <c r="AQ173" s="196"/>
      <c r="AR173" s="196"/>
      <c r="AS173" s="196"/>
      <c r="AT173" s="196"/>
      <c r="AU173" s="195">
        <f>IF(G173-I173-J173-K173-L173-M173-N173-O173-P173-Q173-R173-S173-T173-U173-V173-W173-X173-Y173-Z173-AA173-AB173-AC173-AD173-AE173-AF173-AG173-AH173-AI173-AJ173-AL173-AM173-AN173-AO173-AP173-AQ173-AR173-AS173-AT173&lt;0,0,G173-I173-J173-K173-L173-M173-N173-O173-P173-Q173-R173-S173-T173-U173-V173-W173-X173-Y173-Z173-AA173-AB173-AC173-AD173-AE173-AF173-AG173-AH173-AI173-AJ173-AL173-AM173-AN173-AO173-AP173-AQ173-AR173-AS173-AT173)</f>
        <v>0</v>
      </c>
      <c r="AV173" s="233">
        <v>1</v>
      </c>
      <c r="AW173" s="243">
        <f>I173*$I$8+J173*$J$8+K173*$K$8+L173*$L$8+M173*$M$8+N173*$N$8+O173*$O$8+P173*$P$8+Q173*$Q$8+R173*$R$8+S173*$S$8+T173*$T$8+U173*$U$8+V173*$V$8+W173*$W$8+X173*$X$8+Y173*$Y$8+Z173*$Z$8+AA173*$AA$8++AB173*$AB$8+AC173*$AC$8+AD173*$AD$8+AE173*$AE$8+AF173*$AF$8+AG173*$AG$8+AH173*$AH$8+AI173*$AI$8+AJ173*$AJ$8+AL173*$AL$8+AM173*$AM$8+AN173*$AN$8+AO173*$AO$8+AP173*$AP$8+AQ173*$AQ$8+AR173*$AR$8+AS173*$AS$8+AT173*$AT$8</f>
        <v>0</v>
      </c>
      <c r="AX173" s="242" t="e">
        <f t="shared" si="305"/>
        <v>#DIV/0!</v>
      </c>
    </row>
    <row r="174" ht="20.5" customHeight="1" spans="1:50">
      <c r="A174" t="s">
        <v>4</v>
      </c>
      <c r="B174" s="158" t="s">
        <v>70</v>
      </c>
      <c r="C174" s="159">
        <v>166</v>
      </c>
      <c r="D174" s="254" t="s">
        <v>244</v>
      </c>
      <c r="E174" s="196"/>
      <c r="F174" s="196"/>
      <c r="G174" s="195">
        <f>E174-F174</f>
        <v>0</v>
      </c>
      <c r="H174" s="196"/>
      <c r="I174" s="196"/>
      <c r="J174" s="196"/>
      <c r="K174" s="196"/>
      <c r="L174" s="196"/>
      <c r="M174" s="196"/>
      <c r="N174" s="196"/>
      <c r="O174" s="196"/>
      <c r="P174" s="196"/>
      <c r="Q174" s="196"/>
      <c r="R174" s="196"/>
      <c r="S174" s="196"/>
      <c r="T174" s="196"/>
      <c r="U174" s="196"/>
      <c r="V174" s="196"/>
      <c r="W174" s="196"/>
      <c r="X174" s="196"/>
      <c r="Y174" s="196"/>
      <c r="Z174" s="196"/>
      <c r="AA174" s="196"/>
      <c r="AB174" s="196"/>
      <c r="AC174" s="196"/>
      <c r="AD174" s="196"/>
      <c r="AE174" s="196"/>
      <c r="AF174" s="196"/>
      <c r="AG174" s="196"/>
      <c r="AH174" s="196"/>
      <c r="AI174" s="196"/>
      <c r="AJ174" s="196"/>
      <c r="AK174" s="196"/>
      <c r="AL174" s="196"/>
      <c r="AM174" s="196"/>
      <c r="AN174" s="196"/>
      <c r="AO174" s="196"/>
      <c r="AP174" s="196"/>
      <c r="AQ174" s="196"/>
      <c r="AR174" s="196"/>
      <c r="AS174" s="196"/>
      <c r="AT174" s="196"/>
      <c r="AU174" s="195">
        <f>IF(G174-I174-J174-K174-L174-M174-N174-O174-P174-Q174-R174-S174-T174-U174-V174-W174-X174-Y174-Z174-AA174-AB174-AC174-AD174-AE174-AF174-AG174-AH174-AI174-AJ174-AL174-AM174-AN174-AO174-AP174-AQ174-AR174-AS174-AT174&lt;0,0,G174-I174-J174-K174-L174-M174-N174-O174-P174-Q174-R174-S174-T174-U174-V174-W174-X174-Y174-Z174-AA174-AB174-AC174-AD174-AE174-AF174-AG174-AH174-AI174-AJ174-AL174-AM174-AN174-AO174-AP174-AQ174-AR174-AS174-AT174)</f>
        <v>0</v>
      </c>
      <c r="AV174" s="233">
        <v>2.5</v>
      </c>
      <c r="AW174" s="243">
        <f>I174*$I$8+J174*$J$8+K174*$K$8+L174*$L$8+M174*$M$8+N174*$N$8+O174*$O$8+P174*$P$8+Q174*$Q$8+R174*$R$8+S174*$S$8+T174*$T$8+U174*$U$8+V174*$V$8+W174*$W$8+X174*$X$8+Y174*$Y$8+Z174*$Z$8+AA174*$AA$8++AB174*$AB$8+AC174*$AC$8+AD174*$AD$8+AE174*$AE$8+AF174*$AF$8+AG174*$AG$8+AH174*$AH$8+AI174*$AI$8+AJ174*$AJ$8+AL174*$AL$8+AM174*$AM$8+AN174*$AN$8+AO174*$AO$8+AP174*$AP$8+AQ174*$AQ$8+AR174*$AR$8+AS174*$AS$8+AT174*$AT$8</f>
        <v>0</v>
      </c>
      <c r="AX174" s="242" t="e">
        <f t="shared" si="305"/>
        <v>#DIV/0!</v>
      </c>
    </row>
    <row r="175" ht="20.5" customHeight="1" spans="2:50">
      <c r="B175" s="158" t="s">
        <v>70</v>
      </c>
      <c r="C175" s="159">
        <v>167</v>
      </c>
      <c r="D175" s="173" t="s">
        <v>245</v>
      </c>
      <c r="E175" s="195">
        <f t="shared" ref="E175:H175" si="310">E176+E177+E178+E179</f>
        <v>0</v>
      </c>
      <c r="F175" s="195">
        <f t="shared" si="310"/>
        <v>0</v>
      </c>
      <c r="G175" s="195">
        <f>G176+G177+G178+G179+G180</f>
        <v>0</v>
      </c>
      <c r="H175" s="195">
        <f t="shared" si="310"/>
        <v>0</v>
      </c>
      <c r="I175" s="195">
        <f t="shared" ref="I175:AT175" si="311">I176+I177+I178+I179</f>
        <v>0</v>
      </c>
      <c r="J175" s="195">
        <f t="shared" si="311"/>
        <v>0</v>
      </c>
      <c r="K175" s="195">
        <f t="shared" si="311"/>
        <v>0</v>
      </c>
      <c r="L175" s="195">
        <f t="shared" si="311"/>
        <v>0</v>
      </c>
      <c r="M175" s="195">
        <f t="shared" si="311"/>
        <v>0</v>
      </c>
      <c r="N175" s="195">
        <f t="shared" si="311"/>
        <v>0</v>
      </c>
      <c r="O175" s="195">
        <f t="shared" si="311"/>
        <v>0</v>
      </c>
      <c r="P175" s="195">
        <f t="shared" si="311"/>
        <v>0</v>
      </c>
      <c r="Q175" s="195">
        <f t="shared" si="311"/>
        <v>0</v>
      </c>
      <c r="R175" s="195">
        <f t="shared" si="311"/>
        <v>0</v>
      </c>
      <c r="S175" s="195">
        <f t="shared" si="311"/>
        <v>0</v>
      </c>
      <c r="T175" s="195">
        <f t="shared" si="311"/>
        <v>0</v>
      </c>
      <c r="U175" s="195">
        <f t="shared" si="311"/>
        <v>0</v>
      </c>
      <c r="V175" s="195">
        <f t="shared" si="311"/>
        <v>0</v>
      </c>
      <c r="W175" s="195">
        <f t="shared" si="311"/>
        <v>0</v>
      </c>
      <c r="X175" s="195">
        <f t="shared" si="311"/>
        <v>0</v>
      </c>
      <c r="Y175" s="195">
        <f t="shared" si="311"/>
        <v>0</v>
      </c>
      <c r="Z175" s="195">
        <f t="shared" si="311"/>
        <v>0</v>
      </c>
      <c r="AA175" s="195">
        <f t="shared" si="311"/>
        <v>0</v>
      </c>
      <c r="AB175" s="195">
        <f t="shared" si="311"/>
        <v>0</v>
      </c>
      <c r="AC175" s="195">
        <f t="shared" si="311"/>
        <v>0</v>
      </c>
      <c r="AD175" s="195">
        <f t="shared" si="311"/>
        <v>0</v>
      </c>
      <c r="AE175" s="195">
        <f t="shared" si="311"/>
        <v>0</v>
      </c>
      <c r="AF175" s="195">
        <f t="shared" si="311"/>
        <v>0</v>
      </c>
      <c r="AG175" s="195">
        <f t="shared" si="311"/>
        <v>0</v>
      </c>
      <c r="AH175" s="195">
        <f t="shared" si="311"/>
        <v>0</v>
      </c>
      <c r="AI175" s="195">
        <f t="shared" si="311"/>
        <v>0</v>
      </c>
      <c r="AJ175" s="195">
        <f t="shared" si="311"/>
        <v>0</v>
      </c>
      <c r="AK175" s="195">
        <f t="shared" si="311"/>
        <v>0</v>
      </c>
      <c r="AL175" s="195">
        <f t="shared" si="311"/>
        <v>0</v>
      </c>
      <c r="AM175" s="195">
        <f t="shared" si="311"/>
        <v>0</v>
      </c>
      <c r="AN175" s="195">
        <f t="shared" si="311"/>
        <v>0</v>
      </c>
      <c r="AO175" s="195">
        <f t="shared" si="311"/>
        <v>0</v>
      </c>
      <c r="AP175" s="195">
        <f t="shared" si="311"/>
        <v>0</v>
      </c>
      <c r="AQ175" s="195">
        <f t="shared" si="311"/>
        <v>0</v>
      </c>
      <c r="AR175" s="195">
        <f t="shared" si="311"/>
        <v>0</v>
      </c>
      <c r="AS175" s="195">
        <f t="shared" si="311"/>
        <v>0</v>
      </c>
      <c r="AT175" s="195">
        <f t="shared" si="311"/>
        <v>0</v>
      </c>
      <c r="AU175" s="195">
        <f>SUM(AU176:AU179)</f>
        <v>0</v>
      </c>
      <c r="AV175" s="232"/>
      <c r="AW175" s="195">
        <f>SUM(AW176:AW179)</f>
        <v>0</v>
      </c>
      <c r="AX175" s="242" t="e">
        <f t="shared" si="305"/>
        <v>#DIV/0!</v>
      </c>
    </row>
    <row r="176" ht="21.5" customHeight="1" spans="1:50">
      <c r="A176" s="164" t="s">
        <v>88</v>
      </c>
      <c r="B176" s="158" t="s">
        <v>70</v>
      </c>
      <c r="C176" s="159">
        <v>168</v>
      </c>
      <c r="D176" s="254" t="s">
        <v>246</v>
      </c>
      <c r="E176" s="196"/>
      <c r="F176" s="196"/>
      <c r="G176" s="195">
        <f>E176-F176</f>
        <v>0</v>
      </c>
      <c r="H176" s="196"/>
      <c r="I176" s="196"/>
      <c r="J176" s="196"/>
      <c r="K176" s="196"/>
      <c r="L176" s="196"/>
      <c r="M176" s="196"/>
      <c r="N176" s="196"/>
      <c r="O176" s="196"/>
      <c r="P176" s="196"/>
      <c r="Q176" s="196"/>
      <c r="R176" s="196"/>
      <c r="S176" s="196"/>
      <c r="T176" s="196"/>
      <c r="U176" s="196"/>
      <c r="V176" s="196"/>
      <c r="W176" s="196"/>
      <c r="X176" s="196"/>
      <c r="Y176" s="196"/>
      <c r="Z176" s="196"/>
      <c r="AA176" s="196"/>
      <c r="AB176" s="196"/>
      <c r="AC176" s="196"/>
      <c r="AD176" s="196"/>
      <c r="AE176" s="196"/>
      <c r="AF176" s="196"/>
      <c r="AG176" s="196"/>
      <c r="AH176" s="196"/>
      <c r="AI176" s="196"/>
      <c r="AJ176" s="196"/>
      <c r="AK176" s="196"/>
      <c r="AL176" s="196"/>
      <c r="AM176" s="196"/>
      <c r="AN176" s="196"/>
      <c r="AO176" s="196"/>
      <c r="AP176" s="196"/>
      <c r="AQ176" s="196"/>
      <c r="AR176" s="196"/>
      <c r="AS176" s="196"/>
      <c r="AT176" s="196"/>
      <c r="AU176" s="195">
        <f>IF(G176-I176-J176-K176-L176-M176-N176-O176-P176-Q176-R176-S176-T176-U176-V176-W176-X176-Y176-Z176-AA176-AB176-AC176-AD176-AE176-AF176-AG176-AH176-AI176-AJ176-AL176-AM176-AN176-AO176-AP176-AQ176-AR176-AS176-AT176&lt;0,0,G176-I176-J176-K176-L176-M176-N176-O176-P176-Q176-R176-S176-T176-U176-V176-W176-X176-Y176-Z176-AA176-AB176-AC176-AD176-AE176-AF176-AG176-AH176-AI176-AJ176-AL176-AM176-AN176-AO176-AP176-AQ176-AR176-AS176-AT176)</f>
        <v>0</v>
      </c>
      <c r="AV176" s="233">
        <v>1.5</v>
      </c>
      <c r="AW176" s="243">
        <f>I176*$I$8+J176*$J$8+K176*$K$8+L176*$L$8+M176*$M$8+N176*$N$8+O176*$O$8+P176*$P$8+Q176*$Q$8+R176*$R$8+S176*$S$8+T176*$T$8+U176*$U$8+V176*$V$8+W176*$W$8+X176*$X$8+Y176*$Y$8+Z176*$Z$8+AA176*$AA$8++AB176*$AB$8+AC176*$AC$8+AD176*$AD$8+AE176*$AE$8+AF176*$AF$8+AG176*$AG$8+AH176*$AH$8+AI176*$AI$8+AJ176*$AJ$8+AL176*$AL$8+AM176*$AM$8+AN176*$AN$8+AO176*$AO$8+AP176*$AP$8+AQ176*$AQ$8+AR176*$AR$8+AS176*$AS$8+AT176*$AT$8</f>
        <v>0</v>
      </c>
      <c r="AX176" s="242" t="e">
        <f t="shared" si="305"/>
        <v>#DIV/0!</v>
      </c>
    </row>
    <row r="177" ht="26" customHeight="1" spans="1:50">
      <c r="A177" s="164" t="s">
        <v>247</v>
      </c>
      <c r="B177" s="158" t="s">
        <v>70</v>
      </c>
      <c r="C177" s="159">
        <v>169</v>
      </c>
      <c r="D177" s="261" t="s">
        <v>248</v>
      </c>
      <c r="E177" s="196"/>
      <c r="F177" s="196"/>
      <c r="G177" s="195">
        <f>E177-F177</f>
        <v>0</v>
      </c>
      <c r="H177" s="196"/>
      <c r="I177" s="196"/>
      <c r="J177" s="196"/>
      <c r="K177" s="196"/>
      <c r="L177" s="196"/>
      <c r="M177" s="196"/>
      <c r="N177" s="196"/>
      <c r="O177" s="196"/>
      <c r="P177" s="196"/>
      <c r="Q177" s="196"/>
      <c r="R177" s="196"/>
      <c r="S177" s="196"/>
      <c r="T177" s="196"/>
      <c r="U177" s="196"/>
      <c r="V177" s="196"/>
      <c r="W177" s="196"/>
      <c r="X177" s="196"/>
      <c r="Y177" s="196"/>
      <c r="Z177" s="196"/>
      <c r="AA177" s="196"/>
      <c r="AB177" s="196"/>
      <c r="AC177" s="196"/>
      <c r="AD177" s="196"/>
      <c r="AE177" s="196"/>
      <c r="AF177" s="196"/>
      <c r="AG177" s="196"/>
      <c r="AH177" s="196"/>
      <c r="AI177" s="196"/>
      <c r="AJ177" s="196"/>
      <c r="AK177" s="196"/>
      <c r="AL177" s="196"/>
      <c r="AM177" s="196"/>
      <c r="AN177" s="196"/>
      <c r="AO177" s="196"/>
      <c r="AP177" s="196"/>
      <c r="AQ177" s="196"/>
      <c r="AR177" s="196"/>
      <c r="AS177" s="196"/>
      <c r="AT177" s="196"/>
      <c r="AU177" s="195">
        <f>IF(G177-I177-J177-K177-L177-M177-N177-O177-P177-Q177-R177-S177-T177-U177-V177-W177-X177-Y177-Z177-AA177-AB177-AC177-AD177-AE177-AF177-AG177-AH177-AI177-AJ177-AL177-AM177-AN177-AO177-AP177-AQ177-AR177-AS177-AT177&lt;0,0,G177-I177-J177-K177-L177-M177-N177-O177-P177-Q177-R177-S177-T177-U177-V177-W177-X177-Y177-Z177-AA177-AB177-AC177-AD177-AE177-AF177-AG177-AH177-AI177-AJ177-AL177-AM177-AN177-AO177-AP177-AQ177-AR177-AS177-AT177)</f>
        <v>0</v>
      </c>
      <c r="AV177" s="233">
        <v>1.5</v>
      </c>
      <c r="AW177" s="243">
        <f>I177*$I$8+J177*$J$8+K177*$K$8+L177*$L$8+M177*$M$8+N177*$N$8+O177*$O$8+P177*$P$8+Q177*$Q$8+R177*$R$8+S177*$S$8+T177*$T$8+U177*$U$8+V177*$V$8+W177*$W$8+X177*$X$8+Y177*$Y$8+Z177*$Z$8+AA177*$AA$8++AB177*$AB$8+AC177*$AC$8+AD177*$AD$8+AE177*$AE$8+AF177*$AF$8+AG177*$AG$8+AH177*$AH$8+AI177*$AI$8+AJ177*$AJ$8+AL177*$AL$8+AM177*$AM$8+AN177*$AN$8+AO177*$AO$8+AP177*$AP$8+AQ177*$AQ$8+AR177*$AR$8+AS177*$AS$8+AT177*$AT$8</f>
        <v>0</v>
      </c>
      <c r="AX177" s="242" t="e">
        <f t="shared" si="305"/>
        <v>#DIV/0!</v>
      </c>
    </row>
    <row r="178" ht="20.5" customHeight="1" spans="1:50">
      <c r="A178" t="s">
        <v>4</v>
      </c>
      <c r="B178" s="158" t="s">
        <v>70</v>
      </c>
      <c r="C178" s="159">
        <v>170</v>
      </c>
      <c r="D178" s="254" t="s">
        <v>249</v>
      </c>
      <c r="E178" s="196"/>
      <c r="F178" s="196"/>
      <c r="G178" s="195">
        <f>E178-F178</f>
        <v>0</v>
      </c>
      <c r="H178" s="196"/>
      <c r="I178" s="196"/>
      <c r="J178" s="196"/>
      <c r="K178" s="196"/>
      <c r="L178" s="196"/>
      <c r="M178" s="196"/>
      <c r="N178" s="196"/>
      <c r="O178" s="196"/>
      <c r="P178" s="196"/>
      <c r="Q178" s="196"/>
      <c r="R178" s="196"/>
      <c r="S178" s="196"/>
      <c r="T178" s="196"/>
      <c r="U178" s="196"/>
      <c r="V178" s="196"/>
      <c r="W178" s="196"/>
      <c r="X178" s="196"/>
      <c r="Y178" s="196"/>
      <c r="Z178" s="196"/>
      <c r="AA178" s="196"/>
      <c r="AB178" s="196"/>
      <c r="AC178" s="196"/>
      <c r="AD178" s="196"/>
      <c r="AE178" s="196"/>
      <c r="AF178" s="196"/>
      <c r="AG178" s="196"/>
      <c r="AH178" s="196"/>
      <c r="AI178" s="196"/>
      <c r="AJ178" s="196"/>
      <c r="AK178" s="196"/>
      <c r="AL178" s="196"/>
      <c r="AM178" s="196"/>
      <c r="AN178" s="196"/>
      <c r="AO178" s="196"/>
      <c r="AP178" s="196"/>
      <c r="AQ178" s="196"/>
      <c r="AR178" s="196"/>
      <c r="AS178" s="196"/>
      <c r="AT178" s="196"/>
      <c r="AU178" s="195">
        <f>IF(G178-I178-J178-K178-L178-M178-N178-O178-P178-Q178-R178-S178-T178-U178-V178-W178-X178-Y178-Z178-AA178-AB178-AC178-AD178-AE178-AF178-AG178-AH178-AI178-AJ178-AL178-AM178-AN178-AO178-AP178-AQ178-AR178-AS178-AT178&lt;0,0,G178-I178-J178-K178-L178-M178-N178-O178-P178-Q178-R178-S178-T178-U178-V178-W178-X178-Y178-Z178-AA178-AB178-AC178-AD178-AE178-AF178-AG178-AH178-AI178-AJ178-AL178-AM178-AN178-AO178-AP178-AQ178-AR178-AS178-AT178)</f>
        <v>0</v>
      </c>
      <c r="AV178" s="233">
        <v>1.5</v>
      </c>
      <c r="AW178" s="243">
        <f>I178*$I$8+J178*$J$8+K178*$K$8+L178*$L$8+M178*$M$8+N178*$N$8+O178*$O$8+P178*$P$8+Q178*$Q$8+R178*$R$8+S178*$S$8+T178*$T$8+U178*$U$8+V178*$V$8+W178*$W$8+X178*$X$8+Y178*$Y$8+Z178*$Z$8+AA178*$AA$8++AB178*$AB$8+AC178*$AC$8+AD178*$AD$8+AE178*$AE$8+AF178*$AF$8+AG178*$AG$8+AH178*$AH$8+AI178*$AI$8+AJ178*$AJ$8+AL178*$AL$8+AM178*$AM$8+AN178*$AN$8+AO178*$AO$8+AP178*$AP$8+AQ178*$AQ$8+AR178*$AR$8+AS178*$AS$8+AT178*$AT$8</f>
        <v>0</v>
      </c>
      <c r="AX178" s="242" t="e">
        <f t="shared" si="305"/>
        <v>#DIV/0!</v>
      </c>
    </row>
    <row r="179" ht="20.5" customHeight="1" spans="1:50">
      <c r="A179" t="s">
        <v>4</v>
      </c>
      <c r="B179" s="158" t="s">
        <v>70</v>
      </c>
      <c r="C179" s="159">
        <v>171</v>
      </c>
      <c r="D179" s="254" t="s">
        <v>250</v>
      </c>
      <c r="E179" s="196"/>
      <c r="F179" s="196"/>
      <c r="G179" s="195">
        <f>E179-F179</f>
        <v>0</v>
      </c>
      <c r="H179" s="196"/>
      <c r="I179" s="196"/>
      <c r="J179" s="196"/>
      <c r="K179" s="196"/>
      <c r="L179" s="196"/>
      <c r="M179" s="196"/>
      <c r="N179" s="196"/>
      <c r="O179" s="196"/>
      <c r="P179" s="196"/>
      <c r="Q179" s="196"/>
      <c r="R179" s="196"/>
      <c r="S179" s="196"/>
      <c r="T179" s="196"/>
      <c r="U179" s="196"/>
      <c r="V179" s="196"/>
      <c r="W179" s="196"/>
      <c r="X179" s="196"/>
      <c r="Y179" s="196"/>
      <c r="Z179" s="196"/>
      <c r="AA179" s="196"/>
      <c r="AB179" s="196"/>
      <c r="AC179" s="196"/>
      <c r="AD179" s="196"/>
      <c r="AE179" s="196"/>
      <c r="AF179" s="196"/>
      <c r="AG179" s="196"/>
      <c r="AH179" s="196"/>
      <c r="AI179" s="196"/>
      <c r="AJ179" s="196"/>
      <c r="AK179" s="196"/>
      <c r="AL179" s="196"/>
      <c r="AM179" s="196"/>
      <c r="AN179" s="196"/>
      <c r="AO179" s="196"/>
      <c r="AP179" s="196"/>
      <c r="AQ179" s="196"/>
      <c r="AR179" s="196"/>
      <c r="AS179" s="196"/>
      <c r="AT179" s="196"/>
      <c r="AU179" s="195">
        <f>IF(G179-I179-J179-K179-L179-M179-N179-O179-P179-Q179-R179-S179-T179-U179-V179-W179-X179-Y179-Z179-AA179-AB179-AC179-AD179-AE179-AF179-AG179-AH179-AI179-AJ179-AL179-AM179-AN179-AO179-AP179-AQ179-AR179-AS179-AT179&lt;0,0,G179-I179-J179-K179-L179-M179-N179-O179-P179-Q179-R179-S179-T179-U179-V179-W179-X179-Y179-Z179-AA179-AB179-AC179-AD179-AE179-AF179-AG179-AH179-AI179-AJ179-AL179-AM179-AN179-AO179-AP179-AQ179-AR179-AS179-AT179)</f>
        <v>0</v>
      </c>
      <c r="AV179" s="233">
        <v>1.5</v>
      </c>
      <c r="AW179" s="243">
        <f>I179*$I$8+J179*$J$8+K179*$K$8+L179*$L$8+M179*$M$8+N179*$N$8+O179*$O$8+P179*$P$8+Q179*$Q$8+R179*$R$8+S179*$S$8+T179*$T$8+U179*$U$8+V179*$V$8+W179*$W$8+X179*$X$8+Y179*$Y$8+Z179*$Z$8+AA179*$AA$8++AB179*$AB$8+AC179*$AC$8+AD179*$AD$8+AE179*$AE$8+AF179*$AF$8+AG179*$AG$8+AH179*$AH$8+AI179*$AI$8+AJ179*$AJ$8+AL179*$AL$8+AM179*$AM$8+AN179*$AN$8+AO179*$AO$8+AP179*$AP$8+AQ179*$AQ$8+AR179*$AR$8+AS179*$AS$8+AT179*$AT$8</f>
        <v>0</v>
      </c>
      <c r="AX179" s="242" t="e">
        <f t="shared" si="305"/>
        <v>#DIV/0!</v>
      </c>
    </row>
    <row r="180" ht="20.5" customHeight="1" spans="2:50">
      <c r="B180" s="158"/>
      <c r="C180" s="159">
        <v>172</v>
      </c>
      <c r="D180" s="167" t="s">
        <v>251</v>
      </c>
      <c r="E180" s="196"/>
      <c r="F180" s="196"/>
      <c r="G180" s="195">
        <f>E180-F180</f>
        <v>0</v>
      </c>
      <c r="H180" s="196"/>
      <c r="I180" s="196"/>
      <c r="J180" s="196"/>
      <c r="K180" s="196"/>
      <c r="L180" s="196"/>
      <c r="M180" s="196"/>
      <c r="N180" s="196"/>
      <c r="O180" s="196"/>
      <c r="P180" s="196"/>
      <c r="Q180" s="196"/>
      <c r="R180" s="196"/>
      <c r="S180" s="196"/>
      <c r="T180" s="196"/>
      <c r="U180" s="196"/>
      <c r="V180" s="196"/>
      <c r="W180" s="196"/>
      <c r="X180" s="196"/>
      <c r="Y180" s="196"/>
      <c r="Z180" s="196"/>
      <c r="AA180" s="196"/>
      <c r="AB180" s="196"/>
      <c r="AC180" s="196"/>
      <c r="AD180" s="196"/>
      <c r="AE180" s="196"/>
      <c r="AF180" s="196"/>
      <c r="AG180" s="196"/>
      <c r="AH180" s="196"/>
      <c r="AI180" s="196"/>
      <c r="AJ180" s="196"/>
      <c r="AK180" s="196"/>
      <c r="AL180" s="196"/>
      <c r="AM180" s="196"/>
      <c r="AN180" s="196"/>
      <c r="AO180" s="196"/>
      <c r="AP180" s="196"/>
      <c r="AQ180" s="196"/>
      <c r="AR180" s="196"/>
      <c r="AS180" s="196"/>
      <c r="AT180" s="196"/>
      <c r="AU180" s="195"/>
      <c r="AV180" s="233"/>
      <c r="AW180" s="243"/>
      <c r="AX180" s="242" t="e">
        <f t="shared" si="305"/>
        <v>#DIV/0!</v>
      </c>
    </row>
    <row r="181" ht="20.5" customHeight="1" spans="1:50">
      <c r="A181" t="s">
        <v>4</v>
      </c>
      <c r="C181" s="159">
        <v>173</v>
      </c>
      <c r="D181" s="173" t="s">
        <v>252</v>
      </c>
      <c r="E181" s="195">
        <f t="shared" ref="E181:H181" si="312">E182+E187</f>
        <v>0</v>
      </c>
      <c r="F181" s="195">
        <f t="shared" si="312"/>
        <v>0</v>
      </c>
      <c r="G181" s="195">
        <f t="shared" si="312"/>
        <v>0</v>
      </c>
      <c r="H181" s="195">
        <f t="shared" si="312"/>
        <v>0</v>
      </c>
      <c r="I181" s="195">
        <f t="shared" ref="I181:AU181" si="313">I182+I187</f>
        <v>0</v>
      </c>
      <c r="J181" s="195">
        <f t="shared" si="313"/>
        <v>0</v>
      </c>
      <c r="K181" s="195">
        <f t="shared" si="313"/>
        <v>0</v>
      </c>
      <c r="L181" s="195">
        <f t="shared" si="313"/>
        <v>0</v>
      </c>
      <c r="M181" s="195">
        <f t="shared" si="313"/>
        <v>0</v>
      </c>
      <c r="N181" s="195">
        <f t="shared" si="313"/>
        <v>0</v>
      </c>
      <c r="O181" s="195">
        <f t="shared" si="313"/>
        <v>0</v>
      </c>
      <c r="P181" s="195">
        <f t="shared" si="313"/>
        <v>0</v>
      </c>
      <c r="Q181" s="195">
        <f t="shared" si="313"/>
        <v>0</v>
      </c>
      <c r="R181" s="195">
        <f t="shared" si="313"/>
        <v>0</v>
      </c>
      <c r="S181" s="195">
        <f t="shared" si="313"/>
        <v>0</v>
      </c>
      <c r="T181" s="195">
        <f t="shared" si="313"/>
        <v>0</v>
      </c>
      <c r="U181" s="195">
        <f t="shared" si="313"/>
        <v>0</v>
      </c>
      <c r="V181" s="195">
        <f t="shared" si="313"/>
        <v>0</v>
      </c>
      <c r="W181" s="195">
        <f t="shared" si="313"/>
        <v>0</v>
      </c>
      <c r="X181" s="195">
        <f t="shared" si="313"/>
        <v>0</v>
      </c>
      <c r="Y181" s="195">
        <f t="shared" si="313"/>
        <v>0</v>
      </c>
      <c r="Z181" s="195">
        <f t="shared" si="313"/>
        <v>0</v>
      </c>
      <c r="AA181" s="195">
        <f t="shared" si="313"/>
        <v>0</v>
      </c>
      <c r="AB181" s="195">
        <f t="shared" si="313"/>
        <v>0</v>
      </c>
      <c r="AC181" s="195">
        <f t="shared" si="313"/>
        <v>0</v>
      </c>
      <c r="AD181" s="195">
        <f t="shared" si="313"/>
        <v>0</v>
      </c>
      <c r="AE181" s="195">
        <f t="shared" si="313"/>
        <v>0</v>
      </c>
      <c r="AF181" s="195">
        <f t="shared" si="313"/>
        <v>0</v>
      </c>
      <c r="AG181" s="195">
        <f t="shared" si="313"/>
        <v>0</v>
      </c>
      <c r="AH181" s="195">
        <f t="shared" si="313"/>
        <v>0</v>
      </c>
      <c r="AI181" s="195">
        <f t="shared" si="313"/>
        <v>0</v>
      </c>
      <c r="AJ181" s="195">
        <f t="shared" si="313"/>
        <v>0</v>
      </c>
      <c r="AK181" s="195">
        <f t="shared" si="313"/>
        <v>0</v>
      </c>
      <c r="AL181" s="195">
        <f t="shared" si="313"/>
        <v>0</v>
      </c>
      <c r="AM181" s="195">
        <f t="shared" si="313"/>
        <v>0</v>
      </c>
      <c r="AN181" s="195">
        <f t="shared" si="313"/>
        <v>0</v>
      </c>
      <c r="AO181" s="195">
        <f t="shared" si="313"/>
        <v>0</v>
      </c>
      <c r="AP181" s="195">
        <f t="shared" si="313"/>
        <v>0</v>
      </c>
      <c r="AQ181" s="195">
        <f t="shared" si="313"/>
        <v>0</v>
      </c>
      <c r="AR181" s="195">
        <f t="shared" si="313"/>
        <v>0</v>
      </c>
      <c r="AS181" s="195">
        <f t="shared" si="313"/>
        <v>0</v>
      </c>
      <c r="AT181" s="195">
        <f t="shared" si="313"/>
        <v>0</v>
      </c>
      <c r="AU181" s="195">
        <f t="shared" si="313"/>
        <v>0</v>
      </c>
      <c r="AV181" s="232"/>
      <c r="AW181" s="195">
        <f>AW182+AW187</f>
        <v>0</v>
      </c>
      <c r="AX181" s="242" t="e">
        <f t="shared" si="305"/>
        <v>#DIV/0!</v>
      </c>
    </row>
    <row r="182" ht="20.5" customHeight="1" spans="1:50">
      <c r="A182" t="s">
        <v>4</v>
      </c>
      <c r="C182" s="159">
        <v>174</v>
      </c>
      <c r="D182" s="254" t="s">
        <v>253</v>
      </c>
      <c r="E182" s="195">
        <f t="shared" ref="E182:H182" si="314">E183+E184+E185+E186</f>
        <v>0</v>
      </c>
      <c r="F182" s="195">
        <f t="shared" si="314"/>
        <v>0</v>
      </c>
      <c r="G182" s="195">
        <f t="shared" si="314"/>
        <v>0</v>
      </c>
      <c r="H182" s="195">
        <f t="shared" si="314"/>
        <v>0</v>
      </c>
      <c r="I182" s="195">
        <f t="shared" ref="I182:AT182" si="315">I183+I184+I185+I186</f>
        <v>0</v>
      </c>
      <c r="J182" s="195">
        <f t="shared" si="315"/>
        <v>0</v>
      </c>
      <c r="K182" s="195">
        <f t="shared" si="315"/>
        <v>0</v>
      </c>
      <c r="L182" s="195">
        <f t="shared" si="315"/>
        <v>0</v>
      </c>
      <c r="M182" s="195">
        <f t="shared" si="315"/>
        <v>0</v>
      </c>
      <c r="N182" s="195">
        <f t="shared" si="315"/>
        <v>0</v>
      </c>
      <c r="O182" s="195">
        <f t="shared" si="315"/>
        <v>0</v>
      </c>
      <c r="P182" s="195">
        <f t="shared" si="315"/>
        <v>0</v>
      </c>
      <c r="Q182" s="195">
        <f t="shared" si="315"/>
        <v>0</v>
      </c>
      <c r="R182" s="195">
        <f t="shared" si="315"/>
        <v>0</v>
      </c>
      <c r="S182" s="195">
        <f t="shared" si="315"/>
        <v>0</v>
      </c>
      <c r="T182" s="195">
        <f t="shared" si="315"/>
        <v>0</v>
      </c>
      <c r="U182" s="195">
        <f t="shared" si="315"/>
        <v>0</v>
      </c>
      <c r="V182" s="195">
        <f t="shared" si="315"/>
        <v>0</v>
      </c>
      <c r="W182" s="195">
        <f t="shared" si="315"/>
        <v>0</v>
      </c>
      <c r="X182" s="195">
        <f t="shared" si="315"/>
        <v>0</v>
      </c>
      <c r="Y182" s="195">
        <f t="shared" si="315"/>
        <v>0</v>
      </c>
      <c r="Z182" s="195">
        <f t="shared" si="315"/>
        <v>0</v>
      </c>
      <c r="AA182" s="195">
        <f t="shared" si="315"/>
        <v>0</v>
      </c>
      <c r="AB182" s="195">
        <f t="shared" si="315"/>
        <v>0</v>
      </c>
      <c r="AC182" s="195">
        <f t="shared" si="315"/>
        <v>0</v>
      </c>
      <c r="AD182" s="195">
        <f t="shared" si="315"/>
        <v>0</v>
      </c>
      <c r="AE182" s="195">
        <f t="shared" si="315"/>
        <v>0</v>
      </c>
      <c r="AF182" s="195">
        <f t="shared" si="315"/>
        <v>0</v>
      </c>
      <c r="AG182" s="195">
        <f t="shared" si="315"/>
        <v>0</v>
      </c>
      <c r="AH182" s="195">
        <f t="shared" si="315"/>
        <v>0</v>
      </c>
      <c r="AI182" s="195">
        <f t="shared" si="315"/>
        <v>0</v>
      </c>
      <c r="AJ182" s="195">
        <f t="shared" si="315"/>
        <v>0</v>
      </c>
      <c r="AK182" s="195">
        <f t="shared" si="315"/>
        <v>0</v>
      </c>
      <c r="AL182" s="195">
        <f t="shared" si="315"/>
        <v>0</v>
      </c>
      <c r="AM182" s="195">
        <f t="shared" si="315"/>
        <v>0</v>
      </c>
      <c r="AN182" s="195">
        <f t="shared" si="315"/>
        <v>0</v>
      </c>
      <c r="AO182" s="195">
        <f t="shared" si="315"/>
        <v>0</v>
      </c>
      <c r="AP182" s="195">
        <f t="shared" si="315"/>
        <v>0</v>
      </c>
      <c r="AQ182" s="195">
        <f t="shared" si="315"/>
        <v>0</v>
      </c>
      <c r="AR182" s="195">
        <f t="shared" si="315"/>
        <v>0</v>
      </c>
      <c r="AS182" s="195">
        <f t="shared" si="315"/>
        <v>0</v>
      </c>
      <c r="AT182" s="195">
        <f t="shared" si="315"/>
        <v>0</v>
      </c>
      <c r="AU182" s="195">
        <f>SUM(AU183:AU186)</f>
        <v>0</v>
      </c>
      <c r="AV182" s="232"/>
      <c r="AW182" s="195">
        <f>SUM(AW183:AW186)</f>
        <v>0</v>
      </c>
      <c r="AX182" s="242" t="e">
        <f t="shared" si="305"/>
        <v>#DIV/0!</v>
      </c>
    </row>
    <row r="183" ht="20.5" customHeight="1" spans="1:50">
      <c r="A183" t="s">
        <v>4</v>
      </c>
      <c r="C183" s="159">
        <v>175</v>
      </c>
      <c r="D183" s="179" t="s">
        <v>254</v>
      </c>
      <c r="E183" s="196"/>
      <c r="F183" s="196"/>
      <c r="G183" s="195">
        <f>E183-F183</f>
        <v>0</v>
      </c>
      <c r="H183" s="196"/>
      <c r="I183" s="196"/>
      <c r="J183" s="213"/>
      <c r="K183" s="213"/>
      <c r="L183" s="196"/>
      <c r="M183" s="213"/>
      <c r="N183" s="213"/>
      <c r="O183" s="196"/>
      <c r="P183" s="213"/>
      <c r="Q183" s="213"/>
      <c r="R183" s="196"/>
      <c r="S183" s="213"/>
      <c r="T183" s="213"/>
      <c r="U183" s="213"/>
      <c r="V183" s="213"/>
      <c r="W183" s="213"/>
      <c r="X183" s="213"/>
      <c r="Y183" s="196"/>
      <c r="Z183" s="213"/>
      <c r="AA183" s="213"/>
      <c r="AB183" s="196"/>
      <c r="AC183" s="213"/>
      <c r="AD183" s="213"/>
      <c r="AE183" s="213"/>
      <c r="AF183" s="213"/>
      <c r="AG183" s="213"/>
      <c r="AH183" s="213"/>
      <c r="AI183" s="213"/>
      <c r="AJ183" s="213"/>
      <c r="AK183" s="213"/>
      <c r="AL183" s="196"/>
      <c r="AM183" s="213"/>
      <c r="AN183" s="213"/>
      <c r="AO183" s="213"/>
      <c r="AP183" s="213"/>
      <c r="AQ183" s="213"/>
      <c r="AR183" s="196"/>
      <c r="AS183" s="213"/>
      <c r="AT183" s="213"/>
      <c r="AU183" s="195">
        <f>IF(G183-I183-J183-K183-L183-M183-N183-O183-P183-Q183-R183-S183-T183-U183-V183-W183-X183-Y183-Z183-AA183-AB183-AC183-AD183-AE183-AF183-AG183-AH183-AI183-AJ183-AL183-AM183-AN183-AO183-AP183-AQ183-AR183-AS183-AT183&lt;0,0,G183-I183-J183-K183-L183-M183-N183-O183-P183-Q183-R183-S183-T183-U183-V183-W183-X183-Y183-Z183-AA183-AB183-AC183-AD183-AE183-AF183-AG183-AH183-AI183-AJ183-AL183-AM183-AN183-AO183-AP183-AQ183-AR183-AS183-AT183)</f>
        <v>0</v>
      </c>
      <c r="AV183" s="233">
        <v>0.1</v>
      </c>
      <c r="AW183" s="243">
        <f>I183*$I$8+J183*$J$8+K183*$K$8+L183*$L$8+M183*$M$8+N183*$N$8+O183*$O$8+P183*$P$8+Q183*$Q$8+R183*$R$8+S183*$S$8+T183*$T$8+U183*$U$8+V183*$V$8+W183*$W$8+X183*$X$8+Y183*$Y$8+Z183*$Z$8+AA183*$AA$8++AB183*$AB$8+AC183*$AC$8+AD183*$AD$8+AE183*$AE$8+AF183*$AF$8+AG183*$AG$8+AH183*$AH$8+AI183*$AI$8+AJ183*$AJ$8+AL183*$AL$8+AM183*$AM$8+AN183*$AN$8+AO183*$AO$8+AP183*$AP$8+AQ183*$AQ$8+AR183*$AR$8+AS183*$AS$8+AT183*$AT$8</f>
        <v>0</v>
      </c>
      <c r="AX183" s="242" t="e">
        <f t="shared" si="305"/>
        <v>#DIV/0!</v>
      </c>
    </row>
    <row r="184" ht="20.5" customHeight="1" spans="1:50">
      <c r="A184" t="s">
        <v>4</v>
      </c>
      <c r="C184" s="159">
        <v>176</v>
      </c>
      <c r="D184" s="179" t="s">
        <v>255</v>
      </c>
      <c r="E184" s="196"/>
      <c r="F184" s="196"/>
      <c r="G184" s="195">
        <f>E184-F184</f>
        <v>0</v>
      </c>
      <c r="H184" s="196"/>
      <c r="I184" s="196"/>
      <c r="J184" s="196"/>
      <c r="K184" s="213"/>
      <c r="L184" s="196"/>
      <c r="M184" s="196"/>
      <c r="N184" s="213"/>
      <c r="O184" s="196"/>
      <c r="P184" s="196"/>
      <c r="Q184" s="213"/>
      <c r="R184" s="196"/>
      <c r="S184" s="196"/>
      <c r="T184" s="213"/>
      <c r="U184" s="196"/>
      <c r="V184" s="213"/>
      <c r="W184" s="213"/>
      <c r="X184" s="213"/>
      <c r="Y184" s="196"/>
      <c r="Z184" s="196"/>
      <c r="AA184" s="213"/>
      <c r="AB184" s="196"/>
      <c r="AC184" s="196"/>
      <c r="AD184" s="213"/>
      <c r="AE184" s="213"/>
      <c r="AF184" s="213"/>
      <c r="AG184" s="213"/>
      <c r="AH184" s="213"/>
      <c r="AI184" s="213"/>
      <c r="AJ184" s="213"/>
      <c r="AK184" s="213"/>
      <c r="AL184" s="228"/>
      <c r="AM184" s="228"/>
      <c r="AN184" s="213"/>
      <c r="AO184" s="213"/>
      <c r="AP184" s="213"/>
      <c r="AQ184" s="213"/>
      <c r="AR184" s="196"/>
      <c r="AS184" s="196"/>
      <c r="AT184" s="213"/>
      <c r="AU184" s="195">
        <f>IF(G184-I184-J184-K184-L184-M184-N184-O184-P184-Q184-R184-S184-T184-U184-V184-W184-X184-Y184-Z184-AA184-AB184-AC184-AD184-AE184-AF184-AG184-AH184-AI184-AJ184-AL184-AM184-AN184-AO184-AP184-AQ184-AR184-AS184-AT184&lt;0,0,G184-I184-J184-K184-L184-M184-N184-O184-P184-Q184-R184-S184-T184-U184-V184-W184-X184-Y184-Z184-AA184-AB184-AC184-AD184-AE184-AF184-AG184-AH184-AI184-AJ184-AL184-AM184-AN184-AO184-AP184-AQ184-AR184-AS184-AT184)</f>
        <v>0</v>
      </c>
      <c r="AV184" s="233">
        <v>0.2</v>
      </c>
      <c r="AW184" s="243">
        <f>I184*$I$8+J184*$J$8+K184*$K$8+L184*$L$8+M184*$M$8+N184*$N$8+O184*$O$8+P184*$P$8+Q184*$Q$8+R184*$R$8+S184*$S$8+T184*$T$8+U184*$U$8+V184*$V$8+W184*$W$8+X184*$X$8+Y184*$Y$8+Z184*$Z$8+AA184*$AA$8++AB184*$AB$8+AC184*$AC$8+AD184*$AD$8+AE184*$AE$8+AF184*$AF$8+AG184*$AG$8+AH184*$AH$8+AI184*$AI$8+AJ184*$AJ$8+AL184*$AL$8+AM184*$AM$8+AN184*$AN$8+AO184*$AO$8+AP184*$AP$8+AQ184*$AQ$8+AR184*$AR$8+AS184*$AS$8+AT184*$AT$8</f>
        <v>0</v>
      </c>
      <c r="AX184" s="242" t="e">
        <f t="shared" si="305"/>
        <v>#DIV/0!</v>
      </c>
    </row>
    <row r="185" ht="20.5" customHeight="1" spans="1:50">
      <c r="A185" t="s">
        <v>4</v>
      </c>
      <c r="C185" s="159">
        <v>177</v>
      </c>
      <c r="D185" s="179" t="s">
        <v>256</v>
      </c>
      <c r="E185" s="196"/>
      <c r="F185" s="196"/>
      <c r="G185" s="195">
        <f>E185-F185</f>
        <v>0</v>
      </c>
      <c r="H185" s="196"/>
      <c r="I185" s="196"/>
      <c r="J185" s="196"/>
      <c r="K185" s="196"/>
      <c r="L185" s="196"/>
      <c r="M185" s="196"/>
      <c r="N185" s="196"/>
      <c r="O185" s="196"/>
      <c r="P185" s="196"/>
      <c r="Q185" s="196"/>
      <c r="R185" s="196"/>
      <c r="S185" s="196"/>
      <c r="T185" s="196"/>
      <c r="U185" s="196"/>
      <c r="V185" s="196"/>
      <c r="W185" s="196"/>
      <c r="X185" s="213"/>
      <c r="Y185" s="196"/>
      <c r="Z185" s="196"/>
      <c r="AA185" s="196"/>
      <c r="AB185" s="196"/>
      <c r="AC185" s="196"/>
      <c r="AD185" s="196"/>
      <c r="AE185" s="196"/>
      <c r="AF185" s="213"/>
      <c r="AG185" s="228"/>
      <c r="AH185" s="213"/>
      <c r="AI185" s="228"/>
      <c r="AJ185" s="228"/>
      <c r="AK185" s="213"/>
      <c r="AL185" s="228"/>
      <c r="AM185" s="228"/>
      <c r="AN185" s="228"/>
      <c r="AO185" s="228"/>
      <c r="AP185" s="228"/>
      <c r="AQ185" s="213"/>
      <c r="AR185" s="196"/>
      <c r="AS185" s="196"/>
      <c r="AT185" s="196"/>
      <c r="AU185" s="195">
        <f>IF(G185-I185-J185-K185-L185-M185-N185-O185-P185-Q185-R185-S185-T185-U185-V185-W185-X185-Y185-Z185-AA185-AB185-AC185-AD185-AE185-AF185-AG185-AH185-AI185-AJ185-AL185-AM185-AN185-AO185-AP185-AQ185-AR185-AS185-AT185&lt;0,0,G185-I185-J185-K185-L185-M185-N185-O185-P185-Q185-R185-S185-T185-U185-V185-W185-X185-Y185-Z185-AA185-AB185-AC185-AD185-AE185-AF185-AG185-AH185-AI185-AJ185-AL185-AM185-AN185-AO185-AP185-AQ185-AR185-AS185-AT185)</f>
        <v>0</v>
      </c>
      <c r="AV185" s="233">
        <v>0.5</v>
      </c>
      <c r="AW185" s="243">
        <f>I185*$I$8+J185*$J$8+K185*$K$8+L185*$L$8+M185*$M$8+N185*$N$8+O185*$O$8+P185*$P$8+Q185*$Q$8+R185*$R$8+S185*$S$8+T185*$T$8+U185*$U$8+V185*$V$8+W185*$W$8+X185*$X$8+Y185*$Y$8+Z185*$Z$8+AA185*$AA$8++AB185*$AB$8+AC185*$AC$8+AD185*$AD$8+AE185*$AE$8+AF185*$AF$8+AG185*$AG$8+AH185*$AH$8+AI185*$AI$8+AJ185*$AJ$8+AL185*$AL$8+AM185*$AM$8+AN185*$AN$8+AO185*$AO$8+AP185*$AP$8+AQ185*$AQ$8+AR185*$AR$8+AS185*$AS$8+AT185*$AT$8</f>
        <v>0</v>
      </c>
      <c r="AX185" s="242" t="e">
        <f t="shared" si="305"/>
        <v>#DIV/0!</v>
      </c>
    </row>
    <row r="186" ht="20.5" customHeight="1" spans="1:50">
      <c r="A186" t="s">
        <v>4</v>
      </c>
      <c r="C186" s="159">
        <v>178</v>
      </c>
      <c r="D186" s="179" t="s">
        <v>257</v>
      </c>
      <c r="E186" s="196"/>
      <c r="F186" s="196"/>
      <c r="G186" s="195">
        <f>E186-F186</f>
        <v>0</v>
      </c>
      <c r="H186" s="196"/>
      <c r="I186" s="196"/>
      <c r="J186" s="196"/>
      <c r="K186" s="196"/>
      <c r="L186" s="196"/>
      <c r="M186" s="196"/>
      <c r="N186" s="196"/>
      <c r="O186" s="196"/>
      <c r="P186" s="196"/>
      <c r="Q186" s="196"/>
      <c r="R186" s="196"/>
      <c r="S186" s="196"/>
      <c r="T186" s="196"/>
      <c r="U186" s="196"/>
      <c r="V186" s="196"/>
      <c r="W186" s="196"/>
      <c r="X186" s="196"/>
      <c r="Y186" s="196"/>
      <c r="Z186" s="196"/>
      <c r="AA186" s="196"/>
      <c r="AB186" s="196"/>
      <c r="AC186" s="196"/>
      <c r="AD186" s="196"/>
      <c r="AE186" s="196"/>
      <c r="AF186" s="196"/>
      <c r="AG186" s="196"/>
      <c r="AH186" s="196"/>
      <c r="AI186" s="196"/>
      <c r="AJ186" s="196"/>
      <c r="AK186" s="196"/>
      <c r="AL186" s="196"/>
      <c r="AM186" s="196"/>
      <c r="AN186" s="196"/>
      <c r="AO186" s="196"/>
      <c r="AP186" s="196"/>
      <c r="AQ186" s="196"/>
      <c r="AR186" s="196"/>
      <c r="AS186" s="196"/>
      <c r="AT186" s="196"/>
      <c r="AU186" s="195">
        <f>IF(G186-I186-J186-K186-L186-M186-N186-O186-P186-Q186-R186-S186-T186-U186-V186-W186-X186-Y186-Z186-AA186-AB186-AC186-AD186-AE186-AF186-AG186-AH186-AI186-AJ186-AL186-AM186-AN186-AO186-AP186-AQ186-AR186-AS186-AT186&lt;0,0,G186-I186-J186-K186-L186-M186-N186-O186-P186-Q186-R186-S186-T186-U186-V186-W186-X186-Y186-Z186-AA186-AB186-AC186-AD186-AE186-AF186-AG186-AH186-AI186-AJ186-AL186-AM186-AN186-AO186-AP186-AQ186-AR186-AS186-AT186)</f>
        <v>0</v>
      </c>
      <c r="AV186" s="233">
        <v>1</v>
      </c>
      <c r="AW186" s="243">
        <f>I186*$I$8+J186*$J$8+K186*$K$8+L186*$L$8+M186*$M$8+N186*$N$8+O186*$O$8+P186*$P$8+Q186*$Q$8+R186*$R$8+S186*$S$8+T186*$T$8+U186*$U$8+V186*$V$8+W186*$W$8+X186*$X$8+Y186*$Y$8+Z186*$Z$8+AA186*$AA$8++AB186*$AB$8+AC186*$AC$8+AD186*$AD$8+AE186*$AE$8+AF186*$AF$8+AG186*$AG$8+AH186*$AH$8+AI186*$AI$8+AJ186*$AJ$8+AL186*$AL$8+AM186*$AM$8+AN186*$AN$8+AO186*$AO$8+AP186*$AP$8+AQ186*$AQ$8+AR186*$AR$8+AS186*$AS$8+AT186*$AT$8</f>
        <v>0</v>
      </c>
      <c r="AX186" s="242" t="e">
        <f t="shared" si="305"/>
        <v>#DIV/0!</v>
      </c>
    </row>
    <row r="187" ht="20.5" customHeight="1" spans="1:50">
      <c r="A187" t="s">
        <v>4</v>
      </c>
      <c r="C187" s="159">
        <v>179</v>
      </c>
      <c r="D187" s="254" t="s">
        <v>258</v>
      </c>
      <c r="E187" s="195">
        <f t="shared" ref="E187:H187" si="316">E188+E189+E190+E191</f>
        <v>0</v>
      </c>
      <c r="F187" s="195">
        <f t="shared" si="316"/>
        <v>0</v>
      </c>
      <c r="G187" s="195">
        <f t="shared" si="316"/>
        <v>0</v>
      </c>
      <c r="H187" s="195">
        <f t="shared" si="316"/>
        <v>0</v>
      </c>
      <c r="I187" s="195">
        <f t="shared" ref="I187:AT187" si="317">I188+I189+I190+I191</f>
        <v>0</v>
      </c>
      <c r="J187" s="195">
        <f t="shared" si="317"/>
        <v>0</v>
      </c>
      <c r="K187" s="195">
        <f t="shared" si="317"/>
        <v>0</v>
      </c>
      <c r="L187" s="195">
        <f t="shared" si="317"/>
        <v>0</v>
      </c>
      <c r="M187" s="195">
        <f t="shared" si="317"/>
        <v>0</v>
      </c>
      <c r="N187" s="195">
        <f t="shared" si="317"/>
        <v>0</v>
      </c>
      <c r="O187" s="195">
        <f t="shared" si="317"/>
        <v>0</v>
      </c>
      <c r="P187" s="195">
        <f t="shared" si="317"/>
        <v>0</v>
      </c>
      <c r="Q187" s="195">
        <f t="shared" si="317"/>
        <v>0</v>
      </c>
      <c r="R187" s="195">
        <f t="shared" si="317"/>
        <v>0</v>
      </c>
      <c r="S187" s="195">
        <f t="shared" si="317"/>
        <v>0</v>
      </c>
      <c r="T187" s="195">
        <f t="shared" si="317"/>
        <v>0</v>
      </c>
      <c r="U187" s="195">
        <f t="shared" si="317"/>
        <v>0</v>
      </c>
      <c r="V187" s="195">
        <f t="shared" si="317"/>
        <v>0</v>
      </c>
      <c r="W187" s="195">
        <f t="shared" si="317"/>
        <v>0</v>
      </c>
      <c r="X187" s="195">
        <f t="shared" si="317"/>
        <v>0</v>
      </c>
      <c r="Y187" s="195">
        <f t="shared" si="317"/>
        <v>0</v>
      </c>
      <c r="Z187" s="195">
        <f t="shared" si="317"/>
        <v>0</v>
      </c>
      <c r="AA187" s="195">
        <f t="shared" si="317"/>
        <v>0</v>
      </c>
      <c r="AB187" s="195">
        <f t="shared" si="317"/>
        <v>0</v>
      </c>
      <c r="AC187" s="195">
        <f t="shared" si="317"/>
        <v>0</v>
      </c>
      <c r="AD187" s="195">
        <f t="shared" si="317"/>
        <v>0</v>
      </c>
      <c r="AE187" s="195">
        <f t="shared" si="317"/>
        <v>0</v>
      </c>
      <c r="AF187" s="195">
        <f t="shared" si="317"/>
        <v>0</v>
      </c>
      <c r="AG187" s="195">
        <f t="shared" si="317"/>
        <v>0</v>
      </c>
      <c r="AH187" s="195">
        <f t="shared" si="317"/>
        <v>0</v>
      </c>
      <c r="AI187" s="195">
        <f t="shared" si="317"/>
        <v>0</v>
      </c>
      <c r="AJ187" s="195">
        <f t="shared" si="317"/>
        <v>0</v>
      </c>
      <c r="AK187" s="195">
        <f t="shared" si="317"/>
        <v>0</v>
      </c>
      <c r="AL187" s="195">
        <f t="shared" si="317"/>
        <v>0</v>
      </c>
      <c r="AM187" s="195">
        <f t="shared" si="317"/>
        <v>0</v>
      </c>
      <c r="AN187" s="195">
        <f t="shared" si="317"/>
        <v>0</v>
      </c>
      <c r="AO187" s="195">
        <f t="shared" si="317"/>
        <v>0</v>
      </c>
      <c r="AP187" s="195">
        <f t="shared" si="317"/>
        <v>0</v>
      </c>
      <c r="AQ187" s="195">
        <f t="shared" si="317"/>
        <v>0</v>
      </c>
      <c r="AR187" s="195">
        <f t="shared" si="317"/>
        <v>0</v>
      </c>
      <c r="AS187" s="195">
        <f t="shared" si="317"/>
        <v>0</v>
      </c>
      <c r="AT187" s="195">
        <f t="shared" si="317"/>
        <v>0</v>
      </c>
      <c r="AU187" s="195">
        <f>SUM(AU188:AU191)</f>
        <v>0</v>
      </c>
      <c r="AV187" s="232"/>
      <c r="AW187" s="195">
        <f>SUM(AW188:AW191)</f>
        <v>0</v>
      </c>
      <c r="AX187" s="242" t="e">
        <f t="shared" si="305"/>
        <v>#DIV/0!</v>
      </c>
    </row>
    <row r="188" ht="20.5" customHeight="1" spans="1:50">
      <c r="A188" t="s">
        <v>4</v>
      </c>
      <c r="C188" s="159">
        <v>180</v>
      </c>
      <c r="D188" s="179" t="s">
        <v>259</v>
      </c>
      <c r="E188" s="196"/>
      <c r="F188" s="196"/>
      <c r="G188" s="195">
        <f>E188-F188</f>
        <v>0</v>
      </c>
      <c r="H188" s="196"/>
      <c r="I188" s="196"/>
      <c r="J188" s="196"/>
      <c r="K188" s="213"/>
      <c r="L188" s="196"/>
      <c r="M188" s="196"/>
      <c r="N188" s="213"/>
      <c r="O188" s="196"/>
      <c r="P188" s="196"/>
      <c r="Q188" s="213"/>
      <c r="R188" s="196"/>
      <c r="S188" s="196"/>
      <c r="T188" s="213"/>
      <c r="U188" s="196"/>
      <c r="V188" s="213"/>
      <c r="W188" s="213"/>
      <c r="X188" s="213"/>
      <c r="Y188" s="196"/>
      <c r="Z188" s="196"/>
      <c r="AA188" s="213"/>
      <c r="AB188" s="196"/>
      <c r="AC188" s="196"/>
      <c r="AD188" s="213"/>
      <c r="AE188" s="213"/>
      <c r="AF188" s="213"/>
      <c r="AG188" s="213"/>
      <c r="AH188" s="213"/>
      <c r="AI188" s="213"/>
      <c r="AJ188" s="213"/>
      <c r="AK188" s="213"/>
      <c r="AL188" s="228"/>
      <c r="AM188" s="228"/>
      <c r="AN188" s="213"/>
      <c r="AO188" s="213"/>
      <c r="AP188" s="213"/>
      <c r="AQ188" s="213"/>
      <c r="AR188" s="196"/>
      <c r="AS188" s="196"/>
      <c r="AT188" s="213"/>
      <c r="AU188" s="195">
        <f>IF(G188-I188-J188-K188-L188-M188-N188-O188-P188-Q188-R188-S188-T188-U188-V188-W188-X188-Y188-Z188-AA188-AB188-AC188-AD188-AE188-AF188-AG188-AH188-AI188-AJ188-AL188-AM188-AN188-AO188-AP188-AQ188-AR188-AS188-AT188&lt;0,0,G188-I188-J188-K188-L188-M188-N188-O188-P188-Q188-R188-S188-T188-U188-V188-W188-X188-Y188-Z188-AA188-AB188-AC188-AD188-AE188-AF188-AG188-AH188-AI188-AJ188-AL188-AM188-AN188-AO188-AP188-AQ188-AR188-AS188-AT188)</f>
        <v>0</v>
      </c>
      <c r="AV188" s="233">
        <v>0.15</v>
      </c>
      <c r="AW188" s="243">
        <f>I188*$I$8+J188*$J$8+K188*$K$8+L188*$L$8+M188*$M$8+N188*$N$8+O188*$O$8+P188*$P$8+Q188*$Q$8+R188*$R$8+S188*$S$8+T188*$T$8+U188*$U$8+V188*$V$8+W188*$W$8+X188*$X$8+Y188*$Y$8+Z188*$Z$8+AA188*$AA$8++AB188*$AB$8+AC188*$AC$8+AD188*$AD$8+AE188*$AE$8+AF188*$AF$8+AG188*$AG$8+AH188*$AH$8+AI188*$AI$8+AJ188*$AJ$8+AL188*$AL$8+AM188*$AM$8+AN188*$AN$8+AO188*$AO$8+AP188*$AP$8+AQ188*$AQ$8+AR188*$AR$8+AS188*$AS$8+AT188*$AT$8</f>
        <v>0</v>
      </c>
      <c r="AX188" s="242" t="e">
        <f t="shared" si="305"/>
        <v>#DIV/0!</v>
      </c>
    </row>
    <row r="189" ht="20.5" customHeight="1" spans="1:50">
      <c r="A189" t="s">
        <v>4</v>
      </c>
      <c r="C189" s="159">
        <v>181</v>
      </c>
      <c r="D189" s="179" t="s">
        <v>260</v>
      </c>
      <c r="E189" s="196"/>
      <c r="F189" s="196"/>
      <c r="G189" s="195">
        <f>E189-F189</f>
        <v>0</v>
      </c>
      <c r="H189" s="196"/>
      <c r="I189" s="196"/>
      <c r="J189" s="196"/>
      <c r="K189" s="213"/>
      <c r="L189" s="196"/>
      <c r="M189" s="196"/>
      <c r="N189" s="213"/>
      <c r="O189" s="196"/>
      <c r="P189" s="196"/>
      <c r="Q189" s="213"/>
      <c r="R189" s="196"/>
      <c r="S189" s="196"/>
      <c r="T189" s="213"/>
      <c r="U189" s="196"/>
      <c r="V189" s="213"/>
      <c r="W189" s="213"/>
      <c r="X189" s="213"/>
      <c r="Y189" s="196"/>
      <c r="Z189" s="196"/>
      <c r="AA189" s="213"/>
      <c r="AB189" s="196"/>
      <c r="AC189" s="196"/>
      <c r="AD189" s="213"/>
      <c r="AE189" s="213"/>
      <c r="AF189" s="213"/>
      <c r="AG189" s="213"/>
      <c r="AH189" s="213"/>
      <c r="AI189" s="213"/>
      <c r="AJ189" s="213"/>
      <c r="AK189" s="213"/>
      <c r="AL189" s="228"/>
      <c r="AM189" s="228"/>
      <c r="AN189" s="213"/>
      <c r="AO189" s="213"/>
      <c r="AP189" s="213"/>
      <c r="AQ189" s="213"/>
      <c r="AR189" s="196"/>
      <c r="AS189" s="196"/>
      <c r="AT189" s="213"/>
      <c r="AU189" s="195">
        <f>IF(G189-I189-J189-K189-L189-M189-N189-O189-P189-Q189-R189-S189-T189-U189-V189-W189-X189-Y189-Z189-AA189-AB189-AC189-AD189-AE189-AF189-AG189-AH189-AI189-AJ189-AL189-AM189-AN189-AO189-AP189-AQ189-AR189-AS189-AT189&lt;0,0,G189-I189-J189-K189-L189-M189-N189-O189-P189-Q189-R189-S189-T189-U189-V189-W189-X189-Y189-Z189-AA189-AB189-AC189-AD189-AE189-AF189-AG189-AH189-AI189-AJ189-AL189-AM189-AN189-AO189-AP189-AQ189-AR189-AS189-AT189)</f>
        <v>0</v>
      </c>
      <c r="AV189" s="233">
        <v>0.2</v>
      </c>
      <c r="AW189" s="243">
        <f>I189*$I$8+J189*$J$8+K189*$K$8+L189*$L$8+M189*$M$8+N189*$N$8+O189*$O$8+P189*$P$8+Q189*$Q$8+R189*$R$8+S189*$S$8+T189*$T$8+U189*$U$8+V189*$V$8+W189*$W$8+X189*$X$8+Y189*$Y$8+Z189*$Z$8+AA189*$AA$8++AB189*$AB$8+AC189*$AC$8+AD189*$AD$8+AE189*$AE$8+AF189*$AF$8+AG189*$AG$8+AH189*$AH$8+AI189*$AI$8+AJ189*$AJ$8+AL189*$AL$8+AM189*$AM$8+AN189*$AN$8+AO189*$AO$8+AP189*$AP$8+AQ189*$AQ$8+AR189*$AR$8+AS189*$AS$8+AT189*$AT$8</f>
        <v>0</v>
      </c>
      <c r="AX189" s="242" t="e">
        <f t="shared" si="305"/>
        <v>#DIV/0!</v>
      </c>
    </row>
    <row r="190" ht="20.5" customHeight="1" spans="1:50">
      <c r="A190" t="s">
        <v>4</v>
      </c>
      <c r="C190" s="159">
        <v>182</v>
      </c>
      <c r="D190" s="179" t="s">
        <v>261</v>
      </c>
      <c r="E190" s="196"/>
      <c r="F190" s="196"/>
      <c r="G190" s="195">
        <f>E190-F190</f>
        <v>0</v>
      </c>
      <c r="H190" s="196"/>
      <c r="I190" s="196"/>
      <c r="J190" s="196"/>
      <c r="K190" s="196"/>
      <c r="L190" s="196"/>
      <c r="M190" s="196"/>
      <c r="N190" s="196"/>
      <c r="O190" s="196"/>
      <c r="P190" s="196"/>
      <c r="Q190" s="196"/>
      <c r="R190" s="196"/>
      <c r="S190" s="196"/>
      <c r="T190" s="196"/>
      <c r="U190" s="196"/>
      <c r="V190" s="196"/>
      <c r="W190" s="196"/>
      <c r="X190" s="213"/>
      <c r="Y190" s="196"/>
      <c r="Z190" s="196"/>
      <c r="AA190" s="196"/>
      <c r="AB190" s="196"/>
      <c r="AC190" s="196"/>
      <c r="AD190" s="196"/>
      <c r="AE190" s="196"/>
      <c r="AF190" s="213"/>
      <c r="AG190" s="196"/>
      <c r="AH190" s="213"/>
      <c r="AI190" s="196"/>
      <c r="AJ190" s="213"/>
      <c r="AK190" s="213"/>
      <c r="AL190" s="196"/>
      <c r="AM190" s="196"/>
      <c r="AN190" s="196"/>
      <c r="AO190" s="196"/>
      <c r="AP190" s="196"/>
      <c r="AQ190" s="213"/>
      <c r="AR190" s="196"/>
      <c r="AS190" s="196"/>
      <c r="AT190" s="196"/>
      <c r="AU190" s="195">
        <f>IF(G190-I190-J190-K190-L190-M190-N190-O190-P190-Q190-R190-S190-T190-U190-V190-W190-X190-Y190-Z190-AA190-AB190-AC190-AD190-AE190-AF190-AG190-AH190-AI190-AJ190-AL190-AM190-AN190-AO190-AP190-AQ190-AR190-AS190-AT190&lt;0,0,G190-I190-J190-K190-L190-M190-N190-O190-P190-Q190-R190-S190-T190-U190-V190-W190-X190-Y190-Z190-AA190-AB190-AC190-AD190-AE190-AF190-AG190-AH190-AI190-AJ190-AL190-AM190-AN190-AO190-AP190-AQ190-AR190-AS190-AT190)</f>
        <v>0</v>
      </c>
      <c r="AV190" s="233">
        <v>0.35</v>
      </c>
      <c r="AW190" s="243">
        <f>I190*$I$8+J190*$J$8+K190*$K$8+L190*$L$8+M190*$M$8+N190*$N$8+O190*$O$8+P190*$P$8+Q190*$Q$8+R190*$R$8+S190*$S$8+T190*$T$8+U190*$U$8+V190*$V$8+W190*$W$8+X190*$X$8+Y190*$Y$8+Z190*$Z$8+AA190*$AA$8++AB190*$AB$8+AC190*$AC$8+AD190*$AD$8+AE190*$AE$8+AF190*$AF$8+AG190*$AG$8+AH190*$AH$8+AI190*$AI$8+AJ190*$AJ$8+AL190*$AL$8+AM190*$AM$8+AN190*$AN$8+AO190*$AO$8+AP190*$AP$8+AQ190*$AQ$8+AR190*$AR$8+AS190*$AS$8+AT190*$AT$8</f>
        <v>0</v>
      </c>
      <c r="AX190" s="242" t="e">
        <f t="shared" si="305"/>
        <v>#DIV/0!</v>
      </c>
    </row>
    <row r="191" ht="20.5" customHeight="1" spans="1:50">
      <c r="A191" t="s">
        <v>4</v>
      </c>
      <c r="C191" s="159">
        <v>183</v>
      </c>
      <c r="D191" s="179" t="s">
        <v>262</v>
      </c>
      <c r="E191" s="196"/>
      <c r="F191" s="196"/>
      <c r="G191" s="195">
        <f>E191-F191</f>
        <v>0</v>
      </c>
      <c r="H191" s="196"/>
      <c r="I191" s="196"/>
      <c r="J191" s="196"/>
      <c r="K191" s="196"/>
      <c r="L191" s="196"/>
      <c r="M191" s="196"/>
      <c r="N191" s="196"/>
      <c r="O191" s="196"/>
      <c r="P191" s="196"/>
      <c r="Q191" s="196"/>
      <c r="R191" s="196"/>
      <c r="S191" s="196"/>
      <c r="T191" s="196"/>
      <c r="U191" s="196"/>
      <c r="V191" s="196"/>
      <c r="W191" s="196"/>
      <c r="X191" s="196"/>
      <c r="Y191" s="196"/>
      <c r="Z191" s="196"/>
      <c r="AA191" s="196"/>
      <c r="AB191" s="196"/>
      <c r="AC191" s="196"/>
      <c r="AD191" s="196"/>
      <c r="AE191" s="196"/>
      <c r="AF191" s="196"/>
      <c r="AG191" s="196"/>
      <c r="AH191" s="196"/>
      <c r="AI191" s="196"/>
      <c r="AJ191" s="196"/>
      <c r="AK191" s="196"/>
      <c r="AL191" s="196"/>
      <c r="AM191" s="196"/>
      <c r="AN191" s="196"/>
      <c r="AO191" s="196"/>
      <c r="AP191" s="196"/>
      <c r="AQ191" s="196"/>
      <c r="AR191" s="196"/>
      <c r="AS191" s="196"/>
      <c r="AT191" s="196"/>
      <c r="AU191" s="195">
        <f>IF(G191-I191-J191-K191-L191-M191-N191-O191-P191-Q191-R191-S191-T191-U191-V191-W191-X191-Y191-Z191-AA191-AB191-AC191-AD191-AE191-AF191-AG191-AH191-AI191-AJ191-AL191-AM191-AN191-AO191-AP191-AQ191-AR191-AS191-AT191&lt;0,0,G191-I191-J191-K191-L191-M191-N191-O191-P191-Q191-R191-S191-T191-U191-V191-W191-X191-Y191-Z191-AA191-AB191-AC191-AD191-AE191-AF191-AG191-AH191-AI191-AJ191-AL191-AM191-AN191-AO191-AP191-AQ191-AR191-AS191-AT191)</f>
        <v>0</v>
      </c>
      <c r="AV191" s="233">
        <v>1</v>
      </c>
      <c r="AW191" s="243">
        <f>I191*$I$8+J191*$J$8+K191*$K$8+L191*$L$8+M191*$M$8+N191*$N$8+O191*$O$8+P191*$P$8+Q191*$Q$8+R191*$R$8+S191*$S$8+T191*$T$8+U191*$U$8+V191*$V$8+W191*$W$8+X191*$X$8+Y191*$Y$8+Z191*$Z$8+AA191*$AA$8++AB191*$AB$8+AC191*$AC$8+AD191*$AD$8+AE191*$AE$8+AF191*$AF$8+AG191*$AG$8+AH191*$AH$8+AI191*$AI$8+AJ191*$AJ$8+AL191*$AL$8+AM191*$AM$8+AN191*$AN$8+AO191*$AO$8+AP191*$AP$8+AQ191*$AQ$8+AR191*$AR$8+AS191*$AS$8+AT191*$AT$8</f>
        <v>0</v>
      </c>
      <c r="AX191" s="242" t="e">
        <f t="shared" si="305"/>
        <v>#DIV/0!</v>
      </c>
    </row>
    <row r="192" ht="20.5" customHeight="1" spans="1:50">
      <c r="A192" t="s">
        <v>4</v>
      </c>
      <c r="C192" s="159">
        <v>184</v>
      </c>
      <c r="D192" s="262" t="s">
        <v>263</v>
      </c>
      <c r="E192" s="195">
        <f t="shared" ref="E192:H192" si="318">E193+E194</f>
        <v>0</v>
      </c>
      <c r="F192" s="195">
        <f t="shared" si="318"/>
        <v>0</v>
      </c>
      <c r="G192" s="195">
        <f t="shared" si="318"/>
        <v>0</v>
      </c>
      <c r="H192" s="195">
        <f t="shared" si="318"/>
        <v>0</v>
      </c>
      <c r="I192" s="195">
        <f t="shared" ref="I192:AC192" si="319">I193+I194</f>
        <v>0</v>
      </c>
      <c r="J192" s="195">
        <f t="shared" si="319"/>
        <v>0</v>
      </c>
      <c r="K192" s="195">
        <f t="shared" si="319"/>
        <v>0</v>
      </c>
      <c r="L192" s="195">
        <f t="shared" si="319"/>
        <v>0</v>
      </c>
      <c r="M192" s="195">
        <f t="shared" si="319"/>
        <v>0</v>
      </c>
      <c r="N192" s="195">
        <f t="shared" si="319"/>
        <v>0</v>
      </c>
      <c r="O192" s="195">
        <f t="shared" si="319"/>
        <v>0</v>
      </c>
      <c r="P192" s="195">
        <f t="shared" si="319"/>
        <v>0</v>
      </c>
      <c r="Q192" s="195">
        <f t="shared" si="319"/>
        <v>0</v>
      </c>
      <c r="R192" s="195">
        <f t="shared" si="319"/>
        <v>0</v>
      </c>
      <c r="S192" s="195">
        <f t="shared" si="319"/>
        <v>0</v>
      </c>
      <c r="T192" s="195">
        <f t="shared" si="319"/>
        <v>0</v>
      </c>
      <c r="U192" s="195">
        <f t="shared" si="319"/>
        <v>0</v>
      </c>
      <c r="V192" s="195">
        <f t="shared" si="319"/>
        <v>0</v>
      </c>
      <c r="W192" s="195">
        <f t="shared" si="319"/>
        <v>0</v>
      </c>
      <c r="X192" s="195">
        <f t="shared" si="319"/>
        <v>0</v>
      </c>
      <c r="Y192" s="195">
        <f t="shared" si="319"/>
        <v>0</v>
      </c>
      <c r="Z192" s="195">
        <f t="shared" si="319"/>
        <v>0</v>
      </c>
      <c r="AA192" s="195">
        <f t="shared" si="319"/>
        <v>0</v>
      </c>
      <c r="AB192" s="195">
        <f t="shared" si="319"/>
        <v>0</v>
      </c>
      <c r="AC192" s="195">
        <f t="shared" si="319"/>
        <v>0</v>
      </c>
      <c r="AD192" s="195">
        <f t="shared" ref="AD192:AT192" si="320">AD193+AD194</f>
        <v>0</v>
      </c>
      <c r="AE192" s="195">
        <f t="shared" si="320"/>
        <v>0</v>
      </c>
      <c r="AF192" s="195">
        <f t="shared" si="320"/>
        <v>0</v>
      </c>
      <c r="AG192" s="195">
        <f t="shared" si="320"/>
        <v>0</v>
      </c>
      <c r="AH192" s="195">
        <f t="shared" si="320"/>
        <v>0</v>
      </c>
      <c r="AI192" s="195">
        <f t="shared" si="320"/>
        <v>0</v>
      </c>
      <c r="AJ192" s="195">
        <f t="shared" si="320"/>
        <v>0</v>
      </c>
      <c r="AK192" s="195">
        <f t="shared" si="320"/>
        <v>0</v>
      </c>
      <c r="AL192" s="195">
        <f t="shared" si="320"/>
        <v>0</v>
      </c>
      <c r="AM192" s="195">
        <f t="shared" si="320"/>
        <v>0</v>
      </c>
      <c r="AN192" s="195">
        <f t="shared" si="320"/>
        <v>0</v>
      </c>
      <c r="AO192" s="195">
        <f t="shared" si="320"/>
        <v>0</v>
      </c>
      <c r="AP192" s="195">
        <f t="shared" si="320"/>
        <v>0</v>
      </c>
      <c r="AQ192" s="195">
        <f t="shared" si="320"/>
        <v>0</v>
      </c>
      <c r="AR192" s="195">
        <f t="shared" si="320"/>
        <v>0</v>
      </c>
      <c r="AS192" s="195">
        <f t="shared" si="320"/>
        <v>0</v>
      </c>
      <c r="AT192" s="195">
        <f t="shared" si="320"/>
        <v>0</v>
      </c>
      <c r="AU192" s="195">
        <f>SUM(AU193:AU194)</f>
        <v>0</v>
      </c>
      <c r="AV192" s="232"/>
      <c r="AW192" s="195">
        <f>SUM(AW193:AW194)</f>
        <v>0</v>
      </c>
      <c r="AX192" s="242" t="e">
        <f t="shared" si="305"/>
        <v>#DIV/0!</v>
      </c>
    </row>
    <row r="193" ht="27" customHeight="1" spans="1:50">
      <c r="A193" t="s">
        <v>4</v>
      </c>
      <c r="C193" s="159">
        <v>185</v>
      </c>
      <c r="D193" s="254" t="s">
        <v>264</v>
      </c>
      <c r="E193" s="196"/>
      <c r="F193" s="196"/>
      <c r="G193" s="195">
        <f>E193-F193</f>
        <v>0</v>
      </c>
      <c r="H193" s="196"/>
      <c r="I193" s="196"/>
      <c r="J193" s="196"/>
      <c r="K193" s="196"/>
      <c r="L193" s="196"/>
      <c r="M193" s="196"/>
      <c r="N193" s="196"/>
      <c r="O193" s="196"/>
      <c r="P193" s="196"/>
      <c r="Q193" s="196"/>
      <c r="R193" s="196"/>
      <c r="S193" s="196"/>
      <c r="T193" s="196"/>
      <c r="U193" s="196"/>
      <c r="V193" s="196"/>
      <c r="W193" s="196"/>
      <c r="X193" s="196"/>
      <c r="Y193" s="196"/>
      <c r="Z193" s="196"/>
      <c r="AA193" s="196"/>
      <c r="AB193" s="196"/>
      <c r="AC193" s="196"/>
      <c r="AD193" s="196"/>
      <c r="AE193" s="196"/>
      <c r="AF193" s="196"/>
      <c r="AG193" s="196"/>
      <c r="AH193" s="196"/>
      <c r="AI193" s="196"/>
      <c r="AJ193" s="196"/>
      <c r="AK193" s="196"/>
      <c r="AL193" s="196"/>
      <c r="AM193" s="196"/>
      <c r="AN193" s="196"/>
      <c r="AO193" s="196"/>
      <c r="AP193" s="196"/>
      <c r="AQ193" s="196"/>
      <c r="AR193" s="196"/>
      <c r="AS193" s="196"/>
      <c r="AT193" s="196"/>
      <c r="AU193" s="195">
        <f>IF(G193-I193-J193-K193-L193-M193-N193-O193-P193-Q193-R193-S193-T193-U193-V193-W193-X193-Y193-Z193-AA193-AB193-AC193-AD193-AE193-AF193-AG193-AH193-AI193-AJ193-AL193-AM193-AN193-AO193-AP193-AQ193-AR193-AS193-AT193&lt;0,0,G193-I193-J193-K193-L193-M193-N193-O193-P193-Q193-R193-S193-T193-U193-V193-W193-X193-Y193-Z193-AA193-AB193-AC193-AD193-AE193-AF193-AG193-AH193-AI193-AJ193-AL193-AM193-AN193-AO193-AP193-AQ193-AR193-AS193-AT193)</f>
        <v>0</v>
      </c>
      <c r="AV193" s="233">
        <v>1</v>
      </c>
      <c r="AW193" s="243">
        <f>I193*$I$8+J193*$J$8+K193*$K$8+L193*$L$8+M193*$M$8+N193*$N$8+O193*$O$8+P193*$P$8+Q193*$Q$8+R193*$R$8+S193*$S$8+T193*$T$8+U193*$U$8+V193*$V$8+W193*$W$8+X193*$X$8+Y193*$Y$8+Z193*$Z$8+AA193*$AA$8++AB193*$AB$8+AC193*$AC$8+AD193*$AD$8+AE193*$AE$8+AF193*$AF$8+AG193*$AG$8+AH193*$AH$8+AI193*$AI$8+AJ193*$AJ$8+AL193*$AL$8+AM193*$AM$8+AN193*$AN$8+AO193*$AO$8+AP193*$AP$8+AQ193*$AQ$8+AR193*$AR$8+AS193*$AS$8+AT193*$AT$8</f>
        <v>0</v>
      </c>
      <c r="AX193" s="242" t="e">
        <f t="shared" si="305"/>
        <v>#DIV/0!</v>
      </c>
    </row>
    <row r="194" ht="20.5" customHeight="1" spans="1:50">
      <c r="A194" t="s">
        <v>4</v>
      </c>
      <c r="C194" s="159">
        <v>186</v>
      </c>
      <c r="D194" s="254" t="s">
        <v>265</v>
      </c>
      <c r="E194" s="263">
        <f t="shared" ref="E194:H194" si="321">E195+E196</f>
        <v>0</v>
      </c>
      <c r="F194" s="263">
        <f t="shared" si="321"/>
        <v>0</v>
      </c>
      <c r="G194" s="263">
        <f t="shared" si="321"/>
        <v>0</v>
      </c>
      <c r="H194" s="263">
        <f t="shared" si="321"/>
        <v>0</v>
      </c>
      <c r="I194" s="263">
        <f t="shared" ref="I194:AT194" si="322">I195+I196</f>
        <v>0</v>
      </c>
      <c r="J194" s="263">
        <f t="shared" si="322"/>
        <v>0</v>
      </c>
      <c r="K194" s="263">
        <f t="shared" si="322"/>
        <v>0</v>
      </c>
      <c r="L194" s="263">
        <f t="shared" si="322"/>
        <v>0</v>
      </c>
      <c r="M194" s="263">
        <f t="shared" si="322"/>
        <v>0</v>
      </c>
      <c r="N194" s="263">
        <f t="shared" si="322"/>
        <v>0</v>
      </c>
      <c r="O194" s="263">
        <f t="shared" si="322"/>
        <v>0</v>
      </c>
      <c r="P194" s="263">
        <f t="shared" si="322"/>
        <v>0</v>
      </c>
      <c r="Q194" s="263">
        <f t="shared" si="322"/>
        <v>0</v>
      </c>
      <c r="R194" s="263">
        <f t="shared" si="322"/>
        <v>0</v>
      </c>
      <c r="S194" s="263">
        <f t="shared" si="322"/>
        <v>0</v>
      </c>
      <c r="T194" s="263">
        <f t="shared" si="322"/>
        <v>0</v>
      </c>
      <c r="U194" s="263">
        <f t="shared" si="322"/>
        <v>0</v>
      </c>
      <c r="V194" s="263">
        <f t="shared" si="322"/>
        <v>0</v>
      </c>
      <c r="W194" s="263">
        <f t="shared" si="322"/>
        <v>0</v>
      </c>
      <c r="X194" s="263">
        <f t="shared" si="322"/>
        <v>0</v>
      </c>
      <c r="Y194" s="263">
        <f t="shared" si="322"/>
        <v>0</v>
      </c>
      <c r="Z194" s="263">
        <f t="shared" si="322"/>
        <v>0</v>
      </c>
      <c r="AA194" s="263">
        <f t="shared" si="322"/>
        <v>0</v>
      </c>
      <c r="AB194" s="263">
        <f t="shared" si="322"/>
        <v>0</v>
      </c>
      <c r="AC194" s="263">
        <f t="shared" si="322"/>
        <v>0</v>
      </c>
      <c r="AD194" s="263">
        <f t="shared" si="322"/>
        <v>0</v>
      </c>
      <c r="AE194" s="263">
        <f t="shared" si="322"/>
        <v>0</v>
      </c>
      <c r="AF194" s="263">
        <f t="shared" si="322"/>
        <v>0</v>
      </c>
      <c r="AG194" s="263">
        <f t="shared" si="322"/>
        <v>0</v>
      </c>
      <c r="AH194" s="263">
        <f t="shared" si="322"/>
        <v>0</v>
      </c>
      <c r="AI194" s="263">
        <f t="shared" si="322"/>
        <v>0</v>
      </c>
      <c r="AJ194" s="263">
        <f t="shared" si="322"/>
        <v>0</v>
      </c>
      <c r="AK194" s="263">
        <f t="shared" si="322"/>
        <v>0</v>
      </c>
      <c r="AL194" s="263">
        <f t="shared" si="322"/>
        <v>0</v>
      </c>
      <c r="AM194" s="263">
        <f t="shared" si="322"/>
        <v>0</v>
      </c>
      <c r="AN194" s="263">
        <f t="shared" si="322"/>
        <v>0</v>
      </c>
      <c r="AO194" s="263">
        <f t="shared" si="322"/>
        <v>0</v>
      </c>
      <c r="AP194" s="263">
        <f t="shared" si="322"/>
        <v>0</v>
      </c>
      <c r="AQ194" s="263">
        <f t="shared" si="322"/>
        <v>0</v>
      </c>
      <c r="AR194" s="263">
        <f t="shared" si="322"/>
        <v>0</v>
      </c>
      <c r="AS194" s="263">
        <f t="shared" si="322"/>
        <v>0</v>
      </c>
      <c r="AT194" s="263">
        <f t="shared" si="322"/>
        <v>0</v>
      </c>
      <c r="AU194" s="195">
        <f>SUM(AU195:AU196)</f>
        <v>0</v>
      </c>
      <c r="AV194" s="232"/>
      <c r="AW194" s="195">
        <f>SUM(AW195:AW196)</f>
        <v>0</v>
      </c>
      <c r="AX194" s="242" t="e">
        <f t="shared" si="305"/>
        <v>#DIV/0!</v>
      </c>
    </row>
    <row r="195" ht="20.5" customHeight="1" spans="1:50">
      <c r="A195" t="s">
        <v>4</v>
      </c>
      <c r="C195" s="159">
        <v>187</v>
      </c>
      <c r="D195" s="179" t="s">
        <v>266</v>
      </c>
      <c r="E195" s="196"/>
      <c r="F195" s="196"/>
      <c r="G195" s="195">
        <f>E195-F195</f>
        <v>0</v>
      </c>
      <c r="H195" s="196"/>
      <c r="I195" s="196"/>
      <c r="J195" s="196"/>
      <c r="K195" s="196"/>
      <c r="L195" s="196"/>
      <c r="M195" s="196"/>
      <c r="N195" s="196"/>
      <c r="O195" s="196"/>
      <c r="P195" s="196"/>
      <c r="Q195" s="196"/>
      <c r="R195" s="196"/>
      <c r="S195" s="196"/>
      <c r="T195" s="196"/>
      <c r="U195" s="196"/>
      <c r="V195" s="196"/>
      <c r="W195" s="196"/>
      <c r="X195" s="196"/>
      <c r="Y195" s="196"/>
      <c r="Z195" s="196"/>
      <c r="AA195" s="196"/>
      <c r="AB195" s="196"/>
      <c r="AC195" s="196"/>
      <c r="AD195" s="196"/>
      <c r="AE195" s="196"/>
      <c r="AF195" s="196"/>
      <c r="AG195" s="196"/>
      <c r="AH195" s="196"/>
      <c r="AI195" s="196"/>
      <c r="AJ195" s="196"/>
      <c r="AK195" s="196"/>
      <c r="AL195" s="196"/>
      <c r="AM195" s="196"/>
      <c r="AN195" s="196"/>
      <c r="AO195" s="196"/>
      <c r="AP195" s="196"/>
      <c r="AQ195" s="196"/>
      <c r="AR195" s="196"/>
      <c r="AS195" s="196"/>
      <c r="AT195" s="196"/>
      <c r="AU195" s="195">
        <f>IF(G195-I195-J195-K195-L195-M195-N195-O195-P195-Q195-R195-S195-T195-U195-V195-W195-X195-Y195-Z195-AA195-AB195-AC195-AD195-AE195-AF195-AG195-AH195-AI195-AJ195-AL195-AM195-AN195-AO195-AP195-AQ195-AR195-AS195-AT195&lt;0,0,G195-I195-J195-K195-L195-M195-N195-O195-P195-Q195-R195-S195-T195-U195-V195-W195-X195-Y195-Z195-AA195-AB195-AC195-AD195-AE195-AF195-AG195-AH195-AI195-AJ195-AL195-AM195-AN195-AO195-AP195-AQ195-AR195-AS195-AT195)</f>
        <v>0</v>
      </c>
      <c r="AV195" s="233">
        <v>1.5</v>
      </c>
      <c r="AW195" s="243">
        <f>I195*$I$8+J195*$J$8+K195*$K$8+L195*$L$8+M195*$M$8+N195*$N$8+O195*$O$8+P195*$P$8+Q195*$Q$8+R195*$R$8+S195*$S$8+T195*$T$8+U195*$U$8+V195*$V$8+W195*$W$8+X195*$X$8+Y195*$Y$8+Z195*$Z$8+AA195*$AA$8++AB195*$AB$8+AC195*$AC$8+AD195*$AD$8+AE195*$AE$8+AF195*$AF$8+AG195*$AG$8+AH195*$AH$8+AI195*$AI$8+AJ195*$AJ$8+AL195*$AL$8+AM195*$AM$8+AN195*$AN$8+AO195*$AO$8+AP195*$AP$8+AQ195*$AQ$8+AR195*$AR$8+AS195*$AS$8+AT195*$AT$8</f>
        <v>0</v>
      </c>
      <c r="AX195" s="242" t="e">
        <f t="shared" si="305"/>
        <v>#DIV/0!</v>
      </c>
    </row>
    <row r="196" ht="20.5" customHeight="1" spans="1:50">
      <c r="A196" t="s">
        <v>4</v>
      </c>
      <c r="C196" s="159">
        <v>188</v>
      </c>
      <c r="D196" s="179" t="s">
        <v>267</v>
      </c>
      <c r="E196" s="196"/>
      <c r="F196" s="196"/>
      <c r="G196" s="195">
        <f>E196-F196</f>
        <v>0</v>
      </c>
      <c r="H196" s="196"/>
      <c r="I196" s="196"/>
      <c r="J196" s="196"/>
      <c r="K196" s="196"/>
      <c r="L196" s="196"/>
      <c r="M196" s="196"/>
      <c r="N196" s="196"/>
      <c r="O196" s="196"/>
      <c r="P196" s="196"/>
      <c r="Q196" s="196"/>
      <c r="R196" s="196"/>
      <c r="S196" s="196"/>
      <c r="T196" s="196"/>
      <c r="U196" s="196"/>
      <c r="V196" s="196"/>
      <c r="W196" s="196"/>
      <c r="X196" s="196"/>
      <c r="Y196" s="196"/>
      <c r="Z196" s="196"/>
      <c r="AA196" s="196"/>
      <c r="AB196" s="196"/>
      <c r="AC196" s="196"/>
      <c r="AD196" s="196"/>
      <c r="AE196" s="196"/>
      <c r="AF196" s="196"/>
      <c r="AG196" s="196"/>
      <c r="AH196" s="196"/>
      <c r="AI196" s="196"/>
      <c r="AJ196" s="196"/>
      <c r="AK196" s="196"/>
      <c r="AL196" s="196"/>
      <c r="AM196" s="196"/>
      <c r="AN196" s="196"/>
      <c r="AO196" s="196"/>
      <c r="AP196" s="196"/>
      <c r="AQ196" s="196"/>
      <c r="AR196" s="196"/>
      <c r="AS196" s="196"/>
      <c r="AT196" s="196"/>
      <c r="AU196" s="195">
        <f>IF(G196-I196-J196-K196-L196-M196-N196-O196-P196-Q196-R196-S196-T196-U196-V196-W196-X196-Y196-Z196-AA196-AB196-AC196-AD196-AE196-AF196-AG196-AH196-AI196-AJ196-AL196-AM196-AN196-AO196-AP196-AQ196-AR196-AS196-AT196&lt;0,0,G196-I196-J196-K196-L196-M196-N196-O196-P196-Q196-R196-S196-T196-U196-V196-W196-X196-Y196-Z196-AA196-AB196-AC196-AD196-AE196-AF196-AG196-AH196-AI196-AJ196-AL196-AM196-AN196-AO196-AP196-AQ196-AR196-AS196-AT196)</f>
        <v>0</v>
      </c>
      <c r="AV196" s="233">
        <v>1</v>
      </c>
      <c r="AW196" s="243">
        <f>I196*$I$8+J196*$J$8+K196*$K$8+L196*$L$8+M196*$M$8+N196*$N$8+O196*$O$8+P196*$P$8+Q196*$Q$8+R196*$R$8+S196*$S$8+T196*$T$8+U196*$U$8+V196*$V$8+W196*$W$8+X196*$X$8+Y196*$Y$8+Z196*$Z$8+AA196*$AA$8++AB196*$AB$8+AC196*$AC$8+AD196*$AD$8+AE196*$AE$8+AF196*$AF$8+AG196*$AG$8+AH196*$AH$8+AI196*$AI$8+AJ196*$AJ$8+AL196*$AL$8+AM196*$AM$8+AN196*$AN$8+AO196*$AO$8+AP196*$AP$8+AQ196*$AQ$8+AR196*$AR$8+AS196*$AS$8+AT196*$AT$8</f>
        <v>0</v>
      </c>
      <c r="AX196" s="242" t="e">
        <f t="shared" si="305"/>
        <v>#DIV/0!</v>
      </c>
    </row>
    <row r="197" ht="20.5" customHeight="1" spans="2:50">
      <c r="B197" s="158" t="s">
        <v>70</v>
      </c>
      <c r="C197" s="159">
        <v>189</v>
      </c>
      <c r="D197" s="264" t="s">
        <v>268</v>
      </c>
      <c r="E197" s="195">
        <f t="shared" ref="E197:H197" si="323">E198+E199+E200</f>
        <v>0</v>
      </c>
      <c r="F197" s="195">
        <f t="shared" si="323"/>
        <v>0</v>
      </c>
      <c r="G197" s="195">
        <f t="shared" si="323"/>
        <v>0</v>
      </c>
      <c r="H197" s="195">
        <f t="shared" si="323"/>
        <v>0</v>
      </c>
      <c r="I197" s="195">
        <f t="shared" ref="I197:AU197" si="324">I198+I199+I200</f>
        <v>0</v>
      </c>
      <c r="J197" s="195">
        <f t="shared" si="324"/>
        <v>0</v>
      </c>
      <c r="K197" s="195">
        <f t="shared" si="324"/>
        <v>0</v>
      </c>
      <c r="L197" s="195">
        <f t="shared" si="324"/>
        <v>0</v>
      </c>
      <c r="M197" s="195">
        <f t="shared" si="324"/>
        <v>0</v>
      </c>
      <c r="N197" s="195">
        <f t="shared" si="324"/>
        <v>0</v>
      </c>
      <c r="O197" s="195">
        <f t="shared" si="324"/>
        <v>0</v>
      </c>
      <c r="P197" s="195">
        <f t="shared" si="324"/>
        <v>0</v>
      </c>
      <c r="Q197" s="195">
        <f t="shared" si="324"/>
        <v>0</v>
      </c>
      <c r="R197" s="195">
        <f t="shared" si="324"/>
        <v>0</v>
      </c>
      <c r="S197" s="195">
        <f t="shared" si="324"/>
        <v>0</v>
      </c>
      <c r="T197" s="195">
        <f t="shared" si="324"/>
        <v>0</v>
      </c>
      <c r="U197" s="195">
        <f t="shared" si="324"/>
        <v>0</v>
      </c>
      <c r="V197" s="195">
        <f t="shared" si="324"/>
        <v>0</v>
      </c>
      <c r="W197" s="195">
        <f t="shared" si="324"/>
        <v>0</v>
      </c>
      <c r="X197" s="195">
        <f t="shared" si="324"/>
        <v>0</v>
      </c>
      <c r="Y197" s="195">
        <f t="shared" si="324"/>
        <v>0</v>
      </c>
      <c r="Z197" s="195">
        <f t="shared" si="324"/>
        <v>0</v>
      </c>
      <c r="AA197" s="195">
        <f t="shared" si="324"/>
        <v>0</v>
      </c>
      <c r="AB197" s="195">
        <f t="shared" si="324"/>
        <v>0</v>
      </c>
      <c r="AC197" s="195">
        <f t="shared" si="324"/>
        <v>0</v>
      </c>
      <c r="AD197" s="195">
        <f t="shared" si="324"/>
        <v>0</v>
      </c>
      <c r="AE197" s="195">
        <f t="shared" si="324"/>
        <v>0</v>
      </c>
      <c r="AF197" s="195">
        <f t="shared" si="324"/>
        <v>0</v>
      </c>
      <c r="AG197" s="195">
        <f t="shared" si="324"/>
        <v>0</v>
      </c>
      <c r="AH197" s="195">
        <f t="shared" si="324"/>
        <v>0</v>
      </c>
      <c r="AI197" s="195">
        <f t="shared" si="324"/>
        <v>0</v>
      </c>
      <c r="AJ197" s="195">
        <f t="shared" si="324"/>
        <v>0</v>
      </c>
      <c r="AK197" s="195">
        <f t="shared" si="324"/>
        <v>0</v>
      </c>
      <c r="AL197" s="195">
        <f t="shared" si="324"/>
        <v>0</v>
      </c>
      <c r="AM197" s="195">
        <f t="shared" si="324"/>
        <v>0</v>
      </c>
      <c r="AN197" s="195">
        <f t="shared" si="324"/>
        <v>0</v>
      </c>
      <c r="AO197" s="195">
        <f t="shared" si="324"/>
        <v>0</v>
      </c>
      <c r="AP197" s="195">
        <f t="shared" si="324"/>
        <v>0</v>
      </c>
      <c r="AQ197" s="195">
        <f t="shared" si="324"/>
        <v>0</v>
      </c>
      <c r="AR197" s="195">
        <f t="shared" si="324"/>
        <v>0</v>
      </c>
      <c r="AS197" s="195">
        <f t="shared" si="324"/>
        <v>0</v>
      </c>
      <c r="AT197" s="195">
        <f t="shared" si="324"/>
        <v>0</v>
      </c>
      <c r="AU197" s="195">
        <f t="shared" si="324"/>
        <v>0</v>
      </c>
      <c r="AV197" s="232"/>
      <c r="AW197" s="195">
        <f>AW198+AW199+AW200</f>
        <v>0</v>
      </c>
      <c r="AX197" s="242" t="e">
        <f t="shared" si="305"/>
        <v>#DIV/0!</v>
      </c>
    </row>
    <row r="198" ht="20.5" customHeight="1" spans="2:50">
      <c r="B198" s="158" t="s">
        <v>70</v>
      </c>
      <c r="C198" s="159">
        <v>190</v>
      </c>
      <c r="D198" s="161" t="s">
        <v>269</v>
      </c>
      <c r="E198" s="196"/>
      <c r="F198" s="196"/>
      <c r="G198" s="195">
        <f>E198-F198</f>
        <v>0</v>
      </c>
      <c r="H198" s="196"/>
      <c r="I198" s="280"/>
      <c r="J198" s="280"/>
      <c r="K198" s="280"/>
      <c r="L198" s="213"/>
      <c r="M198" s="213"/>
      <c r="N198" s="213"/>
      <c r="O198" s="213"/>
      <c r="P198" s="213"/>
      <c r="Q198" s="213"/>
      <c r="R198" s="213"/>
      <c r="S198" s="213"/>
      <c r="T198" s="213"/>
      <c r="U198" s="213"/>
      <c r="V198" s="213"/>
      <c r="W198" s="213"/>
      <c r="X198" s="213"/>
      <c r="Y198" s="213"/>
      <c r="Z198" s="213"/>
      <c r="AA198" s="213"/>
      <c r="AB198" s="213"/>
      <c r="AC198" s="213"/>
      <c r="AD198" s="213"/>
      <c r="AE198" s="213"/>
      <c r="AF198" s="213"/>
      <c r="AG198" s="227"/>
      <c r="AH198" s="227"/>
      <c r="AI198" s="227"/>
      <c r="AJ198" s="227"/>
      <c r="AK198" s="227"/>
      <c r="AL198" s="227"/>
      <c r="AM198" s="227"/>
      <c r="AN198" s="227"/>
      <c r="AO198" s="227"/>
      <c r="AP198" s="227"/>
      <c r="AQ198" s="227"/>
      <c r="AR198" s="213"/>
      <c r="AS198" s="213"/>
      <c r="AT198" s="213"/>
      <c r="AU198" s="195">
        <f>IF(G198-I198-J198-K198-L198-M198-N198-O198-P198-Q198-R198-S198-T198-U198-V198-W198-X198-Y198-Z198-AA198-AB198-AC198-AD198-AE198-AF198-AG198-AH198-AI198-AJ198-AL198-AM198-AN198-AO198-AP198-AQ198-AR198-AS198-AT198&lt;0,0,G198-I198-J198-K198-L198-M198-N198-O198-P198-Q198-R198-S198-T198-U198-V198-W198-X198-Y198-Z198-AA198-AB198-AC198-AD198-AE198-AF198-AG198-AH198-AI198-AJ198-AL198-AM198-AN198-AO198-AP198-AQ198-AR198-AS198-AT198)</f>
        <v>0</v>
      </c>
      <c r="AV198" s="233">
        <v>0</v>
      </c>
      <c r="AW198" s="243">
        <f>I198*$I$8+J198*$J$8+K198*$K$8+L198*$L$8+M198*$M$8+N198*$N$8+O198*$O$8+P198*$P$8+Q198*$Q$8+R198*$R$8+S198*$S$8+T198*$T$8+U198*$U$8+V198*$V$8+W198*$W$8+X198*$X$8+Y198*$Y$8+Z198*$Z$8+AA198*$AA$8++AB198*$AB$8+AC198*$AC$8+AD198*$AD$8+AE198*$AE$8+AF198*$AF$8+AG198*$AG$8+AH198*$AH$8+AI198*$AI$8+AJ198*$AJ$8+AL198*$AL$8+AM198*$AM$8+AN198*$AN$8+AO198*$AO$8+AP198*$AP$8+AQ198*$AQ$8+AR198*$AR$8+AS198*$AS$8+AT198*$AT$8</f>
        <v>0</v>
      </c>
      <c r="AX198" s="242" t="e">
        <f t="shared" si="305"/>
        <v>#DIV/0!</v>
      </c>
    </row>
    <row r="199" ht="20.5" customHeight="1" spans="2:50">
      <c r="B199" s="158" t="s">
        <v>70</v>
      </c>
      <c r="C199" s="159">
        <v>191</v>
      </c>
      <c r="D199" s="161" t="s">
        <v>270</v>
      </c>
      <c r="E199" s="196"/>
      <c r="F199" s="196"/>
      <c r="G199" s="195">
        <f>E199-F199</f>
        <v>0</v>
      </c>
      <c r="H199" s="196"/>
      <c r="I199" s="196"/>
      <c r="J199" s="196"/>
      <c r="K199" s="196"/>
      <c r="L199" s="196"/>
      <c r="M199" s="196"/>
      <c r="N199" s="196"/>
      <c r="O199" s="196"/>
      <c r="P199" s="196"/>
      <c r="Q199" s="196"/>
      <c r="R199" s="196"/>
      <c r="S199" s="196"/>
      <c r="T199" s="196"/>
      <c r="U199" s="196"/>
      <c r="V199" s="196"/>
      <c r="W199" s="196"/>
      <c r="X199" s="196"/>
      <c r="Y199" s="196"/>
      <c r="Z199" s="196"/>
      <c r="AA199" s="196"/>
      <c r="AB199" s="196"/>
      <c r="AC199" s="196"/>
      <c r="AD199" s="196"/>
      <c r="AE199" s="196"/>
      <c r="AF199" s="196"/>
      <c r="AG199" s="196"/>
      <c r="AH199" s="196"/>
      <c r="AI199" s="196"/>
      <c r="AJ199" s="196"/>
      <c r="AK199" s="196"/>
      <c r="AL199" s="196"/>
      <c r="AM199" s="196"/>
      <c r="AN199" s="196"/>
      <c r="AO199" s="196"/>
      <c r="AP199" s="196"/>
      <c r="AQ199" s="196"/>
      <c r="AR199" s="196"/>
      <c r="AS199" s="196"/>
      <c r="AT199" s="196"/>
      <c r="AU199" s="195">
        <f>IF(G199-I199-J199-K199-L199-M199-N199-O199-P199-Q199-R199-S199-T199-U199-V199-W199-X199-Y199-Z199-AA199-AB199-AC199-AD199-AE199-AF199-AG199-AH199-AI199-AJ199-AL199-AM199-AN199-AO199-AP199-AQ199-AR199-AS199-AT199&lt;0,0,G199-I199-J199-K199-L199-M199-N199-O199-P199-Q199-R199-S199-T199-U199-V199-W199-X199-Y199-Z199-AA199-AB199-AC199-AD199-AE199-AF199-AG199-AH199-AI199-AJ199-AL199-AM199-AN199-AO199-AP199-AQ199-AR199-AS199-AT199)</f>
        <v>0</v>
      </c>
      <c r="AV199" s="233">
        <v>2.5</v>
      </c>
      <c r="AW199" s="243">
        <f>I199*$I$8+J199*$J$8+K199*$K$8+L199*$L$8+M199*$M$8+N199*$N$8+O199*$O$8+P199*$P$8+Q199*$Q$8+R199*$R$8+S199*$S$8+T199*$T$8+U199*$U$8+V199*$V$8+W199*$W$8+X199*$X$8+Y199*$Y$8+Z199*$Z$8+AA199*$AA$8++AB199*$AB$8+AC199*$AC$8+AD199*$AD$8+AE199*$AE$8+AF199*$AF$8+AG199*$AG$8+AH199*$AH$8+AI199*$AI$8+AJ199*$AJ$8+AL199*$AL$8+AM199*$AM$8+AN199*$AN$8+AO199*$AO$8+AP199*$AP$8+AQ199*$AQ$8+AR199*$AR$8+AS199*$AS$8+AT199*$AT$8</f>
        <v>0</v>
      </c>
      <c r="AX199" s="242" t="e">
        <f t="shared" si="305"/>
        <v>#DIV/0!</v>
      </c>
    </row>
    <row r="200" ht="20.5" customHeight="1" spans="2:50">
      <c r="B200" s="158" t="s">
        <v>70</v>
      </c>
      <c r="C200" s="159">
        <v>192</v>
      </c>
      <c r="D200" s="161" t="s">
        <v>271</v>
      </c>
      <c r="E200" s="263">
        <f t="shared" ref="E200:H200" si="325">E201+E202+E203+E204+E205+E206+E207+E208+E209+E210+E211+E212+E213</f>
        <v>0</v>
      </c>
      <c r="F200" s="263">
        <f t="shared" si="325"/>
        <v>0</v>
      </c>
      <c r="G200" s="263">
        <f t="shared" si="325"/>
        <v>0</v>
      </c>
      <c r="H200" s="263">
        <f t="shared" si="325"/>
        <v>0</v>
      </c>
      <c r="I200" s="263">
        <f t="shared" ref="I200:AT200" si="326">I201+I202+I203+I204+I205+I206+I207+I208+I209+I210+I211+I212+I213</f>
        <v>0</v>
      </c>
      <c r="J200" s="263">
        <f t="shared" si="326"/>
        <v>0</v>
      </c>
      <c r="K200" s="263">
        <f t="shared" si="326"/>
        <v>0</v>
      </c>
      <c r="L200" s="263">
        <f t="shared" si="326"/>
        <v>0</v>
      </c>
      <c r="M200" s="263">
        <f t="shared" si="326"/>
        <v>0</v>
      </c>
      <c r="N200" s="263">
        <f t="shared" si="326"/>
        <v>0</v>
      </c>
      <c r="O200" s="263">
        <f t="shared" si="326"/>
        <v>0</v>
      </c>
      <c r="P200" s="263">
        <f t="shared" si="326"/>
        <v>0</v>
      </c>
      <c r="Q200" s="263">
        <f t="shared" si="326"/>
        <v>0</v>
      </c>
      <c r="R200" s="263">
        <f t="shared" si="326"/>
        <v>0</v>
      </c>
      <c r="S200" s="263">
        <f t="shared" si="326"/>
        <v>0</v>
      </c>
      <c r="T200" s="263">
        <f t="shared" si="326"/>
        <v>0</v>
      </c>
      <c r="U200" s="263">
        <f t="shared" si="326"/>
        <v>0</v>
      </c>
      <c r="V200" s="263">
        <f t="shared" si="326"/>
        <v>0</v>
      </c>
      <c r="W200" s="263">
        <f t="shared" si="326"/>
        <v>0</v>
      </c>
      <c r="X200" s="263">
        <f t="shared" si="326"/>
        <v>0</v>
      </c>
      <c r="Y200" s="263">
        <f t="shared" si="326"/>
        <v>0</v>
      </c>
      <c r="Z200" s="263">
        <f t="shared" si="326"/>
        <v>0</v>
      </c>
      <c r="AA200" s="263">
        <f t="shared" si="326"/>
        <v>0</v>
      </c>
      <c r="AB200" s="263">
        <f t="shared" si="326"/>
        <v>0</v>
      </c>
      <c r="AC200" s="263">
        <f t="shared" si="326"/>
        <v>0</v>
      </c>
      <c r="AD200" s="263">
        <f t="shared" si="326"/>
        <v>0</v>
      </c>
      <c r="AE200" s="263">
        <f t="shared" si="326"/>
        <v>0</v>
      </c>
      <c r="AF200" s="263">
        <f t="shared" si="326"/>
        <v>0</v>
      </c>
      <c r="AG200" s="263">
        <f t="shared" si="326"/>
        <v>0</v>
      </c>
      <c r="AH200" s="263">
        <f t="shared" si="326"/>
        <v>0</v>
      </c>
      <c r="AI200" s="263">
        <f t="shared" si="326"/>
        <v>0</v>
      </c>
      <c r="AJ200" s="263">
        <f t="shared" si="326"/>
        <v>0</v>
      </c>
      <c r="AK200" s="263">
        <f t="shared" si="326"/>
        <v>0</v>
      </c>
      <c r="AL200" s="263">
        <f t="shared" si="326"/>
        <v>0</v>
      </c>
      <c r="AM200" s="263">
        <f t="shared" si="326"/>
        <v>0</v>
      </c>
      <c r="AN200" s="263">
        <f t="shared" si="326"/>
        <v>0</v>
      </c>
      <c r="AO200" s="263">
        <f t="shared" si="326"/>
        <v>0</v>
      </c>
      <c r="AP200" s="263">
        <f t="shared" si="326"/>
        <v>0</v>
      </c>
      <c r="AQ200" s="263">
        <f t="shared" si="326"/>
        <v>0</v>
      </c>
      <c r="AR200" s="263">
        <f t="shared" si="326"/>
        <v>0</v>
      </c>
      <c r="AS200" s="263">
        <f t="shared" si="326"/>
        <v>0</v>
      </c>
      <c r="AT200" s="263">
        <f t="shared" si="326"/>
        <v>0</v>
      </c>
      <c r="AU200" s="195">
        <f>SUM(AU201:AU213)</f>
        <v>0</v>
      </c>
      <c r="AV200" s="232"/>
      <c r="AW200" s="195">
        <f>SUM(AW201:AW213)</f>
        <v>0</v>
      </c>
      <c r="AX200" s="242" t="e">
        <f t="shared" si="305"/>
        <v>#DIV/0!</v>
      </c>
    </row>
    <row r="201" ht="20.5" customHeight="1" spans="2:50">
      <c r="B201" s="158" t="s">
        <v>70</v>
      </c>
      <c r="C201" s="159">
        <v>193</v>
      </c>
      <c r="D201" s="252" t="s">
        <v>272</v>
      </c>
      <c r="E201" s="196"/>
      <c r="F201" s="196"/>
      <c r="G201" s="195">
        <f>E201-F201</f>
        <v>0</v>
      </c>
      <c r="H201" s="196"/>
      <c r="I201" s="280"/>
      <c r="J201" s="280"/>
      <c r="K201" s="280"/>
      <c r="L201" s="213"/>
      <c r="M201" s="213"/>
      <c r="N201" s="213"/>
      <c r="O201" s="213"/>
      <c r="P201" s="213"/>
      <c r="Q201" s="213"/>
      <c r="R201" s="213"/>
      <c r="S201" s="213"/>
      <c r="T201" s="213"/>
      <c r="U201" s="213"/>
      <c r="V201" s="213"/>
      <c r="W201" s="213"/>
      <c r="X201" s="213"/>
      <c r="Y201" s="213"/>
      <c r="Z201" s="213"/>
      <c r="AA201" s="213"/>
      <c r="AB201" s="213"/>
      <c r="AC201" s="213"/>
      <c r="AD201" s="213"/>
      <c r="AE201" s="213"/>
      <c r="AF201" s="213"/>
      <c r="AG201" s="227"/>
      <c r="AH201" s="227"/>
      <c r="AI201" s="227"/>
      <c r="AJ201" s="227"/>
      <c r="AK201" s="227"/>
      <c r="AL201" s="227"/>
      <c r="AM201" s="227"/>
      <c r="AN201" s="227"/>
      <c r="AO201" s="227"/>
      <c r="AP201" s="227"/>
      <c r="AQ201" s="227"/>
      <c r="AR201" s="213"/>
      <c r="AS201" s="213"/>
      <c r="AT201" s="213"/>
      <c r="AU201" s="195">
        <f t="shared" ref="AU201:AU213" si="327">IF(G201-I201-J201-K201-L201-M201-N201-O201-P201-Q201-R201-S201-T201-U201-V201-W201-X201-Y201-Z201-AA201-AB201-AC201-AD201-AE201-AF201-AG201-AH201-AI201-AJ201-AL201-AM201-AN201-AO201-AP201-AQ201-AR201-AS201-AT201&lt;0,0,G201-I201-J201-K201-L201-M201-N201-O201-P201-Q201-R201-S201-T201-U201-V201-W201-X201-Y201-Z201-AA201-AB201-AC201-AD201-AE201-AF201-AG201-AH201-AI201-AJ201-AL201-AM201-AN201-AO201-AP201-AQ201-AR201-AS201-AT201)</f>
        <v>0</v>
      </c>
      <c r="AV201" s="233">
        <v>0</v>
      </c>
      <c r="AW201" s="243">
        <f t="shared" ref="AW201:AW213" si="328">I201*$I$8+J201*$J$8+K201*$K$8+L201*$L$8+M201*$M$8+N201*$N$8+O201*$O$8+P201*$P$8+Q201*$Q$8+R201*$R$8+S201*$S$8+T201*$T$8+U201*$U$8+V201*$V$8+W201*$W$8+X201*$X$8+Y201*$Y$8+Z201*$Z$8+AA201*$AA$8++AB201*$AB$8+AC201*$AC$8+AD201*$AD$8+AE201*$AE$8+AF201*$AF$8+AG201*$AG$8+AH201*$AH$8+AI201*$AI$8+AJ201*$AJ$8+AL201*$AL$8+AM201*$AM$8+AN201*$AN$8+AO201*$AO$8+AP201*$AP$8+AQ201*$AQ$8+AR201*$AR$8+AS201*$AS$8+AT201*$AT$8</f>
        <v>0</v>
      </c>
      <c r="AX201" s="242" t="e">
        <f t="shared" si="305"/>
        <v>#DIV/0!</v>
      </c>
    </row>
    <row r="202" ht="20.5" customHeight="1" spans="2:50">
      <c r="B202" s="158" t="s">
        <v>70</v>
      </c>
      <c r="C202" s="159">
        <v>194</v>
      </c>
      <c r="D202" s="265" t="s">
        <v>273</v>
      </c>
      <c r="E202" s="196"/>
      <c r="F202" s="196"/>
      <c r="G202" s="195">
        <f t="shared" ref="G202:G213" si="329">E202-F202</f>
        <v>0</v>
      </c>
      <c r="H202" s="196"/>
      <c r="I202" s="196"/>
      <c r="J202" s="196"/>
      <c r="K202" s="280"/>
      <c r="L202" s="196"/>
      <c r="M202" s="196"/>
      <c r="N202" s="280"/>
      <c r="O202" s="196"/>
      <c r="P202" s="196"/>
      <c r="Q202" s="280"/>
      <c r="R202" s="196"/>
      <c r="S202" s="196"/>
      <c r="T202" s="280"/>
      <c r="U202" s="196"/>
      <c r="V202" s="280"/>
      <c r="W202" s="280"/>
      <c r="X202" s="280"/>
      <c r="Y202" s="196"/>
      <c r="Z202" s="196"/>
      <c r="AA202" s="280"/>
      <c r="AB202" s="196"/>
      <c r="AC202" s="196"/>
      <c r="AD202" s="280"/>
      <c r="AE202" s="280"/>
      <c r="AF202" s="280"/>
      <c r="AG202" s="280"/>
      <c r="AH202" s="280"/>
      <c r="AI202" s="280"/>
      <c r="AJ202" s="280"/>
      <c r="AK202" s="280"/>
      <c r="AL202" s="196"/>
      <c r="AM202" s="196"/>
      <c r="AN202" s="280"/>
      <c r="AO202" s="280"/>
      <c r="AP202" s="280"/>
      <c r="AQ202" s="280"/>
      <c r="AR202" s="196"/>
      <c r="AS202" s="196"/>
      <c r="AT202" s="280"/>
      <c r="AU202" s="195">
        <f t="shared" si="327"/>
        <v>0</v>
      </c>
      <c r="AV202" s="233">
        <v>0.2</v>
      </c>
      <c r="AW202" s="243">
        <f t="shared" si="328"/>
        <v>0</v>
      </c>
      <c r="AX202" s="242" t="e">
        <f t="shared" ref="AX202:AX217" si="330">AW202/G202</f>
        <v>#DIV/0!</v>
      </c>
    </row>
    <row r="203" ht="20.5" customHeight="1" spans="1:50">
      <c r="A203" t="s">
        <v>4</v>
      </c>
      <c r="C203" s="159">
        <v>195</v>
      </c>
      <c r="D203" s="179" t="s">
        <v>274</v>
      </c>
      <c r="E203" s="196"/>
      <c r="F203" s="196"/>
      <c r="G203" s="195">
        <f t="shared" si="329"/>
        <v>0</v>
      </c>
      <c r="H203" s="196"/>
      <c r="I203" s="196"/>
      <c r="J203" s="196"/>
      <c r="K203" s="196"/>
      <c r="L203" s="196"/>
      <c r="M203" s="196"/>
      <c r="N203" s="196"/>
      <c r="O203" s="196"/>
      <c r="P203" s="196"/>
      <c r="Q203" s="196"/>
      <c r="R203" s="196"/>
      <c r="S203" s="196"/>
      <c r="T203" s="196"/>
      <c r="U203" s="196"/>
      <c r="V203" s="196"/>
      <c r="W203" s="196"/>
      <c r="X203" s="280"/>
      <c r="Y203" s="196"/>
      <c r="Z203" s="196"/>
      <c r="AA203" s="196"/>
      <c r="AB203" s="196"/>
      <c r="AC203" s="196"/>
      <c r="AD203" s="196"/>
      <c r="AE203" s="196"/>
      <c r="AF203" s="280"/>
      <c r="AG203" s="196"/>
      <c r="AH203" s="280"/>
      <c r="AI203" s="280"/>
      <c r="AJ203" s="280"/>
      <c r="AK203" s="280"/>
      <c r="AL203" s="196"/>
      <c r="AM203" s="196"/>
      <c r="AN203" s="196"/>
      <c r="AO203" s="196"/>
      <c r="AP203" s="280"/>
      <c r="AQ203" s="280"/>
      <c r="AR203" s="196"/>
      <c r="AS203" s="196"/>
      <c r="AT203" s="196"/>
      <c r="AU203" s="195">
        <f t="shared" si="327"/>
        <v>0</v>
      </c>
      <c r="AV203" s="233">
        <v>0.3</v>
      </c>
      <c r="AW203" s="243">
        <f t="shared" si="328"/>
        <v>0</v>
      </c>
      <c r="AX203" s="242" t="e">
        <f t="shared" si="330"/>
        <v>#DIV/0!</v>
      </c>
    </row>
    <row r="204" ht="20.5" customHeight="1" spans="1:50">
      <c r="A204" t="s">
        <v>4</v>
      </c>
      <c r="B204" s="158" t="s">
        <v>70</v>
      </c>
      <c r="C204" s="159">
        <v>196</v>
      </c>
      <c r="D204" s="179" t="s">
        <v>275</v>
      </c>
      <c r="E204" s="196"/>
      <c r="F204" s="196"/>
      <c r="G204" s="195">
        <f t="shared" si="329"/>
        <v>0</v>
      </c>
      <c r="H204" s="196"/>
      <c r="I204" s="196"/>
      <c r="J204" s="196"/>
      <c r="K204" s="196"/>
      <c r="L204" s="196"/>
      <c r="M204" s="196"/>
      <c r="N204" s="196"/>
      <c r="O204" s="196"/>
      <c r="P204" s="196"/>
      <c r="Q204" s="196"/>
      <c r="R204" s="196"/>
      <c r="S204" s="196"/>
      <c r="T204" s="196"/>
      <c r="U204" s="196"/>
      <c r="V204" s="196"/>
      <c r="W204" s="196"/>
      <c r="X204" s="280"/>
      <c r="Y204" s="196"/>
      <c r="Z204" s="196"/>
      <c r="AA204" s="196"/>
      <c r="AB204" s="196"/>
      <c r="AC204" s="196"/>
      <c r="AD204" s="196"/>
      <c r="AE204" s="196"/>
      <c r="AF204" s="280"/>
      <c r="AG204" s="196"/>
      <c r="AH204" s="280"/>
      <c r="AI204" s="196"/>
      <c r="AJ204" s="280"/>
      <c r="AK204" s="280"/>
      <c r="AL204" s="196"/>
      <c r="AM204" s="196"/>
      <c r="AN204" s="196"/>
      <c r="AO204" s="196"/>
      <c r="AP204" s="196"/>
      <c r="AQ204" s="280"/>
      <c r="AR204" s="196"/>
      <c r="AS204" s="196"/>
      <c r="AT204" s="196"/>
      <c r="AU204" s="195">
        <f t="shared" si="327"/>
        <v>0</v>
      </c>
      <c r="AV204" s="233">
        <v>0.4</v>
      </c>
      <c r="AW204" s="243">
        <f t="shared" si="328"/>
        <v>0</v>
      </c>
      <c r="AX204" s="242" t="e">
        <f t="shared" si="330"/>
        <v>#DIV/0!</v>
      </c>
    </row>
    <row r="205" ht="20.5" customHeight="1" spans="1:50">
      <c r="A205" t="s">
        <v>4</v>
      </c>
      <c r="B205" s="158" t="s">
        <v>70</v>
      </c>
      <c r="C205" s="159">
        <v>197</v>
      </c>
      <c r="D205" s="179" t="s">
        <v>276</v>
      </c>
      <c r="E205" s="196"/>
      <c r="F205" s="196"/>
      <c r="G205" s="195">
        <f t="shared" si="329"/>
        <v>0</v>
      </c>
      <c r="H205" s="196"/>
      <c r="I205" s="196"/>
      <c r="J205" s="196"/>
      <c r="K205" s="196"/>
      <c r="L205" s="196"/>
      <c r="M205" s="196"/>
      <c r="N205" s="196"/>
      <c r="O205" s="196"/>
      <c r="P205" s="196"/>
      <c r="Q205" s="196"/>
      <c r="R205" s="196"/>
      <c r="S205" s="196"/>
      <c r="T205" s="196"/>
      <c r="U205" s="196"/>
      <c r="V205" s="196"/>
      <c r="W205" s="196"/>
      <c r="X205" s="280"/>
      <c r="Y205" s="196"/>
      <c r="Z205" s="196"/>
      <c r="AA205" s="196"/>
      <c r="AB205" s="196"/>
      <c r="AC205" s="196"/>
      <c r="AD205" s="196"/>
      <c r="AE205" s="196"/>
      <c r="AF205" s="280"/>
      <c r="AG205" s="196"/>
      <c r="AH205" s="280"/>
      <c r="AI205" s="196"/>
      <c r="AJ205" s="196"/>
      <c r="AK205" s="280"/>
      <c r="AL205" s="196"/>
      <c r="AM205" s="196"/>
      <c r="AN205" s="196"/>
      <c r="AO205" s="196"/>
      <c r="AP205" s="196"/>
      <c r="AQ205" s="280"/>
      <c r="AR205" s="196"/>
      <c r="AS205" s="196"/>
      <c r="AT205" s="196"/>
      <c r="AU205" s="195">
        <f t="shared" si="327"/>
        <v>0</v>
      </c>
      <c r="AV205" s="233">
        <v>0.45</v>
      </c>
      <c r="AW205" s="243">
        <f t="shared" si="328"/>
        <v>0</v>
      </c>
      <c r="AX205" s="242" t="e">
        <f t="shared" si="330"/>
        <v>#DIV/0!</v>
      </c>
    </row>
    <row r="206" ht="20.5" customHeight="1" spans="3:50">
      <c r="C206" s="159">
        <v>198</v>
      </c>
      <c r="D206" s="252" t="s">
        <v>277</v>
      </c>
      <c r="E206" s="196"/>
      <c r="F206" s="196"/>
      <c r="G206" s="195">
        <f t="shared" si="329"/>
        <v>0</v>
      </c>
      <c r="H206" s="196"/>
      <c r="I206" s="196"/>
      <c r="J206" s="196"/>
      <c r="K206" s="196"/>
      <c r="L206" s="196"/>
      <c r="M206" s="196"/>
      <c r="N206" s="196"/>
      <c r="O206" s="196"/>
      <c r="P206" s="196"/>
      <c r="Q206" s="196"/>
      <c r="R206" s="196"/>
      <c r="S206" s="196"/>
      <c r="T206" s="196"/>
      <c r="U206" s="196"/>
      <c r="V206" s="196"/>
      <c r="W206" s="196"/>
      <c r="X206" s="280"/>
      <c r="Y206" s="196"/>
      <c r="Z206" s="196"/>
      <c r="AA206" s="196"/>
      <c r="AB206" s="196"/>
      <c r="AC206" s="196"/>
      <c r="AD206" s="196"/>
      <c r="AE206" s="196"/>
      <c r="AF206" s="280"/>
      <c r="AG206" s="196"/>
      <c r="AH206" s="280"/>
      <c r="AI206" s="196"/>
      <c r="AJ206" s="196"/>
      <c r="AK206" s="280"/>
      <c r="AL206" s="196"/>
      <c r="AM206" s="196"/>
      <c r="AN206" s="196"/>
      <c r="AO206" s="196"/>
      <c r="AP206" s="196"/>
      <c r="AQ206" s="280"/>
      <c r="AR206" s="196"/>
      <c r="AS206" s="196"/>
      <c r="AT206" s="196"/>
      <c r="AU206" s="195">
        <f t="shared" si="327"/>
        <v>0</v>
      </c>
      <c r="AV206" s="233">
        <v>0.5</v>
      </c>
      <c r="AW206" s="243">
        <f t="shared" si="328"/>
        <v>0</v>
      </c>
      <c r="AX206" s="242" t="e">
        <f t="shared" si="330"/>
        <v>#DIV/0!</v>
      </c>
    </row>
    <row r="207" ht="20.5" customHeight="1" spans="2:50">
      <c r="B207" s="158" t="s">
        <v>70</v>
      </c>
      <c r="C207" s="159">
        <v>199</v>
      </c>
      <c r="D207" s="252" t="s">
        <v>278</v>
      </c>
      <c r="E207" s="196"/>
      <c r="F207" s="196"/>
      <c r="G207" s="195">
        <f t="shared" si="329"/>
        <v>0</v>
      </c>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c r="AE207" s="196"/>
      <c r="AF207" s="196"/>
      <c r="AG207" s="196"/>
      <c r="AH207" s="196"/>
      <c r="AI207" s="196"/>
      <c r="AJ207" s="196"/>
      <c r="AK207" s="196"/>
      <c r="AL207" s="196"/>
      <c r="AM207" s="196"/>
      <c r="AN207" s="196"/>
      <c r="AO207" s="196"/>
      <c r="AP207" s="196"/>
      <c r="AQ207" s="196"/>
      <c r="AR207" s="196"/>
      <c r="AS207" s="196"/>
      <c r="AT207" s="196"/>
      <c r="AU207" s="195">
        <f t="shared" si="327"/>
        <v>0</v>
      </c>
      <c r="AV207" s="233">
        <v>0.75</v>
      </c>
      <c r="AW207" s="243">
        <f t="shared" si="328"/>
        <v>0</v>
      </c>
      <c r="AX207" s="242" t="e">
        <f t="shared" si="330"/>
        <v>#DIV/0!</v>
      </c>
    </row>
    <row r="208" ht="20.5" customHeight="1" spans="1:50">
      <c r="A208" t="s">
        <v>4</v>
      </c>
      <c r="B208" s="158" t="s">
        <v>70</v>
      </c>
      <c r="C208" s="159">
        <v>200</v>
      </c>
      <c r="D208" s="179" t="s">
        <v>279</v>
      </c>
      <c r="E208" s="196"/>
      <c r="F208" s="196"/>
      <c r="G208" s="195">
        <f t="shared" si="329"/>
        <v>0</v>
      </c>
      <c r="H208" s="196"/>
      <c r="I208" s="196"/>
      <c r="J208" s="196"/>
      <c r="K208" s="196"/>
      <c r="L208" s="196"/>
      <c r="M208" s="196"/>
      <c r="N208" s="196"/>
      <c r="O208" s="196"/>
      <c r="P208" s="196"/>
      <c r="Q208" s="196"/>
      <c r="R208" s="196"/>
      <c r="S208" s="196"/>
      <c r="T208" s="196"/>
      <c r="U208" s="196"/>
      <c r="V208" s="196"/>
      <c r="W208" s="196"/>
      <c r="X208" s="196"/>
      <c r="Y208" s="196"/>
      <c r="Z208" s="196"/>
      <c r="AA208" s="196"/>
      <c r="AB208" s="196"/>
      <c r="AC208" s="196"/>
      <c r="AD208" s="196"/>
      <c r="AE208" s="196"/>
      <c r="AF208" s="196"/>
      <c r="AG208" s="196"/>
      <c r="AH208" s="196"/>
      <c r="AI208" s="196"/>
      <c r="AJ208" s="196"/>
      <c r="AK208" s="196"/>
      <c r="AL208" s="196"/>
      <c r="AM208" s="196"/>
      <c r="AN208" s="196"/>
      <c r="AO208" s="196"/>
      <c r="AP208" s="196"/>
      <c r="AQ208" s="196"/>
      <c r="AR208" s="196"/>
      <c r="AS208" s="196"/>
      <c r="AT208" s="196"/>
      <c r="AU208" s="195">
        <f t="shared" si="327"/>
        <v>0</v>
      </c>
      <c r="AV208" s="233">
        <v>0.85</v>
      </c>
      <c r="AW208" s="243">
        <f t="shared" si="328"/>
        <v>0</v>
      </c>
      <c r="AX208" s="242" t="e">
        <f t="shared" si="330"/>
        <v>#DIV/0!</v>
      </c>
    </row>
    <row r="209" ht="20.5" customHeight="1" spans="2:50">
      <c r="B209" s="158" t="s">
        <v>70</v>
      </c>
      <c r="C209" s="159">
        <v>201</v>
      </c>
      <c r="D209" s="252" t="s">
        <v>280</v>
      </c>
      <c r="E209" s="196"/>
      <c r="F209" s="196"/>
      <c r="G209" s="195">
        <f t="shared" si="329"/>
        <v>0</v>
      </c>
      <c r="H209" s="196"/>
      <c r="I209" s="196"/>
      <c r="J209" s="196"/>
      <c r="K209" s="196"/>
      <c r="L209" s="196"/>
      <c r="M209" s="196"/>
      <c r="N209" s="196"/>
      <c r="O209" s="196"/>
      <c r="P209" s="196"/>
      <c r="Q209" s="196"/>
      <c r="R209" s="196"/>
      <c r="S209" s="196"/>
      <c r="T209" s="196"/>
      <c r="U209" s="196"/>
      <c r="V209" s="196"/>
      <c r="W209" s="196"/>
      <c r="X209" s="196"/>
      <c r="Y209" s="196"/>
      <c r="Z209" s="196"/>
      <c r="AA209" s="196"/>
      <c r="AB209" s="196"/>
      <c r="AC209" s="196"/>
      <c r="AD209" s="196"/>
      <c r="AE209" s="196"/>
      <c r="AF209" s="196"/>
      <c r="AG209" s="196"/>
      <c r="AH209" s="196"/>
      <c r="AI209" s="196"/>
      <c r="AJ209" s="196"/>
      <c r="AK209" s="196"/>
      <c r="AL209" s="196"/>
      <c r="AM209" s="196"/>
      <c r="AN209" s="196"/>
      <c r="AO209" s="196"/>
      <c r="AP209" s="196"/>
      <c r="AQ209" s="196"/>
      <c r="AR209" s="196"/>
      <c r="AS209" s="196"/>
      <c r="AT209" s="196"/>
      <c r="AU209" s="195">
        <f t="shared" si="327"/>
        <v>0</v>
      </c>
      <c r="AV209" s="233">
        <v>1</v>
      </c>
      <c r="AW209" s="243">
        <f t="shared" si="328"/>
        <v>0</v>
      </c>
      <c r="AX209" s="242" t="e">
        <f t="shared" si="330"/>
        <v>#DIV/0!</v>
      </c>
    </row>
    <row r="210" ht="20.5" customHeight="1" spans="2:50">
      <c r="B210" s="158" t="s">
        <v>70</v>
      </c>
      <c r="C210" s="159">
        <v>202</v>
      </c>
      <c r="D210" s="252" t="s">
        <v>281</v>
      </c>
      <c r="E210" s="196"/>
      <c r="F210" s="196"/>
      <c r="G210" s="195">
        <f t="shared" si="329"/>
        <v>0</v>
      </c>
      <c r="H210" s="196"/>
      <c r="I210" s="196"/>
      <c r="J210" s="196"/>
      <c r="K210" s="196"/>
      <c r="L210" s="196"/>
      <c r="M210" s="196"/>
      <c r="N210" s="196"/>
      <c r="O210" s="196"/>
      <c r="P210" s="196"/>
      <c r="Q210" s="196"/>
      <c r="R210" s="196"/>
      <c r="S210" s="196"/>
      <c r="T210" s="196"/>
      <c r="U210" s="196"/>
      <c r="V210" s="196"/>
      <c r="W210" s="196"/>
      <c r="X210" s="196"/>
      <c r="Y210" s="196"/>
      <c r="Z210" s="196"/>
      <c r="AA210" s="196"/>
      <c r="AB210" s="196"/>
      <c r="AC210" s="196"/>
      <c r="AD210" s="196"/>
      <c r="AE210" s="196"/>
      <c r="AF210" s="196"/>
      <c r="AG210" s="196"/>
      <c r="AH210" s="196"/>
      <c r="AI210" s="196"/>
      <c r="AJ210" s="196"/>
      <c r="AK210" s="196"/>
      <c r="AL210" s="196"/>
      <c r="AM210" s="196"/>
      <c r="AN210" s="196"/>
      <c r="AO210" s="196"/>
      <c r="AP210" s="196"/>
      <c r="AQ210" s="196"/>
      <c r="AR210" s="196"/>
      <c r="AS210" s="196"/>
      <c r="AT210" s="196"/>
      <c r="AU210" s="195">
        <f t="shared" si="327"/>
        <v>0</v>
      </c>
      <c r="AV210" s="233">
        <v>1.5</v>
      </c>
      <c r="AW210" s="243">
        <f t="shared" si="328"/>
        <v>0</v>
      </c>
      <c r="AX210" s="242" t="e">
        <f t="shared" si="330"/>
        <v>#DIV/0!</v>
      </c>
    </row>
    <row r="211" ht="20.5" customHeight="1" spans="2:50">
      <c r="B211" s="158" t="s">
        <v>70</v>
      </c>
      <c r="C211" s="159">
        <v>203</v>
      </c>
      <c r="D211" s="252" t="s">
        <v>282</v>
      </c>
      <c r="E211" s="196"/>
      <c r="F211" s="196"/>
      <c r="G211" s="195">
        <f t="shared" si="329"/>
        <v>0</v>
      </c>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c r="AE211" s="196"/>
      <c r="AF211" s="196"/>
      <c r="AG211" s="196"/>
      <c r="AH211" s="196"/>
      <c r="AI211" s="196"/>
      <c r="AJ211" s="196"/>
      <c r="AK211" s="196"/>
      <c r="AL211" s="196"/>
      <c r="AM211" s="196"/>
      <c r="AN211" s="196"/>
      <c r="AO211" s="196"/>
      <c r="AP211" s="196"/>
      <c r="AQ211" s="196"/>
      <c r="AR211" s="196"/>
      <c r="AS211" s="196"/>
      <c r="AT211" s="196"/>
      <c r="AU211" s="195">
        <f t="shared" si="327"/>
        <v>0</v>
      </c>
      <c r="AV211" s="233">
        <v>2.5</v>
      </c>
      <c r="AW211" s="243">
        <f t="shared" si="328"/>
        <v>0</v>
      </c>
      <c r="AX211" s="242" t="e">
        <f t="shared" si="330"/>
        <v>#DIV/0!</v>
      </c>
    </row>
    <row r="212" ht="20.5" customHeight="1" spans="2:50">
      <c r="B212" s="158" t="s">
        <v>70</v>
      </c>
      <c r="C212" s="159">
        <v>204</v>
      </c>
      <c r="D212" s="252" t="s">
        <v>283</v>
      </c>
      <c r="E212" s="196"/>
      <c r="F212" s="196"/>
      <c r="G212" s="195">
        <f t="shared" si="329"/>
        <v>0</v>
      </c>
      <c r="H212" s="196"/>
      <c r="I212" s="196"/>
      <c r="J212" s="196"/>
      <c r="K212" s="196"/>
      <c r="L212" s="196"/>
      <c r="M212" s="196"/>
      <c r="N212" s="196"/>
      <c r="O212" s="196"/>
      <c r="P212" s="196"/>
      <c r="Q212" s="196"/>
      <c r="R212" s="196"/>
      <c r="S212" s="196"/>
      <c r="T212" s="196"/>
      <c r="U212" s="196"/>
      <c r="V212" s="196"/>
      <c r="W212" s="196"/>
      <c r="X212" s="196"/>
      <c r="Y212" s="196"/>
      <c r="Z212" s="196"/>
      <c r="AA212" s="196"/>
      <c r="AB212" s="196"/>
      <c r="AC212" s="196"/>
      <c r="AD212" s="196"/>
      <c r="AE212" s="196"/>
      <c r="AF212" s="196"/>
      <c r="AG212" s="196"/>
      <c r="AH212" s="196"/>
      <c r="AI212" s="196"/>
      <c r="AJ212" s="196"/>
      <c r="AK212" s="196"/>
      <c r="AL212" s="196"/>
      <c r="AM212" s="196"/>
      <c r="AN212" s="196"/>
      <c r="AO212" s="196"/>
      <c r="AP212" s="196"/>
      <c r="AQ212" s="196"/>
      <c r="AR212" s="196"/>
      <c r="AS212" s="196"/>
      <c r="AT212" s="196"/>
      <c r="AU212" s="195">
        <f t="shared" si="327"/>
        <v>0</v>
      </c>
      <c r="AV212" s="233">
        <v>4</v>
      </c>
      <c r="AW212" s="243">
        <f t="shared" si="328"/>
        <v>0</v>
      </c>
      <c r="AX212" s="242" t="e">
        <f t="shared" si="330"/>
        <v>#DIV/0!</v>
      </c>
    </row>
    <row r="213" ht="20.5" customHeight="1" spans="2:50">
      <c r="B213" s="158" t="s">
        <v>70</v>
      </c>
      <c r="C213" s="159">
        <v>205</v>
      </c>
      <c r="D213" s="252" t="s">
        <v>284</v>
      </c>
      <c r="E213" s="196"/>
      <c r="F213" s="196"/>
      <c r="G213" s="195">
        <f t="shared" si="329"/>
        <v>0</v>
      </c>
      <c r="H213" s="196"/>
      <c r="I213" s="196"/>
      <c r="J213" s="196"/>
      <c r="K213" s="196"/>
      <c r="L213" s="196"/>
      <c r="M213" s="196"/>
      <c r="N213" s="196"/>
      <c r="O213" s="196"/>
      <c r="P213" s="196"/>
      <c r="Q213" s="196"/>
      <c r="R213" s="196"/>
      <c r="S213" s="196"/>
      <c r="T213" s="196"/>
      <c r="U213" s="196"/>
      <c r="V213" s="196"/>
      <c r="W213" s="196"/>
      <c r="X213" s="196"/>
      <c r="Y213" s="196"/>
      <c r="Z213" s="196"/>
      <c r="AA213" s="196"/>
      <c r="AB213" s="196"/>
      <c r="AC213" s="196"/>
      <c r="AD213" s="196"/>
      <c r="AE213" s="196"/>
      <c r="AF213" s="196"/>
      <c r="AG213" s="196"/>
      <c r="AH213" s="196"/>
      <c r="AI213" s="196"/>
      <c r="AJ213" s="196"/>
      <c r="AK213" s="196"/>
      <c r="AL213" s="196"/>
      <c r="AM213" s="196"/>
      <c r="AN213" s="196"/>
      <c r="AO213" s="196"/>
      <c r="AP213" s="196"/>
      <c r="AQ213" s="196"/>
      <c r="AR213" s="196"/>
      <c r="AS213" s="196"/>
      <c r="AT213" s="196"/>
      <c r="AU213" s="195">
        <f t="shared" si="327"/>
        <v>0</v>
      </c>
      <c r="AV213" s="233">
        <v>12.5</v>
      </c>
      <c r="AW213" s="243">
        <f t="shared" si="328"/>
        <v>0</v>
      </c>
      <c r="AX213" s="242" t="e">
        <f t="shared" si="330"/>
        <v>#DIV/0!</v>
      </c>
    </row>
    <row r="214" ht="20.5" customHeight="1" spans="2:50">
      <c r="B214" s="158" t="s">
        <v>70</v>
      </c>
      <c r="C214" s="159">
        <v>206</v>
      </c>
      <c r="D214" s="264" t="s">
        <v>285</v>
      </c>
      <c r="E214" s="195">
        <f t="shared" ref="E214:H214" si="331">E215+E221</f>
        <v>0</v>
      </c>
      <c r="F214" s="195">
        <f t="shared" si="331"/>
        <v>0</v>
      </c>
      <c r="G214" s="195">
        <f t="shared" si="331"/>
        <v>0</v>
      </c>
      <c r="H214" s="195">
        <f t="shared" si="331"/>
        <v>0</v>
      </c>
      <c r="I214" s="195">
        <f t="shared" ref="I214:AQ214" si="332">I215+I221</f>
        <v>0</v>
      </c>
      <c r="J214" s="195">
        <f t="shared" si="332"/>
        <v>0</v>
      </c>
      <c r="K214" s="195">
        <f t="shared" si="332"/>
        <v>0</v>
      </c>
      <c r="L214" s="195">
        <f t="shared" si="332"/>
        <v>0</v>
      </c>
      <c r="M214" s="195">
        <f t="shared" si="332"/>
        <v>0</v>
      </c>
      <c r="N214" s="195">
        <f t="shared" si="332"/>
        <v>0</v>
      </c>
      <c r="O214" s="195">
        <f t="shared" si="332"/>
        <v>0</v>
      </c>
      <c r="P214" s="195">
        <f t="shared" si="332"/>
        <v>0</v>
      </c>
      <c r="Q214" s="195">
        <f t="shared" si="332"/>
        <v>0</v>
      </c>
      <c r="R214" s="195">
        <f t="shared" si="332"/>
        <v>0</v>
      </c>
      <c r="S214" s="195">
        <f t="shared" si="332"/>
        <v>0</v>
      </c>
      <c r="T214" s="195">
        <f t="shared" si="332"/>
        <v>0</v>
      </c>
      <c r="U214" s="195">
        <f t="shared" si="332"/>
        <v>0</v>
      </c>
      <c r="V214" s="195">
        <f t="shared" si="332"/>
        <v>0</v>
      </c>
      <c r="W214" s="195">
        <f t="shared" si="332"/>
        <v>0</v>
      </c>
      <c r="X214" s="195">
        <f t="shared" si="332"/>
        <v>0</v>
      </c>
      <c r="Y214" s="195">
        <f t="shared" si="332"/>
        <v>0</v>
      </c>
      <c r="Z214" s="195">
        <f t="shared" si="332"/>
        <v>0</v>
      </c>
      <c r="AA214" s="195">
        <f t="shared" si="332"/>
        <v>0</v>
      </c>
      <c r="AB214" s="195">
        <f t="shared" si="332"/>
        <v>0</v>
      </c>
      <c r="AC214" s="195">
        <f t="shared" si="332"/>
        <v>0</v>
      </c>
      <c r="AD214" s="195">
        <f t="shared" si="332"/>
        <v>0</v>
      </c>
      <c r="AE214" s="195">
        <f t="shared" si="332"/>
        <v>0</v>
      </c>
      <c r="AF214" s="195">
        <f t="shared" si="332"/>
        <v>0</v>
      </c>
      <c r="AG214" s="195">
        <f t="shared" si="332"/>
        <v>0</v>
      </c>
      <c r="AH214" s="195">
        <f t="shared" si="332"/>
        <v>0</v>
      </c>
      <c r="AI214" s="195">
        <f t="shared" si="332"/>
        <v>0</v>
      </c>
      <c r="AJ214" s="195">
        <f t="shared" si="332"/>
        <v>0</v>
      </c>
      <c r="AK214" s="195">
        <f t="shared" si="332"/>
        <v>0</v>
      </c>
      <c r="AL214" s="195">
        <f t="shared" si="332"/>
        <v>0</v>
      </c>
      <c r="AM214" s="195">
        <f t="shared" si="332"/>
        <v>0</v>
      </c>
      <c r="AN214" s="195">
        <f t="shared" si="332"/>
        <v>0</v>
      </c>
      <c r="AO214" s="195">
        <f t="shared" si="332"/>
        <v>0</v>
      </c>
      <c r="AP214" s="195">
        <f t="shared" si="332"/>
        <v>0</v>
      </c>
      <c r="AQ214" s="195">
        <f t="shared" si="332"/>
        <v>0</v>
      </c>
      <c r="AR214" s="195">
        <f t="shared" ref="AR214" si="333">AR215+AR221</f>
        <v>0</v>
      </c>
      <c r="AS214" s="195">
        <f t="shared" ref="AS214" si="334">AS215+AS221</f>
        <v>0</v>
      </c>
      <c r="AT214" s="195">
        <f t="shared" ref="AT214:AU214" si="335">AT215+AT221</f>
        <v>0</v>
      </c>
      <c r="AU214" s="195">
        <f t="shared" si="335"/>
        <v>0</v>
      </c>
      <c r="AV214" s="281"/>
      <c r="AW214" s="195">
        <f>AW215+AW221</f>
        <v>0</v>
      </c>
      <c r="AX214" s="242" t="e">
        <f t="shared" si="330"/>
        <v>#DIV/0!</v>
      </c>
    </row>
    <row r="215" ht="20.5" customHeight="1" spans="2:50">
      <c r="B215" s="158" t="s">
        <v>70</v>
      </c>
      <c r="C215" s="159">
        <v>207</v>
      </c>
      <c r="D215" s="161" t="s">
        <v>286</v>
      </c>
      <c r="E215" s="243">
        <f t="shared" ref="E215:H215" si="336">E216+E217+E218+E219+E220</f>
        <v>0</v>
      </c>
      <c r="F215" s="243">
        <f t="shared" si="336"/>
        <v>0</v>
      </c>
      <c r="G215" s="195">
        <f>SUM(G216:G220)</f>
        <v>0</v>
      </c>
      <c r="H215" s="243">
        <f t="shared" si="336"/>
        <v>0</v>
      </c>
      <c r="I215" s="243">
        <f t="shared" ref="I215:AT215" si="337">I216+I217+I218+I219+I220</f>
        <v>0</v>
      </c>
      <c r="J215" s="243">
        <f t="shared" si="337"/>
        <v>0</v>
      </c>
      <c r="K215" s="243">
        <f t="shared" si="337"/>
        <v>0</v>
      </c>
      <c r="L215" s="243">
        <f t="shared" si="337"/>
        <v>0</v>
      </c>
      <c r="M215" s="243">
        <f t="shared" si="337"/>
        <v>0</v>
      </c>
      <c r="N215" s="243">
        <f t="shared" si="337"/>
        <v>0</v>
      </c>
      <c r="O215" s="243">
        <f t="shared" si="337"/>
        <v>0</v>
      </c>
      <c r="P215" s="243">
        <f t="shared" si="337"/>
        <v>0</v>
      </c>
      <c r="Q215" s="243">
        <f t="shared" si="337"/>
        <v>0</v>
      </c>
      <c r="R215" s="243">
        <f t="shared" si="337"/>
        <v>0</v>
      </c>
      <c r="S215" s="243">
        <f t="shared" si="337"/>
        <v>0</v>
      </c>
      <c r="T215" s="243">
        <f t="shared" si="337"/>
        <v>0</v>
      </c>
      <c r="U215" s="243">
        <f t="shared" si="337"/>
        <v>0</v>
      </c>
      <c r="V215" s="243">
        <f t="shared" si="337"/>
        <v>0</v>
      </c>
      <c r="W215" s="243">
        <f t="shared" si="337"/>
        <v>0</v>
      </c>
      <c r="X215" s="243">
        <f t="shared" si="337"/>
        <v>0</v>
      </c>
      <c r="Y215" s="243">
        <f t="shared" si="337"/>
        <v>0</v>
      </c>
      <c r="Z215" s="243">
        <f t="shared" si="337"/>
        <v>0</v>
      </c>
      <c r="AA215" s="243">
        <f t="shared" si="337"/>
        <v>0</v>
      </c>
      <c r="AB215" s="243">
        <f t="shared" si="337"/>
        <v>0</v>
      </c>
      <c r="AC215" s="243">
        <f t="shared" si="337"/>
        <v>0</v>
      </c>
      <c r="AD215" s="243">
        <f t="shared" si="337"/>
        <v>0</v>
      </c>
      <c r="AE215" s="243">
        <f t="shared" si="337"/>
        <v>0</v>
      </c>
      <c r="AF215" s="243">
        <f t="shared" si="337"/>
        <v>0</v>
      </c>
      <c r="AG215" s="243">
        <f t="shared" si="337"/>
        <v>0</v>
      </c>
      <c r="AH215" s="243">
        <f t="shared" si="337"/>
        <v>0</v>
      </c>
      <c r="AI215" s="243">
        <f t="shared" si="337"/>
        <v>0</v>
      </c>
      <c r="AJ215" s="243">
        <f t="shared" si="337"/>
        <v>0</v>
      </c>
      <c r="AK215" s="243">
        <f t="shared" si="337"/>
        <v>0</v>
      </c>
      <c r="AL215" s="243">
        <f t="shared" si="337"/>
        <v>0</v>
      </c>
      <c r="AM215" s="243">
        <f t="shared" si="337"/>
        <v>0</v>
      </c>
      <c r="AN215" s="243">
        <f t="shared" si="337"/>
        <v>0</v>
      </c>
      <c r="AO215" s="243">
        <f t="shared" si="337"/>
        <v>0</v>
      </c>
      <c r="AP215" s="243">
        <f t="shared" si="337"/>
        <v>0</v>
      </c>
      <c r="AQ215" s="243">
        <f t="shared" si="337"/>
        <v>0</v>
      </c>
      <c r="AR215" s="243">
        <f t="shared" si="337"/>
        <v>0</v>
      </c>
      <c r="AS215" s="243">
        <f t="shared" si="337"/>
        <v>0</v>
      </c>
      <c r="AT215" s="243">
        <f t="shared" si="337"/>
        <v>0</v>
      </c>
      <c r="AU215" s="195">
        <f>SUM(AU216:AU220)</f>
        <v>0</v>
      </c>
      <c r="AV215" s="281"/>
      <c r="AW215" s="195">
        <f>SUM(AW216:AW220)</f>
        <v>0</v>
      </c>
      <c r="AX215" s="242" t="e">
        <f t="shared" si="330"/>
        <v>#DIV/0!</v>
      </c>
    </row>
    <row r="216" ht="20.5" customHeight="1" spans="2:50">
      <c r="B216" s="158" t="s">
        <v>70</v>
      </c>
      <c r="C216" s="159">
        <v>208</v>
      </c>
      <c r="D216" s="252" t="s">
        <v>287</v>
      </c>
      <c r="E216" s="196"/>
      <c r="F216" s="196"/>
      <c r="G216" s="195">
        <f t="shared" ref="G216:G222" si="338">E216-F216</f>
        <v>0</v>
      </c>
      <c r="H216" s="196"/>
      <c r="I216" s="213"/>
      <c r="J216" s="213"/>
      <c r="K216" s="213"/>
      <c r="L216" s="213"/>
      <c r="M216" s="213"/>
      <c r="N216" s="213"/>
      <c r="O216" s="213"/>
      <c r="P216" s="213"/>
      <c r="Q216" s="213"/>
      <c r="R216" s="213"/>
      <c r="S216" s="213"/>
      <c r="T216" s="213"/>
      <c r="U216" s="213"/>
      <c r="V216" s="213"/>
      <c r="W216" s="213"/>
      <c r="X216" s="213"/>
      <c r="Y216" s="213"/>
      <c r="Z216" s="213"/>
      <c r="AA216" s="213"/>
      <c r="AB216" s="213"/>
      <c r="AC216" s="213"/>
      <c r="AD216" s="213"/>
      <c r="AE216" s="227"/>
      <c r="AF216" s="227"/>
      <c r="AG216" s="213"/>
      <c r="AH216" s="213"/>
      <c r="AI216" s="213"/>
      <c r="AJ216" s="213"/>
      <c r="AK216" s="213"/>
      <c r="AL216" s="213"/>
      <c r="AM216" s="213"/>
      <c r="AN216" s="213"/>
      <c r="AO216" s="213"/>
      <c r="AP216" s="213"/>
      <c r="AQ216" s="213"/>
      <c r="AR216" s="213"/>
      <c r="AS216" s="213"/>
      <c r="AT216" s="213"/>
      <c r="AU216" s="195">
        <f t="shared" ref="AU216:AU221" si="339">IF(G216-I216-J216-K216-L216-M216-N216-O216-P216-Q216-R216-S216-T216-U216-V216-W216-X216-Y216-Z216-AA216-AB216-AC216-AD216-AE216-AF216-AG216-AH216-AI216-AJ216-AL216-AM216-AN216-AO216-AP216-AQ216-AR216-AS216-AT216&lt;0,0,G216-I216-J216-K216-L216-M216-N216-O216-P216-Q216-R216-S216-T216-U216-V216-W216-X216-Y216-Z216-AA216-AB216-AC216-AD216-AE216-AF216-AG216-AH216-AI216-AJ216-AL216-AM216-AN216-AO216-AP216-AQ216-AR216-AS216-AT216)</f>
        <v>0</v>
      </c>
      <c r="AV216" s="288">
        <v>0</v>
      </c>
      <c r="AW216" s="243">
        <f t="shared" ref="AW216:AW223" si="340">I216*$I$8+J216*$J$8+K216*$K$8+L216*$L$8+M216*$M$8+N216*$N$8+O216*$O$8+P216*$P$8+Q216*$Q$8+R216*$R$8+S216*$S$8+T216*$T$8+U216*$U$8+V216*$V$8+W216*$W$8+X216*$X$8+Y216*$Y$8+Z216*$Z$8+AA216*$AA$8++AB216*$AB$8+AC216*$AC$8+AD216*$AD$8+AE216*$AE$8+AF216*$AF$8+AG216*$AG$8+AH216*$AH$8+AI216*$AI$8+AJ216*$AJ$8+AL216*$AL$8+AM216*$AM$8+AN216*$AN$8+AO216*$AO$8+AP216*$AP$8+AQ216*$AQ$8+AR216*$AR$8+AS216*$AS$8+AT216*$AT$8</f>
        <v>0</v>
      </c>
      <c r="AX216" s="242" t="e">
        <f t="shared" si="330"/>
        <v>#DIV/0!</v>
      </c>
    </row>
    <row r="217" ht="20.5" customHeight="1" spans="2:50">
      <c r="B217" s="158" t="s">
        <v>70</v>
      </c>
      <c r="C217" s="159">
        <v>209</v>
      </c>
      <c r="D217" s="252" t="s">
        <v>288</v>
      </c>
      <c r="E217" s="196"/>
      <c r="F217" s="196"/>
      <c r="G217" s="195">
        <f t="shared" si="338"/>
        <v>0</v>
      </c>
      <c r="H217" s="196"/>
      <c r="I217" s="196"/>
      <c r="J217" s="196"/>
      <c r="K217" s="196"/>
      <c r="L217" s="196"/>
      <c r="M217" s="196"/>
      <c r="N217" s="196"/>
      <c r="O217" s="196"/>
      <c r="P217" s="196"/>
      <c r="Q217" s="196"/>
      <c r="R217" s="196"/>
      <c r="S217" s="196"/>
      <c r="T217" s="196"/>
      <c r="U217" s="196"/>
      <c r="V217" s="196"/>
      <c r="W217" s="196"/>
      <c r="X217" s="196"/>
      <c r="Y217" s="196"/>
      <c r="Z217" s="196"/>
      <c r="AA217" s="196"/>
      <c r="AB217" s="196"/>
      <c r="AC217" s="196"/>
      <c r="AD217" s="196"/>
      <c r="AE217" s="228"/>
      <c r="AF217" s="228"/>
      <c r="AG217" s="196"/>
      <c r="AH217" s="196"/>
      <c r="AI217" s="196"/>
      <c r="AJ217" s="196"/>
      <c r="AK217" s="196"/>
      <c r="AL217" s="196"/>
      <c r="AM217" s="196"/>
      <c r="AN217" s="196"/>
      <c r="AO217" s="196"/>
      <c r="AP217" s="196"/>
      <c r="AQ217" s="196"/>
      <c r="AR217" s="196"/>
      <c r="AS217" s="196"/>
      <c r="AT217" s="196"/>
      <c r="AU217" s="195">
        <f t="shared" si="339"/>
        <v>0</v>
      </c>
      <c r="AV217" s="288">
        <v>1</v>
      </c>
      <c r="AW217" s="243">
        <f t="shared" si="340"/>
        <v>0</v>
      </c>
      <c r="AX217" s="242" t="e">
        <f t="shared" si="330"/>
        <v>#DIV/0!</v>
      </c>
    </row>
    <row r="218" ht="20.5" customHeight="1" spans="2:50">
      <c r="B218" s="158" t="s">
        <v>70</v>
      </c>
      <c r="C218" s="159">
        <v>210</v>
      </c>
      <c r="D218" s="252" t="s">
        <v>289</v>
      </c>
      <c r="E218" s="196"/>
      <c r="F218" s="196"/>
      <c r="G218" s="195">
        <f t="shared" si="338"/>
        <v>0</v>
      </c>
      <c r="H218" s="196"/>
      <c r="I218" s="196"/>
      <c r="J218" s="196"/>
      <c r="K218" s="196"/>
      <c r="L218" s="196"/>
      <c r="M218" s="196"/>
      <c r="N218" s="196"/>
      <c r="O218" s="196"/>
      <c r="P218" s="196"/>
      <c r="Q218" s="196"/>
      <c r="R218" s="196"/>
      <c r="S218" s="196"/>
      <c r="T218" s="196"/>
      <c r="U218" s="196"/>
      <c r="V218" s="196"/>
      <c r="W218" s="196"/>
      <c r="X218" s="196"/>
      <c r="Y218" s="196"/>
      <c r="Z218" s="196"/>
      <c r="AA218" s="196"/>
      <c r="AB218" s="196"/>
      <c r="AC218" s="196"/>
      <c r="AD218" s="196"/>
      <c r="AE218" s="228"/>
      <c r="AF218" s="228"/>
      <c r="AG218" s="196"/>
      <c r="AH218" s="196"/>
      <c r="AI218" s="196"/>
      <c r="AJ218" s="196"/>
      <c r="AK218" s="196"/>
      <c r="AL218" s="196"/>
      <c r="AM218" s="196"/>
      <c r="AN218" s="196"/>
      <c r="AO218" s="196"/>
      <c r="AP218" s="196"/>
      <c r="AQ218" s="196"/>
      <c r="AR218" s="196"/>
      <c r="AS218" s="196"/>
      <c r="AT218" s="196"/>
      <c r="AU218" s="195">
        <f t="shared" si="339"/>
        <v>0</v>
      </c>
      <c r="AV218" s="288">
        <v>6.25</v>
      </c>
      <c r="AW218" s="243">
        <f t="shared" si="340"/>
        <v>0</v>
      </c>
      <c r="AX218" s="242" t="e">
        <f t="shared" ref="AX218:AX223" si="341">AW218/G218</f>
        <v>#DIV/0!</v>
      </c>
    </row>
    <row r="219" ht="20.5" customHeight="1" spans="2:50">
      <c r="B219" s="158" t="s">
        <v>70</v>
      </c>
      <c r="C219" s="159">
        <v>211</v>
      </c>
      <c r="D219" s="252" t="s">
        <v>290</v>
      </c>
      <c r="E219" s="196"/>
      <c r="F219" s="196"/>
      <c r="G219" s="195">
        <f t="shared" si="338"/>
        <v>0</v>
      </c>
      <c r="H219" s="196"/>
      <c r="I219" s="196"/>
      <c r="J219" s="196"/>
      <c r="K219" s="196"/>
      <c r="L219" s="196"/>
      <c r="M219" s="196"/>
      <c r="N219" s="196"/>
      <c r="O219" s="196"/>
      <c r="P219" s="196"/>
      <c r="Q219" s="196"/>
      <c r="R219" s="196"/>
      <c r="S219" s="196"/>
      <c r="T219" s="196"/>
      <c r="U219" s="196"/>
      <c r="V219" s="196"/>
      <c r="W219" s="196"/>
      <c r="X219" s="196"/>
      <c r="Y219" s="196"/>
      <c r="Z219" s="196"/>
      <c r="AA219" s="196"/>
      <c r="AB219" s="196"/>
      <c r="AC219" s="196"/>
      <c r="AD219" s="196"/>
      <c r="AE219" s="228"/>
      <c r="AF219" s="228"/>
      <c r="AG219" s="196"/>
      <c r="AH219" s="196"/>
      <c r="AI219" s="196"/>
      <c r="AJ219" s="196"/>
      <c r="AK219" s="196"/>
      <c r="AL219" s="196"/>
      <c r="AM219" s="196"/>
      <c r="AN219" s="196"/>
      <c r="AO219" s="196"/>
      <c r="AP219" s="196"/>
      <c r="AQ219" s="196"/>
      <c r="AR219" s="196"/>
      <c r="AS219" s="196"/>
      <c r="AT219" s="196"/>
      <c r="AU219" s="195">
        <f t="shared" si="339"/>
        <v>0</v>
      </c>
      <c r="AV219" s="288">
        <v>9.375</v>
      </c>
      <c r="AW219" s="243">
        <f t="shared" si="340"/>
        <v>0</v>
      </c>
      <c r="AX219" s="242" t="e">
        <f t="shared" si="341"/>
        <v>#DIV/0!</v>
      </c>
    </row>
    <row r="220" ht="20.5" customHeight="1" spans="2:50">
      <c r="B220" s="158" t="s">
        <v>70</v>
      </c>
      <c r="C220" s="159">
        <v>212</v>
      </c>
      <c r="D220" s="252" t="s">
        <v>291</v>
      </c>
      <c r="E220" s="196"/>
      <c r="F220" s="196"/>
      <c r="G220" s="195">
        <f t="shared" si="338"/>
        <v>0</v>
      </c>
      <c r="H220" s="196"/>
      <c r="I220" s="196"/>
      <c r="J220" s="196"/>
      <c r="K220" s="196"/>
      <c r="L220" s="196"/>
      <c r="M220" s="196"/>
      <c r="N220" s="196"/>
      <c r="O220" s="196"/>
      <c r="P220" s="196"/>
      <c r="Q220" s="196"/>
      <c r="R220" s="196"/>
      <c r="S220" s="196"/>
      <c r="T220" s="196"/>
      <c r="U220" s="196"/>
      <c r="V220" s="196"/>
      <c r="W220" s="196"/>
      <c r="X220" s="196"/>
      <c r="Y220" s="196"/>
      <c r="Z220" s="196"/>
      <c r="AA220" s="196"/>
      <c r="AB220" s="196"/>
      <c r="AC220" s="196"/>
      <c r="AD220" s="196"/>
      <c r="AE220" s="228"/>
      <c r="AF220" s="228"/>
      <c r="AG220" s="196"/>
      <c r="AH220" s="196"/>
      <c r="AI220" s="196"/>
      <c r="AJ220" s="196"/>
      <c r="AK220" s="196"/>
      <c r="AL220" s="196"/>
      <c r="AM220" s="196"/>
      <c r="AN220" s="196"/>
      <c r="AO220" s="196"/>
      <c r="AP220" s="196"/>
      <c r="AQ220" s="196"/>
      <c r="AR220" s="196"/>
      <c r="AS220" s="196"/>
      <c r="AT220" s="196"/>
      <c r="AU220" s="195">
        <f t="shared" si="339"/>
        <v>0</v>
      </c>
      <c r="AV220" s="288">
        <v>12.5</v>
      </c>
      <c r="AW220" s="243">
        <f t="shared" si="340"/>
        <v>0</v>
      </c>
      <c r="AX220" s="242" t="e">
        <f t="shared" si="341"/>
        <v>#DIV/0!</v>
      </c>
    </row>
    <row r="221" ht="20.5" customHeight="1" spans="2:50">
      <c r="B221" s="158" t="s">
        <v>70</v>
      </c>
      <c r="C221" s="159">
        <v>213</v>
      </c>
      <c r="D221" s="161" t="s">
        <v>292</v>
      </c>
      <c r="E221" s="196"/>
      <c r="F221" s="196"/>
      <c r="G221" s="195">
        <f t="shared" si="338"/>
        <v>0</v>
      </c>
      <c r="H221" s="196"/>
      <c r="I221" s="196"/>
      <c r="J221" s="196"/>
      <c r="K221" s="196"/>
      <c r="L221" s="196"/>
      <c r="M221" s="196"/>
      <c r="N221" s="196"/>
      <c r="O221" s="196"/>
      <c r="P221" s="196"/>
      <c r="Q221" s="196"/>
      <c r="R221" s="196"/>
      <c r="S221" s="196"/>
      <c r="T221" s="196"/>
      <c r="U221" s="196"/>
      <c r="V221" s="196"/>
      <c r="W221" s="196"/>
      <c r="X221" s="196"/>
      <c r="Y221" s="196"/>
      <c r="Z221" s="196"/>
      <c r="AA221" s="196"/>
      <c r="AB221" s="196"/>
      <c r="AC221" s="196"/>
      <c r="AD221" s="196"/>
      <c r="AE221" s="228"/>
      <c r="AF221" s="228"/>
      <c r="AG221" s="196"/>
      <c r="AH221" s="196"/>
      <c r="AI221" s="196"/>
      <c r="AJ221" s="196"/>
      <c r="AK221" s="196"/>
      <c r="AL221" s="196"/>
      <c r="AM221" s="196"/>
      <c r="AN221" s="196"/>
      <c r="AO221" s="196"/>
      <c r="AP221" s="196"/>
      <c r="AQ221" s="196"/>
      <c r="AR221" s="196"/>
      <c r="AS221" s="196"/>
      <c r="AT221" s="196"/>
      <c r="AU221" s="195">
        <f t="shared" si="339"/>
        <v>0</v>
      </c>
      <c r="AV221" s="288">
        <v>12.5</v>
      </c>
      <c r="AW221" s="243">
        <f t="shared" si="340"/>
        <v>0</v>
      </c>
      <c r="AX221" s="242" t="e">
        <f t="shared" si="341"/>
        <v>#DIV/0!</v>
      </c>
    </row>
    <row r="222" ht="20.5" customHeight="1" spans="2:50">
      <c r="B222" s="158" t="s">
        <v>70</v>
      </c>
      <c r="C222" s="159">
        <v>214</v>
      </c>
      <c r="D222" s="163" t="s">
        <v>293</v>
      </c>
      <c r="E222" s="196"/>
      <c r="F222" s="196"/>
      <c r="G222" s="195">
        <f t="shared" si="338"/>
        <v>0</v>
      </c>
      <c r="H222" s="196"/>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196"/>
      <c r="AX222" s="290"/>
    </row>
    <row r="223" ht="20.5" customHeight="1" spans="1:50">
      <c r="A223" t="s">
        <v>294</v>
      </c>
      <c r="B223" s="158" t="s">
        <v>70</v>
      </c>
      <c r="C223" s="159">
        <v>215</v>
      </c>
      <c r="D223" s="173" t="s">
        <v>295</v>
      </c>
      <c r="E223" s="270">
        <f t="shared" ref="E223:H223" si="342">E224+E225</f>
        <v>0</v>
      </c>
      <c r="F223" s="270">
        <f t="shared" si="342"/>
        <v>0</v>
      </c>
      <c r="G223" s="270">
        <f t="shared" si="342"/>
        <v>0</v>
      </c>
      <c r="H223" s="270">
        <f t="shared" si="342"/>
        <v>0</v>
      </c>
      <c r="I223" s="270">
        <f t="shared" ref="I223:AU223" si="343">I224+I225</f>
        <v>0</v>
      </c>
      <c r="J223" s="270">
        <f t="shared" si="343"/>
        <v>0</v>
      </c>
      <c r="K223" s="270">
        <f t="shared" si="343"/>
        <v>0</v>
      </c>
      <c r="L223" s="270">
        <f t="shared" si="343"/>
        <v>0</v>
      </c>
      <c r="M223" s="270">
        <f t="shared" si="343"/>
        <v>0</v>
      </c>
      <c r="N223" s="270">
        <f t="shared" si="343"/>
        <v>0</v>
      </c>
      <c r="O223" s="270">
        <f t="shared" si="343"/>
        <v>0</v>
      </c>
      <c r="P223" s="270">
        <f t="shared" si="343"/>
        <v>0</v>
      </c>
      <c r="Q223" s="270">
        <f t="shared" si="343"/>
        <v>0</v>
      </c>
      <c r="R223" s="270">
        <f t="shared" si="343"/>
        <v>0</v>
      </c>
      <c r="S223" s="270">
        <f t="shared" si="343"/>
        <v>0</v>
      </c>
      <c r="T223" s="270">
        <f t="shared" si="343"/>
        <v>0</v>
      </c>
      <c r="U223" s="270">
        <f t="shared" si="343"/>
        <v>0</v>
      </c>
      <c r="V223" s="270">
        <f t="shared" si="343"/>
        <v>0</v>
      </c>
      <c r="W223" s="270">
        <f t="shared" si="343"/>
        <v>0</v>
      </c>
      <c r="X223" s="270">
        <f t="shared" si="343"/>
        <v>0</v>
      </c>
      <c r="Y223" s="270">
        <f t="shared" si="343"/>
        <v>0</v>
      </c>
      <c r="Z223" s="270">
        <f t="shared" si="343"/>
        <v>0</v>
      </c>
      <c r="AA223" s="270">
        <f t="shared" si="343"/>
        <v>0</v>
      </c>
      <c r="AB223" s="270">
        <f t="shared" si="343"/>
        <v>0</v>
      </c>
      <c r="AC223" s="270">
        <f t="shared" si="343"/>
        <v>0</v>
      </c>
      <c r="AD223" s="270">
        <f t="shared" si="343"/>
        <v>0</v>
      </c>
      <c r="AE223" s="270">
        <f t="shared" si="343"/>
        <v>0</v>
      </c>
      <c r="AF223" s="270">
        <f t="shared" si="343"/>
        <v>0</v>
      </c>
      <c r="AG223" s="270">
        <f t="shared" si="343"/>
        <v>0</v>
      </c>
      <c r="AH223" s="270">
        <f t="shared" si="343"/>
        <v>0</v>
      </c>
      <c r="AI223" s="270">
        <f t="shared" si="343"/>
        <v>0</v>
      </c>
      <c r="AJ223" s="270">
        <f t="shared" si="343"/>
        <v>0</v>
      </c>
      <c r="AK223" s="270">
        <f t="shared" si="343"/>
        <v>0</v>
      </c>
      <c r="AL223" s="270">
        <f t="shared" si="343"/>
        <v>0</v>
      </c>
      <c r="AM223" s="270">
        <f t="shared" si="343"/>
        <v>0</v>
      </c>
      <c r="AN223" s="270">
        <f t="shared" si="343"/>
        <v>0</v>
      </c>
      <c r="AO223" s="270">
        <f t="shared" si="343"/>
        <v>0</v>
      </c>
      <c r="AP223" s="270">
        <f t="shared" si="343"/>
        <v>0</v>
      </c>
      <c r="AQ223" s="270">
        <f t="shared" si="343"/>
        <v>0</v>
      </c>
      <c r="AR223" s="270">
        <f t="shared" si="343"/>
        <v>0</v>
      </c>
      <c r="AS223" s="270">
        <f t="shared" si="343"/>
        <v>0</v>
      </c>
      <c r="AT223" s="270">
        <f t="shared" si="343"/>
        <v>0</v>
      </c>
      <c r="AU223" s="195">
        <f t="shared" si="343"/>
        <v>0</v>
      </c>
      <c r="AV223" s="281"/>
      <c r="AW223" s="243">
        <f t="shared" si="340"/>
        <v>0</v>
      </c>
      <c r="AX223" s="242" t="e">
        <f t="shared" si="341"/>
        <v>#DIV/0!</v>
      </c>
    </row>
    <row r="224" ht="20.5" customHeight="1" spans="1:50">
      <c r="A224" t="s">
        <v>4</v>
      </c>
      <c r="B224" s="158" t="s">
        <v>70</v>
      </c>
      <c r="C224" s="159">
        <v>216</v>
      </c>
      <c r="D224" s="167" t="s">
        <v>296</v>
      </c>
      <c r="E224" s="271"/>
      <c r="F224" s="271"/>
      <c r="G224" s="195">
        <f>H224</f>
        <v>0</v>
      </c>
      <c r="H224" s="272"/>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196"/>
      <c r="AX224" s="291"/>
    </row>
    <row r="225" ht="21" customHeight="1" spans="1:50">
      <c r="A225" t="s">
        <v>4</v>
      </c>
      <c r="B225" s="158" t="s">
        <v>70</v>
      </c>
      <c r="C225" s="159">
        <v>217</v>
      </c>
      <c r="D225" s="167" t="s">
        <v>297</v>
      </c>
      <c r="E225" s="271"/>
      <c r="F225" s="271"/>
      <c r="G225" s="195">
        <f>H225</f>
        <v>0</v>
      </c>
      <c r="H225" s="272"/>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196"/>
      <c r="AX225" s="291"/>
    </row>
    <row r="226" ht="21" customHeight="1" spans="2:50">
      <c r="B226" s="158"/>
      <c r="C226" s="159"/>
      <c r="D226" s="167" t="s">
        <v>298</v>
      </c>
      <c r="E226" s="271"/>
      <c r="F226" s="271"/>
      <c r="G226" s="271"/>
      <c r="H226" s="271"/>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196"/>
      <c r="AX226" s="281"/>
    </row>
    <row r="227" ht="20.5" customHeight="1" spans="3:50">
      <c r="C227" s="159">
        <v>218</v>
      </c>
      <c r="D227" s="264" t="s">
        <v>299</v>
      </c>
      <c r="E227" s="273">
        <f>E223+E222+E214+E197+E192+E181+E170+E169+E164+E144+E121+E118+E104+E91+E48+E40+E34+E33+E24+E14+E10</f>
        <v>0</v>
      </c>
      <c r="F227" s="273">
        <f t="shared" ref="F227:H227" si="344">F223+F222+F214+F197+F192+F181+F170+F169+F164+F144+F121+F118+F104+F91+F48+F40+F34+F33+F24+F14+F10</f>
        <v>0</v>
      </c>
      <c r="G227" s="273">
        <f t="shared" si="344"/>
        <v>0</v>
      </c>
      <c r="H227" s="273">
        <f t="shared" si="344"/>
        <v>0</v>
      </c>
      <c r="I227" s="273">
        <f t="shared" ref="I227:AT227" si="345">I223+I222+I214+I197+I192+I181+I170+I169+I164+I144+I121+I118+I104+I91+I48+I40+I34+I33+I24+I14+I10</f>
        <v>0</v>
      </c>
      <c r="J227" s="273">
        <f t="shared" si="345"/>
        <v>0</v>
      </c>
      <c r="K227" s="273">
        <f t="shared" si="345"/>
        <v>0</v>
      </c>
      <c r="L227" s="273">
        <f t="shared" si="345"/>
        <v>0</v>
      </c>
      <c r="M227" s="273">
        <f t="shared" si="345"/>
        <v>0</v>
      </c>
      <c r="N227" s="273">
        <f t="shared" si="345"/>
        <v>0</v>
      </c>
      <c r="O227" s="273">
        <f t="shared" si="345"/>
        <v>0</v>
      </c>
      <c r="P227" s="273">
        <f t="shared" si="345"/>
        <v>0</v>
      </c>
      <c r="Q227" s="273">
        <f t="shared" si="345"/>
        <v>0</v>
      </c>
      <c r="R227" s="273">
        <f t="shared" si="345"/>
        <v>0</v>
      </c>
      <c r="S227" s="273">
        <f t="shared" si="345"/>
        <v>0</v>
      </c>
      <c r="T227" s="273">
        <f t="shared" si="345"/>
        <v>0</v>
      </c>
      <c r="U227" s="273">
        <f t="shared" si="345"/>
        <v>0</v>
      </c>
      <c r="V227" s="273">
        <f t="shared" si="345"/>
        <v>0</v>
      </c>
      <c r="W227" s="273">
        <f t="shared" si="345"/>
        <v>0</v>
      </c>
      <c r="X227" s="273">
        <f t="shared" si="345"/>
        <v>0</v>
      </c>
      <c r="Y227" s="273">
        <f t="shared" si="345"/>
        <v>0</v>
      </c>
      <c r="Z227" s="273">
        <f t="shared" si="345"/>
        <v>0</v>
      </c>
      <c r="AA227" s="273">
        <f t="shared" si="345"/>
        <v>0</v>
      </c>
      <c r="AB227" s="273">
        <f t="shared" si="345"/>
        <v>0</v>
      </c>
      <c r="AC227" s="273">
        <f t="shared" si="345"/>
        <v>0</v>
      </c>
      <c r="AD227" s="273">
        <f t="shared" si="345"/>
        <v>0</v>
      </c>
      <c r="AE227" s="273">
        <f t="shared" si="345"/>
        <v>0</v>
      </c>
      <c r="AF227" s="273">
        <f t="shared" si="345"/>
        <v>0</v>
      </c>
      <c r="AG227" s="273">
        <f t="shared" si="345"/>
        <v>0</v>
      </c>
      <c r="AH227" s="273">
        <f t="shared" si="345"/>
        <v>0</v>
      </c>
      <c r="AI227" s="273">
        <f t="shared" si="345"/>
        <v>0</v>
      </c>
      <c r="AJ227" s="273">
        <f t="shared" si="345"/>
        <v>0</v>
      </c>
      <c r="AK227" s="273">
        <f t="shared" si="345"/>
        <v>0</v>
      </c>
      <c r="AL227" s="273">
        <f t="shared" si="345"/>
        <v>0</v>
      </c>
      <c r="AM227" s="273">
        <f t="shared" si="345"/>
        <v>0</v>
      </c>
      <c r="AN227" s="273">
        <f t="shared" si="345"/>
        <v>0</v>
      </c>
      <c r="AO227" s="273">
        <f t="shared" si="345"/>
        <v>0</v>
      </c>
      <c r="AP227" s="273">
        <f t="shared" si="345"/>
        <v>0</v>
      </c>
      <c r="AQ227" s="273">
        <f t="shared" si="345"/>
        <v>0</v>
      </c>
      <c r="AR227" s="273">
        <f t="shared" si="345"/>
        <v>0</v>
      </c>
      <c r="AS227" s="273">
        <f t="shared" si="345"/>
        <v>0</v>
      </c>
      <c r="AT227" s="273">
        <f t="shared" si="345"/>
        <v>0</v>
      </c>
      <c r="AU227" s="195">
        <f>AU223+AU222+AU214+AU197+AU192+AU181+AU175+AU170+AU169+AU164+AU144+AU121+AU118+AU104+AU91+AU48+AU40+AU34+AU33+AU24+AU14+AU10</f>
        <v>0</v>
      </c>
      <c r="AV227" s="281"/>
      <c r="AW227" s="195">
        <f>AW223+AW222+AW214+AW197+AW192+AW181+AW175+AW170+AW169+AW164+AW144+AW121+AW118+AW104+AW91+AW48+AW40+AW34+AW33+AW24+AW14+AW10</f>
        <v>0</v>
      </c>
      <c r="AX227" s="195" t="e">
        <f>AX223+AX222+AX214+AX197+AX192+AX181+AX175+AX170+AX169+AX164+AX144+AX121+AX118+AX104+AX91+AX48+AX40+AX34+AX33+AX24+AX14+AX10</f>
        <v>#DIV/0!</v>
      </c>
    </row>
    <row r="228" ht="20.5" customHeight="1" spans="3:50">
      <c r="C228" s="159">
        <v>219</v>
      </c>
      <c r="D228" s="264" t="s">
        <v>300</v>
      </c>
      <c r="E228" s="274"/>
      <c r="F228" s="274"/>
      <c r="G228" s="274"/>
      <c r="H228" s="274"/>
      <c r="I228" s="274"/>
      <c r="J228" s="274"/>
      <c r="K228" s="274"/>
      <c r="L228" s="274"/>
      <c r="M228" s="274"/>
      <c r="N228" s="274"/>
      <c r="O228" s="274"/>
      <c r="P228" s="274"/>
      <c r="Q228" s="274"/>
      <c r="R228" s="274"/>
      <c r="S228" s="274"/>
      <c r="T228" s="274"/>
      <c r="U228" s="274"/>
      <c r="V228" s="274"/>
      <c r="W228" s="274"/>
      <c r="X228" s="274"/>
      <c r="Y228" s="274"/>
      <c r="Z228" s="274"/>
      <c r="AA228" s="274"/>
      <c r="AB228" s="274"/>
      <c r="AC228" s="274"/>
      <c r="AD228" s="274"/>
      <c r="AE228" s="274"/>
      <c r="AF228" s="274"/>
      <c r="AG228" s="284"/>
      <c r="AH228" s="284"/>
      <c r="AI228" s="284"/>
      <c r="AJ228" s="284"/>
      <c r="AK228" s="284"/>
      <c r="AL228" s="284"/>
      <c r="AM228" s="284"/>
      <c r="AN228" s="284"/>
      <c r="AO228" s="284"/>
      <c r="AP228" s="284"/>
      <c r="AQ228" s="284"/>
      <c r="AR228" s="274"/>
      <c r="AS228" s="274"/>
      <c r="AT228" s="274"/>
      <c r="AU228" s="195">
        <f>IF(G228-I228-J228-K228-L228-M228-N228-O228-P228-Q228-R228-S228-T228-U228-V228-W228-X228-Y228-Z228-AA228-AB228-AC228-AD228-AE228-AF228-AG228-AH228-AI228-AJ228-AL228-AM228-AN228-AO228-AP228-AQ228-AR228-AS228-AT228&lt;0,0,G228-I228-J228-K228-L228-M228-N228-O228-P228-Q228-R228-S228-T228-U228-V228-W228-X228-Y228-Z228-AA228-AB228-AC228-AD228-AE228-AF228-AG228-AH228-AI228-AJ228-AL228-AM228-AN228-AO228-AP228-AQ228-AR228-AS228-AT228)</f>
        <v>0</v>
      </c>
      <c r="AV228" s="281"/>
      <c r="AW228" s="243">
        <f>I228*$I$8+J228*$J$8+K228*$K$8+L228*$L$8+M228*$M$8+N228*$N$8+O228*$O$8+P228*$P$8+Q228*$Q$8+R228*$R$8+S228*$S$8+T228*$T$8+U228*$U$8+V228*$V$8+W228*$W$8+X228*$X$8+Y228*$Y$8+Z228*$Z$8+AA228*$AA$8++AB228*$AB$8+AC228*$AC$8+AD228*$AD$8+AE228*$AE$8+AF228*$AF$8+AG228*$AG$8+AH228*$AH$8+AI228*$AI$8+AJ228*$AJ$8+AL228*$AL$8+AM228*$AM$8+AN228*$AN$8+AO228*$AO$8+AP228*$AP$8+AQ228*$AQ$8+AR228*$AR$8+AS228*$AS$8+AT228*$AT$8</f>
        <v>0</v>
      </c>
      <c r="AX228" s="242" t="e">
        <f t="shared" ref="AX228:AX230" si="346">AW228/G228</f>
        <v>#DIV/0!</v>
      </c>
    </row>
    <row r="229" ht="20.5" customHeight="1" spans="3:50">
      <c r="C229" s="159">
        <v>220</v>
      </c>
      <c r="D229" s="264" t="s">
        <v>301</v>
      </c>
      <c r="E229" s="275"/>
      <c r="F229" s="275"/>
      <c r="G229" s="275"/>
      <c r="H229" s="275"/>
      <c r="I229" s="275"/>
      <c r="J229" s="275"/>
      <c r="K229" s="275"/>
      <c r="L229" s="275"/>
      <c r="M229" s="275"/>
      <c r="N229" s="275"/>
      <c r="O229" s="275"/>
      <c r="P229" s="275"/>
      <c r="Q229" s="275"/>
      <c r="R229" s="275"/>
      <c r="S229" s="275"/>
      <c r="T229" s="275"/>
      <c r="U229" s="275"/>
      <c r="V229" s="275"/>
      <c r="W229" s="275"/>
      <c r="X229" s="275"/>
      <c r="Y229" s="275"/>
      <c r="Z229" s="275"/>
      <c r="AA229" s="275"/>
      <c r="AB229" s="275"/>
      <c r="AC229" s="275"/>
      <c r="AD229" s="275"/>
      <c r="AE229" s="275"/>
      <c r="AF229" s="275"/>
      <c r="AG229" s="285"/>
      <c r="AH229" s="285"/>
      <c r="AI229" s="285"/>
      <c r="AJ229" s="285"/>
      <c r="AK229" s="285"/>
      <c r="AL229" s="285"/>
      <c r="AM229" s="285"/>
      <c r="AN229" s="285"/>
      <c r="AO229" s="285"/>
      <c r="AP229" s="285"/>
      <c r="AQ229" s="285"/>
      <c r="AR229" s="275"/>
      <c r="AS229" s="275"/>
      <c r="AT229" s="275"/>
      <c r="AU229" s="195">
        <f>IF(G229-I229-J229-K229-L229-M229-N229-O229-P229-Q229-R229-S229-T229-U229-V229-W229-X229-Y229-Z229-AA229-AB229-AC229-AD229-AE229-AF229-AG229-AH229-AI229-AJ229-AL229-AM229-AN229-AO229-AP229-AQ229-AR229-AS229-AT229&lt;0,0,G229-I229-J229-K229-L229-M229-N229-O229-P229-Q229-R229-S229-T229-U229-V229-W229-X229-Y229-Z229-AA229-AB229-AC229-AD229-AE229-AF229-AG229-AH229-AI229-AJ229-AL229-AM229-AN229-AO229-AP229-AQ229-AR229-AS229-AT229)</f>
        <v>0</v>
      </c>
      <c r="AV229" s="281"/>
      <c r="AW229" s="243">
        <f>I229*$I$8+J229*$J$8+K229*$K$8+L229*$L$8+M229*$M$8+N229*$N$8+O229*$O$8+P229*$P$8+Q229*$Q$8+R229*$R$8+S229*$S$8+T229*$T$8+U229*$U$8+V229*$V$8+W229*$W$8+X229*$X$8+Y229*$Y$8+Z229*$Z$8+AA229*$AA$8++AB229*$AB$8+AC229*$AC$8+AD229*$AD$8+AE229*$AE$8+AF229*$AF$8+AG229*$AG$8+AH229*$AH$8+AI229*$AI$8+AJ229*$AJ$8+AL229*$AL$8+AM229*$AM$8+AN229*$AN$8+AO229*$AO$8+AP229*$AP$8+AQ229*$AQ$8+AR229*$AR$8+AS229*$AS$8+AT229*$AT$8</f>
        <v>0</v>
      </c>
      <c r="AX229" s="242" t="e">
        <f t="shared" si="346"/>
        <v>#DIV/0!</v>
      </c>
    </row>
    <row r="230" ht="20.5" customHeight="1" spans="3:50">
      <c r="C230" s="159">
        <v>221</v>
      </c>
      <c r="D230" s="264" t="s">
        <v>302</v>
      </c>
      <c r="E230" s="276"/>
      <c r="F230" s="276"/>
      <c r="G230" s="276"/>
      <c r="H230" s="276"/>
      <c r="I230" s="276"/>
      <c r="J230" s="276"/>
      <c r="K230" s="276"/>
      <c r="L230" s="276"/>
      <c r="M230" s="276"/>
      <c r="N230" s="276"/>
      <c r="O230" s="276"/>
      <c r="P230" s="276"/>
      <c r="Q230" s="276"/>
      <c r="R230" s="276"/>
      <c r="S230" s="276"/>
      <c r="T230" s="276"/>
      <c r="U230" s="276"/>
      <c r="V230" s="276"/>
      <c r="W230" s="276"/>
      <c r="X230" s="276"/>
      <c r="Y230" s="276"/>
      <c r="Z230" s="276"/>
      <c r="AA230" s="276"/>
      <c r="AB230" s="276"/>
      <c r="AC230" s="276"/>
      <c r="AD230" s="276"/>
      <c r="AE230" s="276"/>
      <c r="AF230" s="276"/>
      <c r="AG230" s="286"/>
      <c r="AH230" s="286"/>
      <c r="AI230" s="286"/>
      <c r="AJ230" s="286"/>
      <c r="AK230" s="286"/>
      <c r="AL230" s="286"/>
      <c r="AM230" s="286"/>
      <c r="AN230" s="286"/>
      <c r="AO230" s="286"/>
      <c r="AP230" s="286"/>
      <c r="AQ230" s="286"/>
      <c r="AR230" s="276"/>
      <c r="AS230" s="276"/>
      <c r="AT230" s="276"/>
      <c r="AU230" s="195">
        <f>IF(G230-I230-J230-K230-L230-M230-N230-O230-P230-Q230-R230-S230-T230-U230-V230-W230-X230-Y230-Z230-AA230-AB230-AC230-AD230-AE230-AF230-AG230-AH230-AI230-AJ230-AL230-AM230-AN230-AO230-AP230-AQ230-AR230-AS230-AT230&lt;0,0,G230-I230-J230-K230-L230-M230-N230-O230-P230-Q230-R230-S230-T230-U230-V230-W230-X230-Y230-Z230-AA230-AB230-AC230-AD230-AE230-AF230-AG230-AH230-AI230-AJ230-AL230-AM230-AN230-AO230-AP230-AQ230-AR230-AS230-AT230)</f>
        <v>0</v>
      </c>
      <c r="AV230" s="281"/>
      <c r="AW230" s="243">
        <f>I230*$I$8+J230*$J$8+K230*$K$8+L230*$L$8+M230*$M$8+N230*$N$8+O230*$O$8+P230*$P$8+Q230*$Q$8+R230*$R$8+S230*$S$8+T230*$T$8+U230*$U$8+V230*$V$8+W230*$W$8+X230*$X$8+Y230*$Y$8+Z230*$Z$8+AA230*$AA$8++AB230*$AB$8+AC230*$AC$8+AD230*$AD$8+AE230*$AE$8+AF230*$AF$8+AG230*$AG$8+AH230*$AH$8+AI230*$AI$8+AJ230*$AJ$8+AL230*$AL$8+AM230*$AM$8+AN230*$AN$8+AO230*$AO$8+AP230*$AP$8+AQ230*$AQ$8+AR230*$AR$8+AS230*$AS$8+AT230*$AT$8</f>
        <v>0</v>
      </c>
      <c r="AX230" s="242" t="e">
        <f t="shared" si="346"/>
        <v>#DIV/0!</v>
      </c>
    </row>
    <row r="231" spans="3:50">
      <c r="C231" s="266" t="s">
        <v>303</v>
      </c>
      <c r="D231" s="26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c r="AA231" s="277"/>
      <c r="AB231" s="277"/>
      <c r="AC231" s="277"/>
      <c r="AD231" s="277"/>
      <c r="AE231" s="277"/>
      <c r="AF231" s="277"/>
      <c r="AG231" s="287"/>
      <c r="AH231" s="287"/>
      <c r="AI231" s="287"/>
      <c r="AJ231" s="287"/>
      <c r="AK231" s="287"/>
      <c r="AL231" s="287"/>
      <c r="AM231" s="287"/>
      <c r="AN231" s="287"/>
      <c r="AO231" s="287"/>
      <c r="AP231" s="287"/>
      <c r="AQ231" s="287"/>
      <c r="AR231" s="277"/>
      <c r="AS231" s="277"/>
      <c r="AT231" s="277"/>
      <c r="AU231" s="277"/>
      <c r="AV231" s="289"/>
      <c r="AW231" s="277"/>
      <c r="AX231" s="277"/>
    </row>
    <row r="232" spans="3:50">
      <c r="C232" s="268">
        <v>1</v>
      </c>
      <c r="D232" s="203" t="s">
        <v>304</v>
      </c>
      <c r="E232" s="278"/>
      <c r="F232" s="277"/>
      <c r="G232" s="277"/>
      <c r="H232" s="277"/>
      <c r="I232" s="277"/>
      <c r="J232" s="277"/>
      <c r="K232" s="277"/>
      <c r="L232" s="277"/>
      <c r="M232" s="277"/>
      <c r="N232" s="277"/>
      <c r="O232" s="277"/>
      <c r="P232" s="277"/>
      <c r="Q232" s="277"/>
      <c r="R232" s="277"/>
      <c r="S232" s="277"/>
      <c r="T232" s="277"/>
      <c r="U232" s="277"/>
      <c r="V232" s="277"/>
      <c r="W232" s="277"/>
      <c r="X232" s="277"/>
      <c r="Y232" s="277"/>
      <c r="Z232" s="277"/>
      <c r="AA232" s="277"/>
      <c r="AB232" s="277"/>
      <c r="AC232" s="277"/>
      <c r="AD232" s="277"/>
      <c r="AE232" s="277"/>
      <c r="AF232" s="277"/>
      <c r="AG232" s="287"/>
      <c r="AH232" s="287"/>
      <c r="AI232" s="287"/>
      <c r="AJ232" s="287"/>
      <c r="AK232" s="287"/>
      <c r="AL232" s="287"/>
      <c r="AM232" s="287"/>
      <c r="AN232" s="287"/>
      <c r="AO232" s="287"/>
      <c r="AP232" s="287"/>
      <c r="AQ232" s="287"/>
      <c r="AR232" s="277"/>
      <c r="AS232" s="277"/>
      <c r="AT232" s="277"/>
      <c r="AU232" s="277"/>
      <c r="AV232" s="289"/>
      <c r="AW232" s="277"/>
      <c r="AX232" s="277"/>
    </row>
    <row r="233" spans="3:50">
      <c r="C233" s="268">
        <v>2</v>
      </c>
      <c r="D233" s="203" t="s">
        <v>305</v>
      </c>
      <c r="E233" s="278"/>
      <c r="F233" s="277"/>
      <c r="G233" s="277"/>
      <c r="H233" s="277"/>
      <c r="I233" s="277"/>
      <c r="J233" s="277"/>
      <c r="K233" s="277"/>
      <c r="L233" s="277"/>
      <c r="M233" s="277"/>
      <c r="N233" s="277"/>
      <c r="O233" s="277"/>
      <c r="P233" s="277"/>
      <c r="Q233" s="277"/>
      <c r="R233" s="277"/>
      <c r="S233" s="277"/>
      <c r="T233" s="277"/>
      <c r="U233" s="277"/>
      <c r="V233" s="277"/>
      <c r="W233" s="277"/>
      <c r="X233" s="277"/>
      <c r="Y233" s="277"/>
      <c r="Z233" s="277"/>
      <c r="AA233" s="277"/>
      <c r="AB233" s="277"/>
      <c r="AC233" s="277"/>
      <c r="AD233" s="277"/>
      <c r="AE233" s="277"/>
      <c r="AF233" s="277"/>
      <c r="AG233" s="287"/>
      <c r="AH233" s="287"/>
      <c r="AI233" s="287"/>
      <c r="AJ233" s="287"/>
      <c r="AK233" s="287"/>
      <c r="AL233" s="287"/>
      <c r="AM233" s="287"/>
      <c r="AN233" s="287"/>
      <c r="AO233" s="287"/>
      <c r="AP233" s="287"/>
      <c r="AQ233" s="287"/>
      <c r="AR233" s="277"/>
      <c r="AS233" s="277"/>
      <c r="AT233" s="277"/>
      <c r="AU233" s="277"/>
      <c r="AV233" s="289"/>
      <c r="AW233" s="277"/>
      <c r="AX233" s="277"/>
    </row>
    <row r="234" spans="3:50">
      <c r="C234" s="268">
        <v>3</v>
      </c>
      <c r="D234" s="203" t="s">
        <v>306</v>
      </c>
      <c r="E234" s="278"/>
      <c r="F234" s="277"/>
      <c r="G234" s="279"/>
      <c r="H234" s="279"/>
      <c r="I234" s="277"/>
      <c r="J234" s="277"/>
      <c r="K234" s="277"/>
      <c r="L234" s="277"/>
      <c r="M234" s="277"/>
      <c r="N234" s="277"/>
      <c r="O234" s="277"/>
      <c r="P234" s="277"/>
      <c r="Q234" s="277"/>
      <c r="R234" s="277"/>
      <c r="S234" s="277"/>
      <c r="T234" s="277"/>
      <c r="U234" s="277"/>
      <c r="V234" s="277"/>
      <c r="W234" s="277"/>
      <c r="X234" s="277"/>
      <c r="Y234" s="277"/>
      <c r="Z234" s="277"/>
      <c r="AA234" s="277"/>
      <c r="AB234" s="277"/>
      <c r="AC234" s="277"/>
      <c r="AD234" s="277"/>
      <c r="AE234" s="277"/>
      <c r="AF234" s="277"/>
      <c r="AG234" s="287"/>
      <c r="AH234" s="287"/>
      <c r="AI234" s="287"/>
      <c r="AJ234" s="287"/>
      <c r="AK234" s="287"/>
      <c r="AL234" s="287"/>
      <c r="AM234" s="287"/>
      <c r="AN234" s="287"/>
      <c r="AO234" s="287"/>
      <c r="AP234" s="287"/>
      <c r="AQ234" s="287"/>
      <c r="AR234" s="277"/>
      <c r="AS234" s="277"/>
      <c r="AT234" s="277"/>
      <c r="AU234" s="277"/>
      <c r="AV234" s="289"/>
      <c r="AW234" s="277"/>
      <c r="AX234" s="277"/>
    </row>
    <row r="235" ht="15.5" customHeight="1" spans="3:50">
      <c r="C235" s="268">
        <v>4</v>
      </c>
      <c r="D235" s="269" t="s">
        <v>307</v>
      </c>
      <c r="E235" s="278"/>
      <c r="F235" s="277"/>
      <c r="G235" s="279"/>
      <c r="H235" s="279"/>
      <c r="I235" s="277"/>
      <c r="J235" s="277"/>
      <c r="K235" s="277"/>
      <c r="L235" s="277"/>
      <c r="M235" s="277"/>
      <c r="N235" s="277"/>
      <c r="O235" s="277"/>
      <c r="P235" s="277"/>
      <c r="Q235" s="277"/>
      <c r="R235" s="277"/>
      <c r="S235" s="277"/>
      <c r="T235" s="283"/>
      <c r="U235" s="283"/>
      <c r="V235" s="283"/>
      <c r="W235" s="277"/>
      <c r="X235" s="277"/>
      <c r="Y235" s="277"/>
      <c r="Z235" s="277"/>
      <c r="AA235" s="277"/>
      <c r="AB235" s="277"/>
      <c r="AC235" s="277"/>
      <c r="AD235" s="277"/>
      <c r="AE235" s="277"/>
      <c r="AF235" s="277"/>
      <c r="AG235" s="287"/>
      <c r="AH235" s="287"/>
      <c r="AI235" s="287"/>
      <c r="AJ235" s="287"/>
      <c r="AK235" s="287"/>
      <c r="AL235" s="287"/>
      <c r="AM235" s="287"/>
      <c r="AN235" s="287"/>
      <c r="AO235" s="287"/>
      <c r="AP235" s="287"/>
      <c r="AQ235" s="287"/>
      <c r="AR235" s="277"/>
      <c r="AS235" s="277"/>
      <c r="AT235" s="277"/>
      <c r="AU235" s="277"/>
      <c r="AV235" s="289"/>
      <c r="AW235" s="277"/>
      <c r="AX235" s="277"/>
    </row>
    <row r="236" spans="3:50">
      <c r="C236" s="268">
        <v>5</v>
      </c>
      <c r="D236" s="203" t="s">
        <v>308</v>
      </c>
      <c r="E236" s="278"/>
      <c r="F236" s="277"/>
      <c r="G236" s="277"/>
      <c r="H236" s="277"/>
      <c r="I236" s="277"/>
      <c r="J236" s="277"/>
      <c r="K236" s="277"/>
      <c r="L236" s="277"/>
      <c r="M236" s="277"/>
      <c r="N236" s="277"/>
      <c r="O236" s="277"/>
      <c r="P236" s="277"/>
      <c r="Q236" s="277"/>
      <c r="R236" s="277"/>
      <c r="S236" s="277"/>
      <c r="T236" s="277"/>
      <c r="U236" s="277"/>
      <c r="V236" s="277"/>
      <c r="W236" s="277"/>
      <c r="X236" s="277"/>
      <c r="Y236" s="277"/>
      <c r="Z236" s="277"/>
      <c r="AA236" s="277"/>
      <c r="AB236" s="277"/>
      <c r="AC236" s="277"/>
      <c r="AD236" s="277"/>
      <c r="AE236" s="277"/>
      <c r="AF236" s="277"/>
      <c r="AG236" s="287"/>
      <c r="AH236" s="287"/>
      <c r="AI236" s="287"/>
      <c r="AJ236" s="287"/>
      <c r="AK236" s="287"/>
      <c r="AL236" s="287"/>
      <c r="AM236" s="287"/>
      <c r="AN236" s="287"/>
      <c r="AO236" s="287"/>
      <c r="AP236" s="287"/>
      <c r="AQ236" s="287"/>
      <c r="AR236" s="277"/>
      <c r="AS236" s="277"/>
      <c r="AT236" s="277"/>
      <c r="AU236" s="277"/>
      <c r="AV236" s="289"/>
      <c r="AW236" s="277"/>
      <c r="AX236" s="277"/>
    </row>
    <row r="239" s="146" customFormat="1" spans="5:50">
      <c r="E239" s="146">
        <v>1</v>
      </c>
      <c r="F239" s="146">
        <v>2</v>
      </c>
      <c r="G239" s="146">
        <v>3</v>
      </c>
      <c r="H239" s="146">
        <v>4</v>
      </c>
      <c r="I239" s="146">
        <v>5</v>
      </c>
      <c r="J239" s="146">
        <v>6</v>
      </c>
      <c r="K239" s="146">
        <v>7</v>
      </c>
      <c r="L239" s="146">
        <v>8</v>
      </c>
      <c r="M239" s="146">
        <v>9</v>
      </c>
      <c r="N239" s="146">
        <v>10</v>
      </c>
      <c r="O239" s="146">
        <v>11</v>
      </c>
      <c r="P239" s="146">
        <v>12</v>
      </c>
      <c r="Q239" s="146">
        <v>13</v>
      </c>
      <c r="R239" s="146">
        <v>14</v>
      </c>
      <c r="S239" s="146">
        <v>15</v>
      </c>
      <c r="T239" s="146">
        <v>16</v>
      </c>
      <c r="U239" s="146">
        <v>17</v>
      </c>
      <c r="V239" s="146">
        <v>18</v>
      </c>
      <c r="W239" s="146">
        <v>19</v>
      </c>
      <c r="X239" s="146">
        <v>20</v>
      </c>
      <c r="Y239" s="146">
        <v>21</v>
      </c>
      <c r="Z239" s="146">
        <v>22</v>
      </c>
      <c r="AA239" s="146">
        <v>23</v>
      </c>
      <c r="AB239" s="146">
        <v>24</v>
      </c>
      <c r="AC239" s="146">
        <v>25</v>
      </c>
      <c r="AD239" s="146">
        <v>26</v>
      </c>
      <c r="AE239" s="146">
        <v>27</v>
      </c>
      <c r="AF239" s="146">
        <v>28</v>
      </c>
      <c r="AG239" s="146">
        <v>29</v>
      </c>
      <c r="AH239" s="146">
        <v>30</v>
      </c>
      <c r="AI239" s="146">
        <v>31</v>
      </c>
      <c r="AJ239" s="146">
        <v>32</v>
      </c>
      <c r="AK239" s="146">
        <v>33</v>
      </c>
      <c r="AL239" s="146">
        <v>34</v>
      </c>
      <c r="AM239" s="146">
        <v>35</v>
      </c>
      <c r="AN239" s="146">
        <v>36</v>
      </c>
      <c r="AO239" s="146">
        <v>37</v>
      </c>
      <c r="AP239" s="146">
        <v>38</v>
      </c>
      <c r="AQ239" s="146">
        <v>39</v>
      </c>
      <c r="AR239" s="146">
        <v>40</v>
      </c>
      <c r="AS239" s="146">
        <v>41</v>
      </c>
      <c r="AT239" s="146">
        <v>42</v>
      </c>
      <c r="AU239" s="146">
        <v>43</v>
      </c>
      <c r="AV239" s="146">
        <v>44</v>
      </c>
      <c r="AW239" s="146">
        <v>45</v>
      </c>
      <c r="AX239" s="146">
        <v>46</v>
      </c>
    </row>
  </sheetData>
  <protectedRanges>
    <protectedRange sqref="E107:F110 E119:F120 E124:F127 E138:F143 E147:F147 E133:F135 E129:F131 E153:F155 E149:F151 E158:F163 E165:F165 E167:F168 I133:AT133 I129:AT129 I160:AT160 I153:AT153 I149:AT149 E115:F117 E112:F113 I159:AT159 E166:G166 I166:AT166 E164:G164 I164:AT164 H107:H110 H119:H120 H124:H127 H138:H143 H147 H133:H135 H129:H131 H153:H155 H149:H151 H158:H168 H115:H117 H112:H113" name="区域9_1"/>
    <protectedRange sqref="E93:F97 E169:F169 E35:F39 E41:F47 E100:F103 H93:H97 H169 H35:H39 H41:H47 H100:H103" name="区域7_1"/>
    <protectedRange sqref="E89:F90 H89:H90" name="区域6_1"/>
    <protectedRange sqref="E54:F55 E68:F69 H54:H55 H68:H69" name="区域5_1"/>
    <protectedRange sqref="E62:F66 E70:F72 E76:F77 E49:F49 AW49:AX49 E51:F52 I49:AU49 E50:G50 I50:AT50 H62:H66 H70:H72 H76:H77 H49:H52" name="区域4_1"/>
    <protectedRange sqref="E11:F13 H11:H13" name="区域1_1"/>
    <protectedRange sqref="E15:F23 AW24:AX24 AW34:AX34 AW40:AX40 E26:F26 AL24:AU24 AL25:AT25 E28:F33 E40:G40 I40:AU40 E34:G34 I34:AU34 E27:G27 I27:AU27 E24:G25 I24:AK25 H15:H34 H40" name="区域2_1"/>
    <protectedRange sqref="E173:F174 E176:F180 E183:F186 E188:F191 E193:F193 E195:F196 E194:G194 I194:AT194 H173:H174 H176:H180 H183:H186 H188:H191 H193:H196" name="区域11_1"/>
    <protectedRange sqref="E198:F199 E222:F222 E201:F213 E224:F225 E228:F229 I207:AT213 I202:J202 L202:M202 O202:P202 R202:S202 U202 I203:W206 Y202:Z202 AB202:AC202 Y203:AE206 AG203:AG206 AI204 AI205:AJ206 AL202:AM202 AL203:AO203 AL204:AP206 AR203:AT206 AR202:AS202 E227:G227 I227:AT227 E223:G223 I223:AT223 E200:G200 I200:AT200 H198:H213 H222:H225 H227:H229" name="区域13_1"/>
    <protectedRange sqref="I18:J18 L18:M18 O18:P18 R18:S18 U18 W18:Z18 AB18:AC18 I29:J30 L29:M30 O29:P30 R29:S30 U29:U30 W29:Z30 AB29:AC30 I35:J35 L35:M35 O35:P35 R35:S35 U35 W35:Z35 AB35:AC35 I42:J42 L42:M42 O42:P42 R42:S42 U42 W42:Z42 AB42:AC42 I51:J51 L51:M51 O51:P51 R51:S51 U51 W51:Z51 AB51:AC51 AZ54:BM54 I54:J54 L54:M54 O54:P54 R54:S54 U54 W54:Z54 AB54:AC54 I62:J62 L62:M62 O62:P62 R62:S62 U62 W62:Z62 AB62:AC62 I68:J68 L68:M68 O68:P68 R68:S68 U68 W68:Z68 AB68:AC68 I184:J184 L184:M184 O184:P184 R184:S184 U184 W184:Z184 AB184:AC184 X55 AF55 AH55 AJ69:AK69 AQ55 X69 AF69 AH69 AJ124:AK124 AQ69 X124 AF124 AH124 AQ124 I188:J189 L188:M189 O188:P189 R188:S189 U188:U189 W188:Z189 AB188:AC189 AJ55:AK55 I26:AT26 AE18:AS18 I28:AT28 AE29:AS30 I31:AT33 AE35:AS35 AE42:AS42 AE51:AS51 AE54:AS54 AE62:AS62 AE68:AS68 AE184:AS184 I44:AJ44 I47:AT47 I64:AJ64 AE188:AS189 I19:AT23 I36:AT36 AL44:AT44 I57:AT57 AL64:AT64 I70:AT70 I74:AT74 AG80:AK80 AD80:AE80 AA80 V80:X80 T80 X81 AH81 AJ81:AK81 AN80:AQ80 AQ81 AT80 AG83:AK83 AD83:AE83 AA83 V83:X83 T83 AJ84:AK84 AN83:AQ83 AT83 X84:X85 AF83:AF85 AF80:AF81 AH84:AH85 AK85 AQ84:AQ85 I107:AT107 AK112 AK115 I125:AT125 I138:AT138 I185:AT185" name="区域14_1"/>
    <protectedRange sqref="I55:W55 Y55:AE55 AG55 AI69 AL55:AP55 AR55:AT55 I69:W69 Y69:AE69 AG69 AI124 AL69:AP69 AR69:AT69 I124:W124 Y124:AE124 AG124 AR124:AT124 AL124:AP124 AI55" name="区域21_1"/>
    <protectedRange sqref="I89:X90" name="区域22_1"/>
    <protectedRange sqref="Y89:AA90" name="区域24_1"/>
    <protectedRange sqref="AB89:AF90" name="区域26_1"/>
    <protectedRange sqref="AG89:AQ90" name="区域27_1"/>
    <protectedRange sqref="AR89:AT90" name="区域28_1"/>
    <protectedRange sqref="I37:X37" name="区域29_1"/>
    <protectedRange sqref="Y37:AA37" name="区域31_1"/>
    <protectedRange sqref="AB37:AF37" name="区域33_1"/>
    <protectedRange sqref="AG37:AQ37" name="区域34_1"/>
    <protectedRange sqref="AR37:AT37" name="区域35_1"/>
    <protectedRange sqref="I190:AH190 AQ190:AT190 AJ190:AO190 I93:AT97 I39:AT39 I41:AT41 I100:AT103 I169:AT169 I43:AT43 I45:AT46 I52:AT52 I63:AT63 AK44 AK64" name="区域36_1"/>
    <protectedRange sqref="I108:AT110 I119:AT120 I130:AT131 I139:AT143 I134:AT135 I147:AT147 I158:AT158 I150:AT151 I154:AT155 I161:AT163 I165:AT165 I167:AT168 I126:AT127 I113:AT113 I116:AT117 I112:AJ112 AL112:AT112 I115:AJ115 AL115:AT115" name="区域40_1"/>
    <protectedRange sqref="I183 AP190 L183 O183 R183 Y183 AB183 AL183 AR183 I191:AT191 I173:AT174 I176:AT180 I193:AT193 I195:AT196 I186:AT186 AI190" name="区域42_1"/>
    <protectedRange sqref="E216:F221 H216:H221" name="区域13_5_1"/>
    <protectedRange sqref="I216:AT221 AW222 AW224:AW225" name="区域43_5_1"/>
  </protectedRanges>
  <mergeCells count="34">
    <mergeCell ref="C1:AX1"/>
    <mergeCell ref="I5:AT5"/>
    <mergeCell ref="A17:A20"/>
    <mergeCell ref="E5:E9"/>
    <mergeCell ref="F5:F9"/>
    <mergeCell ref="G5:G9"/>
    <mergeCell ref="H5:H9"/>
    <mergeCell ref="U6:U7"/>
    <mergeCell ref="V6:V7"/>
    <mergeCell ref="W6:W7"/>
    <mergeCell ref="X6:X7"/>
    <mergeCell ref="AE6:AE7"/>
    <mergeCell ref="AF6:AF7"/>
    <mergeCell ref="AG6:AG7"/>
    <mergeCell ref="AH6:AH7"/>
    <mergeCell ref="AI6:AI7"/>
    <mergeCell ref="AJ6:AJ7"/>
    <mergeCell ref="AK6:AK7"/>
    <mergeCell ref="AO6:AO7"/>
    <mergeCell ref="AP6:AP7"/>
    <mergeCell ref="AQ6:AQ7"/>
    <mergeCell ref="AU5:AU9"/>
    <mergeCell ref="AV5:AV9"/>
    <mergeCell ref="AW5:AW9"/>
    <mergeCell ref="AX5:AX9"/>
    <mergeCell ref="I6:K7"/>
    <mergeCell ref="L6:N7"/>
    <mergeCell ref="O6:Q7"/>
    <mergeCell ref="R6:T7"/>
    <mergeCell ref="AL6:AN7"/>
    <mergeCell ref="AR6:AT7"/>
    <mergeCell ref="C4:D9"/>
    <mergeCell ref="Y6:AA7"/>
    <mergeCell ref="AB6:AD7"/>
  </mergeCells>
  <dataValidations count="3">
    <dataValidation type="decimal" operator="between" allowBlank="1" showInputMessage="1" showErrorMessage="1" sqref="G10 AW10 AW11 G14 AW14 AW15 G26 G27 G34 G40 G53 G54 AY54:BN54 G55 G56 G67 G73 G79 G82 G88 G123 G128 G132 G142 G143 F144:AU144 AW144 G145 G152 G162 G163 G164 G165 G166 G169 J183:K183 M183:N183 P183:Q183 S183:X183 Z183:AA183 AC183:AK183 AM183:AQ183 AS183:AT183 I188:AT188 AI189 AP189 AW223 G226 AU226 E231 E10:E163 E164:E168 F10:F143 F145:F163 F164:F168 F231:F236 G11:G13 G15:G23 G24:G25 G28:G33 G35:G39 G41:G47 G48:G50 G51:G52 G57:G59 G60:G61 G62:G66 G68:G72 G74:G78 G80:G81 G83:G87 G89:G90 G91:G92 G93:G97 G98:G99 G100:G103 G104:G106 G107:G108 G109:G118 G119:G120 G121:G122 G124:G127 G129:G131 G133:G135 G136:G137 G138:G141 G146:G148 G149:G151 G153:G155 G156:G159 G160:G161 G167:G168 G171:G174 G176:G180 G183:G186 G188:G191 G192:G193 G195:G196 G198:G199 G201:G213 G214:G215 G216:G220 G221:G222 G224:G225 G231:G236 H10:H143 H145:H163 H164:H168 H231:H236 AU56:AU143 AU145:AU163 AU164:AU225 AU227:AU230 AV57:AV59 AV62:AV72 AV74:AV78 AV80:AV81 AV83:AV87 AV89:AV90 AV93:AV97 AV100:AV163 AV164:AV168 AW12:AW13 AW16:AW23 AW24:AW143 AW145:AW163 AW164:AW221 AW227:AW230 I164:AT165 I184:AT185 I189:AH190 AQ189:AT190 I10:AT143 AU10:AV55 AJ189:AO190 I166:AT168 I231:AW236 I145:AT163">
      <formula1>-9999999999</formula1>
      <formula2>9999999999</formula2>
    </dataValidation>
    <dataValidation type="decimal" operator="between" allowBlank="1" showInputMessage="1" showErrorMessage="1" sqref="AX1:AX3 AX5:AX142 AX143:AX144 AX145:AX163 AX164:AX238 AX240:AX1048576">
      <formula1>-9999999999</formula1>
      <formula2>99999999999</formula2>
    </dataValidation>
    <dataValidation type="decimal" operator="greaterThanOrEqual" allowBlank="1" showInputMessage="1" showErrorMessage="1" sqref="F169 H169 I169:AT169 F170 G170 H170 I170:AT170 F175 G175 H175 I175:AT175 G181 I181:AT181 G182 J182:K182 M182:N182 P182:Q182 S182:X182 Z182:AA182 AC182:AK182 AM182:AQ182 AS182:AT182 I186:AT186 F187 G187 H187 I187:AT187 AI190 AP190 I191:AT191 I192:AT192 I193:AT193 F194 G194 H194 I194:AT194 F197 G197 H197 I197:AT197 F200 G200 H200 I200:AT200 I201:AT201 I214:AQ214 F215 H215 I215:AT215 AW222 F223 G223 H223 I223:AT223 E226 F226 H226 I226:AT226 AV226 AW226 E169:E225 E227:E230 E232:E236 F171:F174 F176:F180 F181:F182 F183:F186 F188:F193 F195:F196 F198:F199 F201:F214 F216:F222 F224:F225 F227:F230 G227:G230 H171:H174 H176:H180 H181:H182 H183:H186 H188:H193 H195:H196 H198:H199 H201:H214 H216:H222 H224:H225 H227:H230 I182:I183 L182:L183 O182:O183 R182:R183 Y182:Y183 AB182:AB183 AL182:AL183 AR182:AR183 AV169:AV225 AV227:AV230 AW224:AW225 I198:AT199 I224:AT225 I216:AT222 I195:AT196 I171:AT174 I227:AT230 I176:AT180 I202:AQ213 AR202:AT214">
      <formula1>0</formula1>
    </dataValidation>
  </dataValidations>
  <pageMargins left="0.699305555555556" right="0.699305555555556"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L236"/>
  <sheetViews>
    <sheetView tabSelected="1" workbookViewId="0">
      <pane xSplit="2" ySplit="8" topLeftCell="C224" activePane="bottomRight" state="frozen"/>
      <selection/>
      <selection pane="topRight"/>
      <selection pane="bottomLeft"/>
      <selection pane="bottomRight" activeCell="B239" sqref="B239"/>
    </sheetView>
  </sheetViews>
  <sheetFormatPr defaultColWidth="9" defaultRowHeight="13.5"/>
  <cols>
    <col min="1" max="1" width="6.5" style="3" customWidth="1"/>
    <col min="2" max="2" width="72" style="4" customWidth="1"/>
    <col min="3" max="4" width="8.83333333333333" style="3" customWidth="1"/>
    <col min="5" max="6" width="10.1666666666667" style="3" customWidth="1"/>
    <col min="7" max="7" width="9" style="3" customWidth="1"/>
    <col min="8" max="8" width="11.8333333333333" style="3" customWidth="1"/>
    <col min="9" max="9" width="10.1666666666667" style="3" customWidth="1"/>
    <col min="10" max="15" width="9" style="3" customWidth="1"/>
    <col min="16" max="17" width="12" style="3" customWidth="1"/>
    <col min="18" max="18" width="10" style="3" customWidth="1"/>
    <col min="19" max="19" width="17.5" style="3" customWidth="1"/>
    <col min="20" max="20" width="15.8333333333333" style="3" customWidth="1"/>
    <col min="21" max="21" width="17.5" style="3" customWidth="1"/>
    <col min="22" max="22" width="15.8333333333333" style="3" customWidth="1"/>
    <col min="23" max="23" width="11.1666666666667" style="3" customWidth="1"/>
    <col min="24" max="24" width="9.83333333333333" style="3" customWidth="1"/>
    <col min="25" max="25" width="11" style="3" customWidth="1"/>
    <col min="26" max="26" width="11.3333333333333" style="3" customWidth="1"/>
    <col min="27" max="27" width="10.5" style="3" customWidth="1"/>
    <col min="28" max="28" width="10" style="3" customWidth="1"/>
    <col min="29" max="29" width="14.6666666666667" style="3" customWidth="1"/>
    <col min="30" max="30" width="15.8333333333333" style="3" customWidth="1"/>
    <col min="31" max="31" width="16.1666666666667" style="3" customWidth="1"/>
    <col min="32" max="32" width="14.6666666666667" style="3" customWidth="1"/>
    <col min="33" max="34" width="11.6666666666667" style="3" customWidth="1"/>
    <col min="35" max="35" width="11.1666666666667" style="3" customWidth="1"/>
    <col min="36" max="37" width="12.8333333333333" style="3" customWidth="1"/>
    <col min="38" max="38" width="12" style="3" customWidth="1"/>
    <col min="39" max="39" width="13.8333333333333" style="3" customWidth="1"/>
    <col min="40" max="40" width="14.5" style="3" customWidth="1"/>
    <col min="41" max="41" width="13.1666666666667" style="3" customWidth="1"/>
    <col min="42" max="42" width="11.1666666666667" style="3" customWidth="1"/>
    <col min="43" max="43" width="10.8333333333333" style="3" customWidth="1"/>
    <col min="44" max="44" width="11.5" style="3" customWidth="1"/>
    <col min="45" max="47" width="9" style="3" customWidth="1"/>
    <col min="48" max="16384" width="9" style="3"/>
  </cols>
  <sheetData>
    <row r="1" ht="39" customHeight="1" spans="1:48">
      <c r="A1" s="5" t="s">
        <v>309</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row>
    <row r="2" ht="20" customHeight="1" spans="1:48">
      <c r="A2" s="6" t="s">
        <v>1</v>
      </c>
      <c r="B2" s="6"/>
      <c r="C2" s="7"/>
      <c r="D2" s="7"/>
      <c r="E2" s="7"/>
      <c r="F2" s="7"/>
      <c r="G2" s="37"/>
      <c r="H2" s="37"/>
      <c r="I2" s="37"/>
      <c r="J2" s="7"/>
      <c r="K2" s="7"/>
      <c r="L2" s="7"/>
      <c r="M2" s="7"/>
      <c r="N2" s="7"/>
      <c r="O2" s="7"/>
      <c r="P2" s="7"/>
      <c r="Q2" s="7"/>
      <c r="R2" s="7"/>
      <c r="S2" s="7"/>
      <c r="T2" s="7"/>
      <c r="U2" s="7"/>
      <c r="V2" s="7"/>
      <c r="W2" s="7"/>
      <c r="X2" s="7"/>
      <c r="Y2" s="7"/>
      <c r="Z2" s="7"/>
      <c r="AA2" s="7"/>
      <c r="AB2" s="7"/>
      <c r="AC2" s="7"/>
      <c r="AD2" s="7"/>
      <c r="AE2" s="64"/>
      <c r="AF2" s="64"/>
      <c r="AG2" s="64"/>
      <c r="AH2" s="64"/>
      <c r="AI2" s="64"/>
      <c r="AJ2" s="64"/>
      <c r="AK2" s="64"/>
      <c r="AL2" s="64"/>
      <c r="AM2" s="64"/>
      <c r="AN2" s="64"/>
      <c r="AO2" s="64"/>
      <c r="AP2" s="74" t="s">
        <v>310</v>
      </c>
      <c r="AQ2" s="74"/>
      <c r="AR2" s="74"/>
      <c r="AS2" s="7"/>
      <c r="AV2" s="7" t="s">
        <v>311</v>
      </c>
    </row>
    <row r="3" spans="1:48">
      <c r="A3" s="8" t="s">
        <v>312</v>
      </c>
      <c r="B3" s="9"/>
      <c r="C3" s="10" t="str">
        <f t="shared" ref="C3:AB3" si="0">CHAR(COLUMN(A:A)+64)</f>
        <v>A</v>
      </c>
      <c r="D3" s="10" t="str">
        <f t="shared" si="0"/>
        <v>B</v>
      </c>
      <c r="E3" s="10" t="str">
        <f t="shared" si="0"/>
        <v>C</v>
      </c>
      <c r="F3" s="10" t="str">
        <f t="shared" si="0"/>
        <v>D</v>
      </c>
      <c r="G3" s="10" t="str">
        <f t="shared" si="0"/>
        <v>E</v>
      </c>
      <c r="H3" s="10" t="str">
        <f t="shared" si="0"/>
        <v>F</v>
      </c>
      <c r="I3" s="10" t="str">
        <f t="shared" si="0"/>
        <v>G</v>
      </c>
      <c r="J3" s="10" t="str">
        <f t="shared" si="0"/>
        <v>H</v>
      </c>
      <c r="K3" s="10" t="str">
        <f t="shared" si="0"/>
        <v>I</v>
      </c>
      <c r="L3" s="10" t="str">
        <f t="shared" si="0"/>
        <v>J</v>
      </c>
      <c r="M3" s="10" t="str">
        <f t="shared" si="0"/>
        <v>K</v>
      </c>
      <c r="N3" s="10" t="str">
        <f t="shared" si="0"/>
        <v>L</v>
      </c>
      <c r="O3" s="10" t="str">
        <f t="shared" si="0"/>
        <v>M</v>
      </c>
      <c r="P3" s="10" t="str">
        <f t="shared" si="0"/>
        <v>N</v>
      </c>
      <c r="Q3" s="10" t="str">
        <f t="shared" si="0"/>
        <v>O</v>
      </c>
      <c r="R3" s="10" t="str">
        <f t="shared" si="0"/>
        <v>P</v>
      </c>
      <c r="S3" s="10" t="str">
        <f t="shared" si="0"/>
        <v>Q</v>
      </c>
      <c r="T3" s="10" t="str">
        <f t="shared" si="0"/>
        <v>R</v>
      </c>
      <c r="U3" s="10" t="str">
        <f t="shared" si="0"/>
        <v>S</v>
      </c>
      <c r="V3" s="10" t="str">
        <f t="shared" si="0"/>
        <v>T</v>
      </c>
      <c r="W3" s="10" t="str">
        <f t="shared" si="0"/>
        <v>U</v>
      </c>
      <c r="X3" s="10" t="str">
        <f t="shared" si="0"/>
        <v>V</v>
      </c>
      <c r="Y3" s="10" t="str">
        <f t="shared" si="0"/>
        <v>W</v>
      </c>
      <c r="Z3" s="10" t="str">
        <f t="shared" si="0"/>
        <v>X</v>
      </c>
      <c r="AA3" s="10" t="str">
        <f t="shared" si="0"/>
        <v>Y</v>
      </c>
      <c r="AB3" s="10" t="str">
        <f t="shared" si="0"/>
        <v>Z</v>
      </c>
      <c r="AC3" s="65" t="s">
        <v>19</v>
      </c>
      <c r="AD3" s="65" t="s">
        <v>20</v>
      </c>
      <c r="AE3" s="65" t="s">
        <v>21</v>
      </c>
      <c r="AF3" s="65" t="s">
        <v>22</v>
      </c>
      <c r="AG3" s="65" t="s">
        <v>23</v>
      </c>
      <c r="AH3" s="65" t="s">
        <v>24</v>
      </c>
      <c r="AI3" s="65" t="s">
        <v>25</v>
      </c>
      <c r="AJ3" s="65" t="s">
        <v>26</v>
      </c>
      <c r="AK3" s="65" t="s">
        <v>27</v>
      </c>
      <c r="AL3" s="65" t="s">
        <v>28</v>
      </c>
      <c r="AM3" s="65" t="s">
        <v>29</v>
      </c>
      <c r="AN3" s="65" t="s">
        <v>30</v>
      </c>
      <c r="AO3" s="65" t="s">
        <v>31</v>
      </c>
      <c r="AP3" s="65" t="s">
        <v>32</v>
      </c>
      <c r="AQ3" s="65" t="s">
        <v>33</v>
      </c>
      <c r="AR3" s="65" t="s">
        <v>34</v>
      </c>
      <c r="AS3" s="65" t="s">
        <v>35</v>
      </c>
      <c r="AT3" s="65" t="s">
        <v>36</v>
      </c>
      <c r="AU3" s="65" t="s">
        <v>37</v>
      </c>
      <c r="AV3" s="75" t="s">
        <v>38</v>
      </c>
    </row>
    <row r="4" ht="28" customHeight="1" spans="1:48">
      <c r="A4" s="11"/>
      <c r="B4" s="12"/>
      <c r="C4" s="13" t="s">
        <v>39</v>
      </c>
      <c r="D4" s="13" t="s">
        <v>40</v>
      </c>
      <c r="E4" s="38" t="s">
        <v>41</v>
      </c>
      <c r="F4" s="38" t="s">
        <v>313</v>
      </c>
      <c r="G4" s="39" t="s">
        <v>314</v>
      </c>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13" t="s">
        <v>44</v>
      </c>
      <c r="AT4" s="13" t="s">
        <v>45</v>
      </c>
      <c r="AU4" s="42" t="s">
        <v>46</v>
      </c>
      <c r="AV4" s="76" t="s">
        <v>315</v>
      </c>
    </row>
    <row r="5" ht="14.5" customHeight="1" spans="1:48">
      <c r="A5" s="11"/>
      <c r="B5" s="12"/>
      <c r="C5" s="14"/>
      <c r="D5" s="14"/>
      <c r="E5" s="40"/>
      <c r="F5" s="41"/>
      <c r="G5" s="42" t="s">
        <v>48</v>
      </c>
      <c r="H5" s="43"/>
      <c r="I5" s="52"/>
      <c r="J5" s="42" t="s">
        <v>49</v>
      </c>
      <c r="K5" s="43"/>
      <c r="L5" s="52"/>
      <c r="M5" s="42" t="s">
        <v>50</v>
      </c>
      <c r="N5" s="43"/>
      <c r="O5" s="52"/>
      <c r="P5" s="54" t="s">
        <v>316</v>
      </c>
      <c r="Q5" s="56"/>
      <c r="R5" s="57"/>
      <c r="S5" s="58" t="s">
        <v>317</v>
      </c>
      <c r="T5" s="58" t="s">
        <v>318</v>
      </c>
      <c r="U5" s="13" t="s">
        <v>54</v>
      </c>
      <c r="V5" s="13" t="s">
        <v>319</v>
      </c>
      <c r="W5" s="42" t="s">
        <v>56</v>
      </c>
      <c r="X5" s="43"/>
      <c r="Y5" s="52"/>
      <c r="Z5" s="42" t="s">
        <v>57</v>
      </c>
      <c r="AA5" s="43"/>
      <c r="AB5" s="52"/>
      <c r="AC5" s="13" t="s">
        <v>320</v>
      </c>
      <c r="AD5" s="13" t="s">
        <v>321</v>
      </c>
      <c r="AE5" s="66" t="s">
        <v>322</v>
      </c>
      <c r="AF5" s="66" t="s">
        <v>323</v>
      </c>
      <c r="AG5" s="69" t="s">
        <v>324</v>
      </c>
      <c r="AH5" s="13" t="s">
        <v>62</v>
      </c>
      <c r="AI5" s="13" t="s">
        <v>63</v>
      </c>
      <c r="AJ5" s="42" t="s">
        <v>325</v>
      </c>
      <c r="AK5" s="71"/>
      <c r="AL5" s="52"/>
      <c r="AM5" s="13" t="s">
        <v>66</v>
      </c>
      <c r="AN5" s="13" t="s">
        <v>67</v>
      </c>
      <c r="AO5" s="13" t="s">
        <v>68</v>
      </c>
      <c r="AP5" s="42" t="s">
        <v>326</v>
      </c>
      <c r="AQ5" s="43"/>
      <c r="AR5" s="52"/>
      <c r="AS5" s="14"/>
      <c r="AT5" s="14"/>
      <c r="AU5" s="77"/>
      <c r="AV5" s="76"/>
    </row>
    <row r="6" ht="43" customHeight="1" spans="1:48">
      <c r="A6" s="11"/>
      <c r="B6" s="12"/>
      <c r="C6" s="14"/>
      <c r="D6" s="14"/>
      <c r="E6" s="40"/>
      <c r="F6" s="41"/>
      <c r="G6" s="44"/>
      <c r="H6" s="45"/>
      <c r="I6" s="53"/>
      <c r="J6" s="44"/>
      <c r="K6" s="45"/>
      <c r="L6" s="53"/>
      <c r="M6" s="44"/>
      <c r="N6" s="45"/>
      <c r="O6" s="53"/>
      <c r="P6" s="55"/>
      <c r="Q6" s="59"/>
      <c r="R6" s="60"/>
      <c r="S6" s="61"/>
      <c r="T6" s="61"/>
      <c r="U6" s="17"/>
      <c r="V6" s="17"/>
      <c r="W6" s="44"/>
      <c r="X6" s="45"/>
      <c r="Y6" s="53"/>
      <c r="Z6" s="44"/>
      <c r="AA6" s="45"/>
      <c r="AB6" s="53"/>
      <c r="AC6" s="17"/>
      <c r="AD6" s="17"/>
      <c r="AE6" s="66"/>
      <c r="AF6" s="66"/>
      <c r="AG6" s="70"/>
      <c r="AH6" s="17"/>
      <c r="AI6" s="17"/>
      <c r="AJ6" s="44"/>
      <c r="AK6" s="72"/>
      <c r="AL6" s="53"/>
      <c r="AM6" s="17"/>
      <c r="AN6" s="17"/>
      <c r="AO6" s="17"/>
      <c r="AP6" s="44"/>
      <c r="AQ6" s="45"/>
      <c r="AR6" s="53"/>
      <c r="AS6" s="14"/>
      <c r="AT6" s="14"/>
      <c r="AU6" s="77"/>
      <c r="AV6" s="76"/>
    </row>
    <row r="7" spans="1:48">
      <c r="A7" s="11"/>
      <c r="B7" s="12"/>
      <c r="C7" s="14"/>
      <c r="D7" s="14"/>
      <c r="E7" s="46"/>
      <c r="F7" s="41"/>
      <c r="G7" s="47">
        <v>0</v>
      </c>
      <c r="H7" s="47">
        <v>0.1</v>
      </c>
      <c r="I7" s="47">
        <v>0.2</v>
      </c>
      <c r="J7" s="47">
        <v>0</v>
      </c>
      <c r="K7" s="47">
        <v>0.1</v>
      </c>
      <c r="L7" s="47">
        <v>0.2</v>
      </c>
      <c r="M7" s="47">
        <v>0</v>
      </c>
      <c r="N7" s="47">
        <v>0.1</v>
      </c>
      <c r="O7" s="47">
        <v>0.2</v>
      </c>
      <c r="P7" s="47">
        <v>0</v>
      </c>
      <c r="Q7" s="62">
        <v>0.1</v>
      </c>
      <c r="R7" s="47">
        <v>0.2</v>
      </c>
      <c r="S7" s="47">
        <v>0.2</v>
      </c>
      <c r="T7" s="47">
        <v>0.2</v>
      </c>
      <c r="U7" s="47">
        <v>0.2</v>
      </c>
      <c r="V7" s="47">
        <v>0.5</v>
      </c>
      <c r="W7" s="47">
        <v>0</v>
      </c>
      <c r="X7" s="47">
        <v>0.1</v>
      </c>
      <c r="Y7" s="47">
        <v>0.2</v>
      </c>
      <c r="Z7" s="47">
        <v>0</v>
      </c>
      <c r="AA7" s="47">
        <v>0.1</v>
      </c>
      <c r="AB7" s="47">
        <v>0.2</v>
      </c>
      <c r="AC7" s="47">
        <v>0.2</v>
      </c>
      <c r="AD7" s="47">
        <v>0.5</v>
      </c>
      <c r="AE7" s="47">
        <v>0.2</v>
      </c>
      <c r="AF7" s="47">
        <v>0.5</v>
      </c>
      <c r="AG7" s="47">
        <v>0.2</v>
      </c>
      <c r="AH7" s="47">
        <v>0.3</v>
      </c>
      <c r="AI7" s="47">
        <v>0.4</v>
      </c>
      <c r="AJ7" s="47">
        <v>0</v>
      </c>
      <c r="AK7" s="62">
        <v>0.1</v>
      </c>
      <c r="AL7" s="47">
        <v>0.2</v>
      </c>
      <c r="AM7" s="47">
        <v>0.2</v>
      </c>
      <c r="AN7" s="47">
        <v>0.3</v>
      </c>
      <c r="AO7" s="47">
        <v>0.5</v>
      </c>
      <c r="AP7" s="47">
        <v>0</v>
      </c>
      <c r="AQ7" s="47">
        <v>0.1</v>
      </c>
      <c r="AR7" s="47">
        <v>0.2</v>
      </c>
      <c r="AS7" s="14"/>
      <c r="AT7" s="14"/>
      <c r="AU7" s="77"/>
      <c r="AV7" s="76"/>
    </row>
    <row r="8" spans="1:48">
      <c r="A8" s="15"/>
      <c r="B8" s="16"/>
      <c r="C8" s="17"/>
      <c r="D8" s="18"/>
      <c r="E8" s="48"/>
      <c r="F8" s="49"/>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17"/>
      <c r="AT8" s="17"/>
      <c r="AU8" s="44"/>
      <c r="AV8" s="78"/>
    </row>
    <row r="9" ht="20.5" customHeight="1" spans="1:48">
      <c r="A9" s="19">
        <v>1</v>
      </c>
      <c r="B9" s="20" t="s">
        <v>71</v>
      </c>
      <c r="C9" s="21">
        <f t="shared" ref="C9:AS9" si="1">C10+C11+C12</f>
        <v>0</v>
      </c>
      <c r="D9" s="21">
        <f t="shared" si="1"/>
        <v>0</v>
      </c>
      <c r="E9" s="21">
        <f t="shared" si="1"/>
        <v>0</v>
      </c>
      <c r="F9" s="21">
        <f t="shared" si="1"/>
        <v>0</v>
      </c>
      <c r="G9" s="21">
        <f t="shared" si="1"/>
        <v>0</v>
      </c>
      <c r="H9" s="21">
        <f t="shared" si="1"/>
        <v>0</v>
      </c>
      <c r="I9" s="21">
        <f t="shared" si="1"/>
        <v>0</v>
      </c>
      <c r="J9" s="21">
        <f t="shared" si="1"/>
        <v>0</v>
      </c>
      <c r="K9" s="21">
        <f t="shared" si="1"/>
        <v>0</v>
      </c>
      <c r="L9" s="21">
        <f t="shared" si="1"/>
        <v>0</v>
      </c>
      <c r="M9" s="21">
        <f t="shared" si="1"/>
        <v>0</v>
      </c>
      <c r="N9" s="21">
        <f t="shared" si="1"/>
        <v>0</v>
      </c>
      <c r="O9" s="21">
        <f t="shared" si="1"/>
        <v>0</v>
      </c>
      <c r="P9" s="21">
        <f t="shared" si="1"/>
        <v>0</v>
      </c>
      <c r="Q9" s="21">
        <f t="shared" si="1"/>
        <v>0</v>
      </c>
      <c r="R9" s="21">
        <f t="shared" si="1"/>
        <v>0</v>
      </c>
      <c r="S9" s="21">
        <f t="shared" si="1"/>
        <v>0</v>
      </c>
      <c r="T9" s="21">
        <f t="shared" si="1"/>
        <v>0</v>
      </c>
      <c r="U9" s="21">
        <f t="shared" si="1"/>
        <v>0</v>
      </c>
      <c r="V9" s="21">
        <f t="shared" si="1"/>
        <v>0</v>
      </c>
      <c r="W9" s="21">
        <f t="shared" si="1"/>
        <v>0</v>
      </c>
      <c r="X9" s="21">
        <f t="shared" si="1"/>
        <v>0</v>
      </c>
      <c r="Y9" s="21">
        <f t="shared" si="1"/>
        <v>0</v>
      </c>
      <c r="Z9" s="21">
        <f t="shared" si="1"/>
        <v>0</v>
      </c>
      <c r="AA9" s="21">
        <f t="shared" si="1"/>
        <v>0</v>
      </c>
      <c r="AB9" s="21">
        <f t="shared" si="1"/>
        <v>0</v>
      </c>
      <c r="AC9" s="21">
        <f t="shared" si="1"/>
        <v>0</v>
      </c>
      <c r="AD9" s="21">
        <f t="shared" si="1"/>
        <v>0</v>
      </c>
      <c r="AE9" s="21">
        <f t="shared" si="1"/>
        <v>0</v>
      </c>
      <c r="AF9" s="21">
        <f t="shared" si="1"/>
        <v>0</v>
      </c>
      <c r="AG9" s="21">
        <f t="shared" si="1"/>
        <v>0</v>
      </c>
      <c r="AH9" s="21">
        <f t="shared" si="1"/>
        <v>0</v>
      </c>
      <c r="AI9" s="21">
        <f t="shared" si="1"/>
        <v>0</v>
      </c>
      <c r="AJ9" s="21">
        <f t="shared" si="1"/>
        <v>0</v>
      </c>
      <c r="AK9" s="21">
        <f t="shared" si="1"/>
        <v>0</v>
      </c>
      <c r="AL9" s="21">
        <f t="shared" si="1"/>
        <v>0</v>
      </c>
      <c r="AM9" s="21">
        <f t="shared" si="1"/>
        <v>0</v>
      </c>
      <c r="AN9" s="21">
        <f t="shared" si="1"/>
        <v>0</v>
      </c>
      <c r="AO9" s="21">
        <f t="shared" si="1"/>
        <v>0</v>
      </c>
      <c r="AP9" s="21">
        <f t="shared" si="1"/>
        <v>0</v>
      </c>
      <c r="AQ9" s="21">
        <f t="shared" si="1"/>
        <v>0</v>
      </c>
      <c r="AR9" s="21">
        <f t="shared" si="1"/>
        <v>0</v>
      </c>
      <c r="AS9" s="21">
        <f t="shared" si="1"/>
        <v>0</v>
      </c>
      <c r="AT9" s="79"/>
      <c r="AU9" s="21">
        <f>AU10+AU11+AU12</f>
        <v>0</v>
      </c>
      <c r="AV9" s="80">
        <f>IF(E9=0,0,AU9/E9)</f>
        <v>0</v>
      </c>
    </row>
    <row r="10" ht="20.5" customHeight="1" spans="1:48">
      <c r="A10" s="19">
        <v>2</v>
      </c>
      <c r="B10" s="22" t="s">
        <v>327</v>
      </c>
      <c r="C10" s="23"/>
      <c r="D10" s="23"/>
      <c r="E10" s="21">
        <f>C10-D10</f>
        <v>0</v>
      </c>
      <c r="F10" s="23"/>
      <c r="G10" s="51"/>
      <c r="H10" s="51"/>
      <c r="I10" s="51"/>
      <c r="J10" s="51"/>
      <c r="K10" s="51"/>
      <c r="L10" s="51"/>
      <c r="M10" s="51"/>
      <c r="N10" s="51"/>
      <c r="O10" s="51"/>
      <c r="P10" s="51"/>
      <c r="Q10" s="51"/>
      <c r="R10" s="51"/>
      <c r="S10" s="51"/>
      <c r="T10" s="51"/>
      <c r="U10" s="51"/>
      <c r="V10" s="51"/>
      <c r="W10" s="51"/>
      <c r="X10" s="51"/>
      <c r="Y10" s="51"/>
      <c r="Z10" s="51"/>
      <c r="AA10" s="51"/>
      <c r="AB10" s="51"/>
      <c r="AC10" s="51"/>
      <c r="AD10" s="51"/>
      <c r="AE10" s="67"/>
      <c r="AF10" s="67"/>
      <c r="AG10" s="67"/>
      <c r="AH10" s="67"/>
      <c r="AI10" s="67"/>
      <c r="AJ10" s="67"/>
      <c r="AK10" s="67"/>
      <c r="AL10" s="67"/>
      <c r="AM10" s="67"/>
      <c r="AN10" s="67"/>
      <c r="AO10" s="67"/>
      <c r="AP10" s="51"/>
      <c r="AQ10" s="51"/>
      <c r="AR10" s="51"/>
      <c r="AS10" s="81">
        <f>IF(E10-G10-H10-I10-J10-K10-L10-M10-N10-O10-P10-Q10-R10-S10-T10-U10-V10-W10-X10-Y10-Z10-AA10-AB10-AC10-AD10-AE10-AF10-AG10-AH10-AI10-AJ10-AK10-AL10-AM10-AN10-AO10-AP10-AQ10-AR10&lt;0,0,E10-G10-H10-I10-J10-K10-L10-M10-N10-O10-P10-Q10-R10-S10-T10-U10-V10-W10-X10-Y10-Z10-AA10-AB10-AC10-AD10-AE10-AF10-AG10-AH10-AI10-AJ10-AK10-AL10-AM10-AN10-AO10-AP10-AQ10-AR10)</f>
        <v>0</v>
      </c>
      <c r="AT10" s="82">
        <v>0</v>
      </c>
      <c r="AU10" s="83">
        <f>G10*$G$7+H10*$H$7+I10*$I$7+J10*$J$7+K10*$K$7+L10*$L$7+M10*$M$7+N10*$N$7+O10*$O$7+P10*$P$7+Q10*$Q$7+R10*$R$7+S10*$S$7+T10*$T$7+U10*$U$7+V10*$V$7+W10*$W$7+X10*$X$7+Y10*$Y$7++Z10*$Z$7+AA10*$AA$7+AB10*$AB$7+AC10*$AC$7+AD10*$AD$7+AE10*$AE$7+AF10*$AF$7+AH10*$AH$7+AI10*$AI$7+AJ10*$AJ$7+AK10*$AK$7+AL10*$AL$7+AM10*$AM$7+AN10*$AN$7+AO10*$AO$7+AP10*$AP$7+AQ10*$AQ$7+AR10*$AR$7+AS10*AT10+AG10*$AG$7</f>
        <v>0</v>
      </c>
      <c r="AV10" s="80">
        <f t="shared" ref="AV10:AV73" si="2">IF(E10=0,0,AU10/E10)</f>
        <v>0</v>
      </c>
    </row>
    <row r="11" ht="20.5" customHeight="1" spans="1:48">
      <c r="A11" s="19">
        <v>3</v>
      </c>
      <c r="B11" s="22" t="s">
        <v>328</v>
      </c>
      <c r="C11" s="23"/>
      <c r="D11" s="23"/>
      <c r="E11" s="21">
        <f t="shared" ref="E11:E12" si="3">C11-D11</f>
        <v>0</v>
      </c>
      <c r="F11" s="23"/>
      <c r="G11" s="51"/>
      <c r="H11" s="51"/>
      <c r="I11" s="51"/>
      <c r="J11" s="51"/>
      <c r="K11" s="51"/>
      <c r="L11" s="51"/>
      <c r="M11" s="51"/>
      <c r="N11" s="51"/>
      <c r="O11" s="51"/>
      <c r="P11" s="51"/>
      <c r="Q11" s="51"/>
      <c r="R11" s="51"/>
      <c r="S11" s="51"/>
      <c r="T11" s="51"/>
      <c r="U11" s="51"/>
      <c r="V11" s="51"/>
      <c r="W11" s="51"/>
      <c r="X11" s="51"/>
      <c r="Y11" s="51"/>
      <c r="Z11" s="51"/>
      <c r="AA11" s="51"/>
      <c r="AB11" s="51"/>
      <c r="AC11" s="51"/>
      <c r="AD11" s="51"/>
      <c r="AE11" s="67"/>
      <c r="AF11" s="67"/>
      <c r="AG11" s="67"/>
      <c r="AH11" s="67"/>
      <c r="AI11" s="67"/>
      <c r="AJ11" s="67"/>
      <c r="AK11" s="67"/>
      <c r="AL11" s="67"/>
      <c r="AM11" s="67"/>
      <c r="AN11" s="67"/>
      <c r="AO11" s="67"/>
      <c r="AP11" s="51"/>
      <c r="AQ11" s="51"/>
      <c r="AR11" s="51"/>
      <c r="AS11" s="81">
        <f t="shared" ref="AS10:AS12" si="4">IF(E11-G11-H11-I11-J11-K11-L11-M11-N11-O11-P11-Q11-R11-S11-T11-U11-V11-W11-X11-Y11-Z11-AA11-AB11-AC11-AD11-AE11-AF11-AG11-AH11-AI11-AJ11-AK11-AL11-AM11-AN11-AO11-AP11-AQ11-AR11&lt;0,0,E11-G11-H11-I11-J11-K11-L11-M11-N11-O11-P11-Q11-R11-S11-T11-U11-V11-W11-X11-Y11-Z11-AA11-AB11-AC11-AD11-AE11-AF11-AG11-AH11-AI11-AJ11-AK11-AL11-AM11-AN11-AO11-AP11-AQ11-AR11)</f>
        <v>0</v>
      </c>
      <c r="AT11" s="82">
        <v>0</v>
      </c>
      <c r="AU11" s="83">
        <f>G11*$G$7+H11*$H$7+I11*$I$7+J11*$J$7+K11*$K$7+L11*$L$7+M11*$M$7+N11*$N$7+O11*$O$7+P11*$P$7+Q11*$Q$7+R11*$R$7+S11*$S$7+T11*$T$7+U11*$U$7+V11*$V$7+W11*$W$7+X11*$X$7+Y11*$Y$7++Z11*$Z$7+AA11*$AA$7+AB11*$AB$7+AC11*$AC$7+AD11*$AD$7+AE11*$AE$7+AF11*$AF$7+AH11*$AH$7+AI11*$AI$7+AJ11*$AJ$7+AK11*$AK$7+AL11*$AL$7+AM11*$AM$7+AN11*$AN$7+AO11*$AO$7+AP11*$AP$7+AQ11*$AQ$7+AR11*$AR$7+AS11*AT11+AG11*$AG$7</f>
        <v>0</v>
      </c>
      <c r="AV11" s="80">
        <f t="shared" si="2"/>
        <v>0</v>
      </c>
    </row>
    <row r="12" ht="20.5" customHeight="1" spans="1:48">
      <c r="A12" s="19">
        <v>4</v>
      </c>
      <c r="B12" s="22" t="s">
        <v>329</v>
      </c>
      <c r="C12" s="23"/>
      <c r="D12" s="23"/>
      <c r="E12" s="21">
        <f t="shared" si="3"/>
        <v>0</v>
      </c>
      <c r="F12" s="23"/>
      <c r="G12" s="51"/>
      <c r="H12" s="51"/>
      <c r="I12" s="51"/>
      <c r="J12" s="51"/>
      <c r="K12" s="51"/>
      <c r="L12" s="51"/>
      <c r="M12" s="51"/>
      <c r="N12" s="51"/>
      <c r="O12" s="51"/>
      <c r="P12" s="51"/>
      <c r="Q12" s="51"/>
      <c r="R12" s="51"/>
      <c r="S12" s="51"/>
      <c r="T12" s="51"/>
      <c r="U12" s="51"/>
      <c r="V12" s="51"/>
      <c r="W12" s="51"/>
      <c r="X12" s="51"/>
      <c r="Y12" s="51"/>
      <c r="Z12" s="51"/>
      <c r="AA12" s="51"/>
      <c r="AB12" s="51"/>
      <c r="AC12" s="51"/>
      <c r="AD12" s="51"/>
      <c r="AE12" s="67"/>
      <c r="AF12" s="67"/>
      <c r="AG12" s="67"/>
      <c r="AH12" s="67"/>
      <c r="AI12" s="67"/>
      <c r="AJ12" s="67"/>
      <c r="AK12" s="67"/>
      <c r="AL12" s="67"/>
      <c r="AM12" s="67"/>
      <c r="AN12" s="67"/>
      <c r="AO12" s="67"/>
      <c r="AP12" s="51"/>
      <c r="AQ12" s="51"/>
      <c r="AR12" s="51"/>
      <c r="AS12" s="81">
        <f t="shared" si="4"/>
        <v>0</v>
      </c>
      <c r="AT12" s="82">
        <v>0</v>
      </c>
      <c r="AU12" s="83">
        <f>G12*$G$7+H12*$H$7+I12*$I$7+J12*$J$7+K12*$K$7+L12*$L$7+M12*$M$7+N12*$N$7+O12*$O$7+P12*$P$7+Q12*$Q$7+R12*$R$7+S12*$S$7+T12*$T$7+U12*$U$7+V12*$V$7+W12*$W$7+X12*$X$7+Y12*$Y$7++Z12*$Z$7+AA12*$AA$7+AB12*$AB$7+AC12*$AC$7+AD12*$AD$7+AE12*$AE$7+AF12*$AF$7+AH12*$AH$7+AI12*$AI$7+AJ12*$AJ$7+AK12*$AK$7+AL12*$AL$7+AM12*$AM$7+AN12*$AN$7+AO12*$AO$7+AP12*$AP$7+AQ12*$AQ$7+AR12*$AR$7+AS12*AT12+AG12*$AG$7</f>
        <v>0</v>
      </c>
      <c r="AV12" s="80">
        <f t="shared" si="2"/>
        <v>0</v>
      </c>
    </row>
    <row r="13" ht="20.5" customHeight="1" spans="1:48">
      <c r="A13" s="19">
        <v>5</v>
      </c>
      <c r="B13" s="24" t="s">
        <v>330</v>
      </c>
      <c r="C13" s="21">
        <f>SUM(C14:C22)</f>
        <v>0</v>
      </c>
      <c r="D13" s="21">
        <f>SUM(D14:D22)</f>
        <v>0</v>
      </c>
      <c r="E13" s="21">
        <f t="shared" ref="E13:AR13" si="5">SUM(E14:E22)</f>
        <v>0</v>
      </c>
      <c r="F13" s="21">
        <f t="shared" si="5"/>
        <v>0</v>
      </c>
      <c r="G13" s="21">
        <f t="shared" si="5"/>
        <v>0</v>
      </c>
      <c r="H13" s="21">
        <f t="shared" si="5"/>
        <v>0</v>
      </c>
      <c r="I13" s="21">
        <f t="shared" si="5"/>
        <v>0</v>
      </c>
      <c r="J13" s="21">
        <f t="shared" si="5"/>
        <v>0</v>
      </c>
      <c r="K13" s="21">
        <f t="shared" si="5"/>
        <v>0</v>
      </c>
      <c r="L13" s="21">
        <f t="shared" si="5"/>
        <v>0</v>
      </c>
      <c r="M13" s="21">
        <f t="shared" si="5"/>
        <v>0</v>
      </c>
      <c r="N13" s="21">
        <f t="shared" si="5"/>
        <v>0</v>
      </c>
      <c r="O13" s="21">
        <f t="shared" si="5"/>
        <v>0</v>
      </c>
      <c r="P13" s="21">
        <f t="shared" si="5"/>
        <v>0</v>
      </c>
      <c r="Q13" s="21">
        <f t="shared" si="5"/>
        <v>0</v>
      </c>
      <c r="R13" s="21">
        <f t="shared" si="5"/>
        <v>0</v>
      </c>
      <c r="S13" s="21">
        <f t="shared" si="5"/>
        <v>0</v>
      </c>
      <c r="T13" s="21">
        <f t="shared" si="5"/>
        <v>0</v>
      </c>
      <c r="U13" s="21">
        <f t="shared" si="5"/>
        <v>0</v>
      </c>
      <c r="V13" s="21">
        <f t="shared" si="5"/>
        <v>0</v>
      </c>
      <c r="W13" s="21">
        <f t="shared" si="5"/>
        <v>0</v>
      </c>
      <c r="X13" s="21">
        <f t="shared" si="5"/>
        <v>0</v>
      </c>
      <c r="Y13" s="21">
        <f t="shared" si="5"/>
        <v>0</v>
      </c>
      <c r="Z13" s="21">
        <f t="shared" si="5"/>
        <v>0</v>
      </c>
      <c r="AA13" s="21">
        <f t="shared" si="5"/>
        <v>0</v>
      </c>
      <c r="AB13" s="21">
        <f t="shared" si="5"/>
        <v>0</v>
      </c>
      <c r="AC13" s="21">
        <f t="shared" si="5"/>
        <v>0</v>
      </c>
      <c r="AD13" s="21">
        <f t="shared" si="5"/>
        <v>0</v>
      </c>
      <c r="AE13" s="21">
        <f t="shared" si="5"/>
        <v>0</v>
      </c>
      <c r="AF13" s="21">
        <f t="shared" si="5"/>
        <v>0</v>
      </c>
      <c r="AG13" s="21">
        <f t="shared" si="5"/>
        <v>0</v>
      </c>
      <c r="AH13" s="21">
        <f t="shared" si="5"/>
        <v>0</v>
      </c>
      <c r="AI13" s="21">
        <f t="shared" si="5"/>
        <v>0</v>
      </c>
      <c r="AJ13" s="21">
        <f t="shared" si="5"/>
        <v>0</v>
      </c>
      <c r="AK13" s="21">
        <f t="shared" si="5"/>
        <v>0</v>
      </c>
      <c r="AL13" s="21">
        <f t="shared" si="5"/>
        <v>0</v>
      </c>
      <c r="AM13" s="21">
        <f t="shared" si="5"/>
        <v>0</v>
      </c>
      <c r="AN13" s="21">
        <f t="shared" si="5"/>
        <v>0</v>
      </c>
      <c r="AO13" s="21">
        <f t="shared" si="5"/>
        <v>0</v>
      </c>
      <c r="AP13" s="21">
        <f t="shared" si="5"/>
        <v>0</v>
      </c>
      <c r="AQ13" s="21">
        <f t="shared" si="5"/>
        <v>0</v>
      </c>
      <c r="AR13" s="21">
        <f t="shared" si="5"/>
        <v>0</v>
      </c>
      <c r="AS13" s="21">
        <f>AS14+AS15+AS16+AS17+AS18+AS19+AS20+AS21+AS22</f>
        <v>0</v>
      </c>
      <c r="AT13" s="79"/>
      <c r="AU13" s="21">
        <f>AU14+AU15+AU16+AU17+AU18+AU19+AU20+AU21+AU22</f>
        <v>0</v>
      </c>
      <c r="AV13" s="80">
        <f t="shared" si="2"/>
        <v>0</v>
      </c>
    </row>
    <row r="14" ht="20.5" customHeight="1" spans="1:48">
      <c r="A14" s="19">
        <v>6</v>
      </c>
      <c r="B14" s="22" t="s">
        <v>331</v>
      </c>
      <c r="C14" s="23"/>
      <c r="D14" s="23"/>
      <c r="E14" s="21">
        <f t="shared" ref="E14:E22" si="6">C14-D14</f>
        <v>0</v>
      </c>
      <c r="F14" s="23"/>
      <c r="G14" s="51"/>
      <c r="H14" s="51"/>
      <c r="I14" s="51"/>
      <c r="J14" s="51"/>
      <c r="K14" s="51"/>
      <c r="L14" s="51"/>
      <c r="M14" s="51"/>
      <c r="N14" s="51"/>
      <c r="O14" s="51"/>
      <c r="P14" s="51"/>
      <c r="Q14" s="51"/>
      <c r="R14" s="51"/>
      <c r="S14" s="51"/>
      <c r="T14" s="51"/>
      <c r="U14" s="51"/>
      <c r="V14" s="51"/>
      <c r="W14" s="51"/>
      <c r="X14" s="51"/>
      <c r="Y14" s="51"/>
      <c r="Z14" s="51"/>
      <c r="AA14" s="51"/>
      <c r="AB14" s="51"/>
      <c r="AC14" s="51"/>
      <c r="AD14" s="51"/>
      <c r="AE14" s="67"/>
      <c r="AF14" s="67"/>
      <c r="AG14" s="67"/>
      <c r="AH14" s="67"/>
      <c r="AI14" s="67"/>
      <c r="AJ14" s="67"/>
      <c r="AK14" s="67"/>
      <c r="AL14" s="67"/>
      <c r="AM14" s="67"/>
      <c r="AN14" s="67"/>
      <c r="AO14" s="67"/>
      <c r="AP14" s="51"/>
      <c r="AQ14" s="51"/>
      <c r="AR14" s="51"/>
      <c r="AS14" s="81">
        <f t="shared" ref="AS14:AS19" si="7">IF(E14-G14-H14-I14-J14-K14-L14-M14-N14-O14-P14-Q14-R14-S14-T14-U14-V14-W14-X14-Y14-Z14-AA14-AB14-AC14-AD14-AE14-AF14-AG14-AH14-AI14-AJ14-AK14-AL14-AM14-AN14-AO14-AP14-AQ14-AR14&lt;0,0,E14-G14-H14-I14-J14-K14-L14-M14-N14-O14-P14-Q14-R14-S14-T14-U14-V14-W14-X14-Y14-Z14-AA14-AB14-AC14-AD14-AE14-AF14-AG14-AH14-AI14-AJ14-AK14-AL14-AM14-AN14-AO14-AP14-AQ14-AR14)</f>
        <v>0</v>
      </c>
      <c r="AT14" s="82">
        <v>0</v>
      </c>
      <c r="AU14" s="83">
        <f t="shared" ref="AU14:AU22" si="8">G14*$G$7+H14*$H$7+I14*$I$7+J14*$J$7+K14*$K$7+L14*$L$7+M14*$M$7+N14*$N$7+O14*$O$7+P14*$P$7+Q14*$Q$7+R14*$R$7+S14*$S$7+T14*$T$7+U14*$U$7+V14*$V$7+W14*$W$7+X14*$X$7+Y14*$Y$7++Z14*$Z$7+AA14*$AA$7+AB14*$AB$7+AC14*$AC$7+AD14*$AD$7+AE14*$AE$7+AF14*$AF$7+AH14*$AH$7+AI14*$AI$7+AJ14*$AJ$7+AK14*$AK$7+AL14*$AL$7+AM14*$AM$7+AN14*$AN$7+AO14*$AO$7+AP14*$AP$7+AQ14*$AQ$7+AR14*$AR$7+AS14*AT14+AG14*$AG$7</f>
        <v>0</v>
      </c>
      <c r="AV14" s="80">
        <f t="shared" si="2"/>
        <v>0</v>
      </c>
    </row>
    <row r="15" ht="20.5" customHeight="1" spans="1:48">
      <c r="A15" s="19">
        <v>7</v>
      </c>
      <c r="B15" s="22" t="s">
        <v>332</v>
      </c>
      <c r="C15" s="23"/>
      <c r="D15" s="23"/>
      <c r="E15" s="21">
        <f t="shared" si="6"/>
        <v>0</v>
      </c>
      <c r="F15" s="23"/>
      <c r="G15" s="51"/>
      <c r="H15" s="51"/>
      <c r="I15" s="51"/>
      <c r="J15" s="51"/>
      <c r="K15" s="51"/>
      <c r="L15" s="51"/>
      <c r="M15" s="51"/>
      <c r="N15" s="51"/>
      <c r="O15" s="51"/>
      <c r="P15" s="51"/>
      <c r="Q15" s="51"/>
      <c r="R15" s="51"/>
      <c r="S15" s="51"/>
      <c r="T15" s="51"/>
      <c r="U15" s="51"/>
      <c r="V15" s="51"/>
      <c r="W15" s="51"/>
      <c r="X15" s="51"/>
      <c r="Y15" s="51"/>
      <c r="Z15" s="51"/>
      <c r="AA15" s="51"/>
      <c r="AB15" s="51"/>
      <c r="AC15" s="51"/>
      <c r="AD15" s="51"/>
      <c r="AE15" s="67"/>
      <c r="AF15" s="67"/>
      <c r="AG15" s="67"/>
      <c r="AH15" s="67"/>
      <c r="AI15" s="67"/>
      <c r="AJ15" s="67"/>
      <c r="AK15" s="67"/>
      <c r="AL15" s="67"/>
      <c r="AM15" s="67"/>
      <c r="AN15" s="67"/>
      <c r="AO15" s="67"/>
      <c r="AP15" s="51"/>
      <c r="AQ15" s="51"/>
      <c r="AR15" s="51"/>
      <c r="AS15" s="81">
        <f t="shared" si="7"/>
        <v>0</v>
      </c>
      <c r="AT15" s="82">
        <v>0</v>
      </c>
      <c r="AU15" s="83">
        <f t="shared" si="8"/>
        <v>0</v>
      </c>
      <c r="AV15" s="80">
        <f t="shared" si="2"/>
        <v>0</v>
      </c>
    </row>
    <row r="16" ht="22" customHeight="1" spans="1:48">
      <c r="A16" s="19">
        <v>8</v>
      </c>
      <c r="B16" s="22" t="s">
        <v>333</v>
      </c>
      <c r="C16" s="23"/>
      <c r="D16" s="23"/>
      <c r="E16" s="21">
        <f t="shared" si="6"/>
        <v>0</v>
      </c>
      <c r="F16" s="23"/>
      <c r="G16" s="51"/>
      <c r="H16" s="51"/>
      <c r="I16" s="51"/>
      <c r="J16" s="51"/>
      <c r="K16" s="51"/>
      <c r="L16" s="51"/>
      <c r="M16" s="51"/>
      <c r="N16" s="51"/>
      <c r="O16" s="51"/>
      <c r="P16" s="51"/>
      <c r="Q16" s="51"/>
      <c r="R16" s="51"/>
      <c r="S16" s="51"/>
      <c r="T16" s="51"/>
      <c r="U16" s="51"/>
      <c r="V16" s="51"/>
      <c r="W16" s="51"/>
      <c r="X16" s="51"/>
      <c r="Y16" s="51"/>
      <c r="Z16" s="51"/>
      <c r="AA16" s="51"/>
      <c r="AB16" s="51"/>
      <c r="AC16" s="51"/>
      <c r="AD16" s="51"/>
      <c r="AE16" s="67"/>
      <c r="AF16" s="67"/>
      <c r="AG16" s="67"/>
      <c r="AH16" s="67"/>
      <c r="AI16" s="67"/>
      <c r="AJ16" s="67"/>
      <c r="AK16" s="67"/>
      <c r="AL16" s="67"/>
      <c r="AM16" s="67"/>
      <c r="AN16" s="67"/>
      <c r="AO16" s="67"/>
      <c r="AP16" s="51"/>
      <c r="AQ16" s="51"/>
      <c r="AR16" s="51"/>
      <c r="AS16" s="81">
        <f t="shared" si="7"/>
        <v>0</v>
      </c>
      <c r="AT16" s="82">
        <v>0</v>
      </c>
      <c r="AU16" s="83">
        <f t="shared" si="8"/>
        <v>0</v>
      </c>
      <c r="AV16" s="80">
        <f t="shared" si="2"/>
        <v>0</v>
      </c>
    </row>
    <row r="17" ht="21" customHeight="1" spans="1:48">
      <c r="A17" s="19">
        <v>9</v>
      </c>
      <c r="B17" s="22" t="s">
        <v>334</v>
      </c>
      <c r="C17" s="23"/>
      <c r="D17" s="23"/>
      <c r="E17" s="21">
        <f t="shared" si="6"/>
        <v>0</v>
      </c>
      <c r="F17" s="23"/>
      <c r="G17" s="23"/>
      <c r="H17" s="23"/>
      <c r="I17" s="51"/>
      <c r="J17" s="23"/>
      <c r="K17" s="23"/>
      <c r="L17" s="51"/>
      <c r="M17" s="23"/>
      <c r="N17" s="23"/>
      <c r="O17" s="51"/>
      <c r="P17" s="23"/>
      <c r="Q17" s="23"/>
      <c r="R17" s="51"/>
      <c r="S17" s="63"/>
      <c r="T17" s="51"/>
      <c r="U17" s="51"/>
      <c r="V17" s="51"/>
      <c r="W17" s="23"/>
      <c r="X17" s="23"/>
      <c r="Y17" s="51"/>
      <c r="Z17" s="23"/>
      <c r="AA17" s="23"/>
      <c r="AB17" s="51"/>
      <c r="AC17" s="51"/>
      <c r="AD17" s="51"/>
      <c r="AE17" s="51"/>
      <c r="AF17" s="51"/>
      <c r="AG17" s="51"/>
      <c r="AH17" s="51"/>
      <c r="AI17" s="51"/>
      <c r="AJ17" s="68"/>
      <c r="AK17" s="68"/>
      <c r="AL17" s="51"/>
      <c r="AM17" s="51"/>
      <c r="AN17" s="51"/>
      <c r="AO17" s="51"/>
      <c r="AP17" s="23"/>
      <c r="AQ17" s="23"/>
      <c r="AR17" s="51"/>
      <c r="AS17" s="21">
        <f t="shared" si="7"/>
        <v>0</v>
      </c>
      <c r="AT17" s="82">
        <v>0.2</v>
      </c>
      <c r="AU17" s="83">
        <f t="shared" si="8"/>
        <v>0</v>
      </c>
      <c r="AV17" s="80">
        <f t="shared" si="2"/>
        <v>0</v>
      </c>
    </row>
    <row r="18" ht="21" customHeight="1" spans="1:48">
      <c r="A18" s="19">
        <v>10</v>
      </c>
      <c r="B18" s="22" t="s">
        <v>335</v>
      </c>
      <c r="C18" s="23"/>
      <c r="D18" s="23"/>
      <c r="E18" s="21">
        <f t="shared" si="6"/>
        <v>0</v>
      </c>
      <c r="F18" s="23"/>
      <c r="G18" s="23"/>
      <c r="H18" s="23"/>
      <c r="I18" s="23"/>
      <c r="J18" s="23"/>
      <c r="K18" s="23"/>
      <c r="L18" s="23"/>
      <c r="M18" s="23"/>
      <c r="N18" s="23"/>
      <c r="O18" s="23"/>
      <c r="P18" s="23"/>
      <c r="Q18" s="23"/>
      <c r="R18" s="23"/>
      <c r="S18" s="23"/>
      <c r="T18" s="23"/>
      <c r="U18" s="23"/>
      <c r="V18" s="51"/>
      <c r="W18" s="23"/>
      <c r="X18" s="23"/>
      <c r="Y18" s="23"/>
      <c r="Z18" s="23"/>
      <c r="AA18" s="23"/>
      <c r="AB18" s="23"/>
      <c r="AC18" s="23"/>
      <c r="AD18" s="51"/>
      <c r="AE18" s="68"/>
      <c r="AF18" s="51"/>
      <c r="AG18" s="68"/>
      <c r="AH18" s="68"/>
      <c r="AI18" s="68"/>
      <c r="AJ18" s="68"/>
      <c r="AK18" s="68"/>
      <c r="AL18" s="68"/>
      <c r="AM18" s="68"/>
      <c r="AN18" s="68"/>
      <c r="AO18" s="51"/>
      <c r="AP18" s="23"/>
      <c r="AQ18" s="23"/>
      <c r="AR18" s="23"/>
      <c r="AS18" s="21">
        <f t="shared" si="7"/>
        <v>0</v>
      </c>
      <c r="AT18" s="82">
        <v>0.5</v>
      </c>
      <c r="AU18" s="83">
        <f t="shared" si="8"/>
        <v>0</v>
      </c>
      <c r="AV18" s="80">
        <f t="shared" si="2"/>
        <v>0</v>
      </c>
    </row>
    <row r="19" ht="20.5" customHeight="1" spans="1:48">
      <c r="A19" s="19">
        <v>11</v>
      </c>
      <c r="B19" s="22" t="s">
        <v>336</v>
      </c>
      <c r="C19" s="23"/>
      <c r="D19" s="23"/>
      <c r="E19" s="21">
        <f t="shared" si="6"/>
        <v>0</v>
      </c>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68"/>
      <c r="AF19" s="68"/>
      <c r="AG19" s="68"/>
      <c r="AH19" s="68"/>
      <c r="AI19" s="68"/>
      <c r="AJ19" s="68"/>
      <c r="AK19" s="68"/>
      <c r="AL19" s="68"/>
      <c r="AM19" s="68"/>
      <c r="AN19" s="68"/>
      <c r="AO19" s="68"/>
      <c r="AP19" s="23"/>
      <c r="AQ19" s="23"/>
      <c r="AR19" s="23"/>
      <c r="AS19" s="21">
        <f t="shared" si="7"/>
        <v>0</v>
      </c>
      <c r="AT19" s="82">
        <v>1</v>
      </c>
      <c r="AU19" s="83">
        <f t="shared" si="8"/>
        <v>0</v>
      </c>
      <c r="AV19" s="80">
        <f t="shared" si="2"/>
        <v>0</v>
      </c>
    </row>
    <row r="20" ht="20.5" customHeight="1" spans="1:48">
      <c r="A20" s="19">
        <v>12</v>
      </c>
      <c r="B20" s="22" t="s">
        <v>337</v>
      </c>
      <c r="C20" s="23"/>
      <c r="D20" s="23"/>
      <c r="E20" s="21">
        <f t="shared" si="6"/>
        <v>0</v>
      </c>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68"/>
      <c r="AF20" s="68"/>
      <c r="AG20" s="68"/>
      <c r="AH20" s="68"/>
      <c r="AI20" s="68"/>
      <c r="AJ20" s="68"/>
      <c r="AK20" s="68"/>
      <c r="AL20" s="68"/>
      <c r="AM20" s="68"/>
      <c r="AN20" s="68"/>
      <c r="AO20" s="68"/>
      <c r="AP20" s="23"/>
      <c r="AQ20" s="23"/>
      <c r="AR20" s="23"/>
      <c r="AS20" s="21">
        <f t="shared" ref="AS20:AS25" si="9">IF(E20-G20-H20-I20-J20-K20-L20-M20-N20-O20-P20-Q20-R20-S20-T20-U20-V20-W20-X20-Y20-Z20-AA20-AB20-AC20-AD20-AE20-AF20-AG20-AH20-AI20-AJ20-AK20-AL20-AM20-AN20-AO20-AP20-AQ20-AR20&lt;0,0,E20-G20-H20-I20-J20-K20-L20-M20-N20-O20-P20-Q20-R20-S20-T20-U20-V20-W20-X20-Y20-Z20-AA20-AB20-AC20-AD20-AE20-AF20-AG20-AH20-AI20-AJ20-AK20-AL20-AM20-AN20-AO20-AP20-AQ20-AR20)</f>
        <v>0</v>
      </c>
      <c r="AT20" s="82">
        <v>1.5</v>
      </c>
      <c r="AU20" s="83">
        <f t="shared" si="8"/>
        <v>0</v>
      </c>
      <c r="AV20" s="80">
        <f t="shared" si="2"/>
        <v>0</v>
      </c>
    </row>
    <row r="21" ht="20.5" customHeight="1" spans="1:48">
      <c r="A21" s="19">
        <v>13</v>
      </c>
      <c r="B21" s="22" t="s">
        <v>338</v>
      </c>
      <c r="C21" s="23"/>
      <c r="D21" s="23"/>
      <c r="E21" s="21">
        <f t="shared" si="6"/>
        <v>0</v>
      </c>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68"/>
      <c r="AF21" s="68"/>
      <c r="AG21" s="68"/>
      <c r="AH21" s="68"/>
      <c r="AI21" s="68"/>
      <c r="AJ21" s="68"/>
      <c r="AK21" s="68"/>
      <c r="AL21" s="68"/>
      <c r="AM21" s="68"/>
      <c r="AN21" s="68"/>
      <c r="AO21" s="68"/>
      <c r="AP21" s="23"/>
      <c r="AQ21" s="23"/>
      <c r="AR21" s="23"/>
      <c r="AS21" s="21">
        <f t="shared" si="9"/>
        <v>0</v>
      </c>
      <c r="AT21" s="82">
        <v>1</v>
      </c>
      <c r="AU21" s="83">
        <f t="shared" si="8"/>
        <v>0</v>
      </c>
      <c r="AV21" s="80">
        <f t="shared" si="2"/>
        <v>0</v>
      </c>
    </row>
    <row r="22" ht="24" spans="1:48">
      <c r="A22" s="19">
        <v>14</v>
      </c>
      <c r="B22" s="22" t="s">
        <v>85</v>
      </c>
      <c r="C22" s="23"/>
      <c r="D22" s="23"/>
      <c r="E22" s="21">
        <f t="shared" si="6"/>
        <v>0</v>
      </c>
      <c r="F22" s="23"/>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81">
        <f t="shared" si="9"/>
        <v>0</v>
      </c>
      <c r="AT22" s="82">
        <v>0</v>
      </c>
      <c r="AU22" s="83">
        <f t="shared" si="8"/>
        <v>0</v>
      </c>
      <c r="AV22" s="80">
        <f t="shared" si="2"/>
        <v>0</v>
      </c>
    </row>
    <row r="23" ht="21" customHeight="1" spans="1:48">
      <c r="A23" s="19">
        <v>15</v>
      </c>
      <c r="B23" s="24" t="s">
        <v>339</v>
      </c>
      <c r="C23" s="21">
        <f t="shared" ref="C23:AS23" si="10">C24+C31</f>
        <v>0</v>
      </c>
      <c r="D23" s="21">
        <f t="shared" si="10"/>
        <v>0</v>
      </c>
      <c r="E23" s="21">
        <f t="shared" si="10"/>
        <v>0</v>
      </c>
      <c r="F23" s="21">
        <f t="shared" si="10"/>
        <v>0</v>
      </c>
      <c r="G23" s="21">
        <f t="shared" si="10"/>
        <v>0</v>
      </c>
      <c r="H23" s="21">
        <f t="shared" si="10"/>
        <v>0</v>
      </c>
      <c r="I23" s="21">
        <f t="shared" si="10"/>
        <v>0</v>
      </c>
      <c r="J23" s="21">
        <f t="shared" si="10"/>
        <v>0</v>
      </c>
      <c r="K23" s="21">
        <f t="shared" si="10"/>
        <v>0</v>
      </c>
      <c r="L23" s="21">
        <f t="shared" si="10"/>
        <v>0</v>
      </c>
      <c r="M23" s="21">
        <f t="shared" si="10"/>
        <v>0</v>
      </c>
      <c r="N23" s="21">
        <f t="shared" si="10"/>
        <v>0</v>
      </c>
      <c r="O23" s="21">
        <f t="shared" si="10"/>
        <v>0</v>
      </c>
      <c r="P23" s="21">
        <f t="shared" si="10"/>
        <v>0</v>
      </c>
      <c r="Q23" s="21">
        <f t="shared" si="10"/>
        <v>0</v>
      </c>
      <c r="R23" s="21">
        <f t="shared" si="10"/>
        <v>0</v>
      </c>
      <c r="S23" s="21">
        <f t="shared" si="10"/>
        <v>0</v>
      </c>
      <c r="T23" s="21">
        <f t="shared" si="10"/>
        <v>0</v>
      </c>
      <c r="U23" s="21">
        <f t="shared" si="10"/>
        <v>0</v>
      </c>
      <c r="V23" s="21">
        <f t="shared" si="10"/>
        <v>0</v>
      </c>
      <c r="W23" s="21">
        <f t="shared" si="10"/>
        <v>0</v>
      </c>
      <c r="X23" s="21">
        <f t="shared" si="10"/>
        <v>0</v>
      </c>
      <c r="Y23" s="21">
        <f t="shared" si="10"/>
        <v>0</v>
      </c>
      <c r="Z23" s="21">
        <f t="shared" si="10"/>
        <v>0</v>
      </c>
      <c r="AA23" s="21">
        <f t="shared" si="10"/>
        <v>0</v>
      </c>
      <c r="AB23" s="21">
        <f t="shared" si="10"/>
        <v>0</v>
      </c>
      <c r="AC23" s="21">
        <f t="shared" si="10"/>
        <v>0</v>
      </c>
      <c r="AD23" s="21">
        <f t="shared" si="10"/>
        <v>0</v>
      </c>
      <c r="AE23" s="21">
        <f t="shared" si="10"/>
        <v>0</v>
      </c>
      <c r="AF23" s="21">
        <f t="shared" si="10"/>
        <v>0</v>
      </c>
      <c r="AG23" s="21">
        <f t="shared" si="10"/>
        <v>0</v>
      </c>
      <c r="AH23" s="21">
        <f t="shared" si="10"/>
        <v>0</v>
      </c>
      <c r="AI23" s="21">
        <f t="shared" si="10"/>
        <v>0</v>
      </c>
      <c r="AJ23" s="21">
        <f t="shared" si="10"/>
        <v>0</v>
      </c>
      <c r="AK23" s="21">
        <f t="shared" si="10"/>
        <v>0</v>
      </c>
      <c r="AL23" s="21">
        <f t="shared" si="10"/>
        <v>0</v>
      </c>
      <c r="AM23" s="21">
        <f t="shared" si="10"/>
        <v>0</v>
      </c>
      <c r="AN23" s="21">
        <f t="shared" si="10"/>
        <v>0</v>
      </c>
      <c r="AO23" s="21">
        <f t="shared" si="10"/>
        <v>0</v>
      </c>
      <c r="AP23" s="21">
        <f t="shared" si="10"/>
        <v>0</v>
      </c>
      <c r="AQ23" s="21">
        <f t="shared" si="10"/>
        <v>0</v>
      </c>
      <c r="AR23" s="21">
        <f t="shared" si="10"/>
        <v>0</v>
      </c>
      <c r="AS23" s="21">
        <f t="shared" si="10"/>
        <v>0</v>
      </c>
      <c r="AT23" s="79"/>
      <c r="AU23" s="21">
        <f>AU24+AU31</f>
        <v>0</v>
      </c>
      <c r="AV23" s="80">
        <f t="shared" si="2"/>
        <v>0</v>
      </c>
    </row>
    <row r="24" ht="20.5" customHeight="1" spans="1:48">
      <c r="A24" s="19">
        <v>16</v>
      </c>
      <c r="B24" s="22" t="s">
        <v>87</v>
      </c>
      <c r="C24" s="21">
        <f>C25+C26+C30</f>
        <v>0</v>
      </c>
      <c r="D24" s="21">
        <f t="shared" ref="D24:AS24" si="11">D25+D26+D30</f>
        <v>0</v>
      </c>
      <c r="E24" s="21">
        <f t="shared" si="11"/>
        <v>0</v>
      </c>
      <c r="F24" s="21">
        <f t="shared" si="11"/>
        <v>0</v>
      </c>
      <c r="G24" s="21">
        <f t="shared" si="11"/>
        <v>0</v>
      </c>
      <c r="H24" s="21">
        <f t="shared" si="11"/>
        <v>0</v>
      </c>
      <c r="I24" s="21">
        <f t="shared" si="11"/>
        <v>0</v>
      </c>
      <c r="J24" s="21">
        <f t="shared" si="11"/>
        <v>0</v>
      </c>
      <c r="K24" s="21">
        <f t="shared" si="11"/>
        <v>0</v>
      </c>
      <c r="L24" s="21">
        <f t="shared" si="11"/>
        <v>0</v>
      </c>
      <c r="M24" s="21">
        <f t="shared" si="11"/>
        <v>0</v>
      </c>
      <c r="N24" s="21">
        <f t="shared" si="11"/>
        <v>0</v>
      </c>
      <c r="O24" s="21">
        <f t="shared" si="11"/>
        <v>0</v>
      </c>
      <c r="P24" s="21">
        <f t="shared" si="11"/>
        <v>0</v>
      </c>
      <c r="Q24" s="21">
        <f t="shared" si="11"/>
        <v>0</v>
      </c>
      <c r="R24" s="21">
        <f t="shared" si="11"/>
        <v>0</v>
      </c>
      <c r="S24" s="21">
        <f t="shared" si="11"/>
        <v>0</v>
      </c>
      <c r="T24" s="21">
        <f t="shared" si="11"/>
        <v>0</v>
      </c>
      <c r="U24" s="21">
        <f t="shared" si="11"/>
        <v>0</v>
      </c>
      <c r="V24" s="21">
        <f t="shared" si="11"/>
        <v>0</v>
      </c>
      <c r="W24" s="21">
        <f t="shared" si="11"/>
        <v>0</v>
      </c>
      <c r="X24" s="21">
        <f t="shared" si="11"/>
        <v>0</v>
      </c>
      <c r="Y24" s="21">
        <f t="shared" si="11"/>
        <v>0</v>
      </c>
      <c r="Z24" s="21">
        <f t="shared" si="11"/>
        <v>0</v>
      </c>
      <c r="AA24" s="21">
        <f t="shared" si="11"/>
        <v>0</v>
      </c>
      <c r="AB24" s="21">
        <f t="shared" si="11"/>
        <v>0</v>
      </c>
      <c r="AC24" s="21">
        <f t="shared" si="11"/>
        <v>0</v>
      </c>
      <c r="AD24" s="21">
        <f t="shared" si="11"/>
        <v>0</v>
      </c>
      <c r="AE24" s="21">
        <f t="shared" si="11"/>
        <v>0</v>
      </c>
      <c r="AF24" s="21">
        <f t="shared" si="11"/>
        <v>0</v>
      </c>
      <c r="AG24" s="21">
        <f t="shared" si="11"/>
        <v>0</v>
      </c>
      <c r="AH24" s="21">
        <f t="shared" si="11"/>
        <v>0</v>
      </c>
      <c r="AI24" s="21">
        <f t="shared" si="11"/>
        <v>0</v>
      </c>
      <c r="AJ24" s="21">
        <f t="shared" si="11"/>
        <v>0</v>
      </c>
      <c r="AK24" s="21">
        <f t="shared" si="11"/>
        <v>0</v>
      </c>
      <c r="AL24" s="21">
        <f t="shared" si="11"/>
        <v>0</v>
      </c>
      <c r="AM24" s="21">
        <f t="shared" si="11"/>
        <v>0</v>
      </c>
      <c r="AN24" s="21">
        <f t="shared" si="11"/>
        <v>0</v>
      </c>
      <c r="AO24" s="21">
        <f t="shared" si="11"/>
        <v>0</v>
      </c>
      <c r="AP24" s="21">
        <f t="shared" si="11"/>
        <v>0</v>
      </c>
      <c r="AQ24" s="21">
        <f t="shared" si="11"/>
        <v>0</v>
      </c>
      <c r="AR24" s="21">
        <f t="shared" si="11"/>
        <v>0</v>
      </c>
      <c r="AS24" s="21">
        <f t="shared" si="11"/>
        <v>0</v>
      </c>
      <c r="AT24" s="79"/>
      <c r="AU24" s="21">
        <f>AU25+AU26+AU30</f>
        <v>0</v>
      </c>
      <c r="AV24" s="80">
        <f t="shared" si="2"/>
        <v>0</v>
      </c>
    </row>
    <row r="25" ht="24" spans="1:48">
      <c r="A25" s="19">
        <v>17</v>
      </c>
      <c r="B25" s="25" t="s">
        <v>89</v>
      </c>
      <c r="C25" s="23"/>
      <c r="D25" s="23"/>
      <c r="E25" s="21">
        <f t="shared" ref="E25:E32" si="12">C25-D25</f>
        <v>0</v>
      </c>
      <c r="F25" s="23"/>
      <c r="G25" s="51"/>
      <c r="H25" s="51"/>
      <c r="I25" s="51"/>
      <c r="J25" s="51"/>
      <c r="K25" s="51"/>
      <c r="L25" s="51"/>
      <c r="M25" s="51"/>
      <c r="N25" s="51"/>
      <c r="O25" s="51"/>
      <c r="P25" s="51"/>
      <c r="Q25" s="51"/>
      <c r="R25" s="51"/>
      <c r="S25" s="51"/>
      <c r="T25" s="51"/>
      <c r="U25" s="51"/>
      <c r="V25" s="51"/>
      <c r="W25" s="51"/>
      <c r="X25" s="51"/>
      <c r="Y25" s="51"/>
      <c r="Z25" s="51"/>
      <c r="AA25" s="51"/>
      <c r="AB25" s="51"/>
      <c r="AC25" s="51"/>
      <c r="AD25" s="51"/>
      <c r="AE25" s="67"/>
      <c r="AF25" s="67"/>
      <c r="AG25" s="67"/>
      <c r="AH25" s="67"/>
      <c r="AI25" s="67"/>
      <c r="AJ25" s="67"/>
      <c r="AK25" s="67"/>
      <c r="AL25" s="67"/>
      <c r="AM25" s="67"/>
      <c r="AN25" s="67"/>
      <c r="AO25" s="67"/>
      <c r="AP25" s="51"/>
      <c r="AQ25" s="51"/>
      <c r="AR25" s="51"/>
      <c r="AS25" s="81">
        <f t="shared" si="9"/>
        <v>0</v>
      </c>
      <c r="AT25" s="82">
        <v>0</v>
      </c>
      <c r="AU25" s="83">
        <f>G25*$G$7+H25*$H$7+I25*$I$7+J25*$J$7+K25*$K$7+L25*$L$7+M25*$M$7+N25*$N$7+O25*$O$7+P25*$P$7+Q25*$Q$7+R25*$R$7+S25*$S$7+T25*$T$7+U25*$U$7+V25*$V$7+W25*$W$7+X25*$X$7+Y25*$Y$7++Z25*$Z$7+AA25*$AA$7+AB25*$AB$7+AC25*$AC$7+AD25*$AD$7+AE25*$AE$7+AF25*$AF$7+AH25*$AH$7+AI25*$AI$7+AJ25*$AJ$7+AK25*$AK$7+AL25*$AL$7+AM25*$AM$7+AN25*$AN$7+AO25*$AO$7+AP25*$AP$7+AQ25*$AQ$7+AR25*$AR$7+AS25*AT25+AG25*$AG$7</f>
        <v>0</v>
      </c>
      <c r="AV25" s="80">
        <f t="shared" si="2"/>
        <v>0</v>
      </c>
    </row>
    <row r="26" spans="1:48">
      <c r="A26" s="19">
        <v>18</v>
      </c>
      <c r="B26" s="26" t="s">
        <v>340</v>
      </c>
      <c r="C26" s="21">
        <f>C27+C28+C29</f>
        <v>0</v>
      </c>
      <c r="D26" s="21">
        <f t="shared" ref="D26:AS26" si="13">D27+D28+D29</f>
        <v>0</v>
      </c>
      <c r="E26" s="21">
        <f t="shared" si="13"/>
        <v>0</v>
      </c>
      <c r="F26" s="21">
        <f t="shared" si="13"/>
        <v>0</v>
      </c>
      <c r="G26" s="21">
        <f t="shared" si="13"/>
        <v>0</v>
      </c>
      <c r="H26" s="21">
        <f t="shared" si="13"/>
        <v>0</v>
      </c>
      <c r="I26" s="21">
        <f t="shared" si="13"/>
        <v>0</v>
      </c>
      <c r="J26" s="21">
        <f t="shared" si="13"/>
        <v>0</v>
      </c>
      <c r="K26" s="21">
        <f t="shared" si="13"/>
        <v>0</v>
      </c>
      <c r="L26" s="21">
        <f t="shared" si="13"/>
        <v>0</v>
      </c>
      <c r="M26" s="21">
        <f t="shared" si="13"/>
        <v>0</v>
      </c>
      <c r="N26" s="21">
        <f t="shared" si="13"/>
        <v>0</v>
      </c>
      <c r="O26" s="21">
        <f t="shared" si="13"/>
        <v>0</v>
      </c>
      <c r="P26" s="21">
        <f t="shared" si="13"/>
        <v>0</v>
      </c>
      <c r="Q26" s="21">
        <f t="shared" si="13"/>
        <v>0</v>
      </c>
      <c r="R26" s="21">
        <f t="shared" si="13"/>
        <v>0</v>
      </c>
      <c r="S26" s="21">
        <f t="shared" si="13"/>
        <v>0</v>
      </c>
      <c r="T26" s="21">
        <f t="shared" si="13"/>
        <v>0</v>
      </c>
      <c r="U26" s="21">
        <f t="shared" si="13"/>
        <v>0</v>
      </c>
      <c r="V26" s="21">
        <f t="shared" si="13"/>
        <v>0</v>
      </c>
      <c r="W26" s="21">
        <f t="shared" si="13"/>
        <v>0</v>
      </c>
      <c r="X26" s="21">
        <f t="shared" si="13"/>
        <v>0</v>
      </c>
      <c r="Y26" s="21">
        <f t="shared" si="13"/>
        <v>0</v>
      </c>
      <c r="Z26" s="21">
        <f t="shared" si="13"/>
        <v>0</v>
      </c>
      <c r="AA26" s="21">
        <f t="shared" si="13"/>
        <v>0</v>
      </c>
      <c r="AB26" s="21">
        <f t="shared" si="13"/>
        <v>0</v>
      </c>
      <c r="AC26" s="21">
        <f t="shared" si="13"/>
        <v>0</v>
      </c>
      <c r="AD26" s="21">
        <f t="shared" si="13"/>
        <v>0</v>
      </c>
      <c r="AE26" s="21">
        <f t="shared" si="13"/>
        <v>0</v>
      </c>
      <c r="AF26" s="21">
        <f t="shared" si="13"/>
        <v>0</v>
      </c>
      <c r="AG26" s="21">
        <f t="shared" si="13"/>
        <v>0</v>
      </c>
      <c r="AH26" s="21">
        <f t="shared" si="13"/>
        <v>0</v>
      </c>
      <c r="AI26" s="21">
        <f t="shared" si="13"/>
        <v>0</v>
      </c>
      <c r="AJ26" s="21">
        <f t="shared" si="13"/>
        <v>0</v>
      </c>
      <c r="AK26" s="21">
        <f t="shared" si="13"/>
        <v>0</v>
      </c>
      <c r="AL26" s="21">
        <f t="shared" si="13"/>
        <v>0</v>
      </c>
      <c r="AM26" s="21">
        <f t="shared" si="13"/>
        <v>0</v>
      </c>
      <c r="AN26" s="21">
        <f t="shared" si="13"/>
        <v>0</v>
      </c>
      <c r="AO26" s="21">
        <f t="shared" si="13"/>
        <v>0</v>
      </c>
      <c r="AP26" s="21">
        <f t="shared" si="13"/>
        <v>0</v>
      </c>
      <c r="AQ26" s="21">
        <f t="shared" si="13"/>
        <v>0</v>
      </c>
      <c r="AR26" s="21">
        <f t="shared" si="13"/>
        <v>0</v>
      </c>
      <c r="AS26" s="21">
        <f t="shared" si="13"/>
        <v>0</v>
      </c>
      <c r="AT26" s="79"/>
      <c r="AU26" s="83">
        <f>AU27+AU28+AU29</f>
        <v>0</v>
      </c>
      <c r="AV26" s="80">
        <f t="shared" si="2"/>
        <v>0</v>
      </c>
    </row>
    <row r="27" ht="20.5" customHeight="1" spans="1:48">
      <c r="A27" s="19">
        <v>19</v>
      </c>
      <c r="B27" s="27" t="s">
        <v>91</v>
      </c>
      <c r="C27" s="23"/>
      <c r="D27" s="23"/>
      <c r="E27" s="21">
        <f t="shared" si="12"/>
        <v>0</v>
      </c>
      <c r="F27" s="23"/>
      <c r="G27" s="23"/>
      <c r="H27" s="51"/>
      <c r="I27" s="51"/>
      <c r="J27" s="23"/>
      <c r="K27" s="51"/>
      <c r="L27" s="51"/>
      <c r="M27" s="23"/>
      <c r="N27" s="51"/>
      <c r="O27" s="51"/>
      <c r="P27" s="23"/>
      <c r="Q27" s="51"/>
      <c r="R27" s="51"/>
      <c r="S27" s="51"/>
      <c r="T27" s="51"/>
      <c r="U27" s="51"/>
      <c r="V27" s="51"/>
      <c r="W27" s="23"/>
      <c r="X27" s="51"/>
      <c r="Y27" s="51"/>
      <c r="Z27" s="23"/>
      <c r="AA27" s="51"/>
      <c r="AB27" s="51"/>
      <c r="AC27" s="51"/>
      <c r="AD27" s="51"/>
      <c r="AE27" s="67"/>
      <c r="AF27" s="67"/>
      <c r="AG27" s="67"/>
      <c r="AH27" s="67"/>
      <c r="AI27" s="67"/>
      <c r="AJ27" s="68"/>
      <c r="AK27" s="67"/>
      <c r="AL27" s="67"/>
      <c r="AM27" s="67"/>
      <c r="AN27" s="67"/>
      <c r="AO27" s="67"/>
      <c r="AP27" s="23"/>
      <c r="AQ27" s="51"/>
      <c r="AR27" s="51"/>
      <c r="AS27" s="21">
        <f t="shared" ref="AS27:AS32" si="14">IF(E27-G27-H27-I27-J27-K27-L27-M27-N27-O27-P27-Q27-R27-S27-T27-U27-V27-W27-X27-Y27-Z27-AA27-AB27-AC27-AD27-AE27-AF27-AG27-AH27-AI27-AJ27-AK27-AL27-AM27-AN27-AO27-AP27-AQ27-AR27&lt;0,0,E27-G27-H27-I27-J27-K27-L27-M27-N27-O27-P27-Q27-R27-S27-T27-U27-V27-W27-X27-Y27-Z27-AA27-AB27-AC27-AD27-AE27-AF27-AG27-AH27-AI27-AJ27-AK27-AL27-AM27-AN27-AO27-AP27-AQ27-AR27)</f>
        <v>0</v>
      </c>
      <c r="AT27" s="82">
        <v>0.1</v>
      </c>
      <c r="AU27" s="83">
        <f t="shared" ref="AU27:AU32" si="15">G27*$G$7+H27*$H$7+I27*$I$7+J27*$J$7+K27*$K$7+L27*$L$7+M27*$M$7+N27*$N$7+O27*$O$7+P27*$P$7+Q27*$Q$7+R27*$R$7+S27*$S$7+T27*$T$7+U27*$U$7+V27*$V$7+W27*$W$7+X27*$X$7+Y27*$Y$7++Z27*$Z$7+AA27*$AA$7+AB27*$AB$7+AC27*$AC$7+AD27*$AD$7+AE27*$AE$7+AF27*$AF$7+AH27*$AH$7+AI27*$AI$7+AJ27*$AJ$7+AK27*$AK$7+AL27*$AL$7+AM27*$AM$7+AN27*$AN$7+AO27*$AO$7+AP27*$AP$7+AQ27*$AQ$7+AR27*$AR$7+AS27*AT27+AG27*$AG$7</f>
        <v>0</v>
      </c>
      <c r="AV27" s="80">
        <f t="shared" si="2"/>
        <v>0</v>
      </c>
    </row>
    <row r="28" ht="20.5" customHeight="1" spans="1:48">
      <c r="A28" s="19">
        <v>20</v>
      </c>
      <c r="B28" s="27" t="s">
        <v>92</v>
      </c>
      <c r="C28" s="23"/>
      <c r="D28" s="23"/>
      <c r="E28" s="21">
        <f t="shared" si="12"/>
        <v>0</v>
      </c>
      <c r="F28" s="23"/>
      <c r="G28" s="23"/>
      <c r="H28" s="23"/>
      <c r="I28" s="51"/>
      <c r="J28" s="23"/>
      <c r="K28" s="23"/>
      <c r="L28" s="51"/>
      <c r="M28" s="23"/>
      <c r="N28" s="23"/>
      <c r="O28" s="51"/>
      <c r="P28" s="23"/>
      <c r="Q28" s="23"/>
      <c r="R28" s="51"/>
      <c r="S28" s="63"/>
      <c r="T28" s="51"/>
      <c r="U28" s="51"/>
      <c r="V28" s="51"/>
      <c r="W28" s="23"/>
      <c r="X28" s="23"/>
      <c r="Y28" s="51"/>
      <c r="Z28" s="23"/>
      <c r="AA28" s="23"/>
      <c r="AB28" s="51"/>
      <c r="AC28" s="51"/>
      <c r="AD28" s="51"/>
      <c r="AE28" s="51"/>
      <c r="AF28" s="51"/>
      <c r="AG28" s="51"/>
      <c r="AH28" s="51"/>
      <c r="AI28" s="51"/>
      <c r="AJ28" s="68"/>
      <c r="AK28" s="68"/>
      <c r="AL28" s="51"/>
      <c r="AM28" s="51"/>
      <c r="AN28" s="51"/>
      <c r="AO28" s="51"/>
      <c r="AP28" s="23"/>
      <c r="AQ28" s="23"/>
      <c r="AR28" s="51"/>
      <c r="AS28" s="21">
        <f t="shared" si="14"/>
        <v>0</v>
      </c>
      <c r="AT28" s="82">
        <v>0.2</v>
      </c>
      <c r="AU28" s="83">
        <f t="shared" si="15"/>
        <v>0</v>
      </c>
      <c r="AV28" s="80">
        <f t="shared" si="2"/>
        <v>0</v>
      </c>
    </row>
    <row r="29" spans="1:48">
      <c r="A29" s="19">
        <v>21</v>
      </c>
      <c r="B29" s="27" t="s">
        <v>341</v>
      </c>
      <c r="C29" s="23"/>
      <c r="D29" s="23"/>
      <c r="E29" s="21">
        <f t="shared" si="12"/>
        <v>0</v>
      </c>
      <c r="F29" s="23"/>
      <c r="G29" s="23"/>
      <c r="H29" s="23"/>
      <c r="I29" s="51"/>
      <c r="J29" s="23"/>
      <c r="K29" s="23"/>
      <c r="L29" s="51"/>
      <c r="M29" s="23"/>
      <c r="N29" s="23"/>
      <c r="O29" s="51"/>
      <c r="P29" s="23"/>
      <c r="Q29" s="23"/>
      <c r="R29" s="51"/>
      <c r="S29" s="63"/>
      <c r="T29" s="51"/>
      <c r="U29" s="51"/>
      <c r="V29" s="51"/>
      <c r="W29" s="23"/>
      <c r="X29" s="23"/>
      <c r="Y29" s="51"/>
      <c r="Z29" s="23"/>
      <c r="AA29" s="23"/>
      <c r="AB29" s="51"/>
      <c r="AC29" s="51"/>
      <c r="AD29" s="51"/>
      <c r="AE29" s="51"/>
      <c r="AF29" s="51"/>
      <c r="AG29" s="51"/>
      <c r="AH29" s="51"/>
      <c r="AI29" s="51"/>
      <c r="AJ29" s="68"/>
      <c r="AK29" s="68"/>
      <c r="AL29" s="51"/>
      <c r="AM29" s="51"/>
      <c r="AN29" s="51"/>
      <c r="AO29" s="51"/>
      <c r="AP29" s="23"/>
      <c r="AQ29" s="23"/>
      <c r="AR29" s="51"/>
      <c r="AS29" s="21">
        <f t="shared" si="14"/>
        <v>0</v>
      </c>
      <c r="AT29" s="82">
        <v>0.2</v>
      </c>
      <c r="AU29" s="83">
        <f t="shared" si="15"/>
        <v>0</v>
      </c>
      <c r="AV29" s="80">
        <f t="shared" si="2"/>
        <v>0</v>
      </c>
    </row>
    <row r="30" ht="24" spans="1:48">
      <c r="A30" s="19">
        <v>22</v>
      </c>
      <c r="B30" s="25" t="s">
        <v>93</v>
      </c>
      <c r="C30" s="23"/>
      <c r="D30" s="23"/>
      <c r="E30" s="21">
        <f t="shared" si="12"/>
        <v>0</v>
      </c>
      <c r="F30" s="23"/>
      <c r="G30" s="23"/>
      <c r="H30" s="23"/>
      <c r="I30" s="51"/>
      <c r="J30" s="23"/>
      <c r="K30" s="23"/>
      <c r="L30" s="51"/>
      <c r="M30" s="23"/>
      <c r="N30" s="23"/>
      <c r="O30" s="51"/>
      <c r="P30" s="23"/>
      <c r="Q30" s="23"/>
      <c r="R30" s="51"/>
      <c r="S30" s="63"/>
      <c r="T30" s="51"/>
      <c r="U30" s="51"/>
      <c r="V30" s="51"/>
      <c r="W30" s="23"/>
      <c r="X30" s="23"/>
      <c r="Y30" s="51"/>
      <c r="Z30" s="23"/>
      <c r="AA30" s="23"/>
      <c r="AB30" s="51"/>
      <c r="AC30" s="51"/>
      <c r="AD30" s="51"/>
      <c r="AE30" s="51"/>
      <c r="AF30" s="51"/>
      <c r="AG30" s="51"/>
      <c r="AH30" s="51"/>
      <c r="AI30" s="51"/>
      <c r="AJ30" s="68"/>
      <c r="AK30" s="68"/>
      <c r="AL30" s="51"/>
      <c r="AM30" s="51"/>
      <c r="AN30" s="51"/>
      <c r="AO30" s="51"/>
      <c r="AP30" s="23"/>
      <c r="AQ30" s="23"/>
      <c r="AR30" s="51"/>
      <c r="AS30" s="21">
        <f t="shared" si="14"/>
        <v>0</v>
      </c>
      <c r="AT30" s="82">
        <v>0.2</v>
      </c>
      <c r="AU30" s="83">
        <f t="shared" si="15"/>
        <v>0</v>
      </c>
      <c r="AV30" s="80">
        <f t="shared" si="2"/>
        <v>0</v>
      </c>
    </row>
    <row r="31" ht="20.5" customHeight="1" spans="1:48">
      <c r="A31" s="19">
        <v>23</v>
      </c>
      <c r="B31" s="22" t="s">
        <v>342</v>
      </c>
      <c r="C31" s="23"/>
      <c r="D31" s="23"/>
      <c r="E31" s="21">
        <f t="shared" si="12"/>
        <v>0</v>
      </c>
      <c r="F31" s="23"/>
      <c r="G31" s="23"/>
      <c r="H31" s="23"/>
      <c r="I31" s="23"/>
      <c r="J31" s="23"/>
      <c r="K31" s="23"/>
      <c r="L31" s="23"/>
      <c r="M31" s="23"/>
      <c r="N31" s="23"/>
      <c r="O31" s="23"/>
      <c r="P31" s="23"/>
      <c r="Q31" s="23"/>
      <c r="R31" s="23"/>
      <c r="S31" s="23"/>
      <c r="T31" s="23"/>
      <c r="U31" s="23"/>
      <c r="V31" s="51"/>
      <c r="W31" s="23"/>
      <c r="X31" s="23"/>
      <c r="Y31" s="23"/>
      <c r="Z31" s="23"/>
      <c r="AA31" s="23"/>
      <c r="AB31" s="23"/>
      <c r="AC31" s="23"/>
      <c r="AD31" s="51"/>
      <c r="AE31" s="68"/>
      <c r="AF31" s="51"/>
      <c r="AG31" s="68"/>
      <c r="AH31" s="68"/>
      <c r="AI31" s="68"/>
      <c r="AJ31" s="68"/>
      <c r="AK31" s="68"/>
      <c r="AL31" s="68"/>
      <c r="AM31" s="68"/>
      <c r="AN31" s="68"/>
      <c r="AO31" s="51"/>
      <c r="AP31" s="23"/>
      <c r="AQ31" s="23"/>
      <c r="AR31" s="23"/>
      <c r="AS31" s="21">
        <f t="shared" si="14"/>
        <v>0</v>
      </c>
      <c r="AT31" s="82">
        <v>0.5</v>
      </c>
      <c r="AU31" s="83">
        <f t="shared" si="15"/>
        <v>0</v>
      </c>
      <c r="AV31" s="80">
        <f t="shared" si="2"/>
        <v>0</v>
      </c>
    </row>
    <row r="32" ht="21" customHeight="1" spans="1:48">
      <c r="A32" s="19">
        <v>24</v>
      </c>
      <c r="B32" s="24" t="s">
        <v>343</v>
      </c>
      <c r="C32" s="23"/>
      <c r="D32" s="23"/>
      <c r="E32" s="21">
        <f t="shared" si="12"/>
        <v>0</v>
      </c>
      <c r="F32" s="23"/>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81">
        <f t="shared" si="14"/>
        <v>0</v>
      </c>
      <c r="AT32" s="82">
        <v>0</v>
      </c>
      <c r="AU32" s="83">
        <f t="shared" si="15"/>
        <v>0</v>
      </c>
      <c r="AV32" s="80">
        <f t="shared" si="2"/>
        <v>0</v>
      </c>
    </row>
    <row r="33" ht="21" customHeight="1" spans="1:48">
      <c r="A33" s="19">
        <v>25</v>
      </c>
      <c r="B33" s="24" t="s">
        <v>98</v>
      </c>
      <c r="C33" s="21">
        <f t="shared" ref="C33:AS33" si="16">C34+C35+C36+C37+C38</f>
        <v>0</v>
      </c>
      <c r="D33" s="21">
        <f t="shared" si="16"/>
        <v>0</v>
      </c>
      <c r="E33" s="21">
        <f t="shared" si="16"/>
        <v>0</v>
      </c>
      <c r="F33" s="21">
        <f t="shared" si="16"/>
        <v>0</v>
      </c>
      <c r="G33" s="21">
        <f t="shared" si="16"/>
        <v>0</v>
      </c>
      <c r="H33" s="21">
        <f t="shared" si="16"/>
        <v>0</v>
      </c>
      <c r="I33" s="21">
        <f t="shared" si="16"/>
        <v>0</v>
      </c>
      <c r="J33" s="21">
        <f t="shared" si="16"/>
        <v>0</v>
      </c>
      <c r="K33" s="21">
        <f t="shared" si="16"/>
        <v>0</v>
      </c>
      <c r="L33" s="21">
        <f t="shared" si="16"/>
        <v>0</v>
      </c>
      <c r="M33" s="21">
        <f t="shared" si="16"/>
        <v>0</v>
      </c>
      <c r="N33" s="21">
        <f t="shared" si="16"/>
        <v>0</v>
      </c>
      <c r="O33" s="21">
        <f t="shared" si="16"/>
        <v>0</v>
      </c>
      <c r="P33" s="21">
        <f t="shared" si="16"/>
        <v>0</v>
      </c>
      <c r="Q33" s="21">
        <f t="shared" si="16"/>
        <v>0</v>
      </c>
      <c r="R33" s="21">
        <f t="shared" si="16"/>
        <v>0</v>
      </c>
      <c r="S33" s="21">
        <f t="shared" si="16"/>
        <v>0</v>
      </c>
      <c r="T33" s="21">
        <f t="shared" si="16"/>
        <v>0</v>
      </c>
      <c r="U33" s="21">
        <f t="shared" si="16"/>
        <v>0</v>
      </c>
      <c r="V33" s="21">
        <f t="shared" si="16"/>
        <v>0</v>
      </c>
      <c r="W33" s="21">
        <f t="shared" si="16"/>
        <v>0</v>
      </c>
      <c r="X33" s="21">
        <f t="shared" si="16"/>
        <v>0</v>
      </c>
      <c r="Y33" s="21">
        <f t="shared" si="16"/>
        <v>0</v>
      </c>
      <c r="Z33" s="21">
        <f t="shared" si="16"/>
        <v>0</v>
      </c>
      <c r="AA33" s="21">
        <f t="shared" si="16"/>
        <v>0</v>
      </c>
      <c r="AB33" s="21">
        <f t="shared" si="16"/>
        <v>0</v>
      </c>
      <c r="AC33" s="21">
        <f t="shared" si="16"/>
        <v>0</v>
      </c>
      <c r="AD33" s="21">
        <f t="shared" si="16"/>
        <v>0</v>
      </c>
      <c r="AE33" s="21">
        <f t="shared" si="16"/>
        <v>0</v>
      </c>
      <c r="AF33" s="21">
        <f t="shared" si="16"/>
        <v>0</v>
      </c>
      <c r="AG33" s="21">
        <f t="shared" si="16"/>
        <v>0</v>
      </c>
      <c r="AH33" s="21">
        <f t="shared" si="16"/>
        <v>0</v>
      </c>
      <c r="AI33" s="21">
        <f t="shared" si="16"/>
        <v>0</v>
      </c>
      <c r="AJ33" s="21">
        <f t="shared" si="16"/>
        <v>0</v>
      </c>
      <c r="AK33" s="21">
        <f t="shared" si="16"/>
        <v>0</v>
      </c>
      <c r="AL33" s="21">
        <f t="shared" si="16"/>
        <v>0</v>
      </c>
      <c r="AM33" s="21">
        <f t="shared" si="16"/>
        <v>0</v>
      </c>
      <c r="AN33" s="21">
        <f t="shared" si="16"/>
        <v>0</v>
      </c>
      <c r="AO33" s="21">
        <f t="shared" si="16"/>
        <v>0</v>
      </c>
      <c r="AP33" s="21">
        <f t="shared" si="16"/>
        <v>0</v>
      </c>
      <c r="AQ33" s="21">
        <f t="shared" si="16"/>
        <v>0</v>
      </c>
      <c r="AR33" s="21">
        <f t="shared" si="16"/>
        <v>0</v>
      </c>
      <c r="AS33" s="21">
        <f t="shared" si="16"/>
        <v>0</v>
      </c>
      <c r="AT33" s="79"/>
      <c r="AU33" s="21">
        <f>AU34+AU35+AU36+AU37+AU38</f>
        <v>0</v>
      </c>
      <c r="AV33" s="80">
        <f t="shared" si="2"/>
        <v>0</v>
      </c>
    </row>
    <row r="34" ht="19" customHeight="1" spans="1:48">
      <c r="A34" s="19">
        <v>26</v>
      </c>
      <c r="B34" s="22" t="s">
        <v>344</v>
      </c>
      <c r="C34" s="23"/>
      <c r="D34" s="23"/>
      <c r="E34" s="21">
        <f t="shared" ref="E34:E38" si="17">C34-D34</f>
        <v>0</v>
      </c>
      <c r="F34" s="23"/>
      <c r="G34" s="23"/>
      <c r="H34" s="23"/>
      <c r="I34" s="51"/>
      <c r="J34" s="23"/>
      <c r="K34" s="23"/>
      <c r="L34" s="51"/>
      <c r="M34" s="23"/>
      <c r="N34" s="23"/>
      <c r="O34" s="51"/>
      <c r="P34" s="23"/>
      <c r="Q34" s="23"/>
      <c r="R34" s="51"/>
      <c r="S34" s="63"/>
      <c r="T34" s="51"/>
      <c r="U34" s="51"/>
      <c r="V34" s="51"/>
      <c r="W34" s="23"/>
      <c r="X34" s="23"/>
      <c r="Y34" s="51"/>
      <c r="Z34" s="23"/>
      <c r="AA34" s="23"/>
      <c r="AB34" s="51"/>
      <c r="AC34" s="51"/>
      <c r="AD34" s="51"/>
      <c r="AE34" s="51"/>
      <c r="AF34" s="51"/>
      <c r="AG34" s="51"/>
      <c r="AH34" s="51"/>
      <c r="AI34" s="51"/>
      <c r="AJ34" s="68"/>
      <c r="AK34" s="68"/>
      <c r="AL34" s="51"/>
      <c r="AM34" s="51"/>
      <c r="AN34" s="51"/>
      <c r="AO34" s="51"/>
      <c r="AP34" s="23"/>
      <c r="AQ34" s="23"/>
      <c r="AR34" s="51"/>
      <c r="AS34" s="21">
        <f t="shared" ref="AS34:AS38" si="18">IF(E34-G34-H34-I34-J34-K34-L34-M34-N34-O34-P34-Q34-R34-S34-T34-U34-V34-W34-X34-Y34-Z34-AA34-AB34-AC34-AD34-AE34-AF34-AG34-AH34-AI34-AJ34-AK34-AL34-AM34-AN34-AO34-AP34-AQ34-AR34&lt;0,0,E34-G34-H34-I34-J34-K34-L34-M34-N34-O34-P34-Q34-R34-S34-T34-U34-V34-W34-X34-Y34-Z34-AA34-AB34-AC34-AD34-AE34-AF34-AG34-AH34-AI34-AJ34-AK34-AL34-AM34-AN34-AO34-AP34-AQ34-AR34)</f>
        <v>0</v>
      </c>
      <c r="AT34" s="82">
        <v>0.2</v>
      </c>
      <c r="AU34" s="83">
        <f>G34*$G$7+H34*$H$7+I34*$I$7+J34*$J$7+K34*$K$7+L34*$L$7+M34*$M$7+N34*$N$7+O34*$O$7+P34*$P$7+Q34*$Q$7+R34*$R$7+S34*$S$7+T34*$T$7+U34*$U$7+V34*$V$7+W34*$W$7+X34*$X$7+Y34*$Y$7++Z34*$Z$7+AA34*$AA$7+AB34*$AB$7+AC34*$AC$7+AD34*$AD$7+AE34*$AE$7+AF34*$AF$7+AH34*$AH$7+AI34*$AI$7+AJ34*$AJ$7+AK34*$AK$7+AL34*$AL$7+AM34*$AM$7+AN34*$AN$7+AO34*$AO$7+AP34*$AP$7+AQ34*$AQ$7+AR34*$AR$7+AS34*AT34+AG34*$AG$7</f>
        <v>0</v>
      </c>
      <c r="AV34" s="80">
        <f t="shared" si="2"/>
        <v>0</v>
      </c>
    </row>
    <row r="35" ht="19" customHeight="1" spans="1:48">
      <c r="A35" s="19">
        <v>27</v>
      </c>
      <c r="B35" s="22" t="s">
        <v>345</v>
      </c>
      <c r="C35" s="23"/>
      <c r="D35" s="23"/>
      <c r="E35" s="21">
        <f t="shared" si="17"/>
        <v>0</v>
      </c>
      <c r="F35" s="23"/>
      <c r="G35" s="23"/>
      <c r="H35" s="23"/>
      <c r="I35" s="23"/>
      <c r="J35" s="23"/>
      <c r="K35" s="23"/>
      <c r="L35" s="23"/>
      <c r="M35" s="23"/>
      <c r="N35" s="23"/>
      <c r="O35" s="23"/>
      <c r="P35" s="23"/>
      <c r="Q35" s="23"/>
      <c r="R35" s="23"/>
      <c r="S35" s="23"/>
      <c r="T35" s="23"/>
      <c r="U35" s="23"/>
      <c r="V35" s="51"/>
      <c r="W35" s="23"/>
      <c r="X35" s="23"/>
      <c r="Y35" s="23"/>
      <c r="Z35" s="23"/>
      <c r="AA35" s="23"/>
      <c r="AB35" s="23"/>
      <c r="AC35" s="23"/>
      <c r="AD35" s="51"/>
      <c r="AE35" s="68"/>
      <c r="AF35" s="51"/>
      <c r="AG35" s="68"/>
      <c r="AH35" s="68"/>
      <c r="AI35" s="68"/>
      <c r="AJ35" s="68"/>
      <c r="AK35" s="68"/>
      <c r="AL35" s="68"/>
      <c r="AM35" s="68"/>
      <c r="AN35" s="68"/>
      <c r="AO35" s="51"/>
      <c r="AP35" s="23"/>
      <c r="AQ35" s="23"/>
      <c r="AR35" s="23"/>
      <c r="AS35" s="21">
        <f t="shared" si="18"/>
        <v>0</v>
      </c>
      <c r="AT35" s="82">
        <v>0.5</v>
      </c>
      <c r="AU35" s="83">
        <f>G35*$G$7+H35*$H$7+I35*$I$7+J35*$J$7+K35*$K$7+L35*$L$7+M35*$M$7+N35*$N$7+O35*$O$7+P35*$P$7+Q35*$Q$7+R35*$R$7+S35*$S$7+T35*$T$7+U35*$U$7+V35*$V$7+W35*$W$7+X35*$X$7+Y35*$Y$7++Z35*$Z$7+AA35*$AA$7+AB35*$AB$7+AC35*$AC$7+AD35*$AD$7+AE35*$AE$7+AF35*$AF$7+AH35*$AH$7+AI35*$AI$7+AJ35*$AJ$7+AK35*$AK$7+AL35*$AL$7+AM35*$AM$7+AN35*$AN$7+AO35*$AO$7+AP35*$AP$7+AQ35*$AQ$7+AR35*$AR$7+AS35*AT35+AG35*$AG$7</f>
        <v>0</v>
      </c>
      <c r="AV35" s="80">
        <f t="shared" si="2"/>
        <v>0</v>
      </c>
    </row>
    <row r="36" ht="19" customHeight="1" spans="1:48">
      <c r="A36" s="19">
        <v>28</v>
      </c>
      <c r="B36" s="22" t="s">
        <v>346</v>
      </c>
      <c r="C36" s="23"/>
      <c r="D36" s="23"/>
      <c r="E36" s="21">
        <f t="shared" si="17"/>
        <v>0</v>
      </c>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1">
        <f t="shared" si="18"/>
        <v>0</v>
      </c>
      <c r="AT36" s="82">
        <v>1</v>
      </c>
      <c r="AU36" s="83">
        <f>G36*$G$7+H36*$H$7+I36*$I$7+J36*$J$7+K36*$K$7+L36*$L$7+M36*$M$7+N36*$N$7+O36*$O$7+P36*$P$7+Q36*$Q$7+R36*$R$7+S36*$S$7+T36*$T$7+U36*$U$7+V36*$V$7+W36*$W$7+X36*$X$7+Y36*$Y$7++Z36*$Z$7+AA36*$AA$7+AB36*$AB$7+AC36*$AC$7+AD36*$AD$7+AE36*$AE$7+AF36*$AF$7+AH36*$AH$7+AI36*$AI$7+AJ36*$AJ$7+AK36*$AK$7+AL36*$AL$7+AM36*$AM$7+AN36*$AN$7+AO36*$AO$7+AP36*$AP$7+AQ36*$AQ$7+AR36*$AR$7+AS36*AT36+AG36*$AG$7</f>
        <v>0</v>
      </c>
      <c r="AV36" s="80">
        <f t="shared" si="2"/>
        <v>0</v>
      </c>
    </row>
    <row r="37" ht="19" customHeight="1" spans="1:48">
      <c r="A37" s="19">
        <v>29</v>
      </c>
      <c r="B37" s="22" t="s">
        <v>347</v>
      </c>
      <c r="C37" s="23"/>
      <c r="D37" s="23"/>
      <c r="E37" s="21">
        <f t="shared" si="17"/>
        <v>0</v>
      </c>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1">
        <f t="shared" si="18"/>
        <v>0</v>
      </c>
      <c r="AT37" s="82">
        <v>1.5</v>
      </c>
      <c r="AU37" s="83">
        <f>G37*$G$7+H37*$H$7+I37*$I$7+J37*$J$7+K37*$K$7+L37*$L$7+M37*$M$7+N37*$N$7+O37*$O$7+P37*$P$7+Q37*$Q$7+R37*$R$7+S37*$S$7+T37*$T$7+U37*$U$7+V37*$V$7+W37*$W$7+X37*$X$7+Y37*$Y$7++Z37*$Z$7+AA37*$AA$7+AB37*$AB$7+AC37*$AC$7+AD37*$AD$7+AE37*$AE$7+AF37*$AF$7+AH37*$AH$7+AI37*$AI$7+AJ37*$AJ$7+AK37*$AK$7+AL37*$AL$7+AM37*$AM$7+AN37*$AN$7+AO37*$AO$7+AP37*$AP$7+AQ37*$AQ$7+AR37*$AR$7+AS37*AT37+AG37*$AG$7</f>
        <v>0</v>
      </c>
      <c r="AV37" s="80">
        <f t="shared" si="2"/>
        <v>0</v>
      </c>
    </row>
    <row r="38" ht="19" customHeight="1" spans="1:48">
      <c r="A38" s="19">
        <v>30</v>
      </c>
      <c r="B38" s="22" t="s">
        <v>348</v>
      </c>
      <c r="C38" s="23"/>
      <c r="D38" s="23"/>
      <c r="E38" s="21">
        <f t="shared" si="17"/>
        <v>0</v>
      </c>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1">
        <f t="shared" si="18"/>
        <v>0</v>
      </c>
      <c r="AT38" s="82">
        <v>1</v>
      </c>
      <c r="AU38" s="83">
        <f>G38*$G$7+H38*$H$7+I38*$I$7+J38*$J$7+K38*$K$7+L38*$L$7+M38*$M$7+N38*$N$7+O38*$O$7+P38*$P$7+Q38*$Q$7+R38*$R$7+S38*$S$7+T38*$T$7+U38*$U$7+V38*$V$7+W38*$W$7+X38*$X$7+Y38*$Y$7++Z38*$Z$7+AA38*$AA$7+AB38*$AB$7+AC38*$AC$7+AD38*$AD$7+AE38*$AE$7+AF38*$AF$7+AH38*$AH$7+AI38*$AI$7+AJ38*$AJ$7+AK38*$AK$7+AL38*$AL$7+AM38*$AM$7+AN38*$AN$7+AO38*$AO$7+AP38*$AP$7+AQ38*$AQ$7+AR38*$AR$7+AS38*AT38+AG38*$AG$7</f>
        <v>0</v>
      </c>
      <c r="AV38" s="80">
        <f t="shared" si="2"/>
        <v>0</v>
      </c>
    </row>
    <row r="39" ht="21" customHeight="1" spans="1:48">
      <c r="A39" s="19">
        <v>31</v>
      </c>
      <c r="B39" s="28" t="s">
        <v>105</v>
      </c>
      <c r="C39" s="21">
        <f t="shared" ref="C39:AS39" si="19">C40+C41+C42+C43+C44+C45+C46</f>
        <v>0</v>
      </c>
      <c r="D39" s="21">
        <f t="shared" si="19"/>
        <v>0</v>
      </c>
      <c r="E39" s="21">
        <f t="shared" si="19"/>
        <v>0</v>
      </c>
      <c r="F39" s="21">
        <f t="shared" si="19"/>
        <v>0</v>
      </c>
      <c r="G39" s="21">
        <f t="shared" si="19"/>
        <v>0</v>
      </c>
      <c r="H39" s="21">
        <f t="shared" si="19"/>
        <v>0</v>
      </c>
      <c r="I39" s="21">
        <f t="shared" si="19"/>
        <v>0</v>
      </c>
      <c r="J39" s="21">
        <f t="shared" si="19"/>
        <v>0</v>
      </c>
      <c r="K39" s="21">
        <f t="shared" si="19"/>
        <v>0</v>
      </c>
      <c r="L39" s="21">
        <f t="shared" si="19"/>
        <v>0</v>
      </c>
      <c r="M39" s="21">
        <f t="shared" si="19"/>
        <v>0</v>
      </c>
      <c r="N39" s="21">
        <f t="shared" si="19"/>
        <v>0</v>
      </c>
      <c r="O39" s="21">
        <f t="shared" si="19"/>
        <v>0</v>
      </c>
      <c r="P39" s="21">
        <f t="shared" si="19"/>
        <v>0</v>
      </c>
      <c r="Q39" s="21">
        <f t="shared" si="19"/>
        <v>0</v>
      </c>
      <c r="R39" s="21">
        <f t="shared" si="19"/>
        <v>0</v>
      </c>
      <c r="S39" s="21">
        <f t="shared" si="19"/>
        <v>0</v>
      </c>
      <c r="T39" s="21">
        <f t="shared" si="19"/>
        <v>0</v>
      </c>
      <c r="U39" s="21">
        <f t="shared" si="19"/>
        <v>0</v>
      </c>
      <c r="V39" s="21">
        <f t="shared" si="19"/>
        <v>0</v>
      </c>
      <c r="W39" s="21">
        <f t="shared" si="19"/>
        <v>0</v>
      </c>
      <c r="X39" s="21">
        <f t="shared" si="19"/>
        <v>0</v>
      </c>
      <c r="Y39" s="21">
        <f t="shared" si="19"/>
        <v>0</v>
      </c>
      <c r="Z39" s="21">
        <f t="shared" si="19"/>
        <v>0</v>
      </c>
      <c r="AA39" s="21">
        <f t="shared" si="19"/>
        <v>0</v>
      </c>
      <c r="AB39" s="21">
        <f t="shared" si="19"/>
        <v>0</v>
      </c>
      <c r="AC39" s="21">
        <f t="shared" si="19"/>
        <v>0</v>
      </c>
      <c r="AD39" s="21">
        <f t="shared" si="19"/>
        <v>0</v>
      </c>
      <c r="AE39" s="21">
        <f t="shared" si="19"/>
        <v>0</v>
      </c>
      <c r="AF39" s="21">
        <f t="shared" si="19"/>
        <v>0</v>
      </c>
      <c r="AG39" s="21">
        <f t="shared" si="19"/>
        <v>0</v>
      </c>
      <c r="AH39" s="21">
        <f t="shared" si="19"/>
        <v>0</v>
      </c>
      <c r="AI39" s="21">
        <f t="shared" si="19"/>
        <v>0</v>
      </c>
      <c r="AJ39" s="21">
        <f t="shared" si="19"/>
        <v>0</v>
      </c>
      <c r="AK39" s="21">
        <f t="shared" si="19"/>
        <v>0</v>
      </c>
      <c r="AL39" s="21">
        <f t="shared" si="19"/>
        <v>0</v>
      </c>
      <c r="AM39" s="21">
        <f t="shared" si="19"/>
        <v>0</v>
      </c>
      <c r="AN39" s="21">
        <f t="shared" si="19"/>
        <v>0</v>
      </c>
      <c r="AO39" s="21">
        <f t="shared" si="19"/>
        <v>0</v>
      </c>
      <c r="AP39" s="21">
        <f t="shared" si="19"/>
        <v>0</v>
      </c>
      <c r="AQ39" s="21">
        <f t="shared" si="19"/>
        <v>0</v>
      </c>
      <c r="AR39" s="21">
        <f t="shared" si="19"/>
        <v>0</v>
      </c>
      <c r="AS39" s="21">
        <f t="shared" si="19"/>
        <v>0</v>
      </c>
      <c r="AT39" s="79"/>
      <c r="AU39" s="21">
        <f>AU40+AU41+AU42+AU43+AU44+AU45+AU46</f>
        <v>0</v>
      </c>
      <c r="AV39" s="80">
        <f t="shared" si="2"/>
        <v>0</v>
      </c>
    </row>
    <row r="40" ht="20.5" customHeight="1" spans="1:48">
      <c r="A40" s="19">
        <v>32</v>
      </c>
      <c r="B40" s="22" t="s">
        <v>106</v>
      </c>
      <c r="C40" s="23"/>
      <c r="D40" s="23"/>
      <c r="E40" s="21">
        <f t="shared" ref="E40:E46" si="20">C40-D40</f>
        <v>0</v>
      </c>
      <c r="F40" s="23"/>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81">
        <f>IF(E40-G40-H40-I40-J40-K40-L40-M40-N40-O40-P40-Q40-R40-S40-T40-U40-V40-W40-X40-Y40-Z40-AA40-AB40-AC40-AD40-AE40-AF40-AG40-AH40-AI40-AJ40-AK40-AL40-AM40-AN40-AO40-AP40-AQ40-AR40&lt;0,0,E40-G40-H40-I40-J40-K40-L40-M40-N40-O40-P40-Q40-R40-S40-T40-U40-V40-W40-X40-Y40-Z40-AA40-AB40-AC40-AD40-AE40-AF40-AG40-AH40-AI40-AJ40-AK40-AL40-AM40-AN40-AO40-AP40-AQ40-AR40)</f>
        <v>0</v>
      </c>
      <c r="AT40" s="82">
        <v>0</v>
      </c>
      <c r="AU40" s="83">
        <f t="shared" ref="AU40:AU46" si="21">G40*$G$7+H40*$H$7+I40*$I$7+J40*$J$7+K40*$K$7+L40*$L$7+M40*$M$7+N40*$N$7+O40*$O$7+P40*$P$7+Q40*$Q$7+R40*$R$7+S40*$S$7+T40*$T$7+U40*$U$7+V40*$V$7+W40*$W$7+X40*$X$7+Y40*$Y$7++Z40*$Z$7+AA40*$AA$7+AB40*$AB$7+AC40*$AC$7+AD40*$AD$7+AE40*$AE$7+AF40*$AF$7+AH40*$AH$7+AI40*$AI$7+AJ40*$AJ$7+AK40*$AK$7+AL40*$AL$7+AM40*$AM$7+AN40*$AN$7+AO40*$AO$7+AP40*$AP$7+AQ40*$AQ$7+AR40*$AR$7+AS40*AT40+AG40*$AG$7</f>
        <v>0</v>
      </c>
      <c r="AV40" s="80">
        <f t="shared" si="2"/>
        <v>0</v>
      </c>
    </row>
    <row r="41" ht="20.5" customHeight="1" spans="1:48">
      <c r="A41" s="19">
        <v>33</v>
      </c>
      <c r="B41" s="22" t="s">
        <v>107</v>
      </c>
      <c r="C41" s="23"/>
      <c r="D41" s="23"/>
      <c r="E41" s="21">
        <f t="shared" si="20"/>
        <v>0</v>
      </c>
      <c r="F41" s="23"/>
      <c r="G41" s="23"/>
      <c r="H41" s="23"/>
      <c r="I41" s="51"/>
      <c r="J41" s="23"/>
      <c r="K41" s="23"/>
      <c r="L41" s="51"/>
      <c r="M41" s="23"/>
      <c r="N41" s="23"/>
      <c r="O41" s="51"/>
      <c r="P41" s="23"/>
      <c r="Q41" s="23"/>
      <c r="R41" s="51"/>
      <c r="S41" s="63"/>
      <c r="T41" s="51"/>
      <c r="U41" s="51"/>
      <c r="V41" s="51"/>
      <c r="W41" s="23"/>
      <c r="X41" s="23"/>
      <c r="Y41" s="51"/>
      <c r="Z41" s="23"/>
      <c r="AA41" s="23"/>
      <c r="AB41" s="51"/>
      <c r="AC41" s="51"/>
      <c r="AD41" s="51"/>
      <c r="AE41" s="51"/>
      <c r="AF41" s="51"/>
      <c r="AG41" s="51"/>
      <c r="AH41" s="51"/>
      <c r="AI41" s="51"/>
      <c r="AJ41" s="68"/>
      <c r="AK41" s="68"/>
      <c r="AL41" s="51"/>
      <c r="AM41" s="51"/>
      <c r="AN41" s="51"/>
      <c r="AO41" s="51"/>
      <c r="AP41" s="23"/>
      <c r="AQ41" s="23"/>
      <c r="AR41" s="51"/>
      <c r="AS41" s="21">
        <f t="shared" ref="AS41:AS46" si="22">IF(E41-G41-H41-I41-J41-K41-L41-M41-N41-O41-P41-Q41-R41-S41-T41-U41-V41-W41-X41-Y41-Z41-AA41-AB41-AC41-AD41-AE41-AF41-AG41-AH41-AI41-AJ41-AK41-AL41-AM41-AN41-AO41-AP41-AQ41-AR41&lt;0,0,E41-G41-H41-I41-J41-K41-L41-M41-N41-O41-P41-Q41-R41-S41-T41-U41-V41-W41-X41-Y41-Z41-AA41-AB41-AC41-AD41-AE41-AF41-AG41-AH41-AI41-AJ41-AK41-AL41-AM41-AN41-AO41-AP41-AQ41-AR41)</f>
        <v>0</v>
      </c>
      <c r="AT41" s="82">
        <v>0.2</v>
      </c>
      <c r="AU41" s="83">
        <f t="shared" si="21"/>
        <v>0</v>
      </c>
      <c r="AV41" s="80">
        <f t="shared" si="2"/>
        <v>0</v>
      </c>
    </row>
    <row r="42" ht="20.5" customHeight="1" spans="1:48">
      <c r="A42" s="19">
        <v>34</v>
      </c>
      <c r="B42" s="22" t="s">
        <v>108</v>
      </c>
      <c r="C42" s="23"/>
      <c r="D42" s="23"/>
      <c r="E42" s="21">
        <f t="shared" si="20"/>
        <v>0</v>
      </c>
      <c r="F42" s="23"/>
      <c r="G42" s="23"/>
      <c r="H42" s="23"/>
      <c r="I42" s="23"/>
      <c r="J42" s="23"/>
      <c r="K42" s="23"/>
      <c r="L42" s="23"/>
      <c r="M42" s="23"/>
      <c r="N42" s="23"/>
      <c r="O42" s="23"/>
      <c r="P42" s="23"/>
      <c r="Q42" s="23"/>
      <c r="R42" s="23"/>
      <c r="S42" s="23"/>
      <c r="T42" s="23"/>
      <c r="U42" s="23"/>
      <c r="V42" s="51"/>
      <c r="W42" s="23"/>
      <c r="X42" s="23"/>
      <c r="Y42" s="23"/>
      <c r="Z42" s="23"/>
      <c r="AA42" s="23"/>
      <c r="AB42" s="23"/>
      <c r="AC42" s="23"/>
      <c r="AD42" s="51"/>
      <c r="AE42" s="23"/>
      <c r="AF42" s="51"/>
      <c r="AG42" s="68"/>
      <c r="AH42" s="51"/>
      <c r="AI42" s="51"/>
      <c r="AJ42" s="23"/>
      <c r="AK42" s="23"/>
      <c r="AL42" s="23"/>
      <c r="AM42" s="23"/>
      <c r="AN42" s="51"/>
      <c r="AO42" s="51"/>
      <c r="AP42" s="23"/>
      <c r="AQ42" s="23"/>
      <c r="AR42" s="23"/>
      <c r="AS42" s="21">
        <f t="shared" si="22"/>
        <v>0</v>
      </c>
      <c r="AT42" s="82">
        <v>0.3</v>
      </c>
      <c r="AU42" s="83">
        <f t="shared" si="21"/>
        <v>0</v>
      </c>
      <c r="AV42" s="80">
        <f t="shared" si="2"/>
        <v>0</v>
      </c>
    </row>
    <row r="43" ht="20.5" customHeight="1" spans="1:48">
      <c r="A43" s="19">
        <v>35</v>
      </c>
      <c r="B43" s="22" t="s">
        <v>109</v>
      </c>
      <c r="C43" s="23"/>
      <c r="D43" s="23"/>
      <c r="E43" s="21">
        <f t="shared" si="20"/>
        <v>0</v>
      </c>
      <c r="F43" s="23"/>
      <c r="G43" s="23"/>
      <c r="H43" s="23"/>
      <c r="I43" s="23"/>
      <c r="J43" s="23"/>
      <c r="K43" s="23"/>
      <c r="L43" s="23"/>
      <c r="M43" s="23"/>
      <c r="N43" s="23"/>
      <c r="O43" s="23"/>
      <c r="P43" s="23"/>
      <c r="Q43" s="23"/>
      <c r="R43" s="23"/>
      <c r="S43" s="23"/>
      <c r="T43" s="23"/>
      <c r="U43" s="23"/>
      <c r="V43" s="51"/>
      <c r="W43" s="23"/>
      <c r="X43" s="23"/>
      <c r="Y43" s="23"/>
      <c r="Z43" s="23"/>
      <c r="AA43" s="23"/>
      <c r="AB43" s="23"/>
      <c r="AC43" s="23"/>
      <c r="AD43" s="51"/>
      <c r="AE43" s="68"/>
      <c r="AF43" s="51"/>
      <c r="AG43" s="68"/>
      <c r="AH43" s="68"/>
      <c r="AI43" s="68"/>
      <c r="AJ43" s="68"/>
      <c r="AK43" s="68"/>
      <c r="AL43" s="68"/>
      <c r="AM43" s="68"/>
      <c r="AN43" s="68"/>
      <c r="AO43" s="51"/>
      <c r="AP43" s="23"/>
      <c r="AQ43" s="23"/>
      <c r="AR43" s="23"/>
      <c r="AS43" s="21">
        <f t="shared" si="22"/>
        <v>0</v>
      </c>
      <c r="AT43" s="82">
        <v>0.5</v>
      </c>
      <c r="AU43" s="83">
        <f t="shared" si="21"/>
        <v>0</v>
      </c>
      <c r="AV43" s="80">
        <f t="shared" si="2"/>
        <v>0</v>
      </c>
    </row>
    <row r="44" ht="20.5" customHeight="1" spans="1:48">
      <c r="A44" s="19">
        <v>36</v>
      </c>
      <c r="B44" s="22" t="s">
        <v>110</v>
      </c>
      <c r="C44" s="23"/>
      <c r="D44" s="23"/>
      <c r="E44" s="21">
        <f t="shared" si="20"/>
        <v>0</v>
      </c>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1">
        <f t="shared" si="22"/>
        <v>0</v>
      </c>
      <c r="AT44" s="82">
        <v>1</v>
      </c>
      <c r="AU44" s="83">
        <f t="shared" si="21"/>
        <v>0</v>
      </c>
      <c r="AV44" s="80">
        <f t="shared" si="2"/>
        <v>0</v>
      </c>
    </row>
    <row r="45" ht="20.5" customHeight="1" spans="1:48">
      <c r="A45" s="19">
        <v>37</v>
      </c>
      <c r="B45" s="22" t="s">
        <v>111</v>
      </c>
      <c r="C45" s="23"/>
      <c r="D45" s="23"/>
      <c r="E45" s="21">
        <f t="shared" si="20"/>
        <v>0</v>
      </c>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1">
        <f t="shared" si="22"/>
        <v>0</v>
      </c>
      <c r="AT45" s="82">
        <v>1.5</v>
      </c>
      <c r="AU45" s="83">
        <f t="shared" si="21"/>
        <v>0</v>
      </c>
      <c r="AV45" s="80">
        <f t="shared" si="2"/>
        <v>0</v>
      </c>
    </row>
    <row r="46" ht="20.5" customHeight="1" spans="1:48">
      <c r="A46" s="19">
        <v>38</v>
      </c>
      <c r="B46" s="22" t="s">
        <v>112</v>
      </c>
      <c r="C46" s="23"/>
      <c r="D46" s="23"/>
      <c r="E46" s="21">
        <f t="shared" si="20"/>
        <v>0</v>
      </c>
      <c r="F46" s="23"/>
      <c r="G46" s="23"/>
      <c r="H46" s="23"/>
      <c r="I46" s="23"/>
      <c r="J46" s="23"/>
      <c r="K46" s="23"/>
      <c r="L46" s="23"/>
      <c r="M46" s="23"/>
      <c r="N46" s="23"/>
      <c r="O46" s="23"/>
      <c r="P46" s="23"/>
      <c r="Q46" s="23"/>
      <c r="R46" s="23"/>
      <c r="S46" s="23"/>
      <c r="T46" s="23"/>
      <c r="U46" s="23"/>
      <c r="V46" s="51"/>
      <c r="W46" s="23"/>
      <c r="X46" s="23"/>
      <c r="Y46" s="23"/>
      <c r="Z46" s="23"/>
      <c r="AA46" s="23"/>
      <c r="AB46" s="23"/>
      <c r="AC46" s="23"/>
      <c r="AD46" s="51"/>
      <c r="AE46" s="68"/>
      <c r="AF46" s="51"/>
      <c r="AG46" s="68"/>
      <c r="AH46" s="68"/>
      <c r="AI46" s="68"/>
      <c r="AJ46" s="68"/>
      <c r="AK46" s="68"/>
      <c r="AL46" s="68"/>
      <c r="AM46" s="68"/>
      <c r="AN46" s="73"/>
      <c r="AO46" s="51"/>
      <c r="AP46" s="23"/>
      <c r="AQ46" s="23"/>
      <c r="AR46" s="23"/>
      <c r="AS46" s="21">
        <f t="shared" si="22"/>
        <v>0</v>
      </c>
      <c r="AT46" s="82">
        <v>0.5</v>
      </c>
      <c r="AU46" s="83">
        <f t="shared" si="21"/>
        <v>0</v>
      </c>
      <c r="AV46" s="80">
        <f t="shared" si="2"/>
        <v>0</v>
      </c>
    </row>
    <row r="47" ht="21" customHeight="1" spans="1:48">
      <c r="A47" s="19">
        <v>39</v>
      </c>
      <c r="B47" s="28" t="s">
        <v>114</v>
      </c>
      <c r="C47" s="21">
        <f>C48+C60+C80</f>
        <v>0</v>
      </c>
      <c r="D47" s="21">
        <f t="shared" ref="D47:AS47" si="23">D48+D60+D80</f>
        <v>0</v>
      </c>
      <c r="E47" s="21">
        <f t="shared" si="23"/>
        <v>0</v>
      </c>
      <c r="F47" s="21">
        <f t="shared" si="23"/>
        <v>0</v>
      </c>
      <c r="G47" s="21">
        <f t="shared" si="23"/>
        <v>0</v>
      </c>
      <c r="H47" s="21">
        <f t="shared" si="23"/>
        <v>0</v>
      </c>
      <c r="I47" s="21">
        <f t="shared" si="23"/>
        <v>0</v>
      </c>
      <c r="J47" s="21">
        <f t="shared" si="23"/>
        <v>0</v>
      </c>
      <c r="K47" s="21">
        <f t="shared" si="23"/>
        <v>0</v>
      </c>
      <c r="L47" s="21">
        <f t="shared" si="23"/>
        <v>0</v>
      </c>
      <c r="M47" s="21">
        <f t="shared" si="23"/>
        <v>0</v>
      </c>
      <c r="N47" s="21">
        <f t="shared" si="23"/>
        <v>0</v>
      </c>
      <c r="O47" s="21">
        <f t="shared" si="23"/>
        <v>0</v>
      </c>
      <c r="P47" s="21">
        <f t="shared" si="23"/>
        <v>0</v>
      </c>
      <c r="Q47" s="21">
        <f t="shared" si="23"/>
        <v>0</v>
      </c>
      <c r="R47" s="21">
        <f t="shared" si="23"/>
        <v>0</v>
      </c>
      <c r="S47" s="21">
        <f t="shared" si="23"/>
        <v>0</v>
      </c>
      <c r="T47" s="21">
        <f t="shared" si="23"/>
        <v>0</v>
      </c>
      <c r="U47" s="21">
        <f t="shared" si="23"/>
        <v>0</v>
      </c>
      <c r="V47" s="21">
        <f t="shared" si="23"/>
        <v>0</v>
      </c>
      <c r="W47" s="21">
        <f t="shared" si="23"/>
        <v>0</v>
      </c>
      <c r="X47" s="21">
        <f t="shared" si="23"/>
        <v>0</v>
      </c>
      <c r="Y47" s="21">
        <f t="shared" si="23"/>
        <v>0</v>
      </c>
      <c r="Z47" s="21">
        <f t="shared" si="23"/>
        <v>0</v>
      </c>
      <c r="AA47" s="21">
        <f t="shared" si="23"/>
        <v>0</v>
      </c>
      <c r="AB47" s="21">
        <f t="shared" si="23"/>
        <v>0</v>
      </c>
      <c r="AC47" s="21">
        <f t="shared" si="23"/>
        <v>0</v>
      </c>
      <c r="AD47" s="21">
        <f t="shared" si="23"/>
        <v>0</v>
      </c>
      <c r="AE47" s="21">
        <f t="shared" si="23"/>
        <v>0</v>
      </c>
      <c r="AF47" s="21">
        <f t="shared" si="23"/>
        <v>0</v>
      </c>
      <c r="AG47" s="21">
        <f t="shared" si="23"/>
        <v>0</v>
      </c>
      <c r="AH47" s="21">
        <f t="shared" si="23"/>
        <v>0</v>
      </c>
      <c r="AI47" s="21">
        <f t="shared" si="23"/>
        <v>0</v>
      </c>
      <c r="AJ47" s="21">
        <f t="shared" si="23"/>
        <v>0</v>
      </c>
      <c r="AK47" s="21">
        <f t="shared" si="23"/>
        <v>0</v>
      </c>
      <c r="AL47" s="21">
        <f t="shared" si="23"/>
        <v>0</v>
      </c>
      <c r="AM47" s="21">
        <f t="shared" si="23"/>
        <v>0</v>
      </c>
      <c r="AN47" s="21">
        <f t="shared" si="23"/>
        <v>0</v>
      </c>
      <c r="AO47" s="21">
        <f t="shared" si="23"/>
        <v>0</v>
      </c>
      <c r="AP47" s="21">
        <f t="shared" si="23"/>
        <v>0</v>
      </c>
      <c r="AQ47" s="21">
        <f t="shared" si="23"/>
        <v>0</v>
      </c>
      <c r="AR47" s="21">
        <f t="shared" si="23"/>
        <v>0</v>
      </c>
      <c r="AS47" s="21">
        <f t="shared" si="23"/>
        <v>0</v>
      </c>
      <c r="AT47" s="79"/>
      <c r="AU47" s="21">
        <f>AU48+AU60+AU80</f>
        <v>0</v>
      </c>
      <c r="AV47" s="80">
        <f t="shared" si="2"/>
        <v>0</v>
      </c>
    </row>
    <row r="48" ht="20.5" customHeight="1" spans="1:48">
      <c r="A48" s="19">
        <v>40</v>
      </c>
      <c r="B48" s="29" t="s">
        <v>349</v>
      </c>
      <c r="C48" s="30">
        <f>C49+C52+C55+C58+C59</f>
        <v>0</v>
      </c>
      <c r="D48" s="30">
        <f t="shared" ref="D48:AS48" si="24">D49+D52+D55+D58+D59</f>
        <v>0</v>
      </c>
      <c r="E48" s="30">
        <f t="shared" si="24"/>
        <v>0</v>
      </c>
      <c r="F48" s="30">
        <f t="shared" si="24"/>
        <v>0</v>
      </c>
      <c r="G48" s="30">
        <f t="shared" si="24"/>
        <v>0</v>
      </c>
      <c r="H48" s="30">
        <f t="shared" si="24"/>
        <v>0</v>
      </c>
      <c r="I48" s="30">
        <f t="shared" si="24"/>
        <v>0</v>
      </c>
      <c r="J48" s="30">
        <f t="shared" si="24"/>
        <v>0</v>
      </c>
      <c r="K48" s="30">
        <f t="shared" si="24"/>
        <v>0</v>
      </c>
      <c r="L48" s="30">
        <f t="shared" si="24"/>
        <v>0</v>
      </c>
      <c r="M48" s="30">
        <f t="shared" si="24"/>
        <v>0</v>
      </c>
      <c r="N48" s="30">
        <f t="shared" si="24"/>
        <v>0</v>
      </c>
      <c r="O48" s="30">
        <f t="shared" si="24"/>
        <v>0</v>
      </c>
      <c r="P48" s="30">
        <f t="shared" si="24"/>
        <v>0</v>
      </c>
      <c r="Q48" s="30">
        <f t="shared" si="24"/>
        <v>0</v>
      </c>
      <c r="R48" s="30">
        <f t="shared" si="24"/>
        <v>0</v>
      </c>
      <c r="S48" s="30">
        <f t="shared" si="24"/>
        <v>0</v>
      </c>
      <c r="T48" s="30">
        <f t="shared" si="24"/>
        <v>0</v>
      </c>
      <c r="U48" s="30">
        <f t="shared" si="24"/>
        <v>0</v>
      </c>
      <c r="V48" s="30">
        <f t="shared" si="24"/>
        <v>0</v>
      </c>
      <c r="W48" s="30">
        <f t="shared" si="24"/>
        <v>0</v>
      </c>
      <c r="X48" s="30">
        <f t="shared" si="24"/>
        <v>0</v>
      </c>
      <c r="Y48" s="30">
        <f t="shared" si="24"/>
        <v>0</v>
      </c>
      <c r="Z48" s="30">
        <f t="shared" si="24"/>
        <v>0</v>
      </c>
      <c r="AA48" s="30">
        <f t="shared" si="24"/>
        <v>0</v>
      </c>
      <c r="AB48" s="30">
        <f t="shared" si="24"/>
        <v>0</v>
      </c>
      <c r="AC48" s="30">
        <f t="shared" si="24"/>
        <v>0</v>
      </c>
      <c r="AD48" s="30">
        <f t="shared" si="24"/>
        <v>0</v>
      </c>
      <c r="AE48" s="30">
        <f t="shared" si="24"/>
        <v>0</v>
      </c>
      <c r="AF48" s="30">
        <f t="shared" si="24"/>
        <v>0</v>
      </c>
      <c r="AG48" s="30">
        <f t="shared" si="24"/>
        <v>0</v>
      </c>
      <c r="AH48" s="30">
        <f t="shared" si="24"/>
        <v>0</v>
      </c>
      <c r="AI48" s="30">
        <f t="shared" si="24"/>
        <v>0</v>
      </c>
      <c r="AJ48" s="30">
        <f t="shared" si="24"/>
        <v>0</v>
      </c>
      <c r="AK48" s="30">
        <f t="shared" si="24"/>
        <v>0</v>
      </c>
      <c r="AL48" s="30">
        <f t="shared" si="24"/>
        <v>0</v>
      </c>
      <c r="AM48" s="30">
        <f t="shared" si="24"/>
        <v>0</v>
      </c>
      <c r="AN48" s="30">
        <f t="shared" si="24"/>
        <v>0</v>
      </c>
      <c r="AO48" s="30">
        <f t="shared" si="24"/>
        <v>0</v>
      </c>
      <c r="AP48" s="30">
        <f t="shared" si="24"/>
        <v>0</v>
      </c>
      <c r="AQ48" s="30">
        <f t="shared" si="24"/>
        <v>0</v>
      </c>
      <c r="AR48" s="30">
        <f t="shared" si="24"/>
        <v>0</v>
      </c>
      <c r="AS48" s="30">
        <f t="shared" si="24"/>
        <v>0</v>
      </c>
      <c r="AT48" s="84"/>
      <c r="AU48" s="30">
        <f>AU49+AU52+AU55+AU58+AU59</f>
        <v>0</v>
      </c>
      <c r="AV48" s="80">
        <f t="shared" si="2"/>
        <v>0</v>
      </c>
    </row>
    <row r="49" ht="20.5" customHeight="1" spans="1:48">
      <c r="A49" s="19">
        <v>41</v>
      </c>
      <c r="B49" s="31" t="s">
        <v>116</v>
      </c>
      <c r="C49" s="30">
        <f t="shared" ref="C49:AS49" si="25">C50+C51</f>
        <v>0</v>
      </c>
      <c r="D49" s="30">
        <f t="shared" si="25"/>
        <v>0</v>
      </c>
      <c r="E49" s="30">
        <f t="shared" si="25"/>
        <v>0</v>
      </c>
      <c r="F49" s="30">
        <f t="shared" si="25"/>
        <v>0</v>
      </c>
      <c r="G49" s="30">
        <f t="shared" si="25"/>
        <v>0</v>
      </c>
      <c r="H49" s="30">
        <f t="shared" si="25"/>
        <v>0</v>
      </c>
      <c r="I49" s="30">
        <f t="shared" si="25"/>
        <v>0</v>
      </c>
      <c r="J49" s="30">
        <f t="shared" si="25"/>
        <v>0</v>
      </c>
      <c r="K49" s="30">
        <f t="shared" si="25"/>
        <v>0</v>
      </c>
      <c r="L49" s="30">
        <f t="shared" si="25"/>
        <v>0</v>
      </c>
      <c r="M49" s="30">
        <f t="shared" si="25"/>
        <v>0</v>
      </c>
      <c r="N49" s="30">
        <f t="shared" si="25"/>
        <v>0</v>
      </c>
      <c r="O49" s="30">
        <f t="shared" si="25"/>
        <v>0</v>
      </c>
      <c r="P49" s="30">
        <f t="shared" si="25"/>
        <v>0</v>
      </c>
      <c r="Q49" s="30">
        <f t="shared" si="25"/>
        <v>0</v>
      </c>
      <c r="R49" s="30">
        <f t="shared" si="25"/>
        <v>0</v>
      </c>
      <c r="S49" s="30">
        <f t="shared" si="25"/>
        <v>0</v>
      </c>
      <c r="T49" s="30">
        <f t="shared" si="25"/>
        <v>0</v>
      </c>
      <c r="U49" s="30">
        <f t="shared" si="25"/>
        <v>0</v>
      </c>
      <c r="V49" s="30">
        <f t="shared" si="25"/>
        <v>0</v>
      </c>
      <c r="W49" s="30">
        <f t="shared" si="25"/>
        <v>0</v>
      </c>
      <c r="X49" s="30">
        <f t="shared" si="25"/>
        <v>0</v>
      </c>
      <c r="Y49" s="30">
        <f t="shared" si="25"/>
        <v>0</v>
      </c>
      <c r="Z49" s="30">
        <f t="shared" si="25"/>
        <v>0</v>
      </c>
      <c r="AA49" s="30">
        <f t="shared" si="25"/>
        <v>0</v>
      </c>
      <c r="AB49" s="30">
        <f t="shared" si="25"/>
        <v>0</v>
      </c>
      <c r="AC49" s="30">
        <f t="shared" si="25"/>
        <v>0</v>
      </c>
      <c r="AD49" s="30">
        <f t="shared" si="25"/>
        <v>0</v>
      </c>
      <c r="AE49" s="30">
        <f t="shared" si="25"/>
        <v>0</v>
      </c>
      <c r="AF49" s="30">
        <f t="shared" si="25"/>
        <v>0</v>
      </c>
      <c r="AG49" s="30">
        <f t="shared" si="25"/>
        <v>0</v>
      </c>
      <c r="AH49" s="30">
        <f t="shared" si="25"/>
        <v>0</v>
      </c>
      <c r="AI49" s="30">
        <f t="shared" si="25"/>
        <v>0</v>
      </c>
      <c r="AJ49" s="30">
        <f t="shared" si="25"/>
        <v>0</v>
      </c>
      <c r="AK49" s="30">
        <f t="shared" si="25"/>
        <v>0</v>
      </c>
      <c r="AL49" s="30">
        <f t="shared" si="25"/>
        <v>0</v>
      </c>
      <c r="AM49" s="30">
        <f t="shared" si="25"/>
        <v>0</v>
      </c>
      <c r="AN49" s="30">
        <f t="shared" si="25"/>
        <v>0</v>
      </c>
      <c r="AO49" s="30">
        <f t="shared" si="25"/>
        <v>0</v>
      </c>
      <c r="AP49" s="30">
        <f t="shared" si="25"/>
        <v>0</v>
      </c>
      <c r="AQ49" s="30">
        <f t="shared" si="25"/>
        <v>0</v>
      </c>
      <c r="AR49" s="30">
        <f t="shared" si="25"/>
        <v>0</v>
      </c>
      <c r="AS49" s="21">
        <f t="shared" si="25"/>
        <v>0</v>
      </c>
      <c r="AT49" s="82">
        <v>0</v>
      </c>
      <c r="AU49" s="21">
        <f>AU50+AU51</f>
        <v>0</v>
      </c>
      <c r="AV49" s="80">
        <f t="shared" si="2"/>
        <v>0</v>
      </c>
    </row>
    <row r="50" ht="30" customHeight="1" spans="1:48">
      <c r="A50" s="19">
        <v>42</v>
      </c>
      <c r="B50" s="27" t="s">
        <v>117</v>
      </c>
      <c r="C50" s="23"/>
      <c r="D50" s="23"/>
      <c r="E50" s="21">
        <f t="shared" ref="E50:E54" si="26">C50-D50</f>
        <v>0</v>
      </c>
      <c r="F50" s="23"/>
      <c r="G50" s="23"/>
      <c r="H50" s="23"/>
      <c r="I50" s="51"/>
      <c r="J50" s="23"/>
      <c r="K50" s="23"/>
      <c r="L50" s="51"/>
      <c r="M50" s="23"/>
      <c r="N50" s="23"/>
      <c r="O50" s="51"/>
      <c r="P50" s="23"/>
      <c r="Q50" s="23"/>
      <c r="R50" s="51"/>
      <c r="S50" s="63"/>
      <c r="T50" s="51"/>
      <c r="U50" s="51"/>
      <c r="V50" s="51"/>
      <c r="W50" s="23"/>
      <c r="X50" s="23"/>
      <c r="Y50" s="51"/>
      <c r="Z50" s="23"/>
      <c r="AA50" s="23"/>
      <c r="AB50" s="51"/>
      <c r="AC50" s="51"/>
      <c r="AD50" s="51"/>
      <c r="AE50" s="51"/>
      <c r="AF50" s="51"/>
      <c r="AG50" s="51"/>
      <c r="AH50" s="51"/>
      <c r="AI50" s="51"/>
      <c r="AJ50" s="68"/>
      <c r="AK50" s="68"/>
      <c r="AL50" s="51"/>
      <c r="AM50" s="51"/>
      <c r="AN50" s="51"/>
      <c r="AO50" s="51"/>
      <c r="AP50" s="23"/>
      <c r="AQ50" s="23"/>
      <c r="AR50" s="51"/>
      <c r="AS50" s="21">
        <f>IF(E50-G50-H50-I50-J50-K50-L50-M50-N50-O50-P50-Q50-R50-S50-T50-U50-V50-W50-X50-Y50-Z50-AA50-AB50-AC50-AD50-AE50-AF50-AG50-AH50-AI50-AJ50-AK50-AL50-AM50-AN50-AO50-AP50-AQ50-AR50&lt;0,0,E50-G50-H50-I50-J50-K50-L50-M50-N50-O50-P50-Q50-R50-S50-T50-U50-V50-W50-X50-Y50-Z50-AA50-AB50-AC50-AD50-AE50-AF50-AG50-AH50-AI50-AJ50-AK50-AL50-AM50-AN50-AO50-AP50-AQ50-AR50)</f>
        <v>0</v>
      </c>
      <c r="AT50" s="82">
        <v>0.2</v>
      </c>
      <c r="AU50" s="83">
        <f>G50*$G$7+H50*$H$7+I50*$I$7+J50*$J$7+K50*$K$7+L50*$L$7+M50*$M$7+N50*$N$7+O50*$O$7+P50*$P$7+Q50*$Q$7+R50*$R$7+S50*$S$7+T50*$T$7+U50*$U$7+V50*$V$7+W50*$W$7+X50*$X$7+Y50*$Y$7++Z50*$Z$7+AA50*$AA$7+AB50*$AB$7+AC50*$AC$7+AD50*$AD$7+AE50*$AE$7+AF50*$AF$7+AH50*$AH$7+AI50*$AI$7+AJ50*$AJ$7+AK50*$AK$7+AL50*$AL$7+AM50*$AM$7+AN50*$AN$7+AO50*$AO$7+AP50*$AP$7+AQ50*$AQ$7+AR50*$AR$7+AS50*AT50+AG50*$AG$7</f>
        <v>0</v>
      </c>
      <c r="AV50" s="80">
        <f t="shared" si="2"/>
        <v>0</v>
      </c>
    </row>
    <row r="51" ht="20.5" customHeight="1" spans="1:48">
      <c r="A51" s="19">
        <v>43</v>
      </c>
      <c r="B51" s="27" t="s">
        <v>118</v>
      </c>
      <c r="C51" s="32"/>
      <c r="D51" s="32"/>
      <c r="E51" s="21">
        <f t="shared" si="26"/>
        <v>0</v>
      </c>
      <c r="F51" s="32"/>
      <c r="G51" s="23"/>
      <c r="H51" s="23"/>
      <c r="I51" s="23"/>
      <c r="J51" s="23"/>
      <c r="K51" s="23"/>
      <c r="L51" s="23"/>
      <c r="M51" s="23"/>
      <c r="N51" s="23"/>
      <c r="O51" s="23"/>
      <c r="P51" s="23"/>
      <c r="Q51" s="23"/>
      <c r="R51" s="23"/>
      <c r="S51" s="23"/>
      <c r="T51" s="23"/>
      <c r="U51" s="23"/>
      <c r="V51" s="51"/>
      <c r="W51" s="23"/>
      <c r="X51" s="23"/>
      <c r="Y51" s="23"/>
      <c r="Z51" s="23"/>
      <c r="AA51" s="23"/>
      <c r="AB51" s="23"/>
      <c r="AC51" s="23"/>
      <c r="AD51" s="51"/>
      <c r="AE51" s="23"/>
      <c r="AF51" s="51"/>
      <c r="AG51" s="23"/>
      <c r="AH51" s="51"/>
      <c r="AI51" s="51"/>
      <c r="AJ51" s="23"/>
      <c r="AK51" s="23"/>
      <c r="AL51" s="23"/>
      <c r="AM51" s="23"/>
      <c r="AN51" s="51"/>
      <c r="AO51" s="51"/>
      <c r="AP51" s="23"/>
      <c r="AQ51" s="23"/>
      <c r="AR51" s="23"/>
      <c r="AS51" s="21">
        <f>IF(E51-G51-H51-I51-J51-K51-L51-M51-N51-O51-P51-Q51-R51-S51-T51-U51-V51-W51-X51-Y51-Z51-AA51-AB51-AC51-AD51-AE51-AF51-AG51-AH51-AI51-AJ51-AK51-AL51-AM51-AN51-AO51-AP51-AQ51-AR51&lt;0,0,E51-G51-H51-I51-J51-K51-L51-M51-N51-O51-P51-Q51-R51-S51-T51-U51-V51-W51-X51-Y51-Z51-AA51-AB51-AC51-AD51-AE51-AF51-AG51-AH51-AI51-AJ51-AK51-AL51-AM51-AN51-AO51-AP51-AQ51-AR51)</f>
        <v>0</v>
      </c>
      <c r="AT51" s="85">
        <v>0.3</v>
      </c>
      <c r="AU51" s="83">
        <f>G51*$G$7+H51*$H$7+I51*$I$7+J51*$J$7+K51*$K$7+L51*$L$7+M51*$M$7+N51*$N$7+O51*$O$7+P51*$P$7+Q51*$Q$7+R51*$R$7+S51*$S$7+T51*$T$7+U51*$U$7+V51*$V$7+W51*$W$7+X51*$X$7+Y51*$Y$7++Z51*$Z$7+AA51*$AA$7+AB51*$AB$7+AC51*$AC$7+AD51*$AD$7+AE51*$AE$7+AF51*$AF$7+AH51*$AH$7+AI51*$AI$7+AJ51*$AJ$7+AK51*$AK$7+AL51*$AL$7+AM51*$AM$7+AN51*$AN$7+AO51*$AO$7+AP51*$AP$7+AQ51*$AQ$7+AR51*$AR$7+AS51*AT51+AG51*$AG$7</f>
        <v>0</v>
      </c>
      <c r="AV51" s="80">
        <f t="shared" si="2"/>
        <v>0</v>
      </c>
    </row>
    <row r="52" ht="20.5" customHeight="1" spans="1:64">
      <c r="A52" s="19">
        <v>44</v>
      </c>
      <c r="B52" s="31" t="s">
        <v>119</v>
      </c>
      <c r="C52" s="33">
        <f t="shared" ref="C52:AS52" si="27">C53+C54</f>
        <v>0</v>
      </c>
      <c r="D52" s="33">
        <f t="shared" si="27"/>
        <v>0</v>
      </c>
      <c r="E52" s="33">
        <f t="shared" si="27"/>
        <v>0</v>
      </c>
      <c r="F52" s="33">
        <f t="shared" si="27"/>
        <v>0</v>
      </c>
      <c r="G52" s="33">
        <f t="shared" si="27"/>
        <v>0</v>
      </c>
      <c r="H52" s="33">
        <f t="shared" si="27"/>
        <v>0</v>
      </c>
      <c r="I52" s="33">
        <f t="shared" si="27"/>
        <v>0</v>
      </c>
      <c r="J52" s="33">
        <f t="shared" si="27"/>
        <v>0</v>
      </c>
      <c r="K52" s="33">
        <f t="shared" si="27"/>
        <v>0</v>
      </c>
      <c r="L52" s="33">
        <f t="shared" si="27"/>
        <v>0</v>
      </c>
      <c r="M52" s="33">
        <f t="shared" si="27"/>
        <v>0</v>
      </c>
      <c r="N52" s="33">
        <f t="shared" si="27"/>
        <v>0</v>
      </c>
      <c r="O52" s="33">
        <f t="shared" si="27"/>
        <v>0</v>
      </c>
      <c r="P52" s="33">
        <f t="shared" si="27"/>
        <v>0</v>
      </c>
      <c r="Q52" s="33">
        <f t="shared" si="27"/>
        <v>0</v>
      </c>
      <c r="R52" s="33">
        <f t="shared" si="27"/>
        <v>0</v>
      </c>
      <c r="S52" s="33">
        <f t="shared" si="27"/>
        <v>0</v>
      </c>
      <c r="T52" s="33">
        <f t="shared" si="27"/>
        <v>0</v>
      </c>
      <c r="U52" s="33">
        <f t="shared" si="27"/>
        <v>0</v>
      </c>
      <c r="V52" s="33">
        <f t="shared" si="27"/>
        <v>0</v>
      </c>
      <c r="W52" s="33">
        <f t="shared" si="27"/>
        <v>0</v>
      </c>
      <c r="X52" s="33">
        <f t="shared" si="27"/>
        <v>0</v>
      </c>
      <c r="Y52" s="33">
        <f t="shared" si="27"/>
        <v>0</v>
      </c>
      <c r="Z52" s="33">
        <f t="shared" si="27"/>
        <v>0</v>
      </c>
      <c r="AA52" s="33">
        <f t="shared" si="27"/>
        <v>0</v>
      </c>
      <c r="AB52" s="33">
        <f t="shared" si="27"/>
        <v>0</v>
      </c>
      <c r="AC52" s="33">
        <f t="shared" si="27"/>
        <v>0</v>
      </c>
      <c r="AD52" s="33">
        <f t="shared" si="27"/>
        <v>0</v>
      </c>
      <c r="AE52" s="33">
        <f t="shared" si="27"/>
        <v>0</v>
      </c>
      <c r="AF52" s="33">
        <f t="shared" si="27"/>
        <v>0</v>
      </c>
      <c r="AG52" s="33">
        <f t="shared" si="27"/>
        <v>0</v>
      </c>
      <c r="AH52" s="33">
        <f t="shared" si="27"/>
        <v>0</v>
      </c>
      <c r="AI52" s="33">
        <f t="shared" si="27"/>
        <v>0</v>
      </c>
      <c r="AJ52" s="33">
        <f t="shared" si="27"/>
        <v>0</v>
      </c>
      <c r="AK52" s="33">
        <f t="shared" si="27"/>
        <v>0</v>
      </c>
      <c r="AL52" s="33">
        <f t="shared" si="27"/>
        <v>0</v>
      </c>
      <c r="AM52" s="33">
        <f t="shared" si="27"/>
        <v>0</v>
      </c>
      <c r="AN52" s="33">
        <f t="shared" si="27"/>
        <v>0</v>
      </c>
      <c r="AO52" s="33">
        <f t="shared" si="27"/>
        <v>0</v>
      </c>
      <c r="AP52" s="33">
        <f t="shared" si="27"/>
        <v>0</v>
      </c>
      <c r="AQ52" s="33">
        <f t="shared" si="27"/>
        <v>0</v>
      </c>
      <c r="AR52" s="33">
        <f t="shared" si="27"/>
        <v>0</v>
      </c>
      <c r="AS52" s="33">
        <f t="shared" si="27"/>
        <v>0</v>
      </c>
      <c r="AT52" s="86"/>
      <c r="AU52" s="33">
        <f>AU53+AU54</f>
        <v>0</v>
      </c>
      <c r="AV52" s="80">
        <f t="shared" si="2"/>
        <v>0</v>
      </c>
      <c r="AX52" s="90"/>
      <c r="AY52" s="90"/>
      <c r="AZ52" s="90"/>
      <c r="BA52" s="90"/>
      <c r="BB52" s="90"/>
      <c r="BC52" s="90"/>
      <c r="BD52" s="90"/>
      <c r="BE52" s="90"/>
      <c r="BF52" s="90"/>
      <c r="BG52" s="90"/>
      <c r="BH52" s="90"/>
      <c r="BI52" s="90"/>
      <c r="BJ52" s="90"/>
      <c r="BK52" s="90"/>
      <c r="BL52" s="90"/>
    </row>
    <row r="53" ht="30" customHeight="1" spans="1:64">
      <c r="A53" s="19">
        <v>45</v>
      </c>
      <c r="B53" s="27" t="s">
        <v>120</v>
      </c>
      <c r="C53" s="23"/>
      <c r="D53" s="23"/>
      <c r="E53" s="21">
        <f t="shared" si="26"/>
        <v>0</v>
      </c>
      <c r="F53" s="23"/>
      <c r="G53" s="23"/>
      <c r="H53" s="23"/>
      <c r="I53" s="51"/>
      <c r="J53" s="23"/>
      <c r="K53" s="23"/>
      <c r="L53" s="51"/>
      <c r="M53" s="23"/>
      <c r="N53" s="23"/>
      <c r="O53" s="51"/>
      <c r="P53" s="23"/>
      <c r="Q53" s="23"/>
      <c r="R53" s="51"/>
      <c r="S53" s="63"/>
      <c r="T53" s="51"/>
      <c r="U53" s="51"/>
      <c r="V53" s="51"/>
      <c r="W53" s="23"/>
      <c r="X53" s="23"/>
      <c r="Y53" s="51"/>
      <c r="Z53" s="23"/>
      <c r="AA53" s="23"/>
      <c r="AB53" s="51"/>
      <c r="AC53" s="51"/>
      <c r="AD53" s="51"/>
      <c r="AE53" s="51"/>
      <c r="AF53" s="51"/>
      <c r="AG53" s="51"/>
      <c r="AH53" s="51"/>
      <c r="AI53" s="51"/>
      <c r="AJ53" s="68"/>
      <c r="AK53" s="68"/>
      <c r="AL53" s="51"/>
      <c r="AM53" s="51"/>
      <c r="AN53" s="51"/>
      <c r="AO53" s="51"/>
      <c r="AP53" s="23"/>
      <c r="AQ53" s="23"/>
      <c r="AR53" s="51"/>
      <c r="AS53" s="21">
        <f>IF(E53-G53-H53-I53-J53-K53-L53-M53-N53-O53-P53-Q53-R53-S53-T53-U53-V53-W53-X53-Y53-Z53-AA53-AB53-AC53-AD53-AE53-AF53-AG53-AH53-AI53-AJ53-AK53-AL53-AM53-AN53-AO53-AP53-AQ53-AR53&lt;0,0,E53-G53-H53-I53-J53-K53-L53-M53-N53-O53-P53-Q53-R53-S53-T53-U53-V53-W53-X53-Y53-Z53-AA53-AB53-AC53-AD53-AE53-AF53-AG53-AH53-AI53-AJ53-AK53-AL53-AM53-AN53-AO53-AP53-AQ53-AR53)</f>
        <v>0</v>
      </c>
      <c r="AT53" s="87">
        <v>0.2</v>
      </c>
      <c r="AU53" s="83">
        <f>G53*$G$7+H53*$H$7+I53*$I$7+J53*$J$7+K53*$K$7+L53*$L$7+M53*$M$7+N53*$N$7+O53*$O$7+P53*$P$7+Q53*$Q$7+R53*$R$7+S53*$S$7+T53*$T$7+U53*$U$7+V53*$V$7+W53*$W$7+X53*$X$7+Y53*$Y$7++Z53*$Z$7+AA53*$AA$7+AB53*$AB$7+AC53*$AC$7+AD53*$AD$7+AE53*$AE$7+AF53*$AF$7+AH53*$AH$7+AI53*$AI$7+AJ53*$AJ$7+AK53*$AK$7+AL53*$AL$7+AM53*$AM$7+AN53*$AN$7+AO53*$AO$7+AP53*$AP$7+AQ53*$AQ$7+AR53*$AR$7+AS53*AT53+AG53*$AG$7</f>
        <v>0</v>
      </c>
      <c r="AV53" s="80">
        <f t="shared" si="2"/>
        <v>0</v>
      </c>
      <c r="AW53" s="91"/>
      <c r="AX53" s="91"/>
      <c r="AY53" s="91"/>
      <c r="AZ53" s="91"/>
      <c r="BA53" s="91"/>
      <c r="BB53" s="91"/>
      <c r="BC53" s="91"/>
      <c r="BD53" s="92"/>
      <c r="BE53" s="92"/>
      <c r="BF53" s="91"/>
      <c r="BG53" s="91"/>
      <c r="BH53" s="91"/>
      <c r="BI53" s="91"/>
      <c r="BJ53" s="91"/>
      <c r="BK53" s="91"/>
      <c r="BL53" s="91"/>
    </row>
    <row r="54" ht="20.5" customHeight="1" spans="1:48">
      <c r="A54" s="19">
        <v>46</v>
      </c>
      <c r="B54" s="27" t="s">
        <v>121</v>
      </c>
      <c r="C54" s="23"/>
      <c r="D54" s="23"/>
      <c r="E54" s="21">
        <f t="shared" si="26"/>
        <v>0</v>
      </c>
      <c r="F54" s="23"/>
      <c r="G54" s="23"/>
      <c r="H54" s="23"/>
      <c r="I54" s="23"/>
      <c r="J54" s="23"/>
      <c r="K54" s="23"/>
      <c r="L54" s="23"/>
      <c r="M54" s="23"/>
      <c r="N54" s="23"/>
      <c r="O54" s="23"/>
      <c r="P54" s="23"/>
      <c r="Q54" s="23"/>
      <c r="R54" s="23"/>
      <c r="S54" s="23"/>
      <c r="T54" s="23"/>
      <c r="U54" s="23"/>
      <c r="V54" s="51"/>
      <c r="W54" s="23"/>
      <c r="X54" s="23"/>
      <c r="Y54" s="23"/>
      <c r="Z54" s="23"/>
      <c r="AA54" s="23"/>
      <c r="AB54" s="23"/>
      <c r="AC54" s="23"/>
      <c r="AD54" s="51"/>
      <c r="AE54" s="68"/>
      <c r="AF54" s="51"/>
      <c r="AG54" s="23"/>
      <c r="AH54" s="23"/>
      <c r="AI54" s="51"/>
      <c r="AJ54" s="23"/>
      <c r="AK54" s="23"/>
      <c r="AL54" s="23"/>
      <c r="AM54" s="23"/>
      <c r="AN54" s="23"/>
      <c r="AO54" s="51"/>
      <c r="AP54" s="23"/>
      <c r="AQ54" s="23"/>
      <c r="AR54" s="23"/>
      <c r="AS54" s="21">
        <f>IF(E54-G54-H54-I54-J54-K54-L54-M54-N54-O54-P54-Q54-R54-S54-T54-U54-V54-W54-X54-Y54-Z54-AA54-AB54-AC54-AD54-AE54-AF54-AG54-AH54-AI54-AJ54-AK54-AL54-AM54-AN54-AO54-AP54-AQ54-AR54&lt;0,0,E54-G54-H54-I54-J54-K54-L54-M54-N54-O54-P54-Q54-R54-S54-T54-U54-V54-W54-X54-Y54-Z54-AA54-AB54-AC54-AD54-AE54-AF54-AG54-AH54-AI54-AJ54-AK54-AL54-AM54-AN54-AO54-AP54-AQ54-AR54)</f>
        <v>0</v>
      </c>
      <c r="AT54" s="82">
        <v>0.4</v>
      </c>
      <c r="AU54" s="83">
        <f>G54*$G$7+H54*$H$7+I54*$I$7+J54*$J$7+K54*$K$7+L54*$L$7+M54*$M$7+N54*$N$7+O54*$O$7+P54*$P$7+Q54*$Q$7+R54*$R$7+S54*$S$7+T54*$T$7+U54*$U$7+V54*$V$7+W54*$W$7+X54*$X$7+Y54*$Y$7++Z54*$Z$7+AA54*$AA$7+AB54*$AB$7+AC54*$AC$7+AD54*$AD$7+AE54*$AE$7+AF54*$AF$7+AH54*$AH$7+AI54*$AI$7+AJ54*$AJ$7+AK54*$AK$7+AL54*$AL$7+AM54*$AM$7+AN54*$AN$7+AO54*$AO$7+AP54*$AP$7+AQ54*$AQ$7+AR54*$AR$7+AS54*AT54+AG54*$AG$7</f>
        <v>0</v>
      </c>
      <c r="AV54" s="80">
        <f t="shared" si="2"/>
        <v>0</v>
      </c>
    </row>
    <row r="55" ht="20" customHeight="1" spans="1:48">
      <c r="A55" s="19">
        <v>47</v>
      </c>
      <c r="B55" s="31" t="s">
        <v>122</v>
      </c>
      <c r="C55" s="21">
        <f t="shared" ref="C55:AS55" si="28">C56+C57</f>
        <v>0</v>
      </c>
      <c r="D55" s="21">
        <f t="shared" si="28"/>
        <v>0</v>
      </c>
      <c r="E55" s="21">
        <f t="shared" si="28"/>
        <v>0</v>
      </c>
      <c r="F55" s="21">
        <f t="shared" si="28"/>
        <v>0</v>
      </c>
      <c r="G55" s="21">
        <f t="shared" si="28"/>
        <v>0</v>
      </c>
      <c r="H55" s="21">
        <f t="shared" si="28"/>
        <v>0</v>
      </c>
      <c r="I55" s="21">
        <f t="shared" si="28"/>
        <v>0</v>
      </c>
      <c r="J55" s="21">
        <f t="shared" si="28"/>
        <v>0</v>
      </c>
      <c r="K55" s="21">
        <f t="shared" si="28"/>
        <v>0</v>
      </c>
      <c r="L55" s="21">
        <f t="shared" si="28"/>
        <v>0</v>
      </c>
      <c r="M55" s="21">
        <f t="shared" si="28"/>
        <v>0</v>
      </c>
      <c r="N55" s="21">
        <f t="shared" si="28"/>
        <v>0</v>
      </c>
      <c r="O55" s="21">
        <f t="shared" si="28"/>
        <v>0</v>
      </c>
      <c r="P55" s="21">
        <f t="shared" si="28"/>
        <v>0</v>
      </c>
      <c r="Q55" s="21">
        <f t="shared" si="28"/>
        <v>0</v>
      </c>
      <c r="R55" s="21">
        <f t="shared" si="28"/>
        <v>0</v>
      </c>
      <c r="S55" s="21">
        <f t="shared" si="28"/>
        <v>0</v>
      </c>
      <c r="T55" s="21">
        <f t="shared" si="28"/>
        <v>0</v>
      </c>
      <c r="U55" s="21">
        <f t="shared" si="28"/>
        <v>0</v>
      </c>
      <c r="V55" s="21">
        <f t="shared" si="28"/>
        <v>0</v>
      </c>
      <c r="W55" s="21">
        <f t="shared" si="28"/>
        <v>0</v>
      </c>
      <c r="X55" s="21">
        <f t="shared" si="28"/>
        <v>0</v>
      </c>
      <c r="Y55" s="21">
        <f t="shared" si="28"/>
        <v>0</v>
      </c>
      <c r="Z55" s="21">
        <f t="shared" si="28"/>
        <v>0</v>
      </c>
      <c r="AA55" s="21">
        <f t="shared" si="28"/>
        <v>0</v>
      </c>
      <c r="AB55" s="21">
        <f t="shared" si="28"/>
        <v>0</v>
      </c>
      <c r="AC55" s="21">
        <f t="shared" si="28"/>
        <v>0</v>
      </c>
      <c r="AD55" s="21">
        <f t="shared" si="28"/>
        <v>0</v>
      </c>
      <c r="AE55" s="21">
        <f t="shared" si="28"/>
        <v>0</v>
      </c>
      <c r="AF55" s="21">
        <f t="shared" si="28"/>
        <v>0</v>
      </c>
      <c r="AG55" s="21">
        <f t="shared" si="28"/>
        <v>0</v>
      </c>
      <c r="AH55" s="21">
        <f t="shared" si="28"/>
        <v>0</v>
      </c>
      <c r="AI55" s="21">
        <f t="shared" si="28"/>
        <v>0</v>
      </c>
      <c r="AJ55" s="21">
        <f t="shared" si="28"/>
        <v>0</v>
      </c>
      <c r="AK55" s="21">
        <f t="shared" si="28"/>
        <v>0</v>
      </c>
      <c r="AL55" s="21">
        <f t="shared" si="28"/>
        <v>0</v>
      </c>
      <c r="AM55" s="21">
        <f t="shared" si="28"/>
        <v>0</v>
      </c>
      <c r="AN55" s="21">
        <f t="shared" si="28"/>
        <v>0</v>
      </c>
      <c r="AO55" s="21">
        <f t="shared" si="28"/>
        <v>0</v>
      </c>
      <c r="AP55" s="21">
        <f t="shared" si="28"/>
        <v>0</v>
      </c>
      <c r="AQ55" s="21">
        <f t="shared" si="28"/>
        <v>0</v>
      </c>
      <c r="AR55" s="21">
        <f t="shared" si="28"/>
        <v>0</v>
      </c>
      <c r="AS55" s="21">
        <f t="shared" si="28"/>
        <v>0</v>
      </c>
      <c r="AT55" s="79"/>
      <c r="AU55" s="21">
        <f>AU56+AU57</f>
        <v>0</v>
      </c>
      <c r="AV55" s="80">
        <f t="shared" si="2"/>
        <v>0</v>
      </c>
    </row>
    <row r="56" ht="29" customHeight="1" spans="1:48">
      <c r="A56" s="19">
        <v>48</v>
      </c>
      <c r="B56" s="27" t="s">
        <v>123</v>
      </c>
      <c r="C56" s="23"/>
      <c r="D56" s="23"/>
      <c r="E56" s="21">
        <f t="shared" ref="E56:E59" si="29">C56-D56</f>
        <v>0</v>
      </c>
      <c r="F56" s="23"/>
      <c r="G56" s="23"/>
      <c r="H56" s="23"/>
      <c r="I56" s="23"/>
      <c r="J56" s="23"/>
      <c r="K56" s="23"/>
      <c r="L56" s="23"/>
      <c r="M56" s="23"/>
      <c r="N56" s="23"/>
      <c r="O56" s="23"/>
      <c r="P56" s="23"/>
      <c r="Q56" s="23"/>
      <c r="R56" s="23"/>
      <c r="S56" s="23"/>
      <c r="T56" s="23"/>
      <c r="U56" s="23"/>
      <c r="V56" s="51"/>
      <c r="W56" s="23"/>
      <c r="X56" s="23"/>
      <c r="Y56" s="23"/>
      <c r="Z56" s="23"/>
      <c r="AA56" s="23"/>
      <c r="AB56" s="23"/>
      <c r="AC56" s="23"/>
      <c r="AD56" s="51"/>
      <c r="AE56" s="68"/>
      <c r="AF56" s="51"/>
      <c r="AG56" s="68"/>
      <c r="AH56" s="68"/>
      <c r="AI56" s="68"/>
      <c r="AJ56" s="68"/>
      <c r="AK56" s="68"/>
      <c r="AL56" s="68"/>
      <c r="AM56" s="68"/>
      <c r="AN56" s="68"/>
      <c r="AO56" s="51"/>
      <c r="AP56" s="23"/>
      <c r="AQ56" s="23"/>
      <c r="AR56" s="23"/>
      <c r="AS56" s="21">
        <f>IF(E56-G56-H56-I56-J56-K56-L56-M56-N56-O56-P56-Q56-R56-S56-T56-U56-V56-W56-X56-Y56-Z56-AA56-AB56-AC56-AD56-AE56-AF56-AG56-AH56-AI56-AJ56-AK56-AL56-AM56-AN56-AO56-AP56-AQ56-AR56&lt;0,0,E56-G56-H56-I56-J56-K56-L56-M56-N56-O56-P56-Q56-R56-S56-T56-U56-V56-W56-X56-Y56-Z56-AA56-AB56-AC56-AD56-AE56-AF56-AG56-AH56-AI56-AJ56-AK56-AL56-AM56-AN56-AO56-AP56-AQ56-AR56)</f>
        <v>0</v>
      </c>
      <c r="AT56" s="82">
        <v>0.5</v>
      </c>
      <c r="AU56" s="83">
        <f>G56*$G$7+H56*$H$7+I56*$I$7+J56*$J$7+K56*$K$7+L56*$L$7+M56*$M$7+N56*$N$7+O56*$O$7+P56*$P$7+Q56*$Q$7+R56*$R$7+S56*$S$7+T56*$T$7+U56*$U$7+V56*$V$7+W56*$W$7+X56*$X$7+Y56*$Y$7++Z56*$Z$7+AA56*$AA$7+AB56*$AB$7+AC56*$AC$7+AD56*$AD$7+AE56*$AE$7+AF56*$AF$7+AH56*$AH$7+AI56*$AI$7+AJ56*$AJ$7+AK56*$AK$7+AL56*$AL$7+AM56*$AM$7+AN56*$AN$7+AO56*$AO$7+AP56*$AP$7+AQ56*$AQ$7+AR56*$AR$7+AS56*AT56+AG56*$AG$7</f>
        <v>0</v>
      </c>
      <c r="AV56" s="80">
        <f t="shared" si="2"/>
        <v>0</v>
      </c>
    </row>
    <row r="57" ht="20.5" customHeight="1" spans="1:48">
      <c r="A57" s="19">
        <v>49</v>
      </c>
      <c r="B57" s="27" t="s">
        <v>124</v>
      </c>
      <c r="C57" s="23"/>
      <c r="D57" s="23"/>
      <c r="E57" s="21">
        <f t="shared" si="29"/>
        <v>0</v>
      </c>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1">
        <f>IF(E57-G57-H57-I57-J57-K57-L57-M57-N57-O57-P57-Q57-R57-S57-T57-U57-V57-W57-X57-Y57-Z57-AA57-AB57-AC57-AD57-AE57-AF57-AG57-AH57-AI57-AJ57-AK57-AL57-AM57-AN57-AO57-AP57-AQ57-AR57&lt;0,0,E57-G57-H57-I57-J57-K57-L57-M57-N57-O57-P57-Q57-R57-S57-T57-U57-V57-W57-X57-Y57-Z57-AA57-AB57-AC57-AD57-AE57-AF57-AG57-AH57-AI57-AJ57-AK57-AL57-AM57-AN57-AO57-AP57-AQ57-AR57)</f>
        <v>0</v>
      </c>
      <c r="AT57" s="82">
        <v>0.75</v>
      </c>
      <c r="AU57" s="83">
        <f>G57*$G$7+H57*$H$7+I57*$I$7+J57*$J$7+K57*$K$7+L57*$L$7+M57*$M$7+N57*$N$7+O57*$O$7+P57*$P$7+Q57*$Q$7+R57*$R$7+S57*$S$7+T57*$T$7+U57*$U$7+V57*$V$7+W57*$W$7+X57*$X$7+Y57*$Y$7++Z57*$Z$7+AA57*$AA$7+AB57*$AB$7+AC57*$AC$7+AD57*$AD$7+AE57*$AE$7+AF57*$AF$7+AH57*$AH$7+AI57*$AI$7+AJ57*$AJ$7+AK57*$AK$7+AL57*$AL$7+AM57*$AM$7+AN57*$AN$7+AO57*$AO$7+AP57*$AP$7+AQ57*$AQ$7+AR57*$AR$7+AS57*AT57+AG57*$AG$7</f>
        <v>0</v>
      </c>
      <c r="AV57" s="80">
        <f t="shared" si="2"/>
        <v>0</v>
      </c>
    </row>
    <row r="58" ht="20.5" customHeight="1" spans="1:48">
      <c r="A58" s="19">
        <v>50</v>
      </c>
      <c r="B58" s="31" t="s">
        <v>125</v>
      </c>
      <c r="C58" s="23"/>
      <c r="D58" s="23"/>
      <c r="E58" s="21">
        <f t="shared" si="29"/>
        <v>0</v>
      </c>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1">
        <f>IF(E58-G58-H58-I58-J58-K58-L58-M58-N58-O58-P58-Q58-R58-S58-T58-U58-V58-W58-X58-Y58-Z58-AA58-AB58-AC58-AD58-AE58-AF58-AG58-AH58-AI58-AJ58-AK58-AL58-AM58-AN58-AO58-AP58-AQ58-AR58&lt;0,0,E58-G58-H58-I58-J58-K58-L58-M58-N58-O58-P58-Q58-R58-S58-T58-U58-V58-W58-X58-Y58-Z58-AA58-AB58-AC58-AD58-AE58-AF58-AG58-AH58-AI58-AJ58-AK58-AL58-AM58-AN58-AO58-AP58-AQ58-AR58)</f>
        <v>0</v>
      </c>
      <c r="AT58" s="82">
        <v>1.5</v>
      </c>
      <c r="AU58" s="83">
        <f>G58*$G$7+H58*$H$7+I58*$I$7+J58*$J$7+K58*$K$7+L58*$L$7+M58*$M$7+N58*$N$7+O58*$O$7+P58*$P$7+Q58*$Q$7+R58*$R$7+S58*$S$7+T58*$T$7+U58*$U$7+V58*$V$7+W58*$W$7+X58*$X$7+Y58*$Y$7++Z58*$Z$7+AA58*$AA$7+AB58*$AB$7+AC58*$AC$7+AD58*$AD$7+AE58*$AE$7+AF58*$AF$7+AH58*$AH$7+AI58*$AI$7+AJ58*$AJ$7+AK58*$AK$7+AL58*$AL$7+AM58*$AM$7+AN58*$AN$7+AO58*$AO$7+AP58*$AP$7+AQ58*$AQ$7+AR58*$AR$7+AS58*AT58+AG58*$AG$7</f>
        <v>0</v>
      </c>
      <c r="AV58" s="80">
        <f t="shared" si="2"/>
        <v>0</v>
      </c>
    </row>
    <row r="59" ht="20" customHeight="1" spans="1:48">
      <c r="A59" s="19">
        <v>51</v>
      </c>
      <c r="B59" s="31" t="s">
        <v>350</v>
      </c>
      <c r="C59" s="32"/>
      <c r="D59" s="32"/>
      <c r="E59" s="21">
        <f t="shared" si="29"/>
        <v>0</v>
      </c>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21">
        <f>IF(E59-G59-H59-I59-J59-K59-L59-M59-N59-O59-P59-Q59-R59-S59-T59-U59-V59-W59-X59-Y59-Z59-AA59-AB59-AC59-AD59-AE59-AF59-AG59-AH59-AI59-AJ59-AK59-AL59-AM59-AN59-AO59-AP59-AQ59-AR59&lt;0,0,E59-G59-H59-I59-J59-K59-L59-M59-N59-O59-P59-Q59-R59-S59-T59-U59-V59-W59-X59-Y59-Z59-AA59-AB59-AC59-AD59-AE59-AF59-AG59-AH59-AI59-AJ59-AK59-AL59-AM59-AN59-AO59-AP59-AQ59-AR59)</f>
        <v>0</v>
      </c>
      <c r="AT59" s="88"/>
      <c r="AU59" s="89"/>
      <c r="AV59" s="80">
        <f t="shared" si="2"/>
        <v>0</v>
      </c>
    </row>
    <row r="60" ht="20.5" customHeight="1" spans="1:48">
      <c r="A60" s="19">
        <v>52</v>
      </c>
      <c r="B60" s="29" t="s">
        <v>351</v>
      </c>
      <c r="C60" s="34">
        <f>C61+C67+C73+C78+C79</f>
        <v>0</v>
      </c>
      <c r="D60" s="34">
        <f t="shared" ref="D60:AS60" si="30">D61+D67+D73+D78+D79</f>
        <v>0</v>
      </c>
      <c r="E60" s="34">
        <f t="shared" si="30"/>
        <v>0</v>
      </c>
      <c r="F60" s="34">
        <f t="shared" si="30"/>
        <v>0</v>
      </c>
      <c r="G60" s="34">
        <f t="shared" si="30"/>
        <v>0</v>
      </c>
      <c r="H60" s="34">
        <f t="shared" si="30"/>
        <v>0</v>
      </c>
      <c r="I60" s="34">
        <f t="shared" si="30"/>
        <v>0</v>
      </c>
      <c r="J60" s="34">
        <f t="shared" si="30"/>
        <v>0</v>
      </c>
      <c r="K60" s="34">
        <f t="shared" si="30"/>
        <v>0</v>
      </c>
      <c r="L60" s="34">
        <f t="shared" si="30"/>
        <v>0</v>
      </c>
      <c r="M60" s="34">
        <f t="shared" si="30"/>
        <v>0</v>
      </c>
      <c r="N60" s="34">
        <f t="shared" si="30"/>
        <v>0</v>
      </c>
      <c r="O60" s="34">
        <f t="shared" si="30"/>
        <v>0</v>
      </c>
      <c r="P60" s="34">
        <f t="shared" si="30"/>
        <v>0</v>
      </c>
      <c r="Q60" s="34">
        <f t="shared" si="30"/>
        <v>0</v>
      </c>
      <c r="R60" s="34">
        <f t="shared" si="30"/>
        <v>0</v>
      </c>
      <c r="S60" s="34">
        <f t="shared" si="30"/>
        <v>0</v>
      </c>
      <c r="T60" s="34">
        <f t="shared" si="30"/>
        <v>0</v>
      </c>
      <c r="U60" s="34">
        <f t="shared" si="30"/>
        <v>0</v>
      </c>
      <c r="V60" s="34">
        <f t="shared" si="30"/>
        <v>0</v>
      </c>
      <c r="W60" s="34">
        <f t="shared" si="30"/>
        <v>0</v>
      </c>
      <c r="X60" s="34">
        <f t="shared" si="30"/>
        <v>0</v>
      </c>
      <c r="Y60" s="34">
        <f t="shared" si="30"/>
        <v>0</v>
      </c>
      <c r="Z60" s="34">
        <f t="shared" si="30"/>
        <v>0</v>
      </c>
      <c r="AA60" s="34">
        <f t="shared" si="30"/>
        <v>0</v>
      </c>
      <c r="AB60" s="34">
        <f t="shared" si="30"/>
        <v>0</v>
      </c>
      <c r="AC60" s="34">
        <f t="shared" si="30"/>
        <v>0</v>
      </c>
      <c r="AD60" s="34">
        <f t="shared" si="30"/>
        <v>0</v>
      </c>
      <c r="AE60" s="34">
        <f t="shared" si="30"/>
        <v>0</v>
      </c>
      <c r="AF60" s="34">
        <f t="shared" si="30"/>
        <v>0</v>
      </c>
      <c r="AG60" s="34">
        <f t="shared" si="30"/>
        <v>0</v>
      </c>
      <c r="AH60" s="34">
        <f t="shared" si="30"/>
        <v>0</v>
      </c>
      <c r="AI60" s="34">
        <f t="shared" si="30"/>
        <v>0</v>
      </c>
      <c r="AJ60" s="34">
        <f t="shared" si="30"/>
        <v>0</v>
      </c>
      <c r="AK60" s="34">
        <f t="shared" si="30"/>
        <v>0</v>
      </c>
      <c r="AL60" s="34">
        <f t="shared" si="30"/>
        <v>0</v>
      </c>
      <c r="AM60" s="34">
        <f t="shared" si="30"/>
        <v>0</v>
      </c>
      <c r="AN60" s="34">
        <f t="shared" si="30"/>
        <v>0</v>
      </c>
      <c r="AO60" s="34">
        <f t="shared" si="30"/>
        <v>0</v>
      </c>
      <c r="AP60" s="34">
        <f t="shared" si="30"/>
        <v>0</v>
      </c>
      <c r="AQ60" s="34">
        <f t="shared" si="30"/>
        <v>0</v>
      </c>
      <c r="AR60" s="34">
        <f t="shared" si="30"/>
        <v>0</v>
      </c>
      <c r="AS60" s="34">
        <f t="shared" si="30"/>
        <v>0</v>
      </c>
      <c r="AT60" s="79"/>
      <c r="AU60" s="21">
        <f>AU61+AU67+AU73+AU78+AU79</f>
        <v>0</v>
      </c>
      <c r="AV60" s="80">
        <f t="shared" si="2"/>
        <v>0</v>
      </c>
    </row>
    <row r="61" ht="20.5" customHeight="1" spans="1:48">
      <c r="A61" s="19">
        <v>53</v>
      </c>
      <c r="B61" s="35" t="s">
        <v>127</v>
      </c>
      <c r="C61" s="34">
        <f t="shared" ref="C61:AR61" si="31">SUM(C62:C66)</f>
        <v>0</v>
      </c>
      <c r="D61" s="34">
        <f t="shared" si="31"/>
        <v>0</v>
      </c>
      <c r="E61" s="34">
        <f t="shared" si="31"/>
        <v>0</v>
      </c>
      <c r="F61" s="34">
        <f t="shared" si="31"/>
        <v>0</v>
      </c>
      <c r="G61" s="34">
        <f t="shared" si="31"/>
        <v>0</v>
      </c>
      <c r="H61" s="34">
        <f t="shared" si="31"/>
        <v>0</v>
      </c>
      <c r="I61" s="34">
        <f t="shared" si="31"/>
        <v>0</v>
      </c>
      <c r="J61" s="34">
        <f t="shared" si="31"/>
        <v>0</v>
      </c>
      <c r="K61" s="34">
        <f t="shared" si="31"/>
        <v>0</v>
      </c>
      <c r="L61" s="34">
        <f t="shared" si="31"/>
        <v>0</v>
      </c>
      <c r="M61" s="34">
        <f t="shared" si="31"/>
        <v>0</v>
      </c>
      <c r="N61" s="34">
        <f t="shared" si="31"/>
        <v>0</v>
      </c>
      <c r="O61" s="34">
        <f t="shared" si="31"/>
        <v>0</v>
      </c>
      <c r="P61" s="34">
        <f t="shared" si="31"/>
        <v>0</v>
      </c>
      <c r="Q61" s="34">
        <f t="shared" si="31"/>
        <v>0</v>
      </c>
      <c r="R61" s="34">
        <f t="shared" si="31"/>
        <v>0</v>
      </c>
      <c r="S61" s="34">
        <f t="shared" si="31"/>
        <v>0</v>
      </c>
      <c r="T61" s="34">
        <f t="shared" si="31"/>
        <v>0</v>
      </c>
      <c r="U61" s="34">
        <f t="shared" si="31"/>
        <v>0</v>
      </c>
      <c r="V61" s="34">
        <f t="shared" si="31"/>
        <v>0</v>
      </c>
      <c r="W61" s="34">
        <f t="shared" si="31"/>
        <v>0</v>
      </c>
      <c r="X61" s="34">
        <f t="shared" si="31"/>
        <v>0</v>
      </c>
      <c r="Y61" s="34">
        <f t="shared" si="31"/>
        <v>0</v>
      </c>
      <c r="Z61" s="34">
        <f t="shared" si="31"/>
        <v>0</v>
      </c>
      <c r="AA61" s="34">
        <f t="shared" si="31"/>
        <v>0</v>
      </c>
      <c r="AB61" s="34">
        <f t="shared" si="31"/>
        <v>0</v>
      </c>
      <c r="AC61" s="34">
        <f t="shared" si="31"/>
        <v>0</v>
      </c>
      <c r="AD61" s="34">
        <f t="shared" si="31"/>
        <v>0</v>
      </c>
      <c r="AE61" s="34">
        <f t="shared" si="31"/>
        <v>0</v>
      </c>
      <c r="AF61" s="34">
        <f t="shared" si="31"/>
        <v>0</v>
      </c>
      <c r="AG61" s="34">
        <f t="shared" si="31"/>
        <v>0</v>
      </c>
      <c r="AH61" s="34">
        <f t="shared" si="31"/>
        <v>0</v>
      </c>
      <c r="AI61" s="34">
        <f t="shared" si="31"/>
        <v>0</v>
      </c>
      <c r="AJ61" s="34">
        <f t="shared" si="31"/>
        <v>0</v>
      </c>
      <c r="AK61" s="34">
        <f t="shared" si="31"/>
        <v>0</v>
      </c>
      <c r="AL61" s="34">
        <f t="shared" si="31"/>
        <v>0</v>
      </c>
      <c r="AM61" s="34">
        <f t="shared" si="31"/>
        <v>0</v>
      </c>
      <c r="AN61" s="34">
        <f t="shared" si="31"/>
        <v>0</v>
      </c>
      <c r="AO61" s="34">
        <f t="shared" si="31"/>
        <v>0</v>
      </c>
      <c r="AP61" s="34">
        <f t="shared" si="31"/>
        <v>0</v>
      </c>
      <c r="AQ61" s="34">
        <f t="shared" si="31"/>
        <v>0</v>
      </c>
      <c r="AR61" s="34">
        <f t="shared" si="31"/>
        <v>0</v>
      </c>
      <c r="AS61" s="21">
        <f>AS62+AS63+AS64+AS65+AS66</f>
        <v>0</v>
      </c>
      <c r="AT61" s="79"/>
      <c r="AU61" s="21">
        <f>AU62+AU63+AU64+AU65+AU66</f>
        <v>0</v>
      </c>
      <c r="AV61" s="80">
        <f t="shared" si="2"/>
        <v>0</v>
      </c>
    </row>
    <row r="62" ht="30" customHeight="1" spans="1:48">
      <c r="A62" s="19">
        <v>54</v>
      </c>
      <c r="B62" s="36" t="s">
        <v>128</v>
      </c>
      <c r="C62" s="23"/>
      <c r="D62" s="23"/>
      <c r="E62" s="21">
        <f t="shared" ref="E62:E66" si="32">C62-D62</f>
        <v>0</v>
      </c>
      <c r="F62" s="23"/>
      <c r="G62" s="23"/>
      <c r="H62" s="23"/>
      <c r="I62" s="51"/>
      <c r="J62" s="23"/>
      <c r="K62" s="23"/>
      <c r="L62" s="51"/>
      <c r="M62" s="23"/>
      <c r="N62" s="23"/>
      <c r="O62" s="51"/>
      <c r="P62" s="23"/>
      <c r="Q62" s="23"/>
      <c r="R62" s="51"/>
      <c r="S62" s="63"/>
      <c r="T62" s="51"/>
      <c r="U62" s="51"/>
      <c r="V62" s="51"/>
      <c r="W62" s="23"/>
      <c r="X62" s="23"/>
      <c r="Y62" s="51"/>
      <c r="Z62" s="23"/>
      <c r="AA62" s="23"/>
      <c r="AB62" s="51"/>
      <c r="AC62" s="51"/>
      <c r="AD62" s="51"/>
      <c r="AE62" s="51"/>
      <c r="AF62" s="51"/>
      <c r="AG62" s="51"/>
      <c r="AH62" s="51"/>
      <c r="AI62" s="51"/>
      <c r="AJ62" s="68"/>
      <c r="AK62" s="68"/>
      <c r="AL62" s="51"/>
      <c r="AM62" s="51"/>
      <c r="AN62" s="51"/>
      <c r="AO62" s="51"/>
      <c r="AP62" s="23"/>
      <c r="AQ62" s="23"/>
      <c r="AR62" s="51"/>
      <c r="AS62" s="21">
        <f>IF(E62-G62-H62-I62-J62-K62-L62-M62-N62-O62-P62-Q62-R62-S62-T62-U62-V62-W62-X62-Y62-Z62-AA62-AB62-AC62-AD62-AE62-AF62-AG62-AH62-AI62-AJ62-AK62-AL62-AM62-AN62-AO62-AP62-AQ62-AR62&lt;0,0,E62-G62-H62-I62-J62-K62-L62-M62-N62-O62-P62-Q62-R62-S62-T62-U62-V62-W62-X62-Y62-Z62-AA62-AB62-AC62-AD62-AE62-AF62-AG62-AH62-AI62-AJ62-AK62-AL62-AM62-AN62-AO62-AP62-AQ62-AR62)</f>
        <v>0</v>
      </c>
      <c r="AT62" s="82">
        <v>0.2</v>
      </c>
      <c r="AU62" s="83">
        <f>G62*$G$7+H62*$H$7+I62*$I$7+J62*$J$7+K62*$K$7+L62*$L$7+M62*$M$7+N62*$N$7+O62*$O$7+P62*$P$7+Q62*$Q$7+R62*$R$7+S62*$S$7+T62*$T$7+U62*$U$7+V62*$V$7+W62*$W$7+X62*$X$7+Y62*$Y$7++Z62*$Z$7+AA62*$AA$7+AB62*$AB$7+AC62*$AC$7+AD62*$AD$7+AE62*$AE$7+AF62*$AF$7+AH62*$AH$7+AI62*$AI$7+AJ62*$AJ$7+AK62*$AK$7+AL62*$AL$7+AM62*$AM$7+AN62*$AN$7+AO62*$AO$7+AP62*$AP$7+AQ62*$AQ$7+AR62*$AR$7+AS62*AT62+AG62*$AG$7</f>
        <v>0</v>
      </c>
      <c r="AV62" s="80">
        <f t="shared" si="2"/>
        <v>0</v>
      </c>
    </row>
    <row r="63" ht="20.5" customHeight="1" spans="1:48">
      <c r="A63" s="19">
        <v>55</v>
      </c>
      <c r="B63" s="36" t="s">
        <v>129</v>
      </c>
      <c r="C63" s="32"/>
      <c r="D63" s="32"/>
      <c r="E63" s="21">
        <f t="shared" si="32"/>
        <v>0</v>
      </c>
      <c r="F63" s="32"/>
      <c r="G63" s="23"/>
      <c r="H63" s="23"/>
      <c r="I63" s="23"/>
      <c r="J63" s="23"/>
      <c r="K63" s="23"/>
      <c r="L63" s="23"/>
      <c r="M63" s="23"/>
      <c r="N63" s="23"/>
      <c r="O63" s="23"/>
      <c r="P63" s="23"/>
      <c r="Q63" s="23"/>
      <c r="R63" s="23"/>
      <c r="S63" s="23"/>
      <c r="T63" s="23"/>
      <c r="U63" s="23"/>
      <c r="V63" s="51"/>
      <c r="W63" s="23"/>
      <c r="X63" s="23"/>
      <c r="Y63" s="23"/>
      <c r="Z63" s="23"/>
      <c r="AA63" s="23"/>
      <c r="AB63" s="23"/>
      <c r="AC63" s="23"/>
      <c r="AD63" s="51"/>
      <c r="AE63" s="23"/>
      <c r="AF63" s="51"/>
      <c r="AG63" s="68"/>
      <c r="AH63" s="51"/>
      <c r="AI63" s="51"/>
      <c r="AJ63" s="23"/>
      <c r="AK63" s="23"/>
      <c r="AL63" s="23"/>
      <c r="AM63" s="23"/>
      <c r="AN63" s="51"/>
      <c r="AO63" s="51"/>
      <c r="AP63" s="23"/>
      <c r="AQ63" s="23"/>
      <c r="AR63" s="23"/>
      <c r="AS63" s="21">
        <f>IF(E63-G63-H63-I63-J63-K63-L63-M63-N63-O63-P63-Q63-R63-S63-T63-U63-V63-W63-X63-Y63-Z63-AA63-AB63-AC63-AD63-AE63-AF63-AG63-AH63-AI63-AJ63-AK63-AL63-AM63-AN63-AO63-AP63-AQ63-AR63&lt;0,0,E63-G63-H63-I63-J63-K63-L63-M63-N63-O63-P63-Q63-R63-S63-T63-U63-V63-W63-X63-Y63-Z63-AA63-AB63-AC63-AD63-AE63-AF63-AG63-AH63-AI63-AJ63-AK63-AL63-AM63-AN63-AO63-AP63-AQ63-AR63)</f>
        <v>0</v>
      </c>
      <c r="AT63" s="85">
        <v>0.3</v>
      </c>
      <c r="AU63" s="83">
        <f>G63*$G$7+H63*$H$7+I63*$I$7+J63*$J$7+K63*$K$7+L63*$L$7+M63*$M$7+N63*$N$7+O63*$O$7+P63*$P$7+Q63*$Q$7+R63*$R$7+S63*$S$7+T63*$T$7+U63*$U$7+V63*$V$7+W63*$W$7+X63*$X$7+Y63*$Y$7++Z63*$Z$7+AA63*$AA$7+AB63*$AB$7+AC63*$AC$7+AD63*$AD$7+AE63*$AE$7+AF63*$AF$7+AH63*$AH$7+AI63*$AI$7+AJ63*$AJ$7+AK63*$AK$7+AL63*$AL$7+AM63*$AM$7+AN63*$AN$7+AO63*$AO$7+AP63*$AP$7+AQ63*$AQ$7+AR63*$AR$7+AS63*AT63+AG63*$AG$7</f>
        <v>0</v>
      </c>
      <c r="AV63" s="80">
        <f t="shared" si="2"/>
        <v>0</v>
      </c>
    </row>
    <row r="64" ht="20.5" customHeight="1" spans="1:48">
      <c r="A64" s="19">
        <v>56</v>
      </c>
      <c r="B64" s="36" t="s">
        <v>130</v>
      </c>
      <c r="C64" s="32"/>
      <c r="D64" s="32"/>
      <c r="E64" s="21">
        <f t="shared" si="32"/>
        <v>0</v>
      </c>
      <c r="F64" s="32"/>
      <c r="G64" s="23"/>
      <c r="H64" s="23"/>
      <c r="I64" s="23"/>
      <c r="J64" s="23"/>
      <c r="K64" s="23"/>
      <c r="L64" s="23"/>
      <c r="M64" s="23"/>
      <c r="N64" s="23"/>
      <c r="O64" s="23"/>
      <c r="P64" s="23"/>
      <c r="Q64" s="23"/>
      <c r="R64" s="23"/>
      <c r="S64" s="23"/>
      <c r="T64" s="23"/>
      <c r="U64" s="23"/>
      <c r="V64" s="51"/>
      <c r="W64" s="23"/>
      <c r="X64" s="23"/>
      <c r="Y64" s="23"/>
      <c r="Z64" s="23"/>
      <c r="AA64" s="23"/>
      <c r="AB64" s="23"/>
      <c r="AC64" s="23"/>
      <c r="AD64" s="51"/>
      <c r="AE64" s="68"/>
      <c r="AF64" s="51"/>
      <c r="AG64" s="68"/>
      <c r="AH64" s="68"/>
      <c r="AI64" s="68"/>
      <c r="AJ64" s="68"/>
      <c r="AK64" s="68"/>
      <c r="AL64" s="68"/>
      <c r="AM64" s="68"/>
      <c r="AN64" s="68"/>
      <c r="AO64" s="51"/>
      <c r="AP64" s="23"/>
      <c r="AQ64" s="23"/>
      <c r="AR64" s="23"/>
      <c r="AS64" s="21">
        <f>IF(E64-G64-H64-I64-J64-K64-L64-M64-N64-O64-P64-Q64-R64-S64-T64-U64-V64-W64-X64-Y64-Z64-AA64-AB64-AC64-AD64-AE64-AF64-AG64-AH64-AI64-AJ64-AK64-AL64-AM64-AN64-AO64-AP64-AQ64-AR64&lt;0,0,E64-G64-H64-I64-J64-K64-L64-M64-N64-O64-P64-Q64-R64-S64-T64-U64-V64-W64-X64-Y64-Z64-AA64-AB64-AC64-AD64-AE64-AF64-AG64-AH64-AI64-AJ64-AK64-AL64-AM64-AN64-AO64-AP64-AQ64-AR64)</f>
        <v>0</v>
      </c>
      <c r="AT64" s="85">
        <v>0.5</v>
      </c>
      <c r="AU64" s="83">
        <f>G64*$G$7+H64*$H$7+I64*$I$7+J64*$J$7+K64*$K$7+L64*$L$7+M64*$M$7+N64*$N$7+O64*$O$7+P64*$P$7+Q64*$Q$7+R64*$R$7+S64*$S$7+T64*$T$7+U64*$U$7+V64*$V$7+W64*$W$7+X64*$X$7+Y64*$Y$7++Z64*$Z$7+AA64*$AA$7+AB64*$AB$7+AC64*$AC$7+AD64*$AD$7+AE64*$AE$7+AF64*$AF$7+AH64*$AH$7+AI64*$AI$7+AJ64*$AJ$7+AK64*$AK$7+AL64*$AL$7+AM64*$AM$7+AN64*$AN$7+AO64*$AO$7+AP64*$AP$7+AQ64*$AQ$7+AR64*$AR$7+AS64*AT64+AG64*$AG$7</f>
        <v>0</v>
      </c>
      <c r="AV64" s="80">
        <f t="shared" si="2"/>
        <v>0</v>
      </c>
    </row>
    <row r="65" ht="20.5" customHeight="1" spans="1:48">
      <c r="A65" s="19">
        <v>57</v>
      </c>
      <c r="B65" s="36" t="s">
        <v>131</v>
      </c>
      <c r="C65" s="32"/>
      <c r="D65" s="32"/>
      <c r="E65" s="21">
        <f t="shared" si="32"/>
        <v>0</v>
      </c>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21">
        <f>IF(E65-G65-H65-I65-J65-K65-L65-M65-N65-O65-P65-Q65-R65-S65-T65-U65-V65-W65-X65-Y65-Z65-AA65-AB65-AC65-AD65-AE65-AF65-AG65-AH65-AI65-AJ65-AK65-AL65-AM65-AN65-AO65-AP65-AQ65-AR65&lt;0,0,E65-G65-H65-I65-J65-K65-L65-M65-N65-O65-P65-Q65-R65-S65-T65-U65-V65-W65-X65-Y65-Z65-AA65-AB65-AC65-AD65-AE65-AF65-AG65-AH65-AI65-AJ65-AK65-AL65-AM65-AN65-AO65-AP65-AQ65-AR65)</f>
        <v>0</v>
      </c>
      <c r="AT65" s="85">
        <v>1</v>
      </c>
      <c r="AU65" s="83">
        <f>G65*$G$7+H65*$H$7+I65*$I$7+J65*$J$7+K65*$K$7+L65*$L$7+M65*$M$7+N65*$N$7+O65*$O$7+P65*$P$7+Q65*$Q$7+R65*$R$7+S65*$S$7+T65*$T$7+U65*$U$7+V65*$V$7+W65*$W$7+X65*$X$7+Y65*$Y$7++Z65*$Z$7+AA65*$AA$7+AB65*$AB$7+AC65*$AC$7+AD65*$AD$7+AE65*$AE$7+AF65*$AF$7+AH65*$AH$7+AI65*$AI$7+AJ65*$AJ$7+AK65*$AK$7+AL65*$AL$7+AM65*$AM$7+AN65*$AN$7+AO65*$AO$7+AP65*$AP$7+AQ65*$AQ$7+AR65*$AR$7+AS65*AT65+AG65*$AG$7</f>
        <v>0</v>
      </c>
      <c r="AV65" s="80">
        <f t="shared" si="2"/>
        <v>0</v>
      </c>
    </row>
    <row r="66" ht="20.5" customHeight="1" spans="1:48">
      <c r="A66" s="19">
        <v>58</v>
      </c>
      <c r="B66" s="36" t="s">
        <v>132</v>
      </c>
      <c r="C66" s="32"/>
      <c r="D66" s="32"/>
      <c r="E66" s="21">
        <f t="shared" si="32"/>
        <v>0</v>
      </c>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21">
        <f>IF(E66-G66-H66-I66-J66-K66-L66-M66-N66-O66-P66-Q66-R66-S66-T66-U66-V66-W66-X66-Y66-Z66-AA66-AB66-AC66-AD66-AE66-AF66-AG66-AH66-AI66-AJ66-AK66-AL66-AM66-AN66-AO66-AP66-AQ66-AR66&lt;0,0,E66-G66-H66-I66-J66-K66-L66-M66-N66-O66-P66-Q66-R66-S66-T66-U66-V66-W66-X66-Y66-Z66-AA66-AB66-AC66-AD66-AE66-AF66-AG66-AH66-AI66-AJ66-AK66-AL66-AM66-AN66-AO66-AP66-AQ66-AR66)</f>
        <v>0</v>
      </c>
      <c r="AT66" s="85">
        <v>1.5</v>
      </c>
      <c r="AU66" s="83">
        <f>G66*$G$7+H66*$H$7+I66*$I$7+J66*$J$7+K66*$K$7+L66*$L$7+M66*$M$7+N66*$N$7+O66*$O$7+P66*$P$7+Q66*$Q$7+R66*$R$7+S66*$S$7+T66*$T$7+U66*$U$7+V66*$V$7+W66*$W$7+X66*$X$7+Y66*$Y$7++Z66*$Z$7+AA66*$AA$7+AB66*$AB$7+AC66*$AC$7+AD66*$AD$7+AE66*$AE$7+AF66*$AF$7+AH66*$AH$7+AI66*$AI$7+AJ66*$AJ$7+AK66*$AK$7+AL66*$AL$7+AM66*$AM$7+AN66*$AN$7+AO66*$AO$7+AP66*$AP$7+AQ66*$AQ$7+AR66*$AR$7+AS66*AT66+AG66*$AG$7</f>
        <v>0</v>
      </c>
      <c r="AV66" s="80">
        <f t="shared" si="2"/>
        <v>0</v>
      </c>
    </row>
    <row r="67" ht="20.5" customHeight="1" spans="1:48">
      <c r="A67" s="19">
        <v>59</v>
      </c>
      <c r="B67" s="35" t="s">
        <v>133</v>
      </c>
      <c r="C67" s="33">
        <f t="shared" ref="C67:AR67" si="33">SUM(C68:C72)</f>
        <v>0</v>
      </c>
      <c r="D67" s="33">
        <f t="shared" si="33"/>
        <v>0</v>
      </c>
      <c r="E67" s="33">
        <f t="shared" si="33"/>
        <v>0</v>
      </c>
      <c r="F67" s="33">
        <f t="shared" si="33"/>
        <v>0</v>
      </c>
      <c r="G67" s="33">
        <f t="shared" si="33"/>
        <v>0</v>
      </c>
      <c r="H67" s="33">
        <f t="shared" si="33"/>
        <v>0</v>
      </c>
      <c r="I67" s="33">
        <f t="shared" si="33"/>
        <v>0</v>
      </c>
      <c r="J67" s="33">
        <f t="shared" si="33"/>
        <v>0</v>
      </c>
      <c r="K67" s="33">
        <f t="shared" si="33"/>
        <v>0</v>
      </c>
      <c r="L67" s="33">
        <f t="shared" si="33"/>
        <v>0</v>
      </c>
      <c r="M67" s="33">
        <f t="shared" si="33"/>
        <v>0</v>
      </c>
      <c r="N67" s="33">
        <f t="shared" si="33"/>
        <v>0</v>
      </c>
      <c r="O67" s="33">
        <f t="shared" si="33"/>
        <v>0</v>
      </c>
      <c r="P67" s="33">
        <f t="shared" si="33"/>
        <v>0</v>
      </c>
      <c r="Q67" s="33">
        <f t="shared" si="33"/>
        <v>0</v>
      </c>
      <c r="R67" s="33">
        <f t="shared" si="33"/>
        <v>0</v>
      </c>
      <c r="S67" s="33">
        <f t="shared" si="33"/>
        <v>0</v>
      </c>
      <c r="T67" s="33">
        <f t="shared" si="33"/>
        <v>0</v>
      </c>
      <c r="U67" s="33">
        <f t="shared" si="33"/>
        <v>0</v>
      </c>
      <c r="V67" s="33">
        <f t="shared" si="33"/>
        <v>0</v>
      </c>
      <c r="W67" s="33">
        <f t="shared" si="33"/>
        <v>0</v>
      </c>
      <c r="X67" s="33">
        <f t="shared" si="33"/>
        <v>0</v>
      </c>
      <c r="Y67" s="33">
        <f t="shared" si="33"/>
        <v>0</v>
      </c>
      <c r="Z67" s="33">
        <f t="shared" si="33"/>
        <v>0</v>
      </c>
      <c r="AA67" s="33">
        <f t="shared" si="33"/>
        <v>0</v>
      </c>
      <c r="AB67" s="33">
        <f t="shared" si="33"/>
        <v>0</v>
      </c>
      <c r="AC67" s="33">
        <f t="shared" si="33"/>
        <v>0</v>
      </c>
      <c r="AD67" s="33">
        <f t="shared" si="33"/>
        <v>0</v>
      </c>
      <c r="AE67" s="33">
        <f t="shared" si="33"/>
        <v>0</v>
      </c>
      <c r="AF67" s="33">
        <f t="shared" si="33"/>
        <v>0</v>
      </c>
      <c r="AG67" s="33">
        <f t="shared" si="33"/>
        <v>0</v>
      </c>
      <c r="AH67" s="33">
        <f t="shared" si="33"/>
        <v>0</v>
      </c>
      <c r="AI67" s="33">
        <f t="shared" si="33"/>
        <v>0</v>
      </c>
      <c r="AJ67" s="33">
        <f t="shared" si="33"/>
        <v>0</v>
      </c>
      <c r="AK67" s="33">
        <f t="shared" si="33"/>
        <v>0</v>
      </c>
      <c r="AL67" s="33">
        <f t="shared" si="33"/>
        <v>0</v>
      </c>
      <c r="AM67" s="33">
        <f t="shared" si="33"/>
        <v>0</v>
      </c>
      <c r="AN67" s="33">
        <f t="shared" si="33"/>
        <v>0</v>
      </c>
      <c r="AO67" s="33">
        <f t="shared" si="33"/>
        <v>0</v>
      </c>
      <c r="AP67" s="33">
        <f t="shared" si="33"/>
        <v>0</v>
      </c>
      <c r="AQ67" s="33">
        <f t="shared" si="33"/>
        <v>0</v>
      </c>
      <c r="AR67" s="33">
        <f t="shared" si="33"/>
        <v>0</v>
      </c>
      <c r="AS67" s="33">
        <f>AS68+AS69+AS70+AS71+AS72</f>
        <v>0</v>
      </c>
      <c r="AT67" s="86"/>
      <c r="AU67" s="33">
        <f>AU68+AU69+AU70+AU71+AU72</f>
        <v>0</v>
      </c>
      <c r="AV67" s="80">
        <f t="shared" si="2"/>
        <v>0</v>
      </c>
    </row>
    <row r="68" ht="24" spans="1:48">
      <c r="A68" s="19">
        <v>60</v>
      </c>
      <c r="B68" s="36" t="s">
        <v>134</v>
      </c>
      <c r="C68" s="23"/>
      <c r="D68" s="23"/>
      <c r="E68" s="21">
        <f t="shared" ref="E68:E72" si="34">C68-D68</f>
        <v>0</v>
      </c>
      <c r="F68" s="23"/>
      <c r="G68" s="23"/>
      <c r="H68" s="23"/>
      <c r="I68" s="51"/>
      <c r="J68" s="23"/>
      <c r="K68" s="23"/>
      <c r="L68" s="51"/>
      <c r="M68" s="23"/>
      <c r="N68" s="23"/>
      <c r="O68" s="51"/>
      <c r="P68" s="23"/>
      <c r="Q68" s="23"/>
      <c r="R68" s="51"/>
      <c r="S68" s="63"/>
      <c r="T68" s="51"/>
      <c r="U68" s="51"/>
      <c r="V68" s="51"/>
      <c r="W68" s="23"/>
      <c r="X68" s="23"/>
      <c r="Y68" s="51"/>
      <c r="Z68" s="23"/>
      <c r="AA68" s="23"/>
      <c r="AB68" s="51"/>
      <c r="AC68" s="51"/>
      <c r="AD68" s="51"/>
      <c r="AE68" s="51"/>
      <c r="AF68" s="51"/>
      <c r="AG68" s="51"/>
      <c r="AH68" s="51"/>
      <c r="AI68" s="51"/>
      <c r="AJ68" s="68"/>
      <c r="AK68" s="68"/>
      <c r="AL68" s="51"/>
      <c r="AM68" s="51"/>
      <c r="AN68" s="51"/>
      <c r="AO68" s="51"/>
      <c r="AP68" s="23"/>
      <c r="AQ68" s="23"/>
      <c r="AR68" s="51"/>
      <c r="AS68" s="21">
        <f>IF(E68-G68-H68-I68-J68-K68-L68-M68-N68-O68-P68-Q68-R68-S68-T68-U68-V68-W68-X68-Y68-Z68-AA68-AB68-AC68-AD68-AE68-AF68-AG68-AH68-AI68-AJ68-AK68-AL68-AM68-AN68-AO68-AP68-AQ68-AR68&lt;0,0,E68-G68-H68-I68-J68-K68-L68-M68-N68-O68-P68-Q68-R68-S68-T68-U68-V68-W68-X68-Y68-Z68-AA68-AB68-AC68-AD68-AE68-AF68-AG68-AH68-AI68-AJ68-AK68-AL68-AM68-AN68-AO68-AP68-AQ68-AR68)</f>
        <v>0</v>
      </c>
      <c r="AT68" s="82">
        <v>0.2</v>
      </c>
      <c r="AU68" s="83">
        <f>G68*$G$7+H68*$H$7+I68*$I$7+J68*$J$7+K68*$K$7+L68*$L$7+M68*$M$7+N68*$N$7+O68*$O$7+P68*$P$7+Q68*$Q$7+R68*$R$7+S68*$S$7+T68*$T$7+U68*$U$7+V68*$V$7+W68*$W$7+X68*$X$7+Y68*$Y$7++Z68*$Z$7+AA68*$AA$7+AB68*$AB$7+AC68*$AC$7+AD68*$AD$7+AE68*$AE$7+AF68*$AF$7+AH68*$AH$7+AI68*$AI$7+AJ68*$AJ$7+AK68*$AK$7+AL68*$AL$7+AM68*$AM$7+AN68*$AN$7+AO68*$AO$7+AP68*$AP$7+AQ68*$AQ$7+AR68*$AR$7+AS68*AT68+AG68*$AG$7</f>
        <v>0</v>
      </c>
      <c r="AV68" s="80">
        <f t="shared" si="2"/>
        <v>0</v>
      </c>
    </row>
    <row r="69" ht="20.5" customHeight="1" spans="1:48">
      <c r="A69" s="19">
        <v>61</v>
      </c>
      <c r="B69" s="36" t="s">
        <v>135</v>
      </c>
      <c r="C69" s="23"/>
      <c r="D69" s="23"/>
      <c r="E69" s="21">
        <f t="shared" si="34"/>
        <v>0</v>
      </c>
      <c r="F69" s="23"/>
      <c r="G69" s="23"/>
      <c r="H69" s="23"/>
      <c r="I69" s="23"/>
      <c r="J69" s="23"/>
      <c r="K69" s="23"/>
      <c r="L69" s="23"/>
      <c r="M69" s="23"/>
      <c r="N69" s="23"/>
      <c r="O69" s="23"/>
      <c r="P69" s="23"/>
      <c r="Q69" s="23"/>
      <c r="R69" s="23"/>
      <c r="S69" s="23"/>
      <c r="T69" s="23"/>
      <c r="U69" s="23"/>
      <c r="V69" s="51"/>
      <c r="W69" s="23"/>
      <c r="X69" s="23"/>
      <c r="Y69" s="23"/>
      <c r="Z69" s="23"/>
      <c r="AA69" s="23"/>
      <c r="AB69" s="23"/>
      <c r="AC69" s="23"/>
      <c r="AD69" s="51"/>
      <c r="AE69" s="68"/>
      <c r="AF69" s="51"/>
      <c r="AG69" s="23"/>
      <c r="AH69" s="23"/>
      <c r="AI69" s="51"/>
      <c r="AJ69" s="23"/>
      <c r="AK69" s="23"/>
      <c r="AL69" s="23"/>
      <c r="AM69" s="23"/>
      <c r="AN69" s="23"/>
      <c r="AO69" s="51"/>
      <c r="AP69" s="23"/>
      <c r="AQ69" s="23"/>
      <c r="AR69" s="23"/>
      <c r="AS69" s="21">
        <f>IF(E69-G69-H69-I69-J69-K69-L69-M69-N69-O69-P69-Q69-R69-S69-T69-U69-V69-W69-X69-Y69-Z69-AA69-AB69-AC69-AD69-AE69-AF69-AG69-AH69-AI69-AJ69-AK69-AL69-AM69-AN69-AO69-AP69-AQ69-AR69&lt;0,0,E69-G69-H69-I69-J69-K69-L69-M69-N69-O69-P69-Q69-R69-S69-T69-U69-V69-W69-X69-Y69-Z69-AA69-AB69-AC69-AD69-AE69-AF69-AG69-AH69-AI69-AJ69-AK69-AL69-AM69-AN69-AO69-AP69-AQ69-AR69)</f>
        <v>0</v>
      </c>
      <c r="AT69" s="82">
        <v>0.4</v>
      </c>
      <c r="AU69" s="83">
        <f>G69*$G$7+H69*$H$7+I69*$I$7+J69*$J$7+K69*$K$7+L69*$L$7+M69*$M$7+N69*$N$7+O69*$O$7+P69*$P$7+Q69*$Q$7+R69*$R$7+S69*$S$7+T69*$T$7+U69*$U$7+V69*$V$7+W69*$W$7+X69*$X$7+Y69*$Y$7++Z69*$Z$7+AA69*$AA$7+AB69*$AB$7+AC69*$AC$7+AD69*$AD$7+AE69*$AE$7+AF69*$AF$7+AH69*$AH$7+AI69*$AI$7+AJ69*$AJ$7+AK69*$AK$7+AL69*$AL$7+AM69*$AM$7+AN69*$AN$7+AO69*$AO$7+AP69*$AP$7+AQ69*$AQ$7+AR69*$AR$7+AS69*AT69+AG69*$AG$7</f>
        <v>0</v>
      </c>
      <c r="AV69" s="80">
        <f t="shared" si="2"/>
        <v>0</v>
      </c>
    </row>
    <row r="70" ht="20.5" customHeight="1" spans="1:48">
      <c r="A70" s="19">
        <v>62</v>
      </c>
      <c r="B70" s="36" t="s">
        <v>136</v>
      </c>
      <c r="C70" s="32"/>
      <c r="D70" s="32"/>
      <c r="E70" s="21">
        <f t="shared" si="34"/>
        <v>0</v>
      </c>
      <c r="F70" s="32"/>
      <c r="G70" s="23"/>
      <c r="H70" s="23"/>
      <c r="I70" s="23"/>
      <c r="J70" s="23"/>
      <c r="K70" s="23"/>
      <c r="L70" s="23"/>
      <c r="M70" s="23"/>
      <c r="N70" s="23"/>
      <c r="O70" s="23"/>
      <c r="P70" s="23"/>
      <c r="Q70" s="23"/>
      <c r="R70" s="23"/>
      <c r="S70" s="23"/>
      <c r="T70" s="23"/>
      <c r="U70" s="23"/>
      <c r="V70" s="51"/>
      <c r="W70" s="23"/>
      <c r="X70" s="23"/>
      <c r="Y70" s="23"/>
      <c r="Z70" s="23"/>
      <c r="AA70" s="23"/>
      <c r="AB70" s="23"/>
      <c r="AC70" s="23"/>
      <c r="AD70" s="51"/>
      <c r="AE70" s="68"/>
      <c r="AF70" s="51"/>
      <c r="AG70" s="23"/>
      <c r="AH70" s="68"/>
      <c r="AI70" s="68"/>
      <c r="AJ70" s="68"/>
      <c r="AK70" s="68"/>
      <c r="AL70" s="68"/>
      <c r="AM70" s="68"/>
      <c r="AN70" s="68"/>
      <c r="AO70" s="51"/>
      <c r="AP70" s="23"/>
      <c r="AQ70" s="23"/>
      <c r="AR70" s="23"/>
      <c r="AS70" s="21">
        <f>IF(E70-G70-H70-I70-J70-K70-L70-M70-N70-O70-P70-Q70-R70-S70-T70-U70-V70-W70-X70-Y70-Z70-AA70-AB70-AC70-AD70-AE70-AF70-AG70-AH70-AI70-AJ70-AK70-AL70-AM70-AN70-AO70-AP70-AQ70-AR70&lt;0,0,E70-G70-H70-I70-J70-K70-L70-M70-N70-O70-P70-Q70-R70-S70-T70-U70-V70-W70-X70-Y70-Z70-AA70-AB70-AC70-AD70-AE70-AF70-AG70-AH70-AI70-AJ70-AK70-AL70-AM70-AN70-AO70-AP70-AQ70-AR70)</f>
        <v>0</v>
      </c>
      <c r="AT70" s="85">
        <v>0.5</v>
      </c>
      <c r="AU70" s="83">
        <f>G70*$G$7+H70*$H$7+I70*$I$7+J70*$J$7+K70*$K$7+L70*$L$7+M70*$M$7+N70*$N$7+O70*$O$7+P70*$P$7+Q70*$Q$7+R70*$R$7+S70*$S$7+T70*$T$7+U70*$U$7+V70*$V$7+W70*$W$7+X70*$X$7+Y70*$Y$7++Z70*$Z$7+AA70*$AA$7+AB70*$AB$7+AC70*$AC$7+AD70*$AD$7+AE70*$AE$7+AF70*$AF$7+AH70*$AH$7+AI70*$AI$7+AJ70*$AJ$7+AK70*$AK$7+AL70*$AL$7+AM70*$AM$7+AN70*$AN$7+AO70*$AO$7+AP70*$AP$7+AQ70*$AQ$7+AR70*$AR$7+AS70*AT70+AG70*$AG$7</f>
        <v>0</v>
      </c>
      <c r="AV70" s="80">
        <f t="shared" si="2"/>
        <v>0</v>
      </c>
    </row>
    <row r="71" ht="20.5" customHeight="1" spans="1:48">
      <c r="A71" s="19">
        <v>63</v>
      </c>
      <c r="B71" s="36" t="s">
        <v>137</v>
      </c>
      <c r="C71" s="32"/>
      <c r="D71" s="32"/>
      <c r="E71" s="21">
        <f t="shared" si="34"/>
        <v>0</v>
      </c>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23"/>
      <c r="AH71" s="32"/>
      <c r="AI71" s="32"/>
      <c r="AJ71" s="32"/>
      <c r="AK71" s="32"/>
      <c r="AL71" s="32"/>
      <c r="AM71" s="32"/>
      <c r="AN71" s="32"/>
      <c r="AO71" s="32"/>
      <c r="AP71" s="32"/>
      <c r="AQ71" s="32"/>
      <c r="AR71" s="32"/>
      <c r="AS71" s="21">
        <f>IF(E71-G71-H71-I71-J71-K71-L71-M71-N71-O71-P71-Q71-R71-S71-T71-U71-V71-W71-X71-Y71-Z71-AA71-AB71-AC71-AD71-AE71-AF71-AG71-AH71-AI71-AJ71-AK71-AL71-AM71-AN71-AO71-AP71-AQ71-AR71&lt;0,0,E71-G71-H71-I71-J71-K71-L71-M71-N71-O71-P71-Q71-R71-S71-T71-U71-V71-W71-X71-Y71-Z71-AA71-AB71-AC71-AD71-AE71-AF71-AG71-AH71-AI71-AJ71-AK71-AL71-AM71-AN71-AO71-AP71-AQ71-AR71)</f>
        <v>0</v>
      </c>
      <c r="AT71" s="85">
        <v>1</v>
      </c>
      <c r="AU71" s="83">
        <f>G71*$G$7+H71*$H$7+I71*$I$7+J71*$J$7+K71*$K$7+L71*$L$7+M71*$M$7+N71*$N$7+O71*$O$7+P71*$P$7+Q71*$Q$7+R71*$R$7+S71*$S$7+T71*$T$7+U71*$U$7+V71*$V$7+W71*$W$7+X71*$X$7+Y71*$Y$7++Z71*$Z$7+AA71*$AA$7+AB71*$AB$7+AC71*$AC$7+AD71*$AD$7+AE71*$AE$7+AF71*$AF$7+AH71*$AH$7+AI71*$AI$7+AJ71*$AJ$7+AK71*$AK$7+AL71*$AL$7+AM71*$AM$7+AN71*$AN$7+AO71*$AO$7+AP71*$AP$7+AQ71*$AQ$7+AR71*$AR$7+AS71*AT71+AG71*$AG$7</f>
        <v>0</v>
      </c>
      <c r="AV71" s="80">
        <f t="shared" si="2"/>
        <v>0</v>
      </c>
    </row>
    <row r="72" ht="20.5" customHeight="1" spans="1:48">
      <c r="A72" s="19">
        <v>64</v>
      </c>
      <c r="B72" s="36" t="s">
        <v>138</v>
      </c>
      <c r="C72" s="32"/>
      <c r="D72" s="32"/>
      <c r="E72" s="21">
        <f t="shared" si="34"/>
        <v>0</v>
      </c>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21">
        <f>IF(E72-G72-H72-I72-J72-K72-L72-M72-N72-O72-P72-Q72-R72-S72-T72-U72-V72-W72-X72-Y72-Z72-AA72-AB72-AC72-AD72-AE72-AF72-AG72-AH72-AI72-AJ72-AK72-AL72-AM72-AN72-AO72-AP72-AQ72-AR72&lt;0,0,E72-G72-H72-I72-J72-K72-L72-M72-N72-O72-P72-Q72-R72-S72-T72-U72-V72-W72-X72-Y72-Z72-AA72-AB72-AC72-AD72-AE72-AF72-AG72-AH72-AI72-AJ72-AK72-AL72-AM72-AN72-AO72-AP72-AQ72-AR72)</f>
        <v>0</v>
      </c>
      <c r="AT72" s="85">
        <v>1.5</v>
      </c>
      <c r="AU72" s="83">
        <f>G72*$G$7+H72*$H$7+I72*$I$7+J72*$J$7+K72*$K$7+L72*$L$7+M72*$M$7+N72*$N$7+O72*$O$7+P72*$P$7+Q72*$Q$7+R72*$R$7+S72*$S$7+T72*$T$7+U72*$U$7+V72*$V$7+W72*$W$7+X72*$X$7+Y72*$Y$7++Z72*$Z$7+AA72*$AA$7+AB72*$AB$7+AC72*$AC$7+AD72*$AD$7+AE72*$AE$7+AF72*$AF$7+AH72*$AH$7+AI72*$AI$7+AJ72*$AJ$7+AK72*$AK$7+AL72*$AL$7+AM72*$AM$7+AN72*$AN$7+AO72*$AO$7+AP72*$AP$7+AQ72*$AQ$7+AR72*$AR$7+AS72*AT72+AG72*$AG$7</f>
        <v>0</v>
      </c>
      <c r="AV72" s="80">
        <f t="shared" si="2"/>
        <v>0</v>
      </c>
    </row>
    <row r="73" ht="20.5" customHeight="1" spans="1:48">
      <c r="A73" s="19">
        <v>65</v>
      </c>
      <c r="B73" s="35" t="s">
        <v>139</v>
      </c>
      <c r="C73" s="21">
        <f t="shared" ref="C73:AR73" si="35">SUM(C74:C77)</f>
        <v>0</v>
      </c>
      <c r="D73" s="21">
        <f t="shared" si="35"/>
        <v>0</v>
      </c>
      <c r="E73" s="21">
        <f t="shared" si="35"/>
        <v>0</v>
      </c>
      <c r="F73" s="21">
        <f t="shared" si="35"/>
        <v>0</v>
      </c>
      <c r="G73" s="21">
        <f t="shared" si="35"/>
        <v>0</v>
      </c>
      <c r="H73" s="21">
        <f t="shared" si="35"/>
        <v>0</v>
      </c>
      <c r="I73" s="21">
        <f t="shared" si="35"/>
        <v>0</v>
      </c>
      <c r="J73" s="21">
        <f t="shared" si="35"/>
        <v>0</v>
      </c>
      <c r="K73" s="21">
        <f t="shared" si="35"/>
        <v>0</v>
      </c>
      <c r="L73" s="21">
        <f t="shared" si="35"/>
        <v>0</v>
      </c>
      <c r="M73" s="21">
        <f t="shared" si="35"/>
        <v>0</v>
      </c>
      <c r="N73" s="21">
        <f t="shared" si="35"/>
        <v>0</v>
      </c>
      <c r="O73" s="21">
        <f t="shared" si="35"/>
        <v>0</v>
      </c>
      <c r="P73" s="21">
        <f t="shared" si="35"/>
        <v>0</v>
      </c>
      <c r="Q73" s="21">
        <f t="shared" si="35"/>
        <v>0</v>
      </c>
      <c r="R73" s="21">
        <f t="shared" si="35"/>
        <v>0</v>
      </c>
      <c r="S73" s="21">
        <f t="shared" si="35"/>
        <v>0</v>
      </c>
      <c r="T73" s="21">
        <f t="shared" si="35"/>
        <v>0</v>
      </c>
      <c r="U73" s="21">
        <f t="shared" si="35"/>
        <v>0</v>
      </c>
      <c r="V73" s="21">
        <f t="shared" si="35"/>
        <v>0</v>
      </c>
      <c r="W73" s="21">
        <f t="shared" si="35"/>
        <v>0</v>
      </c>
      <c r="X73" s="21">
        <f t="shared" si="35"/>
        <v>0</v>
      </c>
      <c r="Y73" s="21">
        <f t="shared" si="35"/>
        <v>0</v>
      </c>
      <c r="Z73" s="21">
        <f t="shared" si="35"/>
        <v>0</v>
      </c>
      <c r="AA73" s="21">
        <f t="shared" si="35"/>
        <v>0</v>
      </c>
      <c r="AB73" s="21">
        <f t="shared" si="35"/>
        <v>0</v>
      </c>
      <c r="AC73" s="21">
        <f t="shared" si="35"/>
        <v>0</v>
      </c>
      <c r="AD73" s="21">
        <f t="shared" si="35"/>
        <v>0</v>
      </c>
      <c r="AE73" s="21">
        <f t="shared" si="35"/>
        <v>0</v>
      </c>
      <c r="AF73" s="21">
        <f t="shared" si="35"/>
        <v>0</v>
      </c>
      <c r="AG73" s="21">
        <f t="shared" si="35"/>
        <v>0</v>
      </c>
      <c r="AH73" s="21">
        <f t="shared" si="35"/>
        <v>0</v>
      </c>
      <c r="AI73" s="21">
        <f t="shared" si="35"/>
        <v>0</v>
      </c>
      <c r="AJ73" s="21">
        <f t="shared" si="35"/>
        <v>0</v>
      </c>
      <c r="AK73" s="21">
        <f t="shared" si="35"/>
        <v>0</v>
      </c>
      <c r="AL73" s="21">
        <f t="shared" si="35"/>
        <v>0</v>
      </c>
      <c r="AM73" s="21">
        <f t="shared" si="35"/>
        <v>0</v>
      </c>
      <c r="AN73" s="21">
        <f t="shared" si="35"/>
        <v>0</v>
      </c>
      <c r="AO73" s="21">
        <f t="shared" si="35"/>
        <v>0</v>
      </c>
      <c r="AP73" s="21">
        <f t="shared" si="35"/>
        <v>0</v>
      </c>
      <c r="AQ73" s="21">
        <f t="shared" si="35"/>
        <v>0</v>
      </c>
      <c r="AR73" s="21">
        <f t="shared" si="35"/>
        <v>0</v>
      </c>
      <c r="AS73" s="21">
        <f>AS74+AS75+AS76+AS77</f>
        <v>0</v>
      </c>
      <c r="AT73" s="79"/>
      <c r="AU73" s="21">
        <f>AU74+AU75+AU76+AU77</f>
        <v>0</v>
      </c>
      <c r="AV73" s="80">
        <f t="shared" si="2"/>
        <v>0</v>
      </c>
    </row>
    <row r="74" ht="24" spans="1:48">
      <c r="A74" s="19">
        <v>66</v>
      </c>
      <c r="B74" s="36" t="s">
        <v>140</v>
      </c>
      <c r="C74" s="23"/>
      <c r="D74" s="23"/>
      <c r="E74" s="21">
        <f t="shared" ref="E74:E79" si="36">C74-D74</f>
        <v>0</v>
      </c>
      <c r="F74" s="23"/>
      <c r="G74" s="23"/>
      <c r="H74" s="23"/>
      <c r="I74" s="23"/>
      <c r="J74" s="23"/>
      <c r="K74" s="23"/>
      <c r="L74" s="23"/>
      <c r="M74" s="23"/>
      <c r="N74" s="23"/>
      <c r="O74" s="23"/>
      <c r="P74" s="23"/>
      <c r="Q74" s="23"/>
      <c r="R74" s="23"/>
      <c r="S74" s="23"/>
      <c r="T74" s="23"/>
      <c r="U74" s="23"/>
      <c r="V74" s="51"/>
      <c r="W74" s="23"/>
      <c r="X74" s="23"/>
      <c r="Y74" s="23"/>
      <c r="Z74" s="23"/>
      <c r="AA74" s="23"/>
      <c r="AB74" s="23"/>
      <c r="AC74" s="23"/>
      <c r="AD74" s="51"/>
      <c r="AE74" s="68"/>
      <c r="AF74" s="51"/>
      <c r="AG74" s="68"/>
      <c r="AH74" s="68"/>
      <c r="AI74" s="68"/>
      <c r="AJ74" s="68"/>
      <c r="AK74" s="68"/>
      <c r="AL74" s="68"/>
      <c r="AM74" s="68"/>
      <c r="AN74" s="68"/>
      <c r="AO74" s="51"/>
      <c r="AP74" s="23"/>
      <c r="AQ74" s="23"/>
      <c r="AR74" s="23"/>
      <c r="AS74" s="21">
        <f t="shared" ref="AS74:AS79" si="37">IF(E74-G74-H74-I74-J74-K74-L74-M74-N74-O74-P74-Q74-R74-S74-T74-U74-V74-W74-X74-Y74-Z74-AA74-AB74-AC74-AD74-AE74-AF74-AG74-AH74-AI74-AJ74-AK74-AL74-AM74-AN74-AO74-AP74-AQ74-AR74&lt;0,0,E74-G74-H74-I74-J74-K74-L74-M74-N74-O74-P74-Q74-R74-S74-T74-U74-V74-W74-X74-Y74-Z74-AA74-AB74-AC74-AD74-AE74-AF74-AG74-AH74-AI74-AJ74-AK74-AL74-AM74-AN74-AO74-AP74-AQ74-AR74)</f>
        <v>0</v>
      </c>
      <c r="AT74" s="82">
        <v>0.5</v>
      </c>
      <c r="AU74" s="83">
        <f t="shared" ref="AU74:AU78" si="38">G74*$G$7+H74*$H$7+I74*$I$7+J74*$J$7+K74*$K$7+L74*$L$7+M74*$M$7+N74*$N$7+O74*$O$7+P74*$P$7+Q74*$Q$7+R74*$R$7+S74*$S$7+T74*$T$7+U74*$U$7+V74*$V$7+W74*$W$7+X74*$X$7+Y74*$Y$7++Z74*$Z$7+AA74*$AA$7+AB74*$AB$7+AC74*$AC$7+AD74*$AD$7+AE74*$AE$7+AF74*$AF$7+AH74*$AH$7+AI74*$AI$7+AJ74*$AJ$7+AK74*$AK$7+AL74*$AL$7+AM74*$AM$7+AN74*$AN$7+AO74*$AO$7+AP74*$AP$7+AQ74*$AQ$7+AR74*$AR$7+AS74*AT74+AG74*$AG$7</f>
        <v>0</v>
      </c>
      <c r="AV74" s="80">
        <f t="shared" ref="AV74:AV138" si="39">IF(E74=0,0,AU74/E74)</f>
        <v>0</v>
      </c>
    </row>
    <row r="75" ht="20.5" customHeight="1" spans="1:48">
      <c r="A75" s="19">
        <v>67</v>
      </c>
      <c r="B75" s="36" t="s">
        <v>141</v>
      </c>
      <c r="C75" s="23"/>
      <c r="D75" s="23"/>
      <c r="E75" s="21">
        <f t="shared" si="36"/>
        <v>0</v>
      </c>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1">
        <f t="shared" si="37"/>
        <v>0</v>
      </c>
      <c r="AT75" s="82">
        <v>0.75</v>
      </c>
      <c r="AU75" s="83">
        <f t="shared" si="38"/>
        <v>0</v>
      </c>
      <c r="AV75" s="80">
        <f t="shared" si="39"/>
        <v>0</v>
      </c>
    </row>
    <row r="76" ht="20.5" customHeight="1" spans="1:48">
      <c r="A76" s="19">
        <v>68</v>
      </c>
      <c r="B76" s="36" t="s">
        <v>142</v>
      </c>
      <c r="C76" s="32"/>
      <c r="D76" s="32"/>
      <c r="E76" s="21">
        <f t="shared" si="36"/>
        <v>0</v>
      </c>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21">
        <f t="shared" si="37"/>
        <v>0</v>
      </c>
      <c r="AT76" s="85">
        <v>1</v>
      </c>
      <c r="AU76" s="83">
        <f t="shared" si="38"/>
        <v>0</v>
      </c>
      <c r="AV76" s="80">
        <f t="shared" si="39"/>
        <v>0</v>
      </c>
    </row>
    <row r="77" ht="20.5" customHeight="1" spans="1:48">
      <c r="A77" s="19">
        <v>69</v>
      </c>
      <c r="B77" s="36" t="s">
        <v>143</v>
      </c>
      <c r="C77" s="32"/>
      <c r="D77" s="32"/>
      <c r="E77" s="21">
        <f t="shared" si="36"/>
        <v>0</v>
      </c>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21">
        <f t="shared" si="37"/>
        <v>0</v>
      </c>
      <c r="AT77" s="85">
        <v>1.5</v>
      </c>
      <c r="AU77" s="83">
        <f t="shared" si="38"/>
        <v>0</v>
      </c>
      <c r="AV77" s="80">
        <f t="shared" si="39"/>
        <v>0</v>
      </c>
    </row>
    <row r="78" ht="20.5" customHeight="1" spans="1:48">
      <c r="A78" s="19">
        <v>70</v>
      </c>
      <c r="B78" s="35" t="s">
        <v>144</v>
      </c>
      <c r="C78" s="23"/>
      <c r="D78" s="23"/>
      <c r="E78" s="21">
        <f t="shared" si="36"/>
        <v>0</v>
      </c>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1">
        <f t="shared" si="37"/>
        <v>0</v>
      </c>
      <c r="AT78" s="82">
        <v>1.5</v>
      </c>
      <c r="AU78" s="83">
        <f t="shared" si="38"/>
        <v>0</v>
      </c>
      <c r="AV78" s="80">
        <f t="shared" si="39"/>
        <v>0</v>
      </c>
    </row>
    <row r="79" spans="1:48">
      <c r="A79" s="19">
        <v>71</v>
      </c>
      <c r="B79" s="35" t="s">
        <v>352</v>
      </c>
      <c r="C79" s="32"/>
      <c r="D79" s="32"/>
      <c r="E79" s="21">
        <f t="shared" si="36"/>
        <v>0</v>
      </c>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21">
        <f t="shared" si="37"/>
        <v>0</v>
      </c>
      <c r="AT79" s="88"/>
      <c r="AU79" s="89"/>
      <c r="AV79" s="80">
        <f t="shared" si="39"/>
        <v>0</v>
      </c>
    </row>
    <row r="80" ht="20.5" customHeight="1" spans="1:48">
      <c r="A80" s="19">
        <v>72</v>
      </c>
      <c r="B80" s="93" t="s">
        <v>353</v>
      </c>
      <c r="C80" s="33">
        <f>C81+C82+C83</f>
        <v>0</v>
      </c>
      <c r="D80" s="33">
        <f t="shared" ref="D80:AS80" si="40">D81+D82+D83</f>
        <v>0</v>
      </c>
      <c r="E80" s="33">
        <f t="shared" si="40"/>
        <v>0</v>
      </c>
      <c r="F80" s="33">
        <f t="shared" si="40"/>
        <v>0</v>
      </c>
      <c r="G80" s="33">
        <f t="shared" si="40"/>
        <v>0</v>
      </c>
      <c r="H80" s="33">
        <f t="shared" si="40"/>
        <v>0</v>
      </c>
      <c r="I80" s="33">
        <f t="shared" si="40"/>
        <v>0</v>
      </c>
      <c r="J80" s="33">
        <f t="shared" si="40"/>
        <v>0</v>
      </c>
      <c r="K80" s="33">
        <f t="shared" si="40"/>
        <v>0</v>
      </c>
      <c r="L80" s="33">
        <f t="shared" si="40"/>
        <v>0</v>
      </c>
      <c r="M80" s="33">
        <f t="shared" si="40"/>
        <v>0</v>
      </c>
      <c r="N80" s="33">
        <f t="shared" si="40"/>
        <v>0</v>
      </c>
      <c r="O80" s="33">
        <f t="shared" si="40"/>
        <v>0</v>
      </c>
      <c r="P80" s="33">
        <f t="shared" si="40"/>
        <v>0</v>
      </c>
      <c r="Q80" s="33">
        <f t="shared" si="40"/>
        <v>0</v>
      </c>
      <c r="R80" s="33">
        <f t="shared" si="40"/>
        <v>0</v>
      </c>
      <c r="S80" s="33">
        <f t="shared" si="40"/>
        <v>0</v>
      </c>
      <c r="T80" s="33">
        <f t="shared" si="40"/>
        <v>0</v>
      </c>
      <c r="U80" s="33">
        <f t="shared" si="40"/>
        <v>0</v>
      </c>
      <c r="V80" s="33">
        <f t="shared" si="40"/>
        <v>0</v>
      </c>
      <c r="W80" s="33">
        <f t="shared" si="40"/>
        <v>0</v>
      </c>
      <c r="X80" s="33">
        <f t="shared" si="40"/>
        <v>0</v>
      </c>
      <c r="Y80" s="33">
        <f t="shared" si="40"/>
        <v>0</v>
      </c>
      <c r="Z80" s="33">
        <f t="shared" si="40"/>
        <v>0</v>
      </c>
      <c r="AA80" s="33">
        <f t="shared" si="40"/>
        <v>0</v>
      </c>
      <c r="AB80" s="33">
        <f t="shared" si="40"/>
        <v>0</v>
      </c>
      <c r="AC80" s="33">
        <f t="shared" si="40"/>
        <v>0</v>
      </c>
      <c r="AD80" s="33">
        <f t="shared" si="40"/>
        <v>0</v>
      </c>
      <c r="AE80" s="33">
        <f t="shared" si="40"/>
        <v>0</v>
      </c>
      <c r="AF80" s="33">
        <f t="shared" si="40"/>
        <v>0</v>
      </c>
      <c r="AG80" s="33">
        <f t="shared" si="40"/>
        <v>0</v>
      </c>
      <c r="AH80" s="33">
        <f t="shared" si="40"/>
        <v>0</v>
      </c>
      <c r="AI80" s="33">
        <f t="shared" si="40"/>
        <v>0</v>
      </c>
      <c r="AJ80" s="33">
        <f t="shared" si="40"/>
        <v>0</v>
      </c>
      <c r="AK80" s="33">
        <f t="shared" si="40"/>
        <v>0</v>
      </c>
      <c r="AL80" s="33">
        <f t="shared" si="40"/>
        <v>0</v>
      </c>
      <c r="AM80" s="33">
        <f t="shared" si="40"/>
        <v>0</v>
      </c>
      <c r="AN80" s="33">
        <f t="shared" si="40"/>
        <v>0</v>
      </c>
      <c r="AO80" s="33">
        <f t="shared" si="40"/>
        <v>0</v>
      </c>
      <c r="AP80" s="33">
        <f t="shared" si="40"/>
        <v>0</v>
      </c>
      <c r="AQ80" s="33">
        <f t="shared" si="40"/>
        <v>0</v>
      </c>
      <c r="AR80" s="33">
        <f t="shared" si="40"/>
        <v>0</v>
      </c>
      <c r="AS80" s="33">
        <f t="shared" si="40"/>
        <v>0</v>
      </c>
      <c r="AT80" s="79"/>
      <c r="AU80" s="83">
        <f>AU81+AU82+AU83</f>
        <v>0</v>
      </c>
      <c r="AV80" s="80">
        <f t="shared" si="39"/>
        <v>0</v>
      </c>
    </row>
    <row r="81" ht="19" customHeight="1" spans="1:48">
      <c r="A81" s="19">
        <v>73</v>
      </c>
      <c r="B81" s="31" t="s">
        <v>354</v>
      </c>
      <c r="C81" s="23"/>
      <c r="D81" s="23"/>
      <c r="E81" s="21">
        <f t="shared" ref="E81:E89" si="41">C81-D81</f>
        <v>0</v>
      </c>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68"/>
      <c r="AF81" s="23"/>
      <c r="AG81" s="23"/>
      <c r="AH81" s="23"/>
      <c r="AI81" s="23"/>
      <c r="AJ81" s="23"/>
      <c r="AK81" s="23"/>
      <c r="AL81" s="23"/>
      <c r="AM81" s="23"/>
      <c r="AN81" s="23"/>
      <c r="AO81" s="23"/>
      <c r="AP81" s="23"/>
      <c r="AQ81" s="23"/>
      <c r="AR81" s="23"/>
      <c r="AS81" s="21">
        <f>IF(E81-G81-H81-I81-J81-K81-L81-M81-N81-O81-P81-Q81-R81-S81-T81-U81-V81-W81-X81-Y81-Z81-AA81-AB81-AC81-AD81-AE81-AF81-AG81-AH81-AI81-AJ81-AK81-AL81-AM81-AN81-AO81-AP81-AQ81-AR81&lt;0,0,E81-G81-H81-I81-J81-K81-L81-M81-N81-O81-P81-Q81-R81-S81-T81-U81-V81-W81-X81-Y81-Z81-AA81-AB81-AC81-AD81-AE81-AF81-AG81-AH81-AI81-AJ81-AK81-AL81-AM81-AN81-AO81-AP81-AQ81-AR81)</f>
        <v>0</v>
      </c>
      <c r="AT81" s="82">
        <v>0.75</v>
      </c>
      <c r="AU81" s="83">
        <f>G81*$G$7+H81*$H$7+I81*$I$7+J81*$J$7+K81*$K$7+L81*$L$7+M81*$M$7+N81*$N$7+O81*$O$7+P81*$P$7+Q81*$Q$7+R81*$R$7+S81*$S$7+T81*$T$7+U81*$U$7+V81*$V$7+W81*$W$7+X81*$X$7+Y81*$Y$7++Z81*$Z$7+AA81*$AA$7+AB81*$AB$7+AC81*$AC$7+AD81*$AD$7+AE81*$AE$7+AF81*$AF$7+AH81*$AH$7+AI81*$AI$7+AJ81*$AJ$7+AK81*$AK$7+AL81*$AL$7+AM81*$AM$7+AN81*$AN$7+AO81*$AO$7+AP81*$AP$7+AQ81*$AQ$7+AR81*$AR$7+AS81*AT81+AG81*$AG$7</f>
        <v>0</v>
      </c>
      <c r="AV81" s="80">
        <f t="shared" si="39"/>
        <v>0</v>
      </c>
    </row>
    <row r="82" ht="19" customHeight="1" spans="1:48">
      <c r="A82" s="19">
        <v>74</v>
      </c>
      <c r="B82" s="31" t="s">
        <v>355</v>
      </c>
      <c r="C82" s="23"/>
      <c r="D82" s="23"/>
      <c r="E82" s="21">
        <f t="shared" si="41"/>
        <v>0</v>
      </c>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68"/>
      <c r="AF82" s="23"/>
      <c r="AG82" s="23"/>
      <c r="AH82" s="23"/>
      <c r="AI82" s="23"/>
      <c r="AJ82" s="23"/>
      <c r="AK82" s="23"/>
      <c r="AL82" s="23"/>
      <c r="AM82" s="23"/>
      <c r="AN82" s="23"/>
      <c r="AO82" s="23"/>
      <c r="AP82" s="23"/>
      <c r="AQ82" s="23"/>
      <c r="AR82" s="23"/>
      <c r="AS82" s="21">
        <f>IF(E82-G82-H82-I82-J82-K82-L82-M82-N82-O82-P82-Q82-R82-S82-T82-U82-V82-W82-X82-Y82-Z82-AA82-AB82-AC82-AD82-AE82-AF82-AG82-AH82-AI82-AJ82-AK82-AL82-AM82-AN82-AO82-AP82-AQ82-AR82&lt;0,0,E82-G82-H82-I82-J82-K82-L82-M82-N82-O82-P82-Q82-R82-S82-T82-U82-V82-W82-X82-Y82-Z82-AA82-AB82-AC82-AD82-AE82-AF82-AG82-AH82-AI82-AJ82-AK82-AL82-AM82-AN82-AO82-AP82-AQ82-AR82)</f>
        <v>0</v>
      </c>
      <c r="AT82" s="82">
        <v>1</v>
      </c>
      <c r="AU82" s="83">
        <f>G82*$G$7+H82*$H$7+I82*$I$7+J82*$J$7+K82*$K$7+L82*$L$7+M82*$M$7+N82*$N$7+O82*$O$7+P82*$P$7+Q82*$Q$7+R82*$R$7+S82*$S$7+T82*$T$7+U82*$U$7+V82*$V$7+W82*$W$7+X82*$X$7+Y82*$Y$7++Z82*$Z$7+AA82*$AA$7+AB82*$AB$7+AC82*$AC$7+AD82*$AD$7+AE82*$AE$7+AF82*$AF$7+AH82*$AH$7+AI82*$AI$7+AJ82*$AJ$7+AK82*$AK$7+AL82*$AL$7+AM82*$AM$7+AN82*$AN$7+AO82*$AO$7+AP82*$AP$7+AQ82*$AQ$7+AR82*$AR$7+AS82*AT82+AG82*$AG$7</f>
        <v>0</v>
      </c>
      <c r="AV82" s="80">
        <f t="shared" si="39"/>
        <v>0</v>
      </c>
    </row>
    <row r="83" spans="1:48">
      <c r="A83" s="19">
        <v>75</v>
      </c>
      <c r="B83" s="31" t="s">
        <v>356</v>
      </c>
      <c r="C83" s="23"/>
      <c r="D83" s="23"/>
      <c r="E83" s="21">
        <f t="shared" si="41"/>
        <v>0</v>
      </c>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68"/>
      <c r="AF83" s="23"/>
      <c r="AG83" s="23"/>
      <c r="AH83" s="23"/>
      <c r="AI83" s="23"/>
      <c r="AJ83" s="23"/>
      <c r="AK83" s="23"/>
      <c r="AL83" s="23"/>
      <c r="AM83" s="23"/>
      <c r="AN83" s="23"/>
      <c r="AO83" s="23"/>
      <c r="AP83" s="23"/>
      <c r="AQ83" s="23"/>
      <c r="AR83" s="23"/>
      <c r="AS83" s="21">
        <f>IF(E83-G83-H83-I83-J83-K83-L83-M83-N83-O83-P83-Q83-R83-S83-T83-U83-V83-W83-X83-Y83-Z83-AA83-AB83-AC83-AD83-AE83-AF83-AG83-AH83-AI83-AJ83-AK83-AL83-AM83-AN83-AO83-AP83-AQ83-AR83&lt;0,0,E83-G83-H83-I83-J83-K83-L83-M83-N83-O83-P83-Q83-R83-S83-T83-U83-V83-W83-X83-Y83-Z83-AA83-AB83-AC83-AD83-AE83-AF83-AG83-AH83-AI83-AJ83-AK83-AL83-AM83-AN83-AO83-AP83-AQ83-AR83)</f>
        <v>0</v>
      </c>
      <c r="AT83" s="82">
        <v>1</v>
      </c>
      <c r="AU83" s="83">
        <f>G83*$G$7+H83*$H$7+I83*$I$7+J83*$J$7+K83*$K$7+L83*$L$7+M83*$M$7+N83*$N$7+O83*$O$7+P83*$P$7+Q83*$Q$7+R83*$R$7+S83*$S$7+T83*$T$7+U83*$U$7+V83*$V$7+W83*$W$7+X83*$X$7+Y83*$Y$7++Z83*$Z$7+AA83*$AA$7+AB83*$AB$7+AC83*$AC$7+AD83*$AD$7+AE83*$AE$7+AF83*$AF$7+AH83*$AH$7+AI83*$AI$7+AJ83*$AJ$7+AK83*$AK$7+AL83*$AL$7+AM83*$AM$7+AN83*$AN$7+AO83*$AO$7+AP83*$AP$7+AQ83*$AQ$7+AR83*$AR$7+AS83*AT83+AG83*$AG$7</f>
        <v>0</v>
      </c>
      <c r="AV83" s="80">
        <f t="shared" si="39"/>
        <v>0</v>
      </c>
    </row>
    <row r="84" ht="21" customHeight="1" spans="1:48">
      <c r="A84" s="19">
        <v>76</v>
      </c>
      <c r="B84" s="24" t="s">
        <v>357</v>
      </c>
      <c r="C84" s="21">
        <f>C85+C90+C96</f>
        <v>0</v>
      </c>
      <c r="D84" s="21">
        <f t="shared" ref="D84:AS84" si="42">D85+D90+D96</f>
        <v>0</v>
      </c>
      <c r="E84" s="21">
        <f t="shared" si="42"/>
        <v>0</v>
      </c>
      <c r="F84" s="21">
        <f t="shared" si="42"/>
        <v>0</v>
      </c>
      <c r="G84" s="21">
        <f t="shared" si="42"/>
        <v>0</v>
      </c>
      <c r="H84" s="21">
        <f t="shared" si="42"/>
        <v>0</v>
      </c>
      <c r="I84" s="21">
        <f t="shared" si="42"/>
        <v>0</v>
      </c>
      <c r="J84" s="21">
        <f t="shared" si="42"/>
        <v>0</v>
      </c>
      <c r="K84" s="21">
        <f t="shared" si="42"/>
        <v>0</v>
      </c>
      <c r="L84" s="21">
        <f t="shared" si="42"/>
        <v>0</v>
      </c>
      <c r="M84" s="21">
        <f t="shared" si="42"/>
        <v>0</v>
      </c>
      <c r="N84" s="21">
        <f t="shared" si="42"/>
        <v>0</v>
      </c>
      <c r="O84" s="21">
        <f t="shared" si="42"/>
        <v>0</v>
      </c>
      <c r="P84" s="21">
        <f t="shared" si="42"/>
        <v>0</v>
      </c>
      <c r="Q84" s="21">
        <f t="shared" si="42"/>
        <v>0</v>
      </c>
      <c r="R84" s="21">
        <f t="shared" si="42"/>
        <v>0</v>
      </c>
      <c r="S84" s="21">
        <f t="shared" si="42"/>
        <v>0</v>
      </c>
      <c r="T84" s="21">
        <f t="shared" si="42"/>
        <v>0</v>
      </c>
      <c r="U84" s="21">
        <f t="shared" si="42"/>
        <v>0</v>
      </c>
      <c r="V84" s="21">
        <f t="shared" si="42"/>
        <v>0</v>
      </c>
      <c r="W84" s="21">
        <f t="shared" si="42"/>
        <v>0</v>
      </c>
      <c r="X84" s="21">
        <f t="shared" si="42"/>
        <v>0</v>
      </c>
      <c r="Y84" s="21">
        <f t="shared" si="42"/>
        <v>0</v>
      </c>
      <c r="Z84" s="21">
        <f t="shared" si="42"/>
        <v>0</v>
      </c>
      <c r="AA84" s="21">
        <f t="shared" si="42"/>
        <v>0</v>
      </c>
      <c r="AB84" s="21">
        <f t="shared" si="42"/>
        <v>0</v>
      </c>
      <c r="AC84" s="21">
        <f t="shared" si="42"/>
        <v>0</v>
      </c>
      <c r="AD84" s="21">
        <f t="shared" si="42"/>
        <v>0</v>
      </c>
      <c r="AE84" s="21">
        <f t="shared" si="42"/>
        <v>0</v>
      </c>
      <c r="AF84" s="21">
        <f t="shared" si="42"/>
        <v>0</v>
      </c>
      <c r="AG84" s="21">
        <f t="shared" si="42"/>
        <v>0</v>
      </c>
      <c r="AH84" s="21">
        <f t="shared" si="42"/>
        <v>0</v>
      </c>
      <c r="AI84" s="21">
        <f t="shared" si="42"/>
        <v>0</v>
      </c>
      <c r="AJ84" s="21">
        <f t="shared" si="42"/>
        <v>0</v>
      </c>
      <c r="AK84" s="21">
        <f t="shared" si="42"/>
        <v>0</v>
      </c>
      <c r="AL84" s="21">
        <f t="shared" si="42"/>
        <v>0</v>
      </c>
      <c r="AM84" s="21">
        <f t="shared" si="42"/>
        <v>0</v>
      </c>
      <c r="AN84" s="21">
        <f t="shared" si="42"/>
        <v>0</v>
      </c>
      <c r="AO84" s="21">
        <f t="shared" si="42"/>
        <v>0</v>
      </c>
      <c r="AP84" s="21">
        <f t="shared" si="42"/>
        <v>0</v>
      </c>
      <c r="AQ84" s="21">
        <f t="shared" si="42"/>
        <v>0</v>
      </c>
      <c r="AR84" s="21">
        <f t="shared" si="42"/>
        <v>0</v>
      </c>
      <c r="AS84" s="21">
        <f t="shared" si="42"/>
        <v>0</v>
      </c>
      <c r="AT84" s="79"/>
      <c r="AU84" s="21">
        <f>AU85+AU90+AU96</f>
        <v>0</v>
      </c>
      <c r="AV84" s="80">
        <f t="shared" si="39"/>
        <v>0</v>
      </c>
    </row>
    <row r="85" ht="20.5" customHeight="1" spans="1:48">
      <c r="A85" s="19">
        <v>77</v>
      </c>
      <c r="B85" s="93" t="s">
        <v>358</v>
      </c>
      <c r="C85" s="21">
        <f t="shared" ref="C85:AS85" si="43">SUM(C86:C89)</f>
        <v>0</v>
      </c>
      <c r="D85" s="21">
        <f t="shared" si="43"/>
        <v>0</v>
      </c>
      <c r="E85" s="21">
        <f t="shared" si="43"/>
        <v>0</v>
      </c>
      <c r="F85" s="21">
        <f t="shared" si="43"/>
        <v>0</v>
      </c>
      <c r="G85" s="21">
        <f t="shared" si="43"/>
        <v>0</v>
      </c>
      <c r="H85" s="21">
        <f t="shared" si="43"/>
        <v>0</v>
      </c>
      <c r="I85" s="21">
        <f t="shared" si="43"/>
        <v>0</v>
      </c>
      <c r="J85" s="21">
        <f t="shared" si="43"/>
        <v>0</v>
      </c>
      <c r="K85" s="21">
        <f t="shared" si="43"/>
        <v>0</v>
      </c>
      <c r="L85" s="21">
        <f t="shared" si="43"/>
        <v>0</v>
      </c>
      <c r="M85" s="21">
        <f t="shared" si="43"/>
        <v>0</v>
      </c>
      <c r="N85" s="21">
        <f t="shared" si="43"/>
        <v>0</v>
      </c>
      <c r="O85" s="21">
        <f t="shared" si="43"/>
        <v>0</v>
      </c>
      <c r="P85" s="21">
        <f t="shared" si="43"/>
        <v>0</v>
      </c>
      <c r="Q85" s="21">
        <f t="shared" si="43"/>
        <v>0</v>
      </c>
      <c r="R85" s="21">
        <f t="shared" si="43"/>
        <v>0</v>
      </c>
      <c r="S85" s="21">
        <f t="shared" si="43"/>
        <v>0</v>
      </c>
      <c r="T85" s="21">
        <f t="shared" si="43"/>
        <v>0</v>
      </c>
      <c r="U85" s="21">
        <f t="shared" si="43"/>
        <v>0</v>
      </c>
      <c r="V85" s="21">
        <f t="shared" si="43"/>
        <v>0</v>
      </c>
      <c r="W85" s="21">
        <f t="shared" si="43"/>
        <v>0</v>
      </c>
      <c r="X85" s="21">
        <f t="shared" si="43"/>
        <v>0</v>
      </c>
      <c r="Y85" s="21">
        <f t="shared" si="43"/>
        <v>0</v>
      </c>
      <c r="Z85" s="21">
        <f t="shared" si="43"/>
        <v>0</v>
      </c>
      <c r="AA85" s="21">
        <f t="shared" si="43"/>
        <v>0</v>
      </c>
      <c r="AB85" s="21">
        <f t="shared" si="43"/>
        <v>0</v>
      </c>
      <c r="AC85" s="21">
        <f t="shared" si="43"/>
        <v>0</v>
      </c>
      <c r="AD85" s="21">
        <f t="shared" si="43"/>
        <v>0</v>
      </c>
      <c r="AE85" s="21">
        <f t="shared" si="43"/>
        <v>0</v>
      </c>
      <c r="AF85" s="21">
        <f t="shared" si="43"/>
        <v>0</v>
      </c>
      <c r="AG85" s="21">
        <f t="shared" si="43"/>
        <v>0</v>
      </c>
      <c r="AH85" s="21">
        <f t="shared" si="43"/>
        <v>0</v>
      </c>
      <c r="AI85" s="21">
        <f t="shared" si="43"/>
        <v>0</v>
      </c>
      <c r="AJ85" s="21">
        <f t="shared" si="43"/>
        <v>0</v>
      </c>
      <c r="AK85" s="21">
        <f t="shared" si="43"/>
        <v>0</v>
      </c>
      <c r="AL85" s="21">
        <f t="shared" si="43"/>
        <v>0</v>
      </c>
      <c r="AM85" s="21">
        <f t="shared" si="43"/>
        <v>0</v>
      </c>
      <c r="AN85" s="21">
        <f t="shared" si="43"/>
        <v>0</v>
      </c>
      <c r="AO85" s="21">
        <f t="shared" si="43"/>
        <v>0</v>
      </c>
      <c r="AP85" s="21">
        <f t="shared" si="43"/>
        <v>0</v>
      </c>
      <c r="AQ85" s="21">
        <f t="shared" si="43"/>
        <v>0</v>
      </c>
      <c r="AR85" s="21">
        <f t="shared" si="43"/>
        <v>0</v>
      </c>
      <c r="AS85" s="21">
        <f t="shared" si="43"/>
        <v>0</v>
      </c>
      <c r="AT85" s="79"/>
      <c r="AU85" s="21">
        <f>AU86+AU87+AU88+AU89</f>
        <v>0</v>
      </c>
      <c r="AV85" s="80">
        <f t="shared" si="39"/>
        <v>0</v>
      </c>
    </row>
    <row r="86" ht="20.5" customHeight="1" spans="1:48">
      <c r="A86" s="19">
        <v>78</v>
      </c>
      <c r="B86" s="31" t="s">
        <v>161</v>
      </c>
      <c r="C86" s="23"/>
      <c r="D86" s="23"/>
      <c r="E86" s="21">
        <f t="shared" si="41"/>
        <v>0</v>
      </c>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1">
        <f>IF(E86-G86-H86-I86-J86-K86-L86-M86-N86-O86-P86-Q86-R86-S86-T86-U86-V86-W86-X86-Y86-Z86-AA86-AB86-AC86-AD86-AE86-AF86-AG86-AH86-AI86-AJ86-AK86-AL86-AM86-AN86-AO86-AP86-AQ86-AR86&lt;0,0,E86-G86-H86-I86-J86-K86-L86-M86-N86-O86-P86-Q86-R86-S86-T86-U86-V86-W86-X86-Y86-Z86-AA86-AB86-AC86-AD86-AE86-AF86-AG86-AH86-AI86-AJ86-AK86-AL86-AM86-AN86-AO86-AP86-AQ86-AR86)</f>
        <v>0</v>
      </c>
      <c r="AT86" s="82">
        <v>0.75</v>
      </c>
      <c r="AU86" s="83">
        <f>G86*$G$7+H86*$H$7+I86*$I$7+J86*$J$7+K86*$K$7+L86*$L$7+M86*$M$7+N86*$N$7+O86*$O$7+P86*$P$7+Q86*$Q$7+R86*$R$7+S86*$S$7+T86*$T$7+U86*$U$7+V86*$V$7+W86*$W$7+X86*$X$7+Y86*$Y$7++Z86*$Z$7+AA86*$AA$7+AB86*$AB$7+AC86*$AC$7+AD86*$AD$7+AE86*$AE$7+AF86*$AF$7+AH86*$AH$7+AI86*$AI$7+AJ86*$AJ$7+AK86*$AK$7+AL86*$AL$7+AM86*$AM$7+AN86*$AN$7+AO86*$AO$7+AP86*$AP$7+AQ86*$AQ$7+AR86*$AR$7+AS86*AT86+AG86*$AG$7</f>
        <v>0</v>
      </c>
      <c r="AV86" s="80">
        <f t="shared" si="39"/>
        <v>0</v>
      </c>
    </row>
    <row r="87" ht="20.5" customHeight="1" spans="1:48">
      <c r="A87" s="19">
        <v>79</v>
      </c>
      <c r="B87" s="31" t="s">
        <v>163</v>
      </c>
      <c r="C87" s="23"/>
      <c r="D87" s="23"/>
      <c r="E87" s="21">
        <f t="shared" si="41"/>
        <v>0</v>
      </c>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1">
        <f>IF(E87-G87-H87-I87-J87-K87-L87-M87-N87-O87-P87-Q87-R87-S87-T87-U87-V87-W87-X87-Y87-Z87-AA87-AB87-AC87-AD87-AE87-AF87-AG87-AH87-AI87-AJ87-AK87-AL87-AM87-AN87-AO87-AP87-AQ87-AR87&lt;0,0,E87-G87-H87-I87-J87-K87-L87-M87-N87-O87-P87-Q87-R87-S87-T87-U87-V87-W87-X87-Y87-Z87-AA87-AB87-AC87-AD87-AE87-AF87-AG87-AH87-AI87-AJ87-AK87-AL87-AM87-AN87-AO87-AP87-AQ87-AR87)</f>
        <v>0</v>
      </c>
      <c r="AT87" s="82">
        <v>0.85</v>
      </c>
      <c r="AU87" s="83">
        <f>G87*$G$7+H87*$H$7+I87*$I$7+J87*$J$7+K87*$K$7+L87*$L$7+M87*$M$7+N87*$N$7+O87*$O$7+P87*$P$7+Q87*$Q$7+R87*$R$7+S87*$S$7+T87*$T$7+U87*$U$7+V87*$V$7+W87*$W$7+X87*$X$7+Y87*$Y$7++Z87*$Z$7+AA87*$AA$7+AB87*$AB$7+AC87*$AC$7+AD87*$AD$7+AE87*$AE$7+AF87*$AF$7+AH87*$AH$7+AI87*$AI$7+AJ87*$AJ$7+AK87*$AK$7+AL87*$AL$7+AM87*$AM$7+AN87*$AN$7+AO87*$AO$7+AP87*$AP$7+AQ87*$AQ$7+AR87*$AR$7+AS87*AT87+AG87*$AG$7</f>
        <v>0</v>
      </c>
      <c r="AV87" s="80">
        <f t="shared" si="39"/>
        <v>0</v>
      </c>
    </row>
    <row r="88" ht="20.5" customHeight="1" spans="1:48">
      <c r="A88" s="19">
        <v>80</v>
      </c>
      <c r="B88" s="31" t="s">
        <v>359</v>
      </c>
      <c r="C88" s="23"/>
      <c r="D88" s="23"/>
      <c r="E88" s="21">
        <f t="shared" si="41"/>
        <v>0</v>
      </c>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1">
        <f>IF(E88-G88-H88-I88-J88-K88-L88-M88-N88-O88-P88-Q88-R88-S88-T88-U88-V88-W88-X88-Y88-Z88-AA88-AB88-AC88-AD88-AE88-AF88-AG88-AH88-AI88-AJ88-AK88-AL88-AM88-AN88-AO88-AP88-AQ88-AR88&lt;0,0,E88-G88-H88-I88-J88-K88-L88-M88-N88-O88-P88-Q88-R88-S88-T88-U88-V88-W88-X88-Y88-Z88-AA88-AB88-AC88-AD88-AE88-AF88-AG88-AH88-AI88-AJ88-AK88-AL88-AM88-AN88-AO88-AP88-AQ88-AR88)</f>
        <v>0</v>
      </c>
      <c r="AT88" s="82">
        <v>0.75</v>
      </c>
      <c r="AU88" s="83">
        <f>G88*$G$7+H88*$H$7+I88*$I$7+J88*$J$7+K88*$K$7+L88*$L$7+M88*$M$7+N88*$N$7+O88*$O$7+P88*$P$7+Q88*$Q$7+R88*$R$7+S88*$S$7+T88*$T$7+U88*$U$7+V88*$V$7+W88*$W$7+X88*$X$7+Y88*$Y$7++Z88*$Z$7+AA88*$AA$7+AB88*$AB$7+AC88*$AC$7+AD88*$AD$7+AE88*$AE$7+AF88*$AF$7+AH88*$AH$7+AI88*$AI$7+AJ88*$AJ$7+AK88*$AK$7+AL88*$AL$7+AM88*$AM$7+AN88*$AN$7+AO88*$AO$7+AP88*$AP$7+AQ88*$AQ$7+AR88*$AR$7+AS88*AT88+AG88*$AG$7</f>
        <v>0</v>
      </c>
      <c r="AV88" s="80">
        <f t="shared" si="39"/>
        <v>0</v>
      </c>
    </row>
    <row r="89" ht="20.5" customHeight="1" spans="1:48">
      <c r="A89" s="19">
        <v>81</v>
      </c>
      <c r="B89" s="31" t="s">
        <v>360</v>
      </c>
      <c r="C89" s="23"/>
      <c r="D89" s="23"/>
      <c r="E89" s="21">
        <f t="shared" si="41"/>
        <v>0</v>
      </c>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1">
        <f>IF(E89-G89-H89-I89-J89-K89-L89-M89-N89-O89-P89-Q89-R89-S89-T89-U89-V89-W89-X89-Y89-Z89-AA89-AB89-AC89-AD89-AE89-AF89-AG89-AH89-AI89-AJ89-AK89-AL89-AM89-AN89-AO89-AP89-AQ89-AR89&lt;0,0,E89-G89-H89-I89-J89-K89-L89-M89-N89-O89-P89-Q89-R89-S89-T89-U89-V89-W89-X89-Y89-Z89-AA89-AB89-AC89-AD89-AE89-AF89-AG89-AH89-AI89-AJ89-AK89-AL89-AM89-AN89-AO89-AP89-AQ89-AR89)</f>
        <v>0</v>
      </c>
      <c r="AT89" s="82">
        <v>1</v>
      </c>
      <c r="AU89" s="83">
        <f>G89*$G$7+H89*$H$7+I89*$I$7+J89*$J$7+K89*$K$7+L89*$L$7+M89*$M$7+N89*$N$7+O89*$O$7+P89*$P$7+Q89*$Q$7+R89*$R$7+S89*$S$7+T89*$T$7+U89*$U$7+V89*$V$7+W89*$W$7+X89*$X$7+Y89*$Y$7++Z89*$Z$7+AA89*$AA$7+AB89*$AB$7+AC89*$AC$7+AD89*$AD$7+AE89*$AE$7+AF89*$AF$7+AH89*$AH$7+AI89*$AI$7+AJ89*$AJ$7+AK89*$AK$7+AL89*$AL$7+AM89*$AM$7+AN89*$AN$7+AO89*$AO$7+AP89*$AP$7+AQ89*$AQ$7+AR89*$AR$7+AS89*AT89+AG89*$AG$7</f>
        <v>0</v>
      </c>
      <c r="AV89" s="80">
        <f t="shared" si="39"/>
        <v>0</v>
      </c>
    </row>
    <row r="90" ht="20.5" customHeight="1" spans="1:48">
      <c r="A90" s="19">
        <v>82</v>
      </c>
      <c r="B90" s="94" t="s">
        <v>167</v>
      </c>
      <c r="C90" s="21">
        <f t="shared" ref="C90:AS90" si="44">C91+C94+C95</f>
        <v>0</v>
      </c>
      <c r="D90" s="21">
        <f t="shared" si="44"/>
        <v>0</v>
      </c>
      <c r="E90" s="21">
        <f t="shared" si="44"/>
        <v>0</v>
      </c>
      <c r="F90" s="21">
        <f t="shared" si="44"/>
        <v>0</v>
      </c>
      <c r="G90" s="21">
        <f t="shared" si="44"/>
        <v>0</v>
      </c>
      <c r="H90" s="21">
        <f t="shared" si="44"/>
        <v>0</v>
      </c>
      <c r="I90" s="21">
        <f t="shared" si="44"/>
        <v>0</v>
      </c>
      <c r="J90" s="21">
        <f t="shared" si="44"/>
        <v>0</v>
      </c>
      <c r="K90" s="21">
        <f t="shared" si="44"/>
        <v>0</v>
      </c>
      <c r="L90" s="21">
        <f t="shared" si="44"/>
        <v>0</v>
      </c>
      <c r="M90" s="21">
        <f t="shared" si="44"/>
        <v>0</v>
      </c>
      <c r="N90" s="21">
        <f t="shared" si="44"/>
        <v>0</v>
      </c>
      <c r="O90" s="21">
        <f t="shared" si="44"/>
        <v>0</v>
      </c>
      <c r="P90" s="21">
        <f t="shared" si="44"/>
        <v>0</v>
      </c>
      <c r="Q90" s="21">
        <f t="shared" si="44"/>
        <v>0</v>
      </c>
      <c r="R90" s="21">
        <f t="shared" si="44"/>
        <v>0</v>
      </c>
      <c r="S90" s="21">
        <f t="shared" si="44"/>
        <v>0</v>
      </c>
      <c r="T90" s="21">
        <f t="shared" si="44"/>
        <v>0</v>
      </c>
      <c r="U90" s="21">
        <f t="shared" si="44"/>
        <v>0</v>
      </c>
      <c r="V90" s="21">
        <f t="shared" si="44"/>
        <v>0</v>
      </c>
      <c r="W90" s="21">
        <f t="shared" si="44"/>
        <v>0</v>
      </c>
      <c r="X90" s="21">
        <f t="shared" si="44"/>
        <v>0</v>
      </c>
      <c r="Y90" s="21">
        <f t="shared" si="44"/>
        <v>0</v>
      </c>
      <c r="Z90" s="21">
        <f t="shared" si="44"/>
        <v>0</v>
      </c>
      <c r="AA90" s="21">
        <f t="shared" si="44"/>
        <v>0</v>
      </c>
      <c r="AB90" s="21">
        <f t="shared" si="44"/>
        <v>0</v>
      </c>
      <c r="AC90" s="21">
        <f t="shared" si="44"/>
        <v>0</v>
      </c>
      <c r="AD90" s="21">
        <f t="shared" si="44"/>
        <v>0</v>
      </c>
      <c r="AE90" s="21">
        <f t="shared" si="44"/>
        <v>0</v>
      </c>
      <c r="AF90" s="21">
        <f t="shared" si="44"/>
        <v>0</v>
      </c>
      <c r="AG90" s="21">
        <f t="shared" si="44"/>
        <v>0</v>
      </c>
      <c r="AH90" s="21">
        <f t="shared" si="44"/>
        <v>0</v>
      </c>
      <c r="AI90" s="21">
        <f t="shared" si="44"/>
        <v>0</v>
      </c>
      <c r="AJ90" s="21">
        <f t="shared" si="44"/>
        <v>0</v>
      </c>
      <c r="AK90" s="21">
        <f t="shared" si="44"/>
        <v>0</v>
      </c>
      <c r="AL90" s="21">
        <f t="shared" si="44"/>
        <v>0</v>
      </c>
      <c r="AM90" s="21">
        <f t="shared" si="44"/>
        <v>0</v>
      </c>
      <c r="AN90" s="21">
        <f t="shared" si="44"/>
        <v>0</v>
      </c>
      <c r="AO90" s="21">
        <f t="shared" si="44"/>
        <v>0</v>
      </c>
      <c r="AP90" s="21">
        <f t="shared" si="44"/>
        <v>0</v>
      </c>
      <c r="AQ90" s="21">
        <f t="shared" si="44"/>
        <v>0</v>
      </c>
      <c r="AR90" s="21">
        <f t="shared" si="44"/>
        <v>0</v>
      </c>
      <c r="AS90" s="21">
        <f t="shared" si="44"/>
        <v>0</v>
      </c>
      <c r="AT90" s="79"/>
      <c r="AU90" s="21">
        <f>AU91+AU94+AU95</f>
        <v>0</v>
      </c>
      <c r="AV90" s="80">
        <f t="shared" si="39"/>
        <v>0</v>
      </c>
    </row>
    <row r="91" ht="20.5" customHeight="1" spans="1:48">
      <c r="A91" s="19">
        <v>83</v>
      </c>
      <c r="B91" s="31" t="s">
        <v>168</v>
      </c>
      <c r="C91" s="21">
        <f t="shared" ref="C91:AS91" si="45">C92+C93</f>
        <v>0</v>
      </c>
      <c r="D91" s="21">
        <f t="shared" si="45"/>
        <v>0</v>
      </c>
      <c r="E91" s="21">
        <f>SUM(E92:E93)</f>
        <v>0</v>
      </c>
      <c r="F91" s="21">
        <f t="shared" si="45"/>
        <v>0</v>
      </c>
      <c r="G91" s="21">
        <f t="shared" si="45"/>
        <v>0</v>
      </c>
      <c r="H91" s="21">
        <f t="shared" si="45"/>
        <v>0</v>
      </c>
      <c r="I91" s="21">
        <f t="shared" si="45"/>
        <v>0</v>
      </c>
      <c r="J91" s="21">
        <f t="shared" si="45"/>
        <v>0</v>
      </c>
      <c r="K91" s="21">
        <f t="shared" si="45"/>
        <v>0</v>
      </c>
      <c r="L91" s="21">
        <f t="shared" si="45"/>
        <v>0</v>
      </c>
      <c r="M91" s="21">
        <f t="shared" si="45"/>
        <v>0</v>
      </c>
      <c r="N91" s="21">
        <f t="shared" si="45"/>
        <v>0</v>
      </c>
      <c r="O91" s="21">
        <f t="shared" si="45"/>
        <v>0</v>
      </c>
      <c r="P91" s="21">
        <f t="shared" si="45"/>
        <v>0</v>
      </c>
      <c r="Q91" s="21">
        <f t="shared" si="45"/>
        <v>0</v>
      </c>
      <c r="R91" s="21">
        <f t="shared" si="45"/>
        <v>0</v>
      </c>
      <c r="S91" s="21">
        <f t="shared" si="45"/>
        <v>0</v>
      </c>
      <c r="T91" s="21">
        <f t="shared" si="45"/>
        <v>0</v>
      </c>
      <c r="U91" s="21">
        <f t="shared" si="45"/>
        <v>0</v>
      </c>
      <c r="V91" s="21">
        <f t="shared" si="45"/>
        <v>0</v>
      </c>
      <c r="W91" s="21">
        <f t="shared" si="45"/>
        <v>0</v>
      </c>
      <c r="X91" s="21">
        <f t="shared" si="45"/>
        <v>0</v>
      </c>
      <c r="Y91" s="21">
        <f t="shared" si="45"/>
        <v>0</v>
      </c>
      <c r="Z91" s="21">
        <f t="shared" si="45"/>
        <v>0</v>
      </c>
      <c r="AA91" s="21">
        <f t="shared" si="45"/>
        <v>0</v>
      </c>
      <c r="AB91" s="21">
        <f t="shared" si="45"/>
        <v>0</v>
      </c>
      <c r="AC91" s="21">
        <f t="shared" si="45"/>
        <v>0</v>
      </c>
      <c r="AD91" s="21">
        <f t="shared" si="45"/>
        <v>0</v>
      </c>
      <c r="AE91" s="21">
        <f t="shared" si="45"/>
        <v>0</v>
      </c>
      <c r="AF91" s="21">
        <f t="shared" si="45"/>
        <v>0</v>
      </c>
      <c r="AG91" s="21">
        <f t="shared" si="45"/>
        <v>0</v>
      </c>
      <c r="AH91" s="21">
        <f t="shared" si="45"/>
        <v>0</v>
      </c>
      <c r="AI91" s="21">
        <f t="shared" si="45"/>
        <v>0</v>
      </c>
      <c r="AJ91" s="21">
        <f t="shared" si="45"/>
        <v>0</v>
      </c>
      <c r="AK91" s="21">
        <f t="shared" si="45"/>
        <v>0</v>
      </c>
      <c r="AL91" s="21">
        <f t="shared" si="45"/>
        <v>0</v>
      </c>
      <c r="AM91" s="21">
        <f t="shared" si="45"/>
        <v>0</v>
      </c>
      <c r="AN91" s="21">
        <f t="shared" si="45"/>
        <v>0</v>
      </c>
      <c r="AO91" s="21">
        <f t="shared" si="45"/>
        <v>0</v>
      </c>
      <c r="AP91" s="21">
        <f t="shared" si="45"/>
        <v>0</v>
      </c>
      <c r="AQ91" s="21">
        <f t="shared" si="45"/>
        <v>0</v>
      </c>
      <c r="AR91" s="21">
        <f t="shared" si="45"/>
        <v>0</v>
      </c>
      <c r="AS91" s="21">
        <f t="shared" si="45"/>
        <v>0</v>
      </c>
      <c r="AT91" s="79"/>
      <c r="AU91" s="21">
        <f>AU92+AU93</f>
        <v>0</v>
      </c>
      <c r="AV91" s="80">
        <f t="shared" si="39"/>
        <v>0</v>
      </c>
    </row>
    <row r="92" ht="20.5" customHeight="1" spans="1:48">
      <c r="A92" s="19">
        <v>84</v>
      </c>
      <c r="B92" s="27" t="s">
        <v>169</v>
      </c>
      <c r="C92" s="23"/>
      <c r="D92" s="23"/>
      <c r="E92" s="21">
        <f t="shared" ref="E92:E96" si="46">C92-D92</f>
        <v>0</v>
      </c>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1">
        <f>IF(E92-G92-H92-I92-J92-K92-L92-M92-N92-O92-P92-Q92-R92-S92-T92-U92-V92-W92-X92-Y92-Z92-AA92-AB92-AC92-AD92-AE92-AF92-AG92-AH92-AI92-AJ92-AK92-AL92-AM92-AN92-AO92-AP92-AQ92-AR92&lt;0,0,E92-G92-H92-I92-J92-K92-L92-M92-N92-O92-P92-Q92-R92-S92-T92-U92-V92-W92-X92-Y92-Z92-AA92-AB92-AC92-AD92-AE92-AF92-AG92-AH92-AI92-AJ92-AK92-AL92-AM92-AN92-AO92-AP92-AQ92-AR92)</f>
        <v>0</v>
      </c>
      <c r="AT92" s="82">
        <v>1.3</v>
      </c>
      <c r="AU92" s="83">
        <f>G92*$G$7+H92*$H$7+I92*$I$7+J92*$J$7+K92*$K$7+L92*$L$7+M92*$M$7+N92*$N$7+O92*$O$7+P92*$P$7+Q92*$Q$7+R92*$R$7+S92*$S$7+T92*$T$7+U92*$U$7+V92*$V$7+W92*$W$7+X92*$X$7+Y92*$Y$7++Z92*$Z$7+AA92*$AA$7+AB92*$AB$7+AC92*$AC$7+AD92*$AD$7+AE92*$AE$7+AF92*$AF$7+AH92*$AH$7+AI92*$AI$7+AJ92*$AJ$7+AK92*$AK$7+AL92*$AL$7+AM92*$AM$7+AN92*$AN$7+AO92*$AO$7+AP92*$AP$7+AQ92*$AQ$7+AR92*$AR$7+AS92*AT92+AG92*$AG$7</f>
        <v>0</v>
      </c>
      <c r="AV92" s="80">
        <f t="shared" si="39"/>
        <v>0</v>
      </c>
    </row>
    <row r="93" ht="20.5" customHeight="1" spans="1:48">
      <c r="A93" s="19">
        <v>85</v>
      </c>
      <c r="B93" s="27" t="s">
        <v>170</v>
      </c>
      <c r="C93" s="23"/>
      <c r="D93" s="23"/>
      <c r="E93" s="21">
        <f t="shared" si="46"/>
        <v>0</v>
      </c>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1">
        <f>IF(E93-G93-H93-I93-J93-K93-L93-M93-N93-O93-P93-Q93-R93-S93-T93-U93-V93-W93-X93-Y93-Z93-AA93-AB93-AC93-AD93-AE93-AF93-AG93-AH93-AI93-AJ93-AK93-AL93-AM93-AN93-AO93-AP93-AQ93-AR93&lt;0,0,E93-G93-H93-I93-J93-K93-L93-M93-N93-O93-P93-Q93-R93-S93-T93-U93-V93-W93-X93-Y93-Z93-AA93-AB93-AC93-AD93-AE93-AF93-AG93-AH93-AI93-AJ93-AK93-AL93-AM93-AN93-AO93-AP93-AQ93-AR93)</f>
        <v>0</v>
      </c>
      <c r="AT93" s="82">
        <v>1</v>
      </c>
      <c r="AU93" s="83">
        <f>G93*$G$7+H93*$H$7+I93*$I$7+J93*$J$7+K93*$K$7+L93*$L$7+M93*$M$7+N93*$N$7+O93*$O$7+P93*$P$7+Q93*$Q$7+R93*$R$7+S93*$S$7+T93*$T$7+U93*$U$7+V93*$V$7+W93*$W$7+X93*$X$7+Y93*$Y$7++Z93*$Z$7+AA93*$AA$7+AB93*$AB$7+AC93*$AC$7+AD93*$AD$7+AE93*$AE$7+AF93*$AF$7+AH93*$AH$7+AI93*$AI$7+AJ93*$AJ$7+AK93*$AK$7+AL93*$AL$7+AM93*$AM$7+AN93*$AN$7+AO93*$AO$7+AP93*$AP$7+AQ93*$AQ$7+AR93*$AR$7+AS93*AT93+AG93*$AG$7</f>
        <v>0</v>
      </c>
      <c r="AV93" s="80">
        <f t="shared" si="39"/>
        <v>0</v>
      </c>
    </row>
    <row r="94" ht="20.5" customHeight="1" spans="1:48">
      <c r="A94" s="19">
        <v>86</v>
      </c>
      <c r="B94" s="31" t="s">
        <v>171</v>
      </c>
      <c r="C94" s="23"/>
      <c r="D94" s="23"/>
      <c r="E94" s="21">
        <f t="shared" si="46"/>
        <v>0</v>
      </c>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1">
        <f>IF(E94-G94-H94-I94-J94-K94-L94-M94-N94-O94-P94-Q94-R94-S94-T94-U94-V94-W94-X94-Y94-Z94-AA94-AB94-AC94-AD94-AE94-AF94-AG94-AH94-AI94-AJ94-AK94-AL94-AM94-AN94-AO94-AP94-AQ94-AR94&lt;0,0,E94-G94-H94-I94-J94-K94-L94-M94-N94-O94-P94-Q94-R94-S94-T94-U94-V94-W94-X94-Y94-Z94-AA94-AB94-AC94-AD94-AE94-AF94-AG94-AH94-AI94-AJ94-AK94-AL94-AM94-AN94-AO94-AP94-AQ94-AR94)</f>
        <v>0</v>
      </c>
      <c r="AT94" s="82">
        <v>1</v>
      </c>
      <c r="AU94" s="83">
        <f>G94*$G$7+H94*$H$7+I94*$I$7+J94*$J$7+K94*$K$7+L94*$L$7+M94*$M$7+N94*$N$7+O94*$O$7+P94*$P$7+Q94*$Q$7+R94*$R$7+S94*$S$7+T94*$T$7+U94*$U$7+V94*$V$7+W94*$W$7+X94*$X$7+Y94*$Y$7++Z94*$Z$7+AA94*$AA$7+AB94*$AB$7+AC94*$AC$7+AD94*$AD$7+AE94*$AE$7+AF94*$AF$7+AH94*$AH$7+AI94*$AI$7+AJ94*$AJ$7+AK94*$AK$7+AL94*$AL$7+AM94*$AM$7+AN94*$AN$7+AO94*$AO$7+AP94*$AP$7+AQ94*$AQ$7+AR94*$AR$7+AS94*AT94+AG94*$AG$7</f>
        <v>0</v>
      </c>
      <c r="AV94" s="80">
        <f t="shared" si="39"/>
        <v>0</v>
      </c>
    </row>
    <row r="95" ht="20.5" customHeight="1" spans="1:48">
      <c r="A95" s="19">
        <v>87</v>
      </c>
      <c r="B95" s="31" t="s">
        <v>172</v>
      </c>
      <c r="C95" s="23"/>
      <c r="D95" s="23"/>
      <c r="E95" s="21">
        <f t="shared" si="46"/>
        <v>0</v>
      </c>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1">
        <f>IF(E95-G95-H95-I95-J95-K95-L95-M95-N95-O95-P95-Q95-R95-S95-T95-U95-V95-W95-X95-Y95-Z95-AA95-AB95-AC95-AD95-AE95-AF95-AG95-AH95-AI95-AJ95-AK95-AL95-AM95-AN95-AO95-AP95-AQ95-AR95&lt;0,0,E95-G95-H95-I95-J95-K95-L95-M95-N95-O95-P95-Q95-R95-S95-T95-U95-V95-W95-X95-Y95-Z95-AA95-AB95-AC95-AD95-AE95-AF95-AG95-AH95-AI95-AJ95-AK95-AL95-AM95-AN95-AO95-AP95-AQ95-AR95)</f>
        <v>0</v>
      </c>
      <c r="AT95" s="82">
        <v>1</v>
      </c>
      <c r="AU95" s="83">
        <f>G95*$G$7+H95*$H$7+I95*$I$7+J95*$J$7+K95*$K$7+L95*$L$7+M95*$M$7+N95*$N$7+O95*$O$7+P95*$P$7+Q95*$Q$7+R95*$R$7+S95*$S$7+T95*$T$7+U95*$U$7+V95*$V$7+W95*$W$7+X95*$X$7+Y95*$Y$7++Z95*$Z$7+AA95*$AA$7+AB95*$AB$7+AC95*$AC$7+AD95*$AD$7+AE95*$AE$7+AF95*$AF$7+AH95*$AH$7+AI95*$AI$7+AJ95*$AJ$7+AK95*$AK$7+AL95*$AL$7+AM95*$AM$7+AN95*$AN$7+AO95*$AO$7+AP95*$AP$7+AQ95*$AQ$7+AR95*$AR$7+AS95*AT95+AG95*$AG$7</f>
        <v>0</v>
      </c>
      <c r="AV95" s="80">
        <f t="shared" si="39"/>
        <v>0</v>
      </c>
    </row>
    <row r="96" ht="20" customHeight="1" spans="1:48">
      <c r="A96" s="19">
        <v>88</v>
      </c>
      <c r="B96" s="94" t="s">
        <v>361</v>
      </c>
      <c r="C96" s="23"/>
      <c r="D96" s="23"/>
      <c r="E96" s="21">
        <f t="shared" si="46"/>
        <v>0</v>
      </c>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1">
        <f>IF(E96-G96-H96-I96-J96-K96-L96-M96-N96-O96-P96-Q96-R96-S96-T96-U96-V96-W96-X96-Y96-Z96-AA96-AB96-AC96-AD96-AE96-AF96-AG96-AH96-AI96-AJ96-AK96-AL96-AM96-AN96-AO96-AP96-AQ96-AR96&lt;0,0,E96-G96-H96-I96-J96-K96-L96-M96-N96-O96-P96-Q96-R96-S96-T96-U96-V96-W96-X96-Y96-Z96-AA96-AB96-AC96-AD96-AE96-AF96-AG96-AH96-AI96-AJ96-AK96-AL96-AM96-AN96-AO96-AP96-AQ96-AR96)</f>
        <v>0</v>
      </c>
      <c r="AT96" s="88"/>
      <c r="AU96" s="89"/>
      <c r="AV96" s="80">
        <f t="shared" si="39"/>
        <v>0</v>
      </c>
    </row>
    <row r="97" ht="21" customHeight="1" spans="1:48">
      <c r="A97" s="19">
        <v>89</v>
      </c>
      <c r="B97" s="24" t="s">
        <v>362</v>
      </c>
      <c r="C97" s="21">
        <f>C98+C103+C104</f>
        <v>0</v>
      </c>
      <c r="D97" s="21">
        <f t="shared" ref="D97:AS97" si="47">D98+D103+D104</f>
        <v>0</v>
      </c>
      <c r="E97" s="21">
        <f t="shared" si="47"/>
        <v>0</v>
      </c>
      <c r="F97" s="21">
        <f t="shared" si="47"/>
        <v>0</v>
      </c>
      <c r="G97" s="21">
        <f t="shared" si="47"/>
        <v>0</v>
      </c>
      <c r="H97" s="21">
        <f t="shared" si="47"/>
        <v>0</v>
      </c>
      <c r="I97" s="21">
        <f t="shared" si="47"/>
        <v>0</v>
      </c>
      <c r="J97" s="21">
        <f t="shared" si="47"/>
        <v>0</v>
      </c>
      <c r="K97" s="21">
        <f t="shared" si="47"/>
        <v>0</v>
      </c>
      <c r="L97" s="21">
        <f t="shared" si="47"/>
        <v>0</v>
      </c>
      <c r="M97" s="21">
        <f t="shared" si="47"/>
        <v>0</v>
      </c>
      <c r="N97" s="21">
        <f t="shared" si="47"/>
        <v>0</v>
      </c>
      <c r="O97" s="21">
        <f t="shared" si="47"/>
        <v>0</v>
      </c>
      <c r="P97" s="21">
        <f t="shared" si="47"/>
        <v>0</v>
      </c>
      <c r="Q97" s="21">
        <f t="shared" si="47"/>
        <v>0</v>
      </c>
      <c r="R97" s="21">
        <f t="shared" si="47"/>
        <v>0</v>
      </c>
      <c r="S97" s="21">
        <f t="shared" si="47"/>
        <v>0</v>
      </c>
      <c r="T97" s="21">
        <f t="shared" si="47"/>
        <v>0</v>
      </c>
      <c r="U97" s="21">
        <f t="shared" si="47"/>
        <v>0</v>
      </c>
      <c r="V97" s="21">
        <f t="shared" si="47"/>
        <v>0</v>
      </c>
      <c r="W97" s="21">
        <f t="shared" si="47"/>
        <v>0</v>
      </c>
      <c r="X97" s="21">
        <f t="shared" si="47"/>
        <v>0</v>
      </c>
      <c r="Y97" s="21">
        <f t="shared" si="47"/>
        <v>0</v>
      </c>
      <c r="Z97" s="21">
        <f t="shared" si="47"/>
        <v>0</v>
      </c>
      <c r="AA97" s="21">
        <f t="shared" si="47"/>
        <v>0</v>
      </c>
      <c r="AB97" s="21">
        <f t="shared" si="47"/>
        <v>0</v>
      </c>
      <c r="AC97" s="21">
        <f t="shared" si="47"/>
        <v>0</v>
      </c>
      <c r="AD97" s="21">
        <f t="shared" si="47"/>
        <v>0</v>
      </c>
      <c r="AE97" s="21">
        <f t="shared" si="47"/>
        <v>0</v>
      </c>
      <c r="AF97" s="21">
        <f t="shared" si="47"/>
        <v>0</v>
      </c>
      <c r="AG97" s="21">
        <f t="shared" si="47"/>
        <v>0</v>
      </c>
      <c r="AH97" s="21">
        <f t="shared" si="47"/>
        <v>0</v>
      </c>
      <c r="AI97" s="21">
        <f t="shared" si="47"/>
        <v>0</v>
      </c>
      <c r="AJ97" s="21">
        <f t="shared" si="47"/>
        <v>0</v>
      </c>
      <c r="AK97" s="21">
        <f t="shared" si="47"/>
        <v>0</v>
      </c>
      <c r="AL97" s="21">
        <f t="shared" si="47"/>
        <v>0</v>
      </c>
      <c r="AM97" s="21">
        <f t="shared" si="47"/>
        <v>0</v>
      </c>
      <c r="AN97" s="21">
        <f t="shared" si="47"/>
        <v>0</v>
      </c>
      <c r="AO97" s="21">
        <f t="shared" si="47"/>
        <v>0</v>
      </c>
      <c r="AP97" s="21">
        <f t="shared" si="47"/>
        <v>0</v>
      </c>
      <c r="AQ97" s="21">
        <f t="shared" si="47"/>
        <v>0</v>
      </c>
      <c r="AR97" s="21">
        <f t="shared" si="47"/>
        <v>0</v>
      </c>
      <c r="AS97" s="21">
        <f t="shared" si="47"/>
        <v>0</v>
      </c>
      <c r="AT97" s="79"/>
      <c r="AU97" s="21">
        <f>AU98+AU103+AU104</f>
        <v>0</v>
      </c>
      <c r="AV97" s="80">
        <f t="shared" si="39"/>
        <v>0</v>
      </c>
    </row>
    <row r="98" ht="20.5" customHeight="1" spans="1:48">
      <c r="A98" s="19">
        <v>90</v>
      </c>
      <c r="B98" s="93" t="s">
        <v>363</v>
      </c>
      <c r="C98" s="21">
        <f t="shared" ref="C98:AS98" si="48">C99+C102</f>
        <v>0</v>
      </c>
      <c r="D98" s="21">
        <f t="shared" si="48"/>
        <v>0</v>
      </c>
      <c r="E98" s="21">
        <f t="shared" si="48"/>
        <v>0</v>
      </c>
      <c r="F98" s="21">
        <f t="shared" si="48"/>
        <v>0</v>
      </c>
      <c r="G98" s="21">
        <f t="shared" si="48"/>
        <v>0</v>
      </c>
      <c r="H98" s="21">
        <f t="shared" si="48"/>
        <v>0</v>
      </c>
      <c r="I98" s="21">
        <f t="shared" si="48"/>
        <v>0</v>
      </c>
      <c r="J98" s="21">
        <f t="shared" si="48"/>
        <v>0</v>
      </c>
      <c r="K98" s="21">
        <f t="shared" si="48"/>
        <v>0</v>
      </c>
      <c r="L98" s="21">
        <f t="shared" si="48"/>
        <v>0</v>
      </c>
      <c r="M98" s="21">
        <f t="shared" si="48"/>
        <v>0</v>
      </c>
      <c r="N98" s="21">
        <f t="shared" si="48"/>
        <v>0</v>
      </c>
      <c r="O98" s="21">
        <f t="shared" si="48"/>
        <v>0</v>
      </c>
      <c r="P98" s="21">
        <f t="shared" si="48"/>
        <v>0</v>
      </c>
      <c r="Q98" s="21">
        <f t="shared" si="48"/>
        <v>0</v>
      </c>
      <c r="R98" s="21">
        <f t="shared" si="48"/>
        <v>0</v>
      </c>
      <c r="S98" s="21">
        <f t="shared" si="48"/>
        <v>0</v>
      </c>
      <c r="T98" s="21">
        <f t="shared" si="48"/>
        <v>0</v>
      </c>
      <c r="U98" s="21">
        <f t="shared" si="48"/>
        <v>0</v>
      </c>
      <c r="V98" s="21">
        <f t="shared" si="48"/>
        <v>0</v>
      </c>
      <c r="W98" s="21">
        <f t="shared" si="48"/>
        <v>0</v>
      </c>
      <c r="X98" s="21">
        <f t="shared" si="48"/>
        <v>0</v>
      </c>
      <c r="Y98" s="21">
        <f t="shared" si="48"/>
        <v>0</v>
      </c>
      <c r="Z98" s="21">
        <f t="shared" si="48"/>
        <v>0</v>
      </c>
      <c r="AA98" s="21">
        <f t="shared" si="48"/>
        <v>0</v>
      </c>
      <c r="AB98" s="21">
        <f t="shared" si="48"/>
        <v>0</v>
      </c>
      <c r="AC98" s="21">
        <f t="shared" si="48"/>
        <v>0</v>
      </c>
      <c r="AD98" s="21">
        <f t="shared" si="48"/>
        <v>0</v>
      </c>
      <c r="AE98" s="21">
        <f t="shared" si="48"/>
        <v>0</v>
      </c>
      <c r="AF98" s="21">
        <f t="shared" si="48"/>
        <v>0</v>
      </c>
      <c r="AG98" s="21">
        <f t="shared" si="48"/>
        <v>0</v>
      </c>
      <c r="AH98" s="21">
        <f t="shared" si="48"/>
        <v>0</v>
      </c>
      <c r="AI98" s="21">
        <f t="shared" si="48"/>
        <v>0</v>
      </c>
      <c r="AJ98" s="21">
        <f t="shared" si="48"/>
        <v>0</v>
      </c>
      <c r="AK98" s="21">
        <f t="shared" si="48"/>
        <v>0</v>
      </c>
      <c r="AL98" s="21">
        <f t="shared" si="48"/>
        <v>0</v>
      </c>
      <c r="AM98" s="21">
        <f t="shared" si="48"/>
        <v>0</v>
      </c>
      <c r="AN98" s="21">
        <f t="shared" si="48"/>
        <v>0</v>
      </c>
      <c r="AO98" s="21">
        <f t="shared" si="48"/>
        <v>0</v>
      </c>
      <c r="AP98" s="21">
        <f t="shared" si="48"/>
        <v>0</v>
      </c>
      <c r="AQ98" s="21">
        <f t="shared" si="48"/>
        <v>0</v>
      </c>
      <c r="AR98" s="21">
        <f t="shared" si="48"/>
        <v>0</v>
      </c>
      <c r="AS98" s="21">
        <f t="shared" si="48"/>
        <v>0</v>
      </c>
      <c r="AT98" s="79"/>
      <c r="AU98" s="21">
        <f>AU99+AU102</f>
        <v>0</v>
      </c>
      <c r="AV98" s="80">
        <f t="shared" si="39"/>
        <v>0</v>
      </c>
    </row>
    <row r="99" ht="20.5" customHeight="1" spans="1:48">
      <c r="A99" s="19">
        <v>91</v>
      </c>
      <c r="B99" s="31" t="s">
        <v>176</v>
      </c>
      <c r="C99" s="21">
        <f t="shared" ref="C99:AS99" si="49">C100+C101</f>
        <v>0</v>
      </c>
      <c r="D99" s="21">
        <f t="shared" si="49"/>
        <v>0</v>
      </c>
      <c r="E99" s="21">
        <f t="shared" si="49"/>
        <v>0</v>
      </c>
      <c r="F99" s="21">
        <f t="shared" si="49"/>
        <v>0</v>
      </c>
      <c r="G99" s="21">
        <f t="shared" si="49"/>
        <v>0</v>
      </c>
      <c r="H99" s="21">
        <f t="shared" si="49"/>
        <v>0</v>
      </c>
      <c r="I99" s="21">
        <f t="shared" si="49"/>
        <v>0</v>
      </c>
      <c r="J99" s="21">
        <f t="shared" si="49"/>
        <v>0</v>
      </c>
      <c r="K99" s="21">
        <f t="shared" si="49"/>
        <v>0</v>
      </c>
      <c r="L99" s="21">
        <f t="shared" si="49"/>
        <v>0</v>
      </c>
      <c r="M99" s="21">
        <f t="shared" si="49"/>
        <v>0</v>
      </c>
      <c r="N99" s="21">
        <f t="shared" si="49"/>
        <v>0</v>
      </c>
      <c r="O99" s="21">
        <f t="shared" si="49"/>
        <v>0</v>
      </c>
      <c r="P99" s="21">
        <f t="shared" si="49"/>
        <v>0</v>
      </c>
      <c r="Q99" s="21">
        <f t="shared" si="49"/>
        <v>0</v>
      </c>
      <c r="R99" s="21">
        <f t="shared" si="49"/>
        <v>0</v>
      </c>
      <c r="S99" s="21">
        <f t="shared" si="49"/>
        <v>0</v>
      </c>
      <c r="T99" s="21">
        <f t="shared" si="49"/>
        <v>0</v>
      </c>
      <c r="U99" s="21">
        <f t="shared" si="49"/>
        <v>0</v>
      </c>
      <c r="V99" s="21">
        <f t="shared" si="49"/>
        <v>0</v>
      </c>
      <c r="W99" s="21">
        <f t="shared" si="49"/>
        <v>0</v>
      </c>
      <c r="X99" s="21">
        <f t="shared" si="49"/>
        <v>0</v>
      </c>
      <c r="Y99" s="21">
        <f t="shared" si="49"/>
        <v>0</v>
      </c>
      <c r="Z99" s="21">
        <f t="shared" si="49"/>
        <v>0</v>
      </c>
      <c r="AA99" s="21">
        <f t="shared" si="49"/>
        <v>0</v>
      </c>
      <c r="AB99" s="21">
        <f t="shared" si="49"/>
        <v>0</v>
      </c>
      <c r="AC99" s="21">
        <f t="shared" si="49"/>
        <v>0</v>
      </c>
      <c r="AD99" s="21">
        <f t="shared" si="49"/>
        <v>0</v>
      </c>
      <c r="AE99" s="21">
        <f t="shared" si="49"/>
        <v>0</v>
      </c>
      <c r="AF99" s="21">
        <f t="shared" si="49"/>
        <v>0</v>
      </c>
      <c r="AG99" s="21">
        <f t="shared" si="49"/>
        <v>0</v>
      </c>
      <c r="AH99" s="21">
        <f t="shared" si="49"/>
        <v>0</v>
      </c>
      <c r="AI99" s="21">
        <f t="shared" si="49"/>
        <v>0</v>
      </c>
      <c r="AJ99" s="21">
        <f t="shared" si="49"/>
        <v>0</v>
      </c>
      <c r="AK99" s="21">
        <f t="shared" si="49"/>
        <v>0</v>
      </c>
      <c r="AL99" s="21">
        <f t="shared" si="49"/>
        <v>0</v>
      </c>
      <c r="AM99" s="21">
        <f t="shared" si="49"/>
        <v>0</v>
      </c>
      <c r="AN99" s="21">
        <f t="shared" si="49"/>
        <v>0</v>
      </c>
      <c r="AO99" s="21">
        <f t="shared" si="49"/>
        <v>0</v>
      </c>
      <c r="AP99" s="21">
        <f t="shared" si="49"/>
        <v>0</v>
      </c>
      <c r="AQ99" s="21">
        <f t="shared" si="49"/>
        <v>0</v>
      </c>
      <c r="AR99" s="21">
        <f t="shared" si="49"/>
        <v>0</v>
      </c>
      <c r="AS99" s="21">
        <f t="shared" si="49"/>
        <v>0</v>
      </c>
      <c r="AT99" s="79"/>
      <c r="AU99" s="21">
        <f>AU100+AU101</f>
        <v>0</v>
      </c>
      <c r="AV99" s="80">
        <f t="shared" si="39"/>
        <v>0</v>
      </c>
    </row>
    <row r="100" ht="20" customHeight="1" spans="1:48">
      <c r="A100" s="19">
        <v>92</v>
      </c>
      <c r="B100" s="27" t="s">
        <v>364</v>
      </c>
      <c r="C100" s="23"/>
      <c r="D100" s="23"/>
      <c r="E100" s="21">
        <f t="shared" ref="E100:E104" si="50">C100-D100</f>
        <v>0</v>
      </c>
      <c r="F100" s="23"/>
      <c r="G100" s="23"/>
      <c r="H100" s="23"/>
      <c r="I100" s="23"/>
      <c r="J100" s="23"/>
      <c r="K100" s="23"/>
      <c r="L100" s="23"/>
      <c r="M100" s="23"/>
      <c r="N100" s="23"/>
      <c r="O100" s="23"/>
      <c r="P100" s="23"/>
      <c r="Q100" s="23"/>
      <c r="R100" s="23"/>
      <c r="S100" s="23"/>
      <c r="T100" s="23"/>
      <c r="U100" s="23"/>
      <c r="V100" s="51"/>
      <c r="W100" s="23"/>
      <c r="X100" s="23"/>
      <c r="Y100" s="23"/>
      <c r="Z100" s="23"/>
      <c r="AA100" s="23"/>
      <c r="AB100" s="23"/>
      <c r="AC100" s="23"/>
      <c r="AD100" s="51"/>
      <c r="AE100" s="68"/>
      <c r="AF100" s="51"/>
      <c r="AG100" s="68"/>
      <c r="AH100" s="68"/>
      <c r="AI100" s="68"/>
      <c r="AJ100" s="68"/>
      <c r="AK100" s="68"/>
      <c r="AL100" s="68"/>
      <c r="AM100" s="68"/>
      <c r="AN100" s="68"/>
      <c r="AO100" s="51"/>
      <c r="AP100" s="23"/>
      <c r="AQ100" s="23"/>
      <c r="AR100" s="23"/>
      <c r="AS100" s="21">
        <f>IF(E100-G100-H100-I100-J100-K100-L100-M100-N100-O100-P100-Q100-R100-S100-T100-U100-V100-W100-X100-Y100-Z100-AA100-AB100-AC100-AD100-AE100-AF100-AG100-AH100-AI100-AJ100-AK100-AL100-AM100-AN100-AO100-AP100-AQ100-AR100&lt;0,0,E100-G100-H100-I100-J100-K100-L100-M100-N100-O100-P100-Q100-R100-S100-T100-U100-V100-W100-X100-Y100-Z100-AA100-AB100-AC100-AD100-AE100-AF100-AG100-AH100-AI100-AJ100-AK100-AL100-AM100-AN100-AO100-AP100-AQ100-AR100)</f>
        <v>0</v>
      </c>
      <c r="AT100" s="82">
        <v>0.45</v>
      </c>
      <c r="AU100" s="83">
        <f>G100*$G$7+H100*$H$7+I100*$I$7+J100*$J$7+K100*$K$7+L100*$L$7+M100*$M$7+N100*$N$7+O100*$O$7+P100*$P$7+Q100*$Q$7+R100*$R$7+S100*$S$7+T100*$T$7+U100*$U$7+V100*$V$7+W100*$W$7+X100*$X$7+Y100*$Y$7++Z100*$Z$7+AA100*$AA$7+AB100*$AB$7+AC100*$AC$7+AD100*$AD$7+AE100*$AE$7+AF100*$AF$7+AH100*$AH$7+AI100*$AI$7+AJ100*$AJ$7+AK100*$AK$7+AL100*$AL$7+AM100*$AM$7+AN100*$AN$7+AO100*$AO$7+AP100*$AP$7+AQ100*$AQ$7+AR100*$AR$7+AS100*AT100+AG100*$AG$7</f>
        <v>0</v>
      </c>
      <c r="AV100" s="80">
        <f t="shared" si="39"/>
        <v>0</v>
      </c>
    </row>
    <row r="101" ht="20.5" customHeight="1" spans="1:48">
      <c r="A101" s="19">
        <v>93</v>
      </c>
      <c r="B101" s="27" t="s">
        <v>365</v>
      </c>
      <c r="C101" s="23"/>
      <c r="D101" s="23"/>
      <c r="E101" s="21">
        <f t="shared" si="50"/>
        <v>0</v>
      </c>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68"/>
      <c r="AF101" s="23"/>
      <c r="AG101" s="23"/>
      <c r="AH101" s="23"/>
      <c r="AI101" s="23"/>
      <c r="AJ101" s="23"/>
      <c r="AK101" s="23"/>
      <c r="AL101" s="23"/>
      <c r="AM101" s="23"/>
      <c r="AN101" s="23"/>
      <c r="AO101" s="23"/>
      <c r="AP101" s="23"/>
      <c r="AQ101" s="23"/>
      <c r="AR101" s="23"/>
      <c r="AS101" s="21">
        <f>IF(E101-G101-H101-I101-J101-K101-L101-M101-N101-O101-P101-Q101-R101-S101-T101-U101-V101-W101-X101-Y101-Z101-AA101-AB101-AC101-AD101-AE101-AF101-AG101-AH101-AI101-AJ101-AK101-AL101-AM101-AN101-AO101-AP101-AQ101-AR101&lt;0,0,E101-G101-H101-I101-J101-K101-L101-M101-N101-O101-P101-Q101-R101-S101-T101-U101-V101-W101-X101-Y101-Z101-AA101-AB101-AC101-AD101-AE101-AF101-AG101-AH101-AI101-AJ101-AK101-AL101-AM101-AN101-AO101-AP101-AQ101-AR101)</f>
        <v>0</v>
      </c>
      <c r="AT101" s="82">
        <v>0.75</v>
      </c>
      <c r="AU101" s="83">
        <f>G101*$G$7+H101*$H$7+I101*$I$7+J101*$J$7+K101*$K$7+L101*$L$7+M101*$M$7+N101*$N$7+O101*$O$7+P101*$P$7+Q101*$Q$7+R101*$R$7+S101*$S$7+T101*$T$7+U101*$U$7+V101*$V$7+W101*$W$7+X101*$X$7+Y101*$Y$7++Z101*$Z$7+AA101*$AA$7+AB101*$AB$7+AC101*$AC$7+AD101*$AD$7+AE101*$AE$7+AF101*$AF$7+AH101*$AH$7+AI101*$AI$7+AJ101*$AJ$7+AK101*$AK$7+AL101*$AL$7+AM101*$AM$7+AN101*$AN$7+AO101*$AO$7+AP101*$AP$7+AQ101*$AQ$7+AR101*$AR$7+AS101*AT101+AG101*$AG$7</f>
        <v>0</v>
      </c>
      <c r="AV101" s="80">
        <f t="shared" si="39"/>
        <v>0</v>
      </c>
    </row>
    <row r="102" ht="20.5" customHeight="1" spans="1:48">
      <c r="A102" s="19">
        <v>94</v>
      </c>
      <c r="B102" s="31" t="s">
        <v>179</v>
      </c>
      <c r="C102" s="23"/>
      <c r="D102" s="23"/>
      <c r="E102" s="21">
        <f t="shared" si="50"/>
        <v>0</v>
      </c>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68"/>
      <c r="AF102" s="23"/>
      <c r="AG102" s="23"/>
      <c r="AH102" s="23"/>
      <c r="AI102" s="23"/>
      <c r="AJ102" s="23"/>
      <c r="AK102" s="23"/>
      <c r="AL102" s="23"/>
      <c r="AM102" s="23"/>
      <c r="AN102" s="23"/>
      <c r="AO102" s="23"/>
      <c r="AP102" s="23"/>
      <c r="AQ102" s="23"/>
      <c r="AR102" s="23"/>
      <c r="AS102" s="21">
        <f>IF(E102-G102-H102-I102-J102-K102-L102-M102-N102-O102-P102-Q102-R102-S102-T102-U102-V102-W102-X102-Y102-Z102-AA102-AB102-AC102-AD102-AE102-AF102-AG102-AH102-AI102-AJ102-AK102-AL102-AM102-AN102-AO102-AP102-AQ102-AR102&lt;0,0,E102-G102-H102-I102-J102-K102-L102-M102-N102-O102-P102-Q102-R102-S102-T102-U102-V102-W102-X102-Y102-Z102-AA102-AB102-AC102-AD102-AE102-AF102-AG102-AH102-AI102-AJ102-AK102-AL102-AM102-AN102-AO102-AP102-AQ102-AR102)</f>
        <v>0</v>
      </c>
      <c r="AT102" s="82">
        <v>1</v>
      </c>
      <c r="AU102" s="83">
        <f>G102*$G$7+H102*$H$7+I102*$I$7+J102*$J$7+K102*$K$7+L102*$L$7+M102*$M$7+N102*$N$7+O102*$O$7+P102*$P$7+Q102*$Q$7+R102*$R$7+S102*$S$7+T102*$T$7+U102*$U$7+V102*$V$7+W102*$W$7+X102*$X$7+Y102*$Y$7++Z102*$Z$7+AA102*$AA$7+AB102*$AB$7+AC102*$AC$7+AD102*$AD$7+AE102*$AE$7+AF102*$AF$7+AH102*$AH$7+AI102*$AI$7+AJ102*$AJ$7+AK102*$AK$7+AL102*$AL$7+AM102*$AM$7+AN102*$AN$7+AO102*$AO$7+AP102*$AP$7+AQ102*$AQ$7+AR102*$AR$7+AS102*AT102+AG102*$AG$7</f>
        <v>0</v>
      </c>
      <c r="AV102" s="80">
        <f t="shared" si="39"/>
        <v>0</v>
      </c>
    </row>
    <row r="103" ht="20.5" customHeight="1" spans="1:48">
      <c r="A103" s="19">
        <v>95</v>
      </c>
      <c r="B103" s="94" t="s">
        <v>366</v>
      </c>
      <c r="C103" s="23"/>
      <c r="D103" s="23"/>
      <c r="E103" s="21">
        <f t="shared" si="50"/>
        <v>0</v>
      </c>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68"/>
      <c r="AF103" s="23"/>
      <c r="AG103" s="23"/>
      <c r="AH103" s="23"/>
      <c r="AI103" s="23"/>
      <c r="AJ103" s="23"/>
      <c r="AK103" s="23"/>
      <c r="AL103" s="23"/>
      <c r="AM103" s="23"/>
      <c r="AN103" s="23"/>
      <c r="AO103" s="23"/>
      <c r="AP103" s="23"/>
      <c r="AQ103" s="23"/>
      <c r="AR103" s="23"/>
      <c r="AS103" s="21">
        <f>IF(E103-G103-H103-I103-J103-K103-L103-M103-N103-O103-P103-Q103-R103-S103-T103-U103-V103-W103-X103-Y103-Z103-AA103-AB103-AC103-AD103-AE103-AF103-AG103-AH103-AI103-AJ103-AK103-AL103-AM103-AN103-AO103-AP103-AQ103-AR103&lt;0,0,E103-G103-H103-I103-J103-K103-L103-M103-N103-O103-P103-Q103-R103-S103-T103-U103-V103-W103-X103-Y103-Z103-AA103-AB103-AC103-AD103-AE103-AF103-AG103-AH103-AI103-AJ103-AK103-AL103-AM103-AN103-AO103-AP103-AQ103-AR103)</f>
        <v>0</v>
      </c>
      <c r="AT103" s="88"/>
      <c r="AU103" s="89"/>
      <c r="AV103" s="80">
        <f t="shared" si="39"/>
        <v>0</v>
      </c>
    </row>
    <row r="104" ht="20" customHeight="1" spans="1:48">
      <c r="A104" s="19">
        <v>96</v>
      </c>
      <c r="B104" s="22" t="s">
        <v>367</v>
      </c>
      <c r="C104" s="95"/>
      <c r="D104" s="95"/>
      <c r="E104" s="21">
        <f t="shared" si="50"/>
        <v>0</v>
      </c>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c r="AE104" s="97"/>
      <c r="AF104" s="95"/>
      <c r="AG104" s="95"/>
      <c r="AH104" s="95"/>
      <c r="AI104" s="95"/>
      <c r="AJ104" s="95"/>
      <c r="AK104" s="95"/>
      <c r="AL104" s="95"/>
      <c r="AM104" s="95"/>
      <c r="AN104" s="95"/>
      <c r="AO104" s="95"/>
      <c r="AP104" s="95"/>
      <c r="AQ104" s="95"/>
      <c r="AR104" s="95"/>
      <c r="AS104" s="21">
        <f>IF(E104-G104-H104-I104-J104-K104-L104-M104-N104-O104-P104-Q104-R104-S104-T104-U104-V104-W104-X104-Y104-Z104-AA104-AB104-AC104-AD104-AE104-AF104-AG104-AH104-AI104-AJ104-AK104-AL104-AM104-AN104-AO104-AP104-AQ104-AR104&lt;0,0,E104-G104-H104-I104-J104-K104-L104-M104-N104-O104-P104-Q104-R104-S104-T104-U104-V104-W104-X104-Y104-Z104-AA104-AB104-AC104-AD104-AE104-AF104-AG104-AH104-AI104-AJ104-AK104-AL104-AM104-AN104-AO104-AP104-AQ104-AR104)</f>
        <v>0</v>
      </c>
      <c r="AT104" s="88"/>
      <c r="AU104" s="89"/>
      <c r="AV104" s="80">
        <f t="shared" si="39"/>
        <v>0</v>
      </c>
    </row>
    <row r="105" ht="20.5" customHeight="1" spans="1:48">
      <c r="A105" s="19">
        <v>97</v>
      </c>
      <c r="B105" s="28" t="s">
        <v>368</v>
      </c>
      <c r="C105" s="30">
        <f t="shared" ref="C105:AS105" si="51">C106+C107</f>
        <v>0</v>
      </c>
      <c r="D105" s="30">
        <f t="shared" si="51"/>
        <v>0</v>
      </c>
      <c r="E105" s="21">
        <f t="shared" si="51"/>
        <v>0</v>
      </c>
      <c r="F105" s="30">
        <f t="shared" si="51"/>
        <v>0</v>
      </c>
      <c r="G105" s="30">
        <f t="shared" si="51"/>
        <v>0</v>
      </c>
      <c r="H105" s="30">
        <f t="shared" si="51"/>
        <v>0</v>
      </c>
      <c r="I105" s="30">
        <f t="shared" si="51"/>
        <v>0</v>
      </c>
      <c r="J105" s="30">
        <f t="shared" si="51"/>
        <v>0</v>
      </c>
      <c r="K105" s="30">
        <f t="shared" si="51"/>
        <v>0</v>
      </c>
      <c r="L105" s="30">
        <f t="shared" si="51"/>
        <v>0</v>
      </c>
      <c r="M105" s="30">
        <f t="shared" si="51"/>
        <v>0</v>
      </c>
      <c r="N105" s="30">
        <f t="shared" si="51"/>
        <v>0</v>
      </c>
      <c r="O105" s="30">
        <f t="shared" si="51"/>
        <v>0</v>
      </c>
      <c r="P105" s="30">
        <f t="shared" si="51"/>
        <v>0</v>
      </c>
      <c r="Q105" s="30">
        <f t="shared" si="51"/>
        <v>0</v>
      </c>
      <c r="R105" s="30">
        <f t="shared" si="51"/>
        <v>0</v>
      </c>
      <c r="S105" s="30">
        <f t="shared" si="51"/>
        <v>0</v>
      </c>
      <c r="T105" s="30">
        <f t="shared" si="51"/>
        <v>0</v>
      </c>
      <c r="U105" s="30">
        <f t="shared" si="51"/>
        <v>0</v>
      </c>
      <c r="V105" s="30">
        <f t="shared" si="51"/>
        <v>0</v>
      </c>
      <c r="W105" s="30">
        <f t="shared" si="51"/>
        <v>0</v>
      </c>
      <c r="X105" s="30">
        <f t="shared" si="51"/>
        <v>0</v>
      </c>
      <c r="Y105" s="30">
        <f t="shared" si="51"/>
        <v>0</v>
      </c>
      <c r="Z105" s="30">
        <f t="shared" si="51"/>
        <v>0</v>
      </c>
      <c r="AA105" s="30">
        <f t="shared" si="51"/>
        <v>0</v>
      </c>
      <c r="AB105" s="30">
        <f t="shared" si="51"/>
        <v>0</v>
      </c>
      <c r="AC105" s="30">
        <f t="shared" si="51"/>
        <v>0</v>
      </c>
      <c r="AD105" s="30">
        <f t="shared" si="51"/>
        <v>0</v>
      </c>
      <c r="AE105" s="30">
        <f t="shared" si="51"/>
        <v>0</v>
      </c>
      <c r="AF105" s="30">
        <f t="shared" si="51"/>
        <v>0</v>
      </c>
      <c r="AG105" s="30">
        <f t="shared" si="51"/>
        <v>0</v>
      </c>
      <c r="AH105" s="30">
        <f t="shared" si="51"/>
        <v>0</v>
      </c>
      <c r="AI105" s="30">
        <f t="shared" si="51"/>
        <v>0</v>
      </c>
      <c r="AJ105" s="30">
        <f t="shared" si="51"/>
        <v>0</v>
      </c>
      <c r="AK105" s="30">
        <f t="shared" si="51"/>
        <v>0</v>
      </c>
      <c r="AL105" s="30">
        <f t="shared" si="51"/>
        <v>0</v>
      </c>
      <c r="AM105" s="30">
        <f t="shared" si="51"/>
        <v>0</v>
      </c>
      <c r="AN105" s="30">
        <f t="shared" si="51"/>
        <v>0</v>
      </c>
      <c r="AO105" s="30">
        <f t="shared" si="51"/>
        <v>0</v>
      </c>
      <c r="AP105" s="30">
        <f t="shared" si="51"/>
        <v>0</v>
      </c>
      <c r="AQ105" s="30">
        <f t="shared" si="51"/>
        <v>0</v>
      </c>
      <c r="AR105" s="30">
        <f t="shared" si="51"/>
        <v>0</v>
      </c>
      <c r="AS105" s="21">
        <f t="shared" si="51"/>
        <v>0</v>
      </c>
      <c r="AT105" s="79"/>
      <c r="AU105" s="21">
        <f>AU106+AU107</f>
        <v>0</v>
      </c>
      <c r="AV105" s="80">
        <f t="shared" si="39"/>
        <v>0</v>
      </c>
    </row>
    <row r="106" ht="20.5" customHeight="1" spans="1:48">
      <c r="A106" s="19">
        <v>98</v>
      </c>
      <c r="B106" s="94" t="s">
        <v>369</v>
      </c>
      <c r="C106" s="23"/>
      <c r="D106" s="23"/>
      <c r="E106" s="21">
        <f t="shared" ref="E106:E116" si="52">C106-D106</f>
        <v>0</v>
      </c>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68"/>
      <c r="AF106" s="23"/>
      <c r="AG106" s="23"/>
      <c r="AH106" s="23"/>
      <c r="AI106" s="23"/>
      <c r="AJ106" s="23"/>
      <c r="AK106" s="23"/>
      <c r="AL106" s="23"/>
      <c r="AM106" s="23"/>
      <c r="AN106" s="23"/>
      <c r="AO106" s="23"/>
      <c r="AP106" s="23"/>
      <c r="AQ106" s="23"/>
      <c r="AR106" s="23"/>
      <c r="AS106" s="21">
        <f>IF(E106-G106-H106-I106-J106-K106-L106-M106-N106-O106-P106-Q106-R106-S106-T106-U106-V106-W106-X106-Y106-Z106-AA106-AB106-AC106-AD106-AE106-AF106-AG106-AH106-AI106-AJ106-AK106-AL106-AM106-AN106-AO106-AP106-AQ106-AR106&lt;0,0,E106-G106-H106-I106-J106-K106-L106-M106-N106-O106-P106-Q106-R106-S106-T106-U106-V106-W106-X106-Y106-Z106-AA106-AB106-AC106-AD106-AE106-AF106-AG106-AH106-AI106-AJ106-AK106-AL106-AM106-AN106-AO106-AP106-AQ106-AR106)</f>
        <v>0</v>
      </c>
      <c r="AT106" s="82">
        <v>1</v>
      </c>
      <c r="AU106" s="83">
        <f>G106*$G$7+H106*$H$7+I106*$I$7+J106*$J$7+K106*$K$7+L106*$L$7+M106*$M$7+N106*$N$7+O106*$O$7+P106*$P$7+Q106*$Q$7+R106*$R$7+S106*$S$7+T106*$T$7+U106*$U$7+V106*$V$7+W106*$W$7+X106*$X$7+Y106*$Y$7++Z106*$Z$7+AA106*$AA$7+AB106*$AB$7+AC106*$AC$7+AD106*$AD$7+AE106*$AE$7+AF106*$AF$7+AH106*$AH$7+AI106*$AI$7+AJ106*$AJ$7+AK106*$AK$7+AL106*$AL$7+AM106*$AM$7+AN106*$AN$7+AO106*$AO$7+AP106*$AP$7+AQ106*$AQ$7+AR106*$AR$7+AS106*AT106+AG106*$AG$7</f>
        <v>0</v>
      </c>
      <c r="AV106" s="80">
        <f t="shared" si="39"/>
        <v>0</v>
      </c>
    </row>
    <row r="107" ht="20.5" customHeight="1" spans="1:48">
      <c r="A107" s="19">
        <v>99</v>
      </c>
      <c r="B107" s="94" t="s">
        <v>370</v>
      </c>
      <c r="C107" s="23"/>
      <c r="D107" s="23"/>
      <c r="E107" s="21">
        <f t="shared" si="52"/>
        <v>0</v>
      </c>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68"/>
      <c r="AF107" s="23"/>
      <c r="AG107" s="23"/>
      <c r="AH107" s="23"/>
      <c r="AI107" s="23"/>
      <c r="AJ107" s="23"/>
      <c r="AK107" s="23"/>
      <c r="AL107" s="23"/>
      <c r="AM107" s="23"/>
      <c r="AN107" s="23"/>
      <c r="AO107" s="23"/>
      <c r="AP107" s="23"/>
      <c r="AQ107" s="23"/>
      <c r="AR107" s="23"/>
      <c r="AS107" s="21">
        <f>IF(E107-G107-H107-I107-J107-K107-L107-M107-N107-O107-P107-Q107-R107-S107-T107-U107-V107-W107-X107-Y107-Z107-AA107-AB107-AC107-AD107-AE107-AF107-AG107-AH107-AI107-AJ107-AK107-AL107-AM107-AN107-AO107-AP107-AQ107-AR107&lt;0,0,E107-G107-H107-I107-J107-K107-L107-M107-N107-O107-P107-Q107-R107-S107-T107-U107-V107-W107-X107-Y107-Z107-AA107-AB107-AC107-AD107-AE107-AF107-AG107-AH107-AI107-AJ107-AK107-AL107-AM107-AN107-AO107-AP107-AQ107-AR107)</f>
        <v>0</v>
      </c>
      <c r="AT107" s="82">
        <v>1.5</v>
      </c>
      <c r="AU107" s="83">
        <f>G107*$G$7+H107*$H$7+I107*$I$7+J107*$J$7+K107*$K$7+L107*$L$7+M107*$M$7+N107*$N$7+O107*$O$7+P107*$P$7+Q107*$Q$7+R107*$R$7+S107*$S$7+T107*$T$7+U107*$U$7+V107*$V$7+W107*$W$7+X107*$X$7+Y107*$Y$7++Z107*$Z$7+AA107*$AA$7+AB107*$AB$7+AC107*$AC$7+AD107*$AD$7+AE107*$AE$7+AF107*$AF$7+AH107*$AH$7+AI107*$AI$7+AJ107*$AJ$7+AK107*$AK$7+AL107*$AL$7+AM107*$AM$7+AN107*$AN$7+AO107*$AO$7+AP107*$AP$7+AQ107*$AQ$7+AR107*$AR$7+AS107*AT107+AG107*$AG$7</f>
        <v>0</v>
      </c>
      <c r="AV107" s="80">
        <f t="shared" si="39"/>
        <v>0</v>
      </c>
    </row>
    <row r="108" ht="20.5" customHeight="1" spans="1:48">
      <c r="A108" s="19">
        <v>100</v>
      </c>
      <c r="B108" s="28" t="s">
        <v>371</v>
      </c>
      <c r="C108" s="30">
        <f t="shared" ref="C108:AS108" si="53">C109+C125+C135</f>
        <v>0</v>
      </c>
      <c r="D108" s="30">
        <f t="shared" si="53"/>
        <v>0</v>
      </c>
      <c r="E108" s="21">
        <f t="shared" si="53"/>
        <v>0</v>
      </c>
      <c r="F108" s="30">
        <f t="shared" si="53"/>
        <v>0</v>
      </c>
      <c r="G108" s="30">
        <f t="shared" si="53"/>
        <v>0</v>
      </c>
      <c r="H108" s="30">
        <f t="shared" si="53"/>
        <v>0</v>
      </c>
      <c r="I108" s="30">
        <f t="shared" si="53"/>
        <v>0</v>
      </c>
      <c r="J108" s="30">
        <f t="shared" si="53"/>
        <v>0</v>
      </c>
      <c r="K108" s="30">
        <f t="shared" si="53"/>
        <v>0</v>
      </c>
      <c r="L108" s="30">
        <f t="shared" si="53"/>
        <v>0</v>
      </c>
      <c r="M108" s="30">
        <f t="shared" si="53"/>
        <v>0</v>
      </c>
      <c r="N108" s="30">
        <f t="shared" si="53"/>
        <v>0</v>
      </c>
      <c r="O108" s="30">
        <f t="shared" si="53"/>
        <v>0</v>
      </c>
      <c r="P108" s="30">
        <f t="shared" si="53"/>
        <v>0</v>
      </c>
      <c r="Q108" s="30">
        <f t="shared" si="53"/>
        <v>0</v>
      </c>
      <c r="R108" s="30">
        <f t="shared" si="53"/>
        <v>0</v>
      </c>
      <c r="S108" s="30">
        <f t="shared" si="53"/>
        <v>0</v>
      </c>
      <c r="T108" s="30">
        <f t="shared" si="53"/>
        <v>0</v>
      </c>
      <c r="U108" s="30">
        <f t="shared" si="53"/>
        <v>0</v>
      </c>
      <c r="V108" s="30">
        <f t="shared" si="53"/>
        <v>0</v>
      </c>
      <c r="W108" s="30">
        <f t="shared" si="53"/>
        <v>0</v>
      </c>
      <c r="X108" s="30">
        <f t="shared" si="53"/>
        <v>0</v>
      </c>
      <c r="Y108" s="30">
        <f t="shared" si="53"/>
        <v>0</v>
      </c>
      <c r="Z108" s="30">
        <f t="shared" si="53"/>
        <v>0</v>
      </c>
      <c r="AA108" s="30">
        <f t="shared" si="53"/>
        <v>0</v>
      </c>
      <c r="AB108" s="30">
        <f t="shared" si="53"/>
        <v>0</v>
      </c>
      <c r="AC108" s="30">
        <f t="shared" si="53"/>
        <v>0</v>
      </c>
      <c r="AD108" s="30">
        <f t="shared" si="53"/>
        <v>0</v>
      </c>
      <c r="AE108" s="30">
        <f t="shared" si="53"/>
        <v>0</v>
      </c>
      <c r="AF108" s="30">
        <f t="shared" si="53"/>
        <v>0</v>
      </c>
      <c r="AG108" s="30">
        <f t="shared" si="53"/>
        <v>0</v>
      </c>
      <c r="AH108" s="30">
        <f t="shared" si="53"/>
        <v>0</v>
      </c>
      <c r="AI108" s="30">
        <f t="shared" si="53"/>
        <v>0</v>
      </c>
      <c r="AJ108" s="30">
        <f t="shared" si="53"/>
        <v>0</v>
      </c>
      <c r="AK108" s="30">
        <f t="shared" si="53"/>
        <v>0</v>
      </c>
      <c r="AL108" s="30">
        <f t="shared" si="53"/>
        <v>0</v>
      </c>
      <c r="AM108" s="30">
        <f t="shared" si="53"/>
        <v>0</v>
      </c>
      <c r="AN108" s="30">
        <f t="shared" si="53"/>
        <v>0</v>
      </c>
      <c r="AO108" s="30">
        <f t="shared" si="53"/>
        <v>0</v>
      </c>
      <c r="AP108" s="30">
        <f t="shared" si="53"/>
        <v>0</v>
      </c>
      <c r="AQ108" s="30">
        <f t="shared" si="53"/>
        <v>0</v>
      </c>
      <c r="AR108" s="30">
        <f t="shared" si="53"/>
        <v>0</v>
      </c>
      <c r="AS108" s="21">
        <f t="shared" si="53"/>
        <v>0</v>
      </c>
      <c r="AT108" s="79"/>
      <c r="AU108" s="21">
        <f>AU109+AU125+AU135</f>
        <v>0</v>
      </c>
      <c r="AV108" s="80">
        <f t="shared" si="39"/>
        <v>0</v>
      </c>
    </row>
    <row r="109" ht="20.5" customHeight="1" spans="1:48">
      <c r="A109" s="19">
        <v>101</v>
      </c>
      <c r="B109" s="93" t="s">
        <v>192</v>
      </c>
      <c r="C109" s="30">
        <f t="shared" ref="C109:AS109" si="54">C110+C121</f>
        <v>0</v>
      </c>
      <c r="D109" s="30">
        <f t="shared" si="54"/>
        <v>0</v>
      </c>
      <c r="E109" s="21">
        <f t="shared" si="54"/>
        <v>0</v>
      </c>
      <c r="F109" s="30">
        <f t="shared" si="54"/>
        <v>0</v>
      </c>
      <c r="G109" s="30">
        <f t="shared" si="54"/>
        <v>0</v>
      </c>
      <c r="H109" s="30">
        <f t="shared" si="54"/>
        <v>0</v>
      </c>
      <c r="I109" s="30">
        <f t="shared" si="54"/>
        <v>0</v>
      </c>
      <c r="J109" s="30">
        <f t="shared" si="54"/>
        <v>0</v>
      </c>
      <c r="K109" s="30">
        <f t="shared" si="54"/>
        <v>0</v>
      </c>
      <c r="L109" s="30">
        <f t="shared" si="54"/>
        <v>0</v>
      </c>
      <c r="M109" s="30">
        <f t="shared" si="54"/>
        <v>0</v>
      </c>
      <c r="N109" s="30">
        <f t="shared" si="54"/>
        <v>0</v>
      </c>
      <c r="O109" s="30">
        <f t="shared" si="54"/>
        <v>0</v>
      </c>
      <c r="P109" s="30">
        <f t="shared" si="54"/>
        <v>0</v>
      </c>
      <c r="Q109" s="30">
        <f t="shared" si="54"/>
        <v>0</v>
      </c>
      <c r="R109" s="30">
        <f t="shared" si="54"/>
        <v>0</v>
      </c>
      <c r="S109" s="30">
        <f t="shared" si="54"/>
        <v>0</v>
      </c>
      <c r="T109" s="30">
        <f t="shared" si="54"/>
        <v>0</v>
      </c>
      <c r="U109" s="30">
        <f t="shared" si="54"/>
        <v>0</v>
      </c>
      <c r="V109" s="30">
        <f t="shared" si="54"/>
        <v>0</v>
      </c>
      <c r="W109" s="30">
        <f t="shared" si="54"/>
        <v>0</v>
      </c>
      <c r="X109" s="30">
        <f t="shared" si="54"/>
        <v>0</v>
      </c>
      <c r="Y109" s="30">
        <f t="shared" si="54"/>
        <v>0</v>
      </c>
      <c r="Z109" s="30">
        <f t="shared" si="54"/>
        <v>0</v>
      </c>
      <c r="AA109" s="30">
        <f t="shared" si="54"/>
        <v>0</v>
      </c>
      <c r="AB109" s="30">
        <f t="shared" si="54"/>
        <v>0</v>
      </c>
      <c r="AC109" s="30">
        <f t="shared" si="54"/>
        <v>0</v>
      </c>
      <c r="AD109" s="30">
        <f t="shared" si="54"/>
        <v>0</v>
      </c>
      <c r="AE109" s="30">
        <f t="shared" si="54"/>
        <v>0</v>
      </c>
      <c r="AF109" s="30">
        <f t="shared" si="54"/>
        <v>0</v>
      </c>
      <c r="AG109" s="30">
        <f t="shared" si="54"/>
        <v>0</v>
      </c>
      <c r="AH109" s="30">
        <f t="shared" si="54"/>
        <v>0</v>
      </c>
      <c r="AI109" s="30">
        <f t="shared" si="54"/>
        <v>0</v>
      </c>
      <c r="AJ109" s="30">
        <f t="shared" si="54"/>
        <v>0</v>
      </c>
      <c r="AK109" s="30">
        <f t="shared" si="54"/>
        <v>0</v>
      </c>
      <c r="AL109" s="30">
        <f t="shared" si="54"/>
        <v>0</v>
      </c>
      <c r="AM109" s="30">
        <f t="shared" si="54"/>
        <v>0</v>
      </c>
      <c r="AN109" s="30">
        <f t="shared" si="54"/>
        <v>0</v>
      </c>
      <c r="AO109" s="30">
        <f t="shared" si="54"/>
        <v>0</v>
      </c>
      <c r="AP109" s="30">
        <f t="shared" si="54"/>
        <v>0</v>
      </c>
      <c r="AQ109" s="30">
        <f t="shared" si="54"/>
        <v>0</v>
      </c>
      <c r="AR109" s="30">
        <f t="shared" si="54"/>
        <v>0</v>
      </c>
      <c r="AS109" s="21">
        <f t="shared" si="54"/>
        <v>0</v>
      </c>
      <c r="AT109" s="79"/>
      <c r="AU109" s="21">
        <f>AU110+AU121</f>
        <v>0</v>
      </c>
      <c r="AV109" s="80">
        <f t="shared" si="39"/>
        <v>0</v>
      </c>
    </row>
    <row r="110" ht="20.5" customHeight="1" spans="1:48">
      <c r="A110" s="19">
        <v>102</v>
      </c>
      <c r="B110" s="31" t="s">
        <v>193</v>
      </c>
      <c r="C110" s="30">
        <f>C111+C112+C113+C114+C115+C116+C117</f>
        <v>0</v>
      </c>
      <c r="D110" s="30">
        <f>D111+D112+D113+D114+D115+D116+D117</f>
        <v>0</v>
      </c>
      <c r="E110" s="30">
        <f>E111+E112+E113+E114+E115+E116+E117</f>
        <v>0</v>
      </c>
      <c r="F110" s="30">
        <f>F111+F112+F113+F114+F115+F116+F117</f>
        <v>0</v>
      </c>
      <c r="G110" s="30">
        <f t="shared" ref="G110:K110" si="55">G111+G112+G113+G114+G115+G116+G117</f>
        <v>0</v>
      </c>
      <c r="H110" s="30">
        <f t="shared" si="55"/>
        <v>0</v>
      </c>
      <c r="I110" s="30">
        <f t="shared" si="55"/>
        <v>0</v>
      </c>
      <c r="J110" s="30">
        <f t="shared" si="55"/>
        <v>0</v>
      </c>
      <c r="K110" s="30">
        <f t="shared" si="55"/>
        <v>0</v>
      </c>
      <c r="L110" s="30">
        <f t="shared" ref="L110:W110" si="56">L111+L112+L113+L114+L115+L116+L117</f>
        <v>0</v>
      </c>
      <c r="M110" s="30">
        <f t="shared" si="56"/>
        <v>0</v>
      </c>
      <c r="N110" s="30">
        <f t="shared" si="56"/>
        <v>0</v>
      </c>
      <c r="O110" s="30">
        <f t="shared" si="56"/>
        <v>0</v>
      </c>
      <c r="P110" s="30">
        <f t="shared" si="56"/>
        <v>0</v>
      </c>
      <c r="Q110" s="30">
        <f t="shared" si="56"/>
        <v>0</v>
      </c>
      <c r="R110" s="30">
        <f t="shared" si="56"/>
        <v>0</v>
      </c>
      <c r="S110" s="30">
        <f t="shared" si="56"/>
        <v>0</v>
      </c>
      <c r="T110" s="30">
        <f t="shared" si="56"/>
        <v>0</v>
      </c>
      <c r="U110" s="30">
        <f t="shared" si="56"/>
        <v>0</v>
      </c>
      <c r="V110" s="30">
        <f t="shared" si="56"/>
        <v>0</v>
      </c>
      <c r="W110" s="30">
        <f t="shared" si="56"/>
        <v>0</v>
      </c>
      <c r="X110" s="30">
        <f t="shared" ref="X110" si="57">X111+X112+X113+X114+X115+X116+X117</f>
        <v>0</v>
      </c>
      <c r="Y110" s="30">
        <f t="shared" ref="Y110" si="58">Y111+Y112+Y113+Y114+Y115+Y116+Y117</f>
        <v>0</v>
      </c>
      <c r="Z110" s="30">
        <f t="shared" ref="Z110" si="59">Z111+Z112+Z113+Z114+Z115+Z116+Z117</f>
        <v>0</v>
      </c>
      <c r="AA110" s="30">
        <f t="shared" ref="AA110" si="60">AA111+AA112+AA113+AA114+AA115+AA116+AA117</f>
        <v>0</v>
      </c>
      <c r="AB110" s="30">
        <f t="shared" ref="AB110" si="61">AB111+AB112+AB113+AB114+AB115+AB116+AB117</f>
        <v>0</v>
      </c>
      <c r="AC110" s="30">
        <f t="shared" ref="AC110" si="62">AC111+AC112+AC113+AC114+AC115+AC116+AC117</f>
        <v>0</v>
      </c>
      <c r="AD110" s="30">
        <f t="shared" ref="AD110" si="63">AD111+AD112+AD113+AD114+AD115+AD116+AD117</f>
        <v>0</v>
      </c>
      <c r="AE110" s="30">
        <f t="shared" ref="AE110" si="64">AE111+AE112+AE113+AE114+AE115+AE116+AE117</f>
        <v>0</v>
      </c>
      <c r="AF110" s="30">
        <f t="shared" ref="AF110" si="65">AF111+AF112+AF113+AF114+AF115+AF116+AF117</f>
        <v>0</v>
      </c>
      <c r="AG110" s="30">
        <f t="shared" ref="AG110" si="66">AG111+AG112+AG113+AG114+AG115+AG116+AG117</f>
        <v>0</v>
      </c>
      <c r="AH110" s="30">
        <f t="shared" ref="AH110:AI110" si="67">AH111+AH112+AH113+AH114+AH115+AH116+AH117</f>
        <v>0</v>
      </c>
      <c r="AI110" s="30">
        <f t="shared" si="67"/>
        <v>0</v>
      </c>
      <c r="AJ110" s="30">
        <f t="shared" ref="AJ110" si="68">AJ111+AJ112+AJ113+AJ114+AJ115+AJ116+AJ117</f>
        <v>0</v>
      </c>
      <c r="AK110" s="30">
        <f t="shared" ref="AK110" si="69">AK111+AK112+AK113+AK114+AK115+AK116+AK117</f>
        <v>0</v>
      </c>
      <c r="AL110" s="30">
        <f t="shared" ref="AL110" si="70">AL111+AL112+AL113+AL114+AL115+AL116+AL117</f>
        <v>0</v>
      </c>
      <c r="AM110" s="30">
        <f t="shared" ref="AM110" si="71">AM111+AM112+AM113+AM114+AM115+AM116+AM117</f>
        <v>0</v>
      </c>
      <c r="AN110" s="30">
        <f t="shared" ref="AN110" si="72">AN111+AN112+AN113+AN114+AN115+AN116+AN117</f>
        <v>0</v>
      </c>
      <c r="AO110" s="30">
        <f t="shared" ref="AO110" si="73">AO111+AO112+AO113+AO114+AO115+AO116+AO117</f>
        <v>0</v>
      </c>
      <c r="AP110" s="30">
        <f t="shared" ref="AP110" si="74">AP111+AP112+AP113+AP114+AP115+AP116+AP117</f>
        <v>0</v>
      </c>
      <c r="AQ110" s="30">
        <f t="shared" ref="AQ110" si="75">AQ111+AQ112+AQ113+AQ114+AQ115+AQ116+AQ117</f>
        <v>0</v>
      </c>
      <c r="AR110" s="30">
        <f t="shared" ref="AR110:AU110" si="76">AR111+AR112+AR113+AR114+AR115+AR116+AR117</f>
        <v>0</v>
      </c>
      <c r="AS110" s="30">
        <f t="shared" si="76"/>
        <v>0</v>
      </c>
      <c r="AT110" s="79"/>
      <c r="AU110" s="30">
        <f t="shared" si="76"/>
        <v>0</v>
      </c>
      <c r="AV110" s="80">
        <f t="shared" si="39"/>
        <v>0</v>
      </c>
    </row>
    <row r="111" ht="20.5" customHeight="1" spans="1:48">
      <c r="A111" s="19">
        <v>103</v>
      </c>
      <c r="B111" s="27" t="s">
        <v>372</v>
      </c>
      <c r="C111" s="23"/>
      <c r="D111" s="23"/>
      <c r="E111" s="21">
        <f t="shared" si="52"/>
        <v>0</v>
      </c>
      <c r="F111" s="23"/>
      <c r="G111" s="23"/>
      <c r="H111" s="23"/>
      <c r="I111" s="63"/>
      <c r="J111" s="23"/>
      <c r="K111" s="23"/>
      <c r="L111" s="63"/>
      <c r="M111" s="23"/>
      <c r="N111" s="23"/>
      <c r="O111" s="63"/>
      <c r="P111" s="23"/>
      <c r="Q111" s="23"/>
      <c r="R111" s="63"/>
      <c r="S111" s="63"/>
      <c r="T111" s="63"/>
      <c r="U111" s="63"/>
      <c r="V111" s="51"/>
      <c r="W111" s="23"/>
      <c r="X111" s="23"/>
      <c r="Y111" s="63"/>
      <c r="Z111" s="23"/>
      <c r="AA111" s="23"/>
      <c r="AB111" s="63"/>
      <c r="AC111" s="63"/>
      <c r="AD111" s="51"/>
      <c r="AE111" s="98"/>
      <c r="AF111" s="51"/>
      <c r="AG111" s="63"/>
      <c r="AH111" s="63"/>
      <c r="AI111" s="51"/>
      <c r="AJ111" s="23"/>
      <c r="AK111" s="23"/>
      <c r="AL111" s="63"/>
      <c r="AM111" s="63"/>
      <c r="AN111" s="63"/>
      <c r="AO111" s="51"/>
      <c r="AP111" s="23"/>
      <c r="AQ111" s="23"/>
      <c r="AR111" s="63"/>
      <c r="AS111" s="21">
        <f>IF(E111-G111-H111-I111-J111-K111-L111-M111-N111-O111-P111-Q111-R111-S111-T111-U111-V111-W111-X111-Y111-Z111-AA111-AB111-AC111-AD111-AE111-AF111-AG111-AH111-AI111-AJ111-AK111-AL111-AM111-AN111-AO111-AP111-AQ111-AR111&lt;0,0,E111-G111-H111-I111-J111-K111-L111-M111-N111-O111-P111-Q111-R111-S111-T111-U111-V111-W111-X111-Y111-Z111-AA111-AB111-AC111-AD111-AE111-AF111-AG111-AH111-AI111-AJ111-AK111-AL111-AM111-AN111-AO111-AP111-AQ111-AR111)</f>
        <v>0</v>
      </c>
      <c r="AT111" s="82">
        <v>0.2</v>
      </c>
      <c r="AU111" s="83">
        <f>G111*$G$7+H111*$H$7+I111*$I$7+J111*$J$7+K111*$K$7+L111*$L$7+M111*$M$7+N111*$N$7+O111*$O$7+P111*$P$7+Q111*$Q$7+R111*$R$7+S111*$S$7+T111*$T$7+U111*$U$7+V111*$V$7+W111*$W$7+X111*$X$7+Y111*$Y$7++Z111*$Z$7+AA111*$AA$7+AB111*$AB$7+AC111*$AC$7+AD111*$AD$7+AE111*$AE$7+AF111*$AF$7+AH111*$AH$7+AI111*$AI$7+AJ111*$AJ$7+AK111*$AK$7+AL111*$AL$7+AM111*$AM$7+AN111*$AN$7+AO111*$AO$7+AP111*$AP$7+AQ111*$AQ$7+AR111*$AR$7+AS111*AT111+AG111*$AG$7</f>
        <v>0</v>
      </c>
      <c r="AV111" s="80">
        <f t="shared" si="39"/>
        <v>0</v>
      </c>
    </row>
    <row r="112" ht="20.5" customHeight="1" spans="1:48">
      <c r="A112" s="19">
        <v>104</v>
      </c>
      <c r="B112" s="27" t="s">
        <v>373</v>
      </c>
      <c r="C112" s="23"/>
      <c r="D112" s="23"/>
      <c r="E112" s="21">
        <f t="shared" si="52"/>
        <v>0</v>
      </c>
      <c r="F112" s="23"/>
      <c r="G112" s="23"/>
      <c r="H112" s="23"/>
      <c r="I112" s="23"/>
      <c r="J112" s="23"/>
      <c r="K112" s="23"/>
      <c r="L112" s="23"/>
      <c r="M112" s="23"/>
      <c r="N112" s="23"/>
      <c r="O112" s="23"/>
      <c r="P112" s="23"/>
      <c r="Q112" s="23"/>
      <c r="R112" s="23"/>
      <c r="S112" s="23"/>
      <c r="T112" s="23"/>
      <c r="U112" s="23"/>
      <c r="V112" s="51"/>
      <c r="W112" s="23"/>
      <c r="X112" s="23"/>
      <c r="Y112" s="23"/>
      <c r="Z112" s="23"/>
      <c r="AA112" s="23"/>
      <c r="AB112" s="23"/>
      <c r="AC112" s="23"/>
      <c r="AD112" s="51"/>
      <c r="AE112" s="68"/>
      <c r="AF112" s="51"/>
      <c r="AG112" s="23"/>
      <c r="AH112" s="98"/>
      <c r="AI112" s="98"/>
      <c r="AJ112" s="68"/>
      <c r="AK112" s="68"/>
      <c r="AL112" s="68"/>
      <c r="AM112" s="68"/>
      <c r="AN112" s="98"/>
      <c r="AO112" s="63"/>
      <c r="AP112" s="23"/>
      <c r="AQ112" s="23"/>
      <c r="AR112" s="23"/>
      <c r="AS112" s="21">
        <f t="shared" ref="AS112:AS116" si="77">IF(E112-G112-H112-I112-J112-K112-L112-M112-N112-O112-P112-Q112-R112-S112-T112-U112-V112-W112-X112-Y112-Z112-AA112-AB112-AC112-AD112-AE112-AF112-AG112-AH112-AI112-AJ112-AK112-AL112-AM112-AN112-AO112-AP112-AQ112-AR112&lt;0,0,E112-G112-H112-I112-J112-K112-L112-M112-N112-O112-P112-Q112-R112-S112-T112-U112-V112-W112-X112-Y112-Z112-AA112-AB112-AC112-AD112-AE112-AF112-AG112-AH112-AI112-AJ112-AK112-AL112-AM112-AN112-AO112-AP112-AQ112-AR112)</f>
        <v>0</v>
      </c>
      <c r="AT112" s="82">
        <v>0.25</v>
      </c>
      <c r="AU112" s="83">
        <f t="shared" ref="AU112:AU116" si="78">G112*$G$7+H112*$H$7+I112*$I$7+J112*$J$7+K112*$K$7+L112*$L$7+M112*$M$7+N112*$N$7+O112*$O$7+P112*$P$7+Q112*$Q$7+R112*$R$7+S112*$S$7+T112*$T$7+U112*$U$7+V112*$V$7+W112*$W$7+X112*$X$7+Y112*$Y$7++Z112*$Z$7+AA112*$AA$7+AB112*$AB$7+AC112*$AC$7+AD112*$AD$7+AE112*$AE$7+AF112*$AF$7+AH112*$AH$7+AI112*$AI$7+AJ112*$AJ$7+AK112*$AK$7+AL112*$AL$7+AM112*$AM$7+AN112*$AN$7+AO112*$AO$7+AP112*$AP$7+AQ112*$AQ$7+AR112*$AR$7+AS112*AT112+AG112*$AG$7</f>
        <v>0</v>
      </c>
      <c r="AV112" s="80">
        <f t="shared" si="39"/>
        <v>0</v>
      </c>
    </row>
    <row r="113" ht="20.5" customHeight="1" spans="1:48">
      <c r="A113" s="19">
        <v>105</v>
      </c>
      <c r="B113" s="27" t="s">
        <v>374</v>
      </c>
      <c r="C113" s="23"/>
      <c r="D113" s="23"/>
      <c r="E113" s="21">
        <f t="shared" si="52"/>
        <v>0</v>
      </c>
      <c r="F113" s="23"/>
      <c r="G113" s="23"/>
      <c r="H113" s="23"/>
      <c r="I113" s="23"/>
      <c r="J113" s="23"/>
      <c r="K113" s="23"/>
      <c r="L113" s="23"/>
      <c r="M113" s="23"/>
      <c r="N113" s="23"/>
      <c r="O113" s="23"/>
      <c r="P113" s="23"/>
      <c r="Q113" s="23"/>
      <c r="R113" s="23"/>
      <c r="S113" s="23"/>
      <c r="T113" s="23"/>
      <c r="U113" s="23"/>
      <c r="V113" s="51"/>
      <c r="W113" s="23"/>
      <c r="X113" s="23"/>
      <c r="Y113" s="23"/>
      <c r="Z113" s="23"/>
      <c r="AA113" s="23"/>
      <c r="AB113" s="23"/>
      <c r="AC113" s="23"/>
      <c r="AD113" s="51"/>
      <c r="AE113" s="68"/>
      <c r="AF113" s="51"/>
      <c r="AG113" s="23"/>
      <c r="AH113" s="98"/>
      <c r="AI113" s="98"/>
      <c r="AJ113" s="68"/>
      <c r="AK113" s="68"/>
      <c r="AL113" s="68"/>
      <c r="AM113" s="68"/>
      <c r="AN113" s="98"/>
      <c r="AO113" s="51"/>
      <c r="AP113" s="23"/>
      <c r="AQ113" s="23"/>
      <c r="AR113" s="23"/>
      <c r="AS113" s="21">
        <f t="shared" si="77"/>
        <v>0</v>
      </c>
      <c r="AT113" s="82">
        <v>0.3</v>
      </c>
      <c r="AU113" s="83">
        <f t="shared" si="78"/>
        <v>0</v>
      </c>
      <c r="AV113" s="80">
        <f t="shared" si="39"/>
        <v>0</v>
      </c>
    </row>
    <row r="114" ht="20.5" customHeight="1" spans="1:48">
      <c r="A114" s="19">
        <v>106</v>
      </c>
      <c r="B114" s="27" t="s">
        <v>375</v>
      </c>
      <c r="C114" s="23"/>
      <c r="D114" s="23"/>
      <c r="E114" s="21">
        <f t="shared" si="52"/>
        <v>0</v>
      </c>
      <c r="F114" s="23"/>
      <c r="G114" s="23"/>
      <c r="H114" s="23"/>
      <c r="I114" s="23"/>
      <c r="J114" s="23"/>
      <c r="K114" s="23"/>
      <c r="L114" s="23"/>
      <c r="M114" s="23"/>
      <c r="N114" s="23"/>
      <c r="O114" s="23"/>
      <c r="P114" s="23"/>
      <c r="Q114" s="23"/>
      <c r="R114" s="23"/>
      <c r="S114" s="23"/>
      <c r="T114" s="23"/>
      <c r="U114" s="23"/>
      <c r="V114" s="63"/>
      <c r="W114" s="23"/>
      <c r="X114" s="23"/>
      <c r="Y114" s="23"/>
      <c r="Z114" s="23"/>
      <c r="AA114" s="23"/>
      <c r="AB114" s="23"/>
      <c r="AC114" s="23"/>
      <c r="AD114" s="63"/>
      <c r="AE114" s="68"/>
      <c r="AF114" s="63"/>
      <c r="AG114" s="23"/>
      <c r="AH114" s="23"/>
      <c r="AI114" s="63"/>
      <c r="AJ114" s="23"/>
      <c r="AK114" s="23"/>
      <c r="AL114" s="23"/>
      <c r="AM114" s="23"/>
      <c r="AN114" s="23"/>
      <c r="AO114" s="63"/>
      <c r="AP114" s="23"/>
      <c r="AQ114" s="23"/>
      <c r="AR114" s="23"/>
      <c r="AS114" s="21">
        <f t="shared" si="77"/>
        <v>0</v>
      </c>
      <c r="AT114" s="82">
        <v>0.35</v>
      </c>
      <c r="AU114" s="83">
        <f t="shared" si="78"/>
        <v>0</v>
      </c>
      <c r="AV114" s="80">
        <f t="shared" si="39"/>
        <v>0</v>
      </c>
    </row>
    <row r="115" ht="20.5" customHeight="1" spans="1:48">
      <c r="A115" s="19">
        <v>107</v>
      </c>
      <c r="B115" s="27" t="s">
        <v>376</v>
      </c>
      <c r="C115" s="23"/>
      <c r="D115" s="23"/>
      <c r="E115" s="21">
        <f t="shared" si="52"/>
        <v>0</v>
      </c>
      <c r="F115" s="23"/>
      <c r="G115" s="23"/>
      <c r="H115" s="23"/>
      <c r="I115" s="23"/>
      <c r="J115" s="23"/>
      <c r="K115" s="23"/>
      <c r="L115" s="23"/>
      <c r="M115" s="23"/>
      <c r="N115" s="23"/>
      <c r="O115" s="23"/>
      <c r="P115" s="23"/>
      <c r="Q115" s="23"/>
      <c r="R115" s="23"/>
      <c r="S115" s="23"/>
      <c r="T115" s="23"/>
      <c r="U115" s="23"/>
      <c r="V115" s="63"/>
      <c r="W115" s="23"/>
      <c r="X115" s="23"/>
      <c r="Y115" s="23"/>
      <c r="Z115" s="23"/>
      <c r="AA115" s="23"/>
      <c r="AB115" s="23"/>
      <c r="AC115" s="23"/>
      <c r="AD115" s="63"/>
      <c r="AE115" s="68"/>
      <c r="AF115" s="63"/>
      <c r="AG115" s="23"/>
      <c r="AH115" s="23"/>
      <c r="AI115" s="63"/>
      <c r="AJ115" s="23"/>
      <c r="AK115" s="23"/>
      <c r="AL115" s="23"/>
      <c r="AM115" s="23"/>
      <c r="AN115" s="23"/>
      <c r="AO115" s="63"/>
      <c r="AP115" s="23"/>
      <c r="AQ115" s="23"/>
      <c r="AR115" s="23"/>
      <c r="AS115" s="21">
        <f t="shared" si="77"/>
        <v>0</v>
      </c>
      <c r="AT115" s="82">
        <v>0.4</v>
      </c>
      <c r="AU115" s="83">
        <f t="shared" si="78"/>
        <v>0</v>
      </c>
      <c r="AV115" s="80">
        <f t="shared" si="39"/>
        <v>0</v>
      </c>
    </row>
    <row r="116" ht="20.5" customHeight="1" spans="1:48">
      <c r="A116" s="19">
        <v>108</v>
      </c>
      <c r="B116" s="27" t="s">
        <v>377</v>
      </c>
      <c r="C116" s="23"/>
      <c r="D116" s="23"/>
      <c r="E116" s="21">
        <f t="shared" si="52"/>
        <v>0</v>
      </c>
      <c r="F116" s="23"/>
      <c r="G116" s="23"/>
      <c r="H116" s="23"/>
      <c r="I116" s="23"/>
      <c r="J116" s="23"/>
      <c r="K116" s="23"/>
      <c r="L116" s="23"/>
      <c r="M116" s="23"/>
      <c r="N116" s="23"/>
      <c r="O116" s="23"/>
      <c r="P116" s="23"/>
      <c r="Q116" s="23"/>
      <c r="R116" s="23"/>
      <c r="S116" s="23"/>
      <c r="T116" s="23"/>
      <c r="U116" s="23"/>
      <c r="V116" s="63"/>
      <c r="W116" s="23"/>
      <c r="X116" s="23"/>
      <c r="Y116" s="23"/>
      <c r="Z116" s="23"/>
      <c r="AA116" s="23"/>
      <c r="AB116" s="23"/>
      <c r="AC116" s="23"/>
      <c r="AD116" s="63"/>
      <c r="AE116" s="68"/>
      <c r="AF116" s="63"/>
      <c r="AG116" s="23"/>
      <c r="AH116" s="23"/>
      <c r="AI116" s="23"/>
      <c r="AJ116" s="23"/>
      <c r="AK116" s="23"/>
      <c r="AL116" s="23"/>
      <c r="AM116" s="23"/>
      <c r="AN116" s="23"/>
      <c r="AO116" s="63"/>
      <c r="AP116" s="23"/>
      <c r="AQ116" s="23"/>
      <c r="AR116" s="23"/>
      <c r="AS116" s="21">
        <f t="shared" si="77"/>
        <v>0</v>
      </c>
      <c r="AT116" s="82">
        <v>0.5</v>
      </c>
      <c r="AU116" s="83">
        <f t="shared" si="78"/>
        <v>0</v>
      </c>
      <c r="AV116" s="80">
        <f t="shared" si="39"/>
        <v>0</v>
      </c>
    </row>
    <row r="117" ht="20.5" customHeight="1" spans="1:48">
      <c r="A117" s="19">
        <v>109</v>
      </c>
      <c r="B117" s="27" t="s">
        <v>378</v>
      </c>
      <c r="C117" s="30">
        <f t="shared" ref="C117:AR117" si="79">C118+C119+C120</f>
        <v>0</v>
      </c>
      <c r="D117" s="30">
        <f t="shared" si="79"/>
        <v>0</v>
      </c>
      <c r="E117" s="30">
        <f>SUM(E118:E120)</f>
        <v>0</v>
      </c>
      <c r="F117" s="30">
        <f t="shared" si="79"/>
        <v>0</v>
      </c>
      <c r="G117" s="30">
        <f t="shared" si="79"/>
        <v>0</v>
      </c>
      <c r="H117" s="30">
        <f t="shared" si="79"/>
        <v>0</v>
      </c>
      <c r="I117" s="30">
        <f t="shared" si="79"/>
        <v>0</v>
      </c>
      <c r="J117" s="30">
        <f t="shared" si="79"/>
        <v>0</v>
      </c>
      <c r="K117" s="30">
        <f t="shared" si="79"/>
        <v>0</v>
      </c>
      <c r="L117" s="30">
        <f t="shared" si="79"/>
        <v>0</v>
      </c>
      <c r="M117" s="30">
        <f t="shared" si="79"/>
        <v>0</v>
      </c>
      <c r="N117" s="30">
        <f t="shared" si="79"/>
        <v>0</v>
      </c>
      <c r="O117" s="30">
        <f t="shared" si="79"/>
        <v>0</v>
      </c>
      <c r="P117" s="30">
        <f t="shared" si="79"/>
        <v>0</v>
      </c>
      <c r="Q117" s="30">
        <f t="shared" si="79"/>
        <v>0</v>
      </c>
      <c r="R117" s="30">
        <f t="shared" si="79"/>
        <v>0</v>
      </c>
      <c r="S117" s="30">
        <f t="shared" si="79"/>
        <v>0</v>
      </c>
      <c r="T117" s="30">
        <f t="shared" si="79"/>
        <v>0</v>
      </c>
      <c r="U117" s="30">
        <f t="shared" si="79"/>
        <v>0</v>
      </c>
      <c r="V117" s="30">
        <f t="shared" si="79"/>
        <v>0</v>
      </c>
      <c r="W117" s="30">
        <f t="shared" si="79"/>
        <v>0</v>
      </c>
      <c r="X117" s="30">
        <f t="shared" si="79"/>
        <v>0</v>
      </c>
      <c r="Y117" s="30">
        <f t="shared" si="79"/>
        <v>0</v>
      </c>
      <c r="Z117" s="30">
        <f t="shared" si="79"/>
        <v>0</v>
      </c>
      <c r="AA117" s="30">
        <f t="shared" si="79"/>
        <v>0</v>
      </c>
      <c r="AB117" s="30">
        <f t="shared" si="79"/>
        <v>0</v>
      </c>
      <c r="AC117" s="30">
        <f t="shared" si="79"/>
        <v>0</v>
      </c>
      <c r="AD117" s="30">
        <f t="shared" si="79"/>
        <v>0</v>
      </c>
      <c r="AE117" s="30">
        <f t="shared" si="79"/>
        <v>0</v>
      </c>
      <c r="AF117" s="30">
        <f t="shared" si="79"/>
        <v>0</v>
      </c>
      <c r="AG117" s="30">
        <f t="shared" si="79"/>
        <v>0</v>
      </c>
      <c r="AH117" s="30">
        <f t="shared" si="79"/>
        <v>0</v>
      </c>
      <c r="AI117" s="30">
        <f t="shared" si="79"/>
        <v>0</v>
      </c>
      <c r="AJ117" s="30">
        <f t="shared" si="79"/>
        <v>0</v>
      </c>
      <c r="AK117" s="30">
        <f t="shared" si="79"/>
        <v>0</v>
      </c>
      <c r="AL117" s="30">
        <f t="shared" si="79"/>
        <v>0</v>
      </c>
      <c r="AM117" s="30">
        <f t="shared" si="79"/>
        <v>0</v>
      </c>
      <c r="AN117" s="30">
        <f t="shared" si="79"/>
        <v>0</v>
      </c>
      <c r="AO117" s="30">
        <f t="shared" si="79"/>
        <v>0</v>
      </c>
      <c r="AP117" s="30">
        <f t="shared" si="79"/>
        <v>0</v>
      </c>
      <c r="AQ117" s="30">
        <f t="shared" si="79"/>
        <v>0</v>
      </c>
      <c r="AR117" s="30">
        <f t="shared" si="79"/>
        <v>0</v>
      </c>
      <c r="AS117" s="21">
        <f>SUM(AS118:AS120)</f>
        <v>0</v>
      </c>
      <c r="AT117" s="79"/>
      <c r="AU117" s="21">
        <f>SUM(AU118:AU120)</f>
        <v>0</v>
      </c>
      <c r="AV117" s="80">
        <f t="shared" si="39"/>
        <v>0</v>
      </c>
    </row>
    <row r="118" ht="20.5" customHeight="1" spans="1:48">
      <c r="A118" s="19">
        <v>110</v>
      </c>
      <c r="B118" s="96" t="s">
        <v>379</v>
      </c>
      <c r="C118" s="23"/>
      <c r="D118" s="23"/>
      <c r="E118" s="21">
        <f t="shared" ref="E118:E120" si="80">C118-D118</f>
        <v>0</v>
      </c>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1">
        <f>IF(E118-G118-H118-I118-J118-K118-L118-M118-N118-O118-P118-Q118-R118-S118-T118-U118-V118-W118-X118-Y118-Z118-AA118-AB118-AC118-AD118-AE118-AF118-AG118-AH118-AI118-AJ118-AK118-AL118-AM118-AN118-AO118-AP118-AQ118-AR118&lt;0,0,E118-G118-H118-I118-J118-K118-L118-M118-N118-O118-P118-Q118-R118-S118-T118-U118-V118-W118-X118-Y118-Z118-AA118-AB118-AC118-AD118-AE118-AF118-AG118-AH118-AI118-AJ118-AK118-AL118-AM118-AN118-AO118-AP118-AQ118-AR118)</f>
        <v>0</v>
      </c>
      <c r="AT118" s="82">
        <v>0.75</v>
      </c>
      <c r="AU118" s="83">
        <f>G118*$G$7+H118*$H$7+I118*$I$7+J118*$J$7+K118*$K$7+L118*$L$7+M118*$M$7+N118*$N$7+O118*$O$7+P118*$P$7+Q118*$Q$7+R118*$R$7+S118*$S$7+T118*$T$7+U118*$U$7+V118*$V$7+W118*$W$7+X118*$X$7+Y118*$Y$7++Z118*$Z$7+AA118*$AA$7+AB118*$AB$7+AC118*$AC$7+AD118*$AD$7+AE118*$AE$7+AF118*$AF$7+AH118*$AH$7+AI118*$AI$7+AJ118*$AJ$7+AK118*$AK$7+AL118*$AL$7+AM118*$AM$7+AN118*$AN$7+AO118*$AO$7+AP118*$AP$7+AQ118*$AQ$7+AR118*$AR$7+AS118*AT118+AG118*$AG$7</f>
        <v>0</v>
      </c>
      <c r="AV118" s="80">
        <f t="shared" si="39"/>
        <v>0</v>
      </c>
    </row>
    <row r="119" ht="20.5" customHeight="1" spans="1:48">
      <c r="A119" s="19">
        <v>111</v>
      </c>
      <c r="B119" s="96" t="s">
        <v>380</v>
      </c>
      <c r="C119" s="23"/>
      <c r="D119" s="23"/>
      <c r="E119" s="21">
        <f t="shared" si="80"/>
        <v>0</v>
      </c>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68"/>
      <c r="AF119" s="23"/>
      <c r="AG119" s="23"/>
      <c r="AH119" s="23"/>
      <c r="AI119" s="23"/>
      <c r="AJ119" s="23"/>
      <c r="AK119" s="23"/>
      <c r="AL119" s="23"/>
      <c r="AM119" s="23"/>
      <c r="AN119" s="23"/>
      <c r="AO119" s="23"/>
      <c r="AP119" s="23"/>
      <c r="AQ119" s="23"/>
      <c r="AR119" s="23"/>
      <c r="AS119" s="21">
        <f>IF(E119-G119-H119-I119-J119-K119-L119-M119-N119-O119-P119-Q119-R119-S119-T119-U119-V119-W119-X119-Y119-Z119-AA119-AB119-AC119-AD119-AE119-AF119-AG119-AH119-AI119-AJ119-AK119-AL119-AM119-AN119-AO119-AP119-AQ119-AR119&lt;0,0,E119-G119-H119-I119-J119-K119-L119-M119-N119-O119-P119-Q119-R119-S119-T119-U119-V119-W119-X119-Y119-Z119-AA119-AB119-AC119-AD119-AE119-AF119-AG119-AH119-AI119-AJ119-AK119-AL119-AM119-AN119-AO119-AP119-AQ119-AR119)</f>
        <v>0</v>
      </c>
      <c r="AT119" s="82">
        <v>0.85</v>
      </c>
      <c r="AU119" s="83">
        <f>G119*$G$7+H119*$H$7+I119*$I$7+J119*$J$7+K119*$K$7+L119*$L$7+M119*$M$7+N119*$N$7+O119*$O$7+P119*$P$7+Q119*$Q$7+R119*$R$7+S119*$S$7+T119*$T$7+U119*$U$7+V119*$V$7+W119*$W$7+X119*$X$7+Y119*$Y$7++Z119*$Z$7+AA119*$AA$7+AB119*$AB$7+AC119*$AC$7+AD119*$AD$7+AE119*$AE$7+AF119*$AF$7+AH119*$AH$7+AI119*$AI$7+AJ119*$AJ$7+AK119*$AK$7+AL119*$AL$7+AM119*$AM$7+AN119*$AN$7+AO119*$AO$7+AP119*$AP$7+AQ119*$AQ$7+AR119*$AR$7+AS119*AT119+AG119*$AG$7</f>
        <v>0</v>
      </c>
      <c r="AV119" s="80">
        <f t="shared" si="39"/>
        <v>0</v>
      </c>
    </row>
    <row r="120" ht="20.5" customHeight="1" spans="1:48">
      <c r="A120" s="19">
        <v>112</v>
      </c>
      <c r="B120" s="96" t="s">
        <v>381</v>
      </c>
      <c r="C120" s="23"/>
      <c r="D120" s="23"/>
      <c r="E120" s="21">
        <f t="shared" si="80"/>
        <v>0</v>
      </c>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68"/>
      <c r="AF120" s="23"/>
      <c r="AG120" s="23"/>
      <c r="AH120" s="23"/>
      <c r="AI120" s="23"/>
      <c r="AJ120" s="23"/>
      <c r="AK120" s="23"/>
      <c r="AL120" s="23"/>
      <c r="AM120" s="23"/>
      <c r="AN120" s="23"/>
      <c r="AO120" s="23"/>
      <c r="AP120" s="23"/>
      <c r="AQ120" s="23"/>
      <c r="AR120" s="23"/>
      <c r="AS120" s="21">
        <f>IF(E120-G120-H120-I120-J120-K120-L120-M120-N120-O120-P120-Q120-R120-S120-T120-U120-V120-W120-X120-Y120-Z120-AA120-AB120-AC120-AD120-AE120-AF120-AG120-AH120-AI120-AJ120-AK120-AL120-AM120-AN120-AO120-AP120-AQ120-AR120&lt;0,0,E120-G120-H120-I120-J120-K120-L120-M120-N120-O120-P120-Q120-R120-S120-T120-U120-V120-W120-X120-Y120-Z120-AA120-AB120-AC120-AD120-AE120-AF120-AG120-AH120-AI120-AJ120-AK120-AL120-AM120-AN120-AO120-AP120-AQ120-AR120)</f>
        <v>0</v>
      </c>
      <c r="AT120" s="82">
        <v>1</v>
      </c>
      <c r="AU120" s="83">
        <f>G120*$G$7+H120*$H$7+I120*$I$7+J120*$J$7+K120*$K$7+L120*$L$7+M120*$M$7+N120*$N$7+O120*$O$7+P120*$P$7+Q120*$Q$7+R120*$R$7+S120*$S$7+T120*$T$7+U120*$U$7+V120*$V$7+W120*$W$7+X120*$X$7+Y120*$Y$7++Z120*$Z$7+AA120*$AA$7+AB120*$AB$7+AC120*$AC$7+AD120*$AD$7+AE120*$AE$7+AF120*$AF$7+AH120*$AH$7+AI120*$AI$7+AJ120*$AJ$7+AK120*$AK$7+AL120*$AL$7+AM120*$AM$7+AN120*$AN$7+AO120*$AO$7+AP120*$AP$7+AQ120*$AQ$7+AR120*$AR$7+AS120*AT120+AG120*$AG$7</f>
        <v>0</v>
      </c>
      <c r="AV120" s="80">
        <f t="shared" si="39"/>
        <v>0</v>
      </c>
    </row>
    <row r="121" ht="20.5" customHeight="1" spans="1:48">
      <c r="A121" s="19">
        <v>113</v>
      </c>
      <c r="B121" s="31" t="s">
        <v>202</v>
      </c>
      <c r="C121" s="30">
        <f t="shared" ref="C121:AS121" si="81">SUM(C122:C124)</f>
        <v>0</v>
      </c>
      <c r="D121" s="30">
        <f t="shared" si="81"/>
        <v>0</v>
      </c>
      <c r="E121" s="30">
        <f t="shared" si="81"/>
        <v>0</v>
      </c>
      <c r="F121" s="30">
        <f t="shared" si="81"/>
        <v>0</v>
      </c>
      <c r="G121" s="30">
        <f t="shared" si="81"/>
        <v>0</v>
      </c>
      <c r="H121" s="30">
        <f t="shared" si="81"/>
        <v>0</v>
      </c>
      <c r="I121" s="30">
        <f t="shared" si="81"/>
        <v>0</v>
      </c>
      <c r="J121" s="30">
        <f t="shared" si="81"/>
        <v>0</v>
      </c>
      <c r="K121" s="30">
        <f t="shared" si="81"/>
        <v>0</v>
      </c>
      <c r="L121" s="30">
        <f t="shared" si="81"/>
        <v>0</v>
      </c>
      <c r="M121" s="30">
        <f t="shared" si="81"/>
        <v>0</v>
      </c>
      <c r="N121" s="30">
        <f t="shared" si="81"/>
        <v>0</v>
      </c>
      <c r="O121" s="30">
        <f t="shared" si="81"/>
        <v>0</v>
      </c>
      <c r="P121" s="30">
        <f t="shared" si="81"/>
        <v>0</v>
      </c>
      <c r="Q121" s="30">
        <f t="shared" si="81"/>
        <v>0</v>
      </c>
      <c r="R121" s="30">
        <f t="shared" si="81"/>
        <v>0</v>
      </c>
      <c r="S121" s="30">
        <f t="shared" si="81"/>
        <v>0</v>
      </c>
      <c r="T121" s="30">
        <f t="shared" si="81"/>
        <v>0</v>
      </c>
      <c r="U121" s="30">
        <f t="shared" si="81"/>
        <v>0</v>
      </c>
      <c r="V121" s="30">
        <f t="shared" si="81"/>
        <v>0</v>
      </c>
      <c r="W121" s="30">
        <f t="shared" si="81"/>
        <v>0</v>
      </c>
      <c r="X121" s="30">
        <f t="shared" si="81"/>
        <v>0</v>
      </c>
      <c r="Y121" s="30">
        <f t="shared" si="81"/>
        <v>0</v>
      </c>
      <c r="Z121" s="30">
        <f t="shared" si="81"/>
        <v>0</v>
      </c>
      <c r="AA121" s="30">
        <f t="shared" si="81"/>
        <v>0</v>
      </c>
      <c r="AB121" s="30">
        <f t="shared" si="81"/>
        <v>0</v>
      </c>
      <c r="AC121" s="30">
        <f t="shared" si="81"/>
        <v>0</v>
      </c>
      <c r="AD121" s="30">
        <f t="shared" si="81"/>
        <v>0</v>
      </c>
      <c r="AE121" s="30">
        <f t="shared" si="81"/>
        <v>0</v>
      </c>
      <c r="AF121" s="30">
        <f t="shared" si="81"/>
        <v>0</v>
      </c>
      <c r="AG121" s="30">
        <f t="shared" si="81"/>
        <v>0</v>
      </c>
      <c r="AH121" s="30">
        <f t="shared" si="81"/>
        <v>0</v>
      </c>
      <c r="AI121" s="30">
        <f t="shared" si="81"/>
        <v>0</v>
      </c>
      <c r="AJ121" s="30">
        <f t="shared" si="81"/>
        <v>0</v>
      </c>
      <c r="AK121" s="30">
        <f t="shared" si="81"/>
        <v>0</v>
      </c>
      <c r="AL121" s="30">
        <f t="shared" si="81"/>
        <v>0</v>
      </c>
      <c r="AM121" s="30">
        <f t="shared" si="81"/>
        <v>0</v>
      </c>
      <c r="AN121" s="30">
        <f t="shared" si="81"/>
        <v>0</v>
      </c>
      <c r="AO121" s="30">
        <f t="shared" si="81"/>
        <v>0</v>
      </c>
      <c r="AP121" s="30">
        <f t="shared" si="81"/>
        <v>0</v>
      </c>
      <c r="AQ121" s="30">
        <f t="shared" si="81"/>
        <v>0</v>
      </c>
      <c r="AR121" s="30">
        <f t="shared" si="81"/>
        <v>0</v>
      </c>
      <c r="AS121" s="21">
        <f t="shared" si="81"/>
        <v>0</v>
      </c>
      <c r="AT121" s="79"/>
      <c r="AU121" s="21">
        <f>SUM(AU122:AU124)</f>
        <v>0</v>
      </c>
      <c r="AV121" s="80">
        <f t="shared" si="39"/>
        <v>0</v>
      </c>
    </row>
    <row r="122" ht="20.5" customHeight="1" spans="1:48">
      <c r="A122" s="19">
        <v>114</v>
      </c>
      <c r="B122" s="27" t="s">
        <v>203</v>
      </c>
      <c r="C122" s="23"/>
      <c r="D122" s="23"/>
      <c r="E122" s="21">
        <f t="shared" ref="E122:E124" si="82">C122-D122</f>
        <v>0</v>
      </c>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1">
        <f>IF(E122-G122-H122-I122-J122-K122-L122-M122-N122-O122-P122-Q122-R122-S122-T122-U122-V122-W122-X122-Y122-Z122-AA122-AB122-AC122-AD122-AE122-AF122-AG122-AH122-AI122-AJ122-AK122-AL122-AM122-AN122-AO122-AP122-AQ122-AR122&lt;0,0,E122-G122-H122-I122-J122-K122-L122-M122-N122-O122-P122-Q122-R122-S122-T122-U122-V122-W122-X122-Y122-Z122-AA122-AB122-AC122-AD122-AE122-AF122-AG122-AH122-AI122-AJ122-AK122-AL122-AM122-AN122-AO122-AP122-AQ122-AR122)</f>
        <v>0</v>
      </c>
      <c r="AT122" s="82">
        <v>0.75</v>
      </c>
      <c r="AU122" s="83">
        <f>G122*$G$7+H122*$H$7+I122*$I$7+J122*$J$7+K122*$K$7+L122*$L$7+M122*$M$7+N122*$N$7+O122*$O$7+P122*$P$7+Q122*$Q$7+R122*$R$7+S122*$S$7+T122*$T$7+U122*$U$7+V122*$V$7+W122*$W$7+X122*$X$7+Y122*$Y$7++Z122*$Z$7+AA122*$AA$7+AB122*$AB$7+AC122*$AC$7+AD122*$AD$7+AE122*$AE$7+AF122*$AF$7+AH122*$AH$7+AI122*$AI$7+AJ122*$AJ$7+AK122*$AK$7+AL122*$AL$7+AM122*$AM$7+AN122*$AN$7+AO122*$AO$7+AP122*$AP$7+AQ122*$AQ$7+AR122*$AR$7+AS122*AT122+AG122*$AG$7</f>
        <v>0</v>
      </c>
      <c r="AV122" s="80">
        <f t="shared" si="39"/>
        <v>0</v>
      </c>
    </row>
    <row r="123" ht="20.5" customHeight="1" spans="1:48">
      <c r="A123" s="19">
        <v>115</v>
      </c>
      <c r="B123" s="27" t="s">
        <v>204</v>
      </c>
      <c r="C123" s="23"/>
      <c r="D123" s="23"/>
      <c r="E123" s="21">
        <f t="shared" si="82"/>
        <v>0</v>
      </c>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68"/>
      <c r="AF123" s="23"/>
      <c r="AG123" s="23"/>
      <c r="AH123" s="23"/>
      <c r="AI123" s="23"/>
      <c r="AJ123" s="23"/>
      <c r="AK123" s="23"/>
      <c r="AL123" s="23"/>
      <c r="AM123" s="23"/>
      <c r="AN123" s="23"/>
      <c r="AO123" s="23"/>
      <c r="AP123" s="23"/>
      <c r="AQ123" s="23"/>
      <c r="AR123" s="23"/>
      <c r="AS123" s="21">
        <f>IF(E123-G123-H123-I123-J123-K123-L123-M123-N123-O123-P123-Q123-R123-S123-T123-U123-V123-W123-X123-Y123-Z123-AA123-AB123-AC123-AD123-AE123-AF123-AG123-AH123-AI123-AJ123-AK123-AL123-AM123-AN123-AO123-AP123-AQ123-AR123&lt;0,0,E123-G123-H123-I123-J123-K123-L123-M123-N123-O123-P123-Q123-R123-S123-T123-U123-V123-W123-X123-Y123-Z123-AA123-AB123-AC123-AD123-AE123-AF123-AG123-AH123-AI123-AJ123-AK123-AL123-AM123-AN123-AO123-AP123-AQ123-AR123)</f>
        <v>0</v>
      </c>
      <c r="AT123" s="82">
        <v>0.85</v>
      </c>
      <c r="AU123" s="83">
        <f>G123*$G$7+H123*$H$7+I123*$I$7+J123*$J$7+K123*$K$7+L123*$L$7+M123*$M$7+N123*$N$7+O123*$O$7+P123*$P$7+Q123*$Q$7+R123*$R$7+S123*$S$7+T123*$T$7+U123*$U$7+V123*$V$7+W123*$W$7+X123*$X$7+Y123*$Y$7++Z123*$Z$7+AA123*$AA$7+AB123*$AB$7+AC123*$AC$7+AD123*$AD$7+AE123*$AE$7+AF123*$AF$7+AH123*$AH$7+AI123*$AI$7+AJ123*$AJ$7+AK123*$AK$7+AL123*$AL$7+AM123*$AM$7+AN123*$AN$7+AO123*$AO$7+AP123*$AP$7+AQ123*$AQ$7+AR123*$AR$7+AS123*AT123+AG123*$AG$7</f>
        <v>0</v>
      </c>
      <c r="AV123" s="80">
        <f t="shared" si="39"/>
        <v>0</v>
      </c>
    </row>
    <row r="124" ht="20.5" customHeight="1" spans="1:48">
      <c r="A124" s="19">
        <v>116</v>
      </c>
      <c r="B124" s="27" t="s">
        <v>205</v>
      </c>
      <c r="C124" s="23"/>
      <c r="D124" s="23"/>
      <c r="E124" s="21">
        <f t="shared" si="82"/>
        <v>0</v>
      </c>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68"/>
      <c r="AF124" s="23"/>
      <c r="AG124" s="23"/>
      <c r="AH124" s="23"/>
      <c r="AI124" s="23"/>
      <c r="AJ124" s="23"/>
      <c r="AK124" s="23"/>
      <c r="AL124" s="23"/>
      <c r="AM124" s="23"/>
      <c r="AN124" s="23"/>
      <c r="AO124" s="23"/>
      <c r="AP124" s="23"/>
      <c r="AQ124" s="23"/>
      <c r="AR124" s="23"/>
      <c r="AS124" s="21">
        <f>IF(E124-G124-H124-I124-J124-K124-L124-M124-N124-O124-P124-Q124-R124-S124-T124-U124-V124-W124-X124-Y124-Z124-AA124-AB124-AC124-AD124-AE124-AF124-AG124-AH124-AI124-AJ124-AK124-AL124-AM124-AN124-AO124-AP124-AQ124-AR124&lt;0,0,E124-G124-H124-I124-J124-K124-L124-M124-N124-O124-P124-Q124-R124-S124-T124-U124-V124-W124-X124-Y124-Z124-AA124-AB124-AC124-AD124-AE124-AF124-AG124-AH124-AI124-AJ124-AK124-AL124-AM124-AN124-AO124-AP124-AQ124-AR124)</f>
        <v>0</v>
      </c>
      <c r="AT124" s="82">
        <v>1</v>
      </c>
      <c r="AU124" s="83">
        <f>G124*$G$7+H124*$H$7+I124*$I$7+J124*$J$7+K124*$K$7+L124*$L$7+M124*$M$7+N124*$N$7+O124*$O$7+P124*$P$7+Q124*$Q$7+R124*$R$7+S124*$S$7+T124*$T$7+U124*$U$7+V124*$V$7+W124*$W$7+X124*$X$7+Y124*$Y$7++Z124*$Z$7+AA124*$AA$7+AB124*$AB$7+AC124*$AC$7+AD124*$AD$7+AE124*$AE$7+AF124*$AF$7+AH124*$AH$7+AI124*$AI$7+AJ124*$AJ$7+AK124*$AK$7+AL124*$AL$7+AM124*$AM$7+AN124*$AN$7+AO124*$AO$7+AP124*$AP$7+AQ124*$AQ$7+AR124*$AR$7+AS124*AT124+AG124*$AG$7</f>
        <v>0</v>
      </c>
      <c r="AV124" s="80">
        <f t="shared" si="39"/>
        <v>0</v>
      </c>
    </row>
    <row r="125" ht="20.5" customHeight="1" spans="1:48">
      <c r="A125" s="19">
        <v>117</v>
      </c>
      <c r="B125" s="93" t="s">
        <v>206</v>
      </c>
      <c r="C125" s="30">
        <f t="shared" ref="C125:AS125" si="83">C126+C134</f>
        <v>0</v>
      </c>
      <c r="D125" s="30">
        <f t="shared" si="83"/>
        <v>0</v>
      </c>
      <c r="E125" s="30">
        <f t="shared" si="83"/>
        <v>0</v>
      </c>
      <c r="F125" s="30">
        <f t="shared" si="83"/>
        <v>0</v>
      </c>
      <c r="G125" s="30">
        <f t="shared" si="83"/>
        <v>0</v>
      </c>
      <c r="H125" s="30">
        <f t="shared" si="83"/>
        <v>0</v>
      </c>
      <c r="I125" s="30">
        <f t="shared" si="83"/>
        <v>0</v>
      </c>
      <c r="J125" s="30">
        <f t="shared" si="83"/>
        <v>0</v>
      </c>
      <c r="K125" s="30">
        <f t="shared" si="83"/>
        <v>0</v>
      </c>
      <c r="L125" s="30">
        <f t="shared" si="83"/>
        <v>0</v>
      </c>
      <c r="M125" s="30">
        <f t="shared" si="83"/>
        <v>0</v>
      </c>
      <c r="N125" s="30">
        <f t="shared" si="83"/>
        <v>0</v>
      </c>
      <c r="O125" s="30">
        <f t="shared" si="83"/>
        <v>0</v>
      </c>
      <c r="P125" s="30">
        <f t="shared" si="83"/>
        <v>0</v>
      </c>
      <c r="Q125" s="30">
        <f t="shared" si="83"/>
        <v>0</v>
      </c>
      <c r="R125" s="30">
        <f t="shared" si="83"/>
        <v>0</v>
      </c>
      <c r="S125" s="30">
        <f t="shared" si="83"/>
        <v>0</v>
      </c>
      <c r="T125" s="30">
        <f t="shared" si="83"/>
        <v>0</v>
      </c>
      <c r="U125" s="30">
        <f t="shared" si="83"/>
        <v>0</v>
      </c>
      <c r="V125" s="30">
        <f t="shared" si="83"/>
        <v>0</v>
      </c>
      <c r="W125" s="30">
        <f t="shared" si="83"/>
        <v>0</v>
      </c>
      <c r="X125" s="30">
        <f t="shared" si="83"/>
        <v>0</v>
      </c>
      <c r="Y125" s="30">
        <f t="shared" si="83"/>
        <v>0</v>
      </c>
      <c r="Z125" s="30">
        <f t="shared" si="83"/>
        <v>0</v>
      </c>
      <c r="AA125" s="30">
        <f t="shared" si="83"/>
        <v>0</v>
      </c>
      <c r="AB125" s="30">
        <f t="shared" si="83"/>
        <v>0</v>
      </c>
      <c r="AC125" s="30">
        <f t="shared" si="83"/>
        <v>0</v>
      </c>
      <c r="AD125" s="30">
        <f t="shared" si="83"/>
        <v>0</v>
      </c>
      <c r="AE125" s="30">
        <f t="shared" si="83"/>
        <v>0</v>
      </c>
      <c r="AF125" s="30">
        <f t="shared" si="83"/>
        <v>0</v>
      </c>
      <c r="AG125" s="30">
        <f t="shared" si="83"/>
        <v>0</v>
      </c>
      <c r="AH125" s="30">
        <f t="shared" si="83"/>
        <v>0</v>
      </c>
      <c r="AI125" s="30">
        <f t="shared" si="83"/>
        <v>0</v>
      </c>
      <c r="AJ125" s="30">
        <f t="shared" si="83"/>
        <v>0</v>
      </c>
      <c r="AK125" s="30">
        <f t="shared" si="83"/>
        <v>0</v>
      </c>
      <c r="AL125" s="30">
        <f t="shared" si="83"/>
        <v>0</v>
      </c>
      <c r="AM125" s="30">
        <f t="shared" si="83"/>
        <v>0</v>
      </c>
      <c r="AN125" s="30">
        <f t="shared" si="83"/>
        <v>0</v>
      </c>
      <c r="AO125" s="30">
        <f t="shared" si="83"/>
        <v>0</v>
      </c>
      <c r="AP125" s="30">
        <f t="shared" si="83"/>
        <v>0</v>
      </c>
      <c r="AQ125" s="30">
        <f t="shared" si="83"/>
        <v>0</v>
      </c>
      <c r="AR125" s="30">
        <f t="shared" si="83"/>
        <v>0</v>
      </c>
      <c r="AS125" s="21">
        <f t="shared" si="83"/>
        <v>0</v>
      </c>
      <c r="AT125" s="79"/>
      <c r="AU125" s="21">
        <f>AU126+AU134</f>
        <v>0</v>
      </c>
      <c r="AV125" s="80">
        <f t="shared" si="39"/>
        <v>0</v>
      </c>
    </row>
    <row r="126" ht="20.5" customHeight="1" spans="1:48">
      <c r="A126" s="19">
        <v>118</v>
      </c>
      <c r="B126" s="31" t="s">
        <v>207</v>
      </c>
      <c r="C126" s="30">
        <f>C127+C128+C129+C130+C131+C132+C133</f>
        <v>0</v>
      </c>
      <c r="D126" s="30">
        <f t="shared" ref="D126:AS126" si="84">D127+D128+D129+D130+D131+D132+D133</f>
        <v>0</v>
      </c>
      <c r="E126" s="30">
        <f t="shared" si="84"/>
        <v>0</v>
      </c>
      <c r="F126" s="30">
        <f t="shared" si="84"/>
        <v>0</v>
      </c>
      <c r="G126" s="30">
        <f t="shared" si="84"/>
        <v>0</v>
      </c>
      <c r="H126" s="30">
        <f t="shared" si="84"/>
        <v>0</v>
      </c>
      <c r="I126" s="30">
        <f t="shared" si="84"/>
        <v>0</v>
      </c>
      <c r="J126" s="30">
        <f t="shared" si="84"/>
        <v>0</v>
      </c>
      <c r="K126" s="30">
        <f t="shared" si="84"/>
        <v>0</v>
      </c>
      <c r="L126" s="30">
        <f t="shared" si="84"/>
        <v>0</v>
      </c>
      <c r="M126" s="30">
        <f t="shared" si="84"/>
        <v>0</v>
      </c>
      <c r="N126" s="30">
        <f t="shared" si="84"/>
        <v>0</v>
      </c>
      <c r="O126" s="30">
        <f t="shared" si="84"/>
        <v>0</v>
      </c>
      <c r="P126" s="30">
        <f t="shared" si="84"/>
        <v>0</v>
      </c>
      <c r="Q126" s="30">
        <f t="shared" si="84"/>
        <v>0</v>
      </c>
      <c r="R126" s="30">
        <f t="shared" si="84"/>
        <v>0</v>
      </c>
      <c r="S126" s="30">
        <f t="shared" si="84"/>
        <v>0</v>
      </c>
      <c r="T126" s="30">
        <f t="shared" si="84"/>
        <v>0</v>
      </c>
      <c r="U126" s="30">
        <f t="shared" si="84"/>
        <v>0</v>
      </c>
      <c r="V126" s="30">
        <f t="shared" si="84"/>
        <v>0</v>
      </c>
      <c r="W126" s="30">
        <f t="shared" si="84"/>
        <v>0</v>
      </c>
      <c r="X126" s="30">
        <f t="shared" si="84"/>
        <v>0</v>
      </c>
      <c r="Y126" s="30">
        <f t="shared" si="84"/>
        <v>0</v>
      </c>
      <c r="Z126" s="30">
        <f t="shared" si="84"/>
        <v>0</v>
      </c>
      <c r="AA126" s="30">
        <f t="shared" si="84"/>
        <v>0</v>
      </c>
      <c r="AB126" s="30">
        <f t="shared" si="84"/>
        <v>0</v>
      </c>
      <c r="AC126" s="30">
        <f t="shared" si="84"/>
        <v>0</v>
      </c>
      <c r="AD126" s="30">
        <f t="shared" si="84"/>
        <v>0</v>
      </c>
      <c r="AE126" s="30">
        <f t="shared" si="84"/>
        <v>0</v>
      </c>
      <c r="AF126" s="30">
        <f t="shared" si="84"/>
        <v>0</v>
      </c>
      <c r="AG126" s="30">
        <f t="shared" si="84"/>
        <v>0</v>
      </c>
      <c r="AH126" s="30">
        <f t="shared" si="84"/>
        <v>0</v>
      </c>
      <c r="AI126" s="30">
        <f t="shared" si="84"/>
        <v>0</v>
      </c>
      <c r="AJ126" s="30">
        <f t="shared" si="84"/>
        <v>0</v>
      </c>
      <c r="AK126" s="30">
        <f t="shared" si="84"/>
        <v>0</v>
      </c>
      <c r="AL126" s="30">
        <f t="shared" si="84"/>
        <v>0</v>
      </c>
      <c r="AM126" s="30">
        <f t="shared" si="84"/>
        <v>0</v>
      </c>
      <c r="AN126" s="30">
        <f t="shared" si="84"/>
        <v>0</v>
      </c>
      <c r="AO126" s="30">
        <f t="shared" si="84"/>
        <v>0</v>
      </c>
      <c r="AP126" s="30">
        <f t="shared" si="84"/>
        <v>0</v>
      </c>
      <c r="AQ126" s="30">
        <f t="shared" si="84"/>
        <v>0</v>
      </c>
      <c r="AR126" s="30">
        <f t="shared" si="84"/>
        <v>0</v>
      </c>
      <c r="AS126" s="30">
        <f t="shared" si="84"/>
        <v>0</v>
      </c>
      <c r="AT126" s="79"/>
      <c r="AU126" s="30">
        <f>AU127+AU128+AU129+AU130+AU131+AU132+AU133</f>
        <v>0</v>
      </c>
      <c r="AV126" s="80">
        <f t="shared" si="39"/>
        <v>0</v>
      </c>
    </row>
    <row r="127" ht="20.5" customHeight="1" spans="1:48">
      <c r="A127" s="19">
        <v>119</v>
      </c>
      <c r="B127" s="27" t="s">
        <v>382</v>
      </c>
      <c r="C127" s="23"/>
      <c r="D127" s="23"/>
      <c r="E127" s="21">
        <f t="shared" ref="E127:E135" si="85">C127-D127</f>
        <v>0</v>
      </c>
      <c r="F127" s="23"/>
      <c r="G127" s="23"/>
      <c r="H127" s="23"/>
      <c r="I127" s="23"/>
      <c r="J127" s="23"/>
      <c r="K127" s="23"/>
      <c r="L127" s="23"/>
      <c r="M127" s="23"/>
      <c r="N127" s="23"/>
      <c r="O127" s="23"/>
      <c r="P127" s="23"/>
      <c r="Q127" s="23"/>
      <c r="R127" s="23"/>
      <c r="S127" s="23"/>
      <c r="T127" s="23"/>
      <c r="U127" s="23"/>
      <c r="V127" s="51"/>
      <c r="W127" s="23"/>
      <c r="X127" s="23"/>
      <c r="Y127" s="23"/>
      <c r="Z127" s="23"/>
      <c r="AA127" s="23"/>
      <c r="AB127" s="23"/>
      <c r="AC127" s="23"/>
      <c r="AD127" s="51"/>
      <c r="AE127" s="68"/>
      <c r="AF127" s="51"/>
      <c r="AG127" s="68"/>
      <c r="AH127" s="98"/>
      <c r="AI127" s="98"/>
      <c r="AJ127" s="68"/>
      <c r="AK127" s="68"/>
      <c r="AL127" s="68"/>
      <c r="AM127" s="68"/>
      <c r="AN127" s="98"/>
      <c r="AO127" s="51"/>
      <c r="AP127" s="23"/>
      <c r="AQ127" s="23"/>
      <c r="AR127" s="23"/>
      <c r="AS127" s="21">
        <f t="shared" ref="AS127:AS135" si="86">IF(E127-G127-H127-I127-J127-K127-L127-M127-N127-O127-P127-Q127-R127-S127-T127-U127-V127-W127-X127-Y127-Z127-AA127-AB127-AC127-AD127-AE127-AF127-AG127-AH127-AI127-AJ127-AK127-AL127-AM127-AN127-AO127-AP127-AQ127-AR127&lt;0,0,E127-G127-H127-I127-J127-K127-L127-M127-N127-O127-P127-Q127-R127-S127-T127-U127-V127-W127-X127-Y127-Z127-AA127-AB127-AC127-AD127-AE127-AF127-AG127-AH127-AI127-AJ127-AK127-AL127-AM127-AN127-AO127-AP127-AQ127-AR127)</f>
        <v>0</v>
      </c>
      <c r="AT127" s="82">
        <v>0.3</v>
      </c>
      <c r="AU127" s="83">
        <f t="shared" ref="AU127:AU134" si="87">G127*$G$7+H127*$H$7+I127*$I$7+J127*$J$7+K127*$K$7+L127*$L$7+M127*$M$7+N127*$N$7+O127*$O$7+P127*$P$7+Q127*$Q$7+R127*$R$7+S127*$S$7+T127*$T$7+U127*$U$7+V127*$V$7+W127*$W$7+X127*$X$7+Y127*$Y$7++Z127*$Z$7+AA127*$AA$7+AB127*$AB$7+AC127*$AC$7+AD127*$AD$7+AE127*$AE$7+AF127*$AF$7+AH127*$AH$7+AI127*$AI$7+AJ127*$AJ$7+AK127*$AK$7+AL127*$AL$7+AM127*$AM$7+AN127*$AN$7+AO127*$AO$7+AP127*$AP$7+AQ127*$AQ$7+AR127*$AR$7+AS127*AT127+AG127*$AG$7</f>
        <v>0</v>
      </c>
      <c r="AV127" s="80">
        <f t="shared" si="39"/>
        <v>0</v>
      </c>
    </row>
    <row r="128" ht="20.5" customHeight="1" spans="1:48">
      <c r="A128" s="19">
        <v>120</v>
      </c>
      <c r="B128" s="27" t="s">
        <v>383</v>
      </c>
      <c r="C128" s="23"/>
      <c r="D128" s="23"/>
      <c r="E128" s="21">
        <f t="shared" si="85"/>
        <v>0</v>
      </c>
      <c r="F128" s="23"/>
      <c r="G128" s="23"/>
      <c r="H128" s="23"/>
      <c r="I128" s="23"/>
      <c r="J128" s="23"/>
      <c r="K128" s="23"/>
      <c r="L128" s="23"/>
      <c r="M128" s="23"/>
      <c r="N128" s="23"/>
      <c r="O128" s="23"/>
      <c r="P128" s="23"/>
      <c r="Q128" s="23"/>
      <c r="R128" s="23"/>
      <c r="S128" s="23"/>
      <c r="T128" s="23"/>
      <c r="U128" s="23"/>
      <c r="V128" s="51"/>
      <c r="W128" s="23"/>
      <c r="X128" s="23"/>
      <c r="Y128" s="23"/>
      <c r="Z128" s="23"/>
      <c r="AA128" s="23"/>
      <c r="AB128" s="23"/>
      <c r="AC128" s="23"/>
      <c r="AD128" s="51"/>
      <c r="AE128" s="68"/>
      <c r="AF128" s="51"/>
      <c r="AG128" s="68"/>
      <c r="AH128" s="68"/>
      <c r="AI128" s="98"/>
      <c r="AJ128" s="68"/>
      <c r="AK128" s="68"/>
      <c r="AL128" s="68"/>
      <c r="AM128" s="68"/>
      <c r="AN128" s="68"/>
      <c r="AO128" s="51"/>
      <c r="AP128" s="23"/>
      <c r="AQ128" s="23"/>
      <c r="AR128" s="23"/>
      <c r="AS128" s="21">
        <f t="shared" si="86"/>
        <v>0</v>
      </c>
      <c r="AT128" s="82">
        <v>0.35</v>
      </c>
      <c r="AU128" s="83">
        <f t="shared" si="87"/>
        <v>0</v>
      </c>
      <c r="AV128" s="80">
        <f t="shared" si="39"/>
        <v>0</v>
      </c>
    </row>
    <row r="129" ht="20.5" customHeight="1" spans="1:48">
      <c r="A129" s="19">
        <v>121</v>
      </c>
      <c r="B129" s="27" t="s">
        <v>384</v>
      </c>
      <c r="C129" s="23"/>
      <c r="D129" s="23"/>
      <c r="E129" s="21">
        <f t="shared" si="85"/>
        <v>0</v>
      </c>
      <c r="F129" s="23"/>
      <c r="G129" s="23"/>
      <c r="H129" s="23"/>
      <c r="I129" s="23"/>
      <c r="J129" s="23"/>
      <c r="K129" s="23"/>
      <c r="L129" s="23"/>
      <c r="M129" s="23"/>
      <c r="N129" s="23"/>
      <c r="O129" s="23"/>
      <c r="P129" s="23"/>
      <c r="Q129" s="23"/>
      <c r="R129" s="23"/>
      <c r="S129" s="23"/>
      <c r="T129" s="23"/>
      <c r="U129" s="23"/>
      <c r="V129" s="51"/>
      <c r="W129" s="23"/>
      <c r="X129" s="23"/>
      <c r="Y129" s="23"/>
      <c r="Z129" s="23"/>
      <c r="AA129" s="23"/>
      <c r="AB129" s="23"/>
      <c r="AC129" s="23"/>
      <c r="AD129" s="51"/>
      <c r="AE129" s="68"/>
      <c r="AF129" s="51"/>
      <c r="AG129" s="68"/>
      <c r="AH129" s="68"/>
      <c r="AI129" s="68"/>
      <c r="AJ129" s="68"/>
      <c r="AK129" s="68"/>
      <c r="AL129" s="68"/>
      <c r="AM129" s="68"/>
      <c r="AN129" s="68"/>
      <c r="AO129" s="51"/>
      <c r="AP129" s="23"/>
      <c r="AQ129" s="23"/>
      <c r="AR129" s="23"/>
      <c r="AS129" s="21">
        <f t="shared" si="86"/>
        <v>0</v>
      </c>
      <c r="AT129" s="82">
        <v>0.45</v>
      </c>
      <c r="AU129" s="83">
        <f t="shared" si="87"/>
        <v>0</v>
      </c>
      <c r="AV129" s="80">
        <f t="shared" si="39"/>
        <v>0</v>
      </c>
    </row>
    <row r="130" ht="20.5" customHeight="1" spans="1:48">
      <c r="A130" s="19">
        <v>122</v>
      </c>
      <c r="B130" s="27" t="s">
        <v>385</v>
      </c>
      <c r="C130" s="23"/>
      <c r="D130" s="23"/>
      <c r="E130" s="21">
        <f t="shared" si="85"/>
        <v>0</v>
      </c>
      <c r="F130" s="23"/>
      <c r="G130" s="23"/>
      <c r="H130" s="23"/>
      <c r="I130" s="23"/>
      <c r="J130" s="23"/>
      <c r="K130" s="23"/>
      <c r="L130" s="23"/>
      <c r="M130" s="23"/>
      <c r="N130" s="23"/>
      <c r="O130" s="23"/>
      <c r="P130" s="23"/>
      <c r="Q130" s="23"/>
      <c r="R130" s="23"/>
      <c r="S130" s="23"/>
      <c r="T130" s="23"/>
      <c r="U130" s="23"/>
      <c r="V130" s="63"/>
      <c r="W130" s="23"/>
      <c r="X130" s="23"/>
      <c r="Y130" s="23"/>
      <c r="Z130" s="23"/>
      <c r="AA130" s="23"/>
      <c r="AB130" s="23"/>
      <c r="AC130" s="23"/>
      <c r="AD130" s="63"/>
      <c r="AE130" s="68"/>
      <c r="AF130" s="63"/>
      <c r="AG130" s="23"/>
      <c r="AH130" s="23"/>
      <c r="AI130" s="23"/>
      <c r="AJ130" s="23"/>
      <c r="AK130" s="23"/>
      <c r="AL130" s="23"/>
      <c r="AM130" s="23"/>
      <c r="AN130" s="23"/>
      <c r="AO130" s="63"/>
      <c r="AP130" s="23"/>
      <c r="AQ130" s="23"/>
      <c r="AR130" s="23"/>
      <c r="AS130" s="21">
        <f t="shared" si="86"/>
        <v>0</v>
      </c>
      <c r="AT130" s="82">
        <v>0.5</v>
      </c>
      <c r="AU130" s="83">
        <f t="shared" si="87"/>
        <v>0</v>
      </c>
      <c r="AV130" s="80">
        <f t="shared" si="39"/>
        <v>0</v>
      </c>
    </row>
    <row r="131" ht="20.5" customHeight="1" spans="1:48">
      <c r="A131" s="19">
        <v>123</v>
      </c>
      <c r="B131" s="27" t="s">
        <v>386</v>
      </c>
      <c r="C131" s="23"/>
      <c r="D131" s="23"/>
      <c r="E131" s="21">
        <f t="shared" si="85"/>
        <v>0</v>
      </c>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68"/>
      <c r="AF131" s="23"/>
      <c r="AG131" s="23"/>
      <c r="AH131" s="23"/>
      <c r="AI131" s="23"/>
      <c r="AJ131" s="23"/>
      <c r="AK131" s="23"/>
      <c r="AL131" s="23"/>
      <c r="AM131" s="23"/>
      <c r="AN131" s="23"/>
      <c r="AO131" s="23"/>
      <c r="AP131" s="23"/>
      <c r="AQ131" s="23"/>
      <c r="AR131" s="23"/>
      <c r="AS131" s="21">
        <f t="shared" si="86"/>
        <v>0</v>
      </c>
      <c r="AT131" s="82">
        <v>0.6</v>
      </c>
      <c r="AU131" s="83">
        <f t="shared" si="87"/>
        <v>0</v>
      </c>
      <c r="AV131" s="80">
        <f t="shared" si="39"/>
        <v>0</v>
      </c>
    </row>
    <row r="132" ht="20.5" customHeight="1" spans="1:48">
      <c r="A132" s="19">
        <v>124</v>
      </c>
      <c r="B132" s="27" t="s">
        <v>387</v>
      </c>
      <c r="C132" s="23"/>
      <c r="D132" s="23"/>
      <c r="E132" s="21">
        <f t="shared" si="85"/>
        <v>0</v>
      </c>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68"/>
      <c r="AF132" s="23"/>
      <c r="AG132" s="23"/>
      <c r="AH132" s="23"/>
      <c r="AI132" s="23"/>
      <c r="AJ132" s="23"/>
      <c r="AK132" s="23"/>
      <c r="AL132" s="23"/>
      <c r="AM132" s="23"/>
      <c r="AN132" s="23"/>
      <c r="AO132" s="23"/>
      <c r="AP132" s="23"/>
      <c r="AQ132" s="23"/>
      <c r="AR132" s="23"/>
      <c r="AS132" s="21">
        <f t="shared" si="86"/>
        <v>0</v>
      </c>
      <c r="AT132" s="82">
        <v>0.75</v>
      </c>
      <c r="AU132" s="83">
        <f t="shared" si="87"/>
        <v>0</v>
      </c>
      <c r="AV132" s="80">
        <f t="shared" si="39"/>
        <v>0</v>
      </c>
    </row>
    <row r="133" ht="20.5" customHeight="1" spans="1:48">
      <c r="A133" s="19">
        <v>125</v>
      </c>
      <c r="B133" s="27" t="s">
        <v>388</v>
      </c>
      <c r="C133" s="23"/>
      <c r="D133" s="23"/>
      <c r="E133" s="21">
        <f t="shared" si="85"/>
        <v>0</v>
      </c>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68"/>
      <c r="AF133" s="23"/>
      <c r="AG133" s="23"/>
      <c r="AH133" s="23"/>
      <c r="AI133" s="23"/>
      <c r="AJ133" s="23"/>
      <c r="AK133" s="23"/>
      <c r="AL133" s="23"/>
      <c r="AM133" s="23"/>
      <c r="AN133" s="23"/>
      <c r="AO133" s="23"/>
      <c r="AP133" s="23"/>
      <c r="AQ133" s="23"/>
      <c r="AR133" s="23"/>
      <c r="AS133" s="21">
        <f t="shared" si="86"/>
        <v>0</v>
      </c>
      <c r="AT133" s="82">
        <v>1.05</v>
      </c>
      <c r="AU133" s="83">
        <f t="shared" si="87"/>
        <v>0</v>
      </c>
      <c r="AV133" s="80">
        <f t="shared" si="39"/>
        <v>0</v>
      </c>
    </row>
    <row r="134" ht="18" customHeight="1" spans="1:48">
      <c r="A134" s="19">
        <v>126</v>
      </c>
      <c r="B134" s="31" t="s">
        <v>212</v>
      </c>
      <c r="C134" s="23"/>
      <c r="D134" s="23"/>
      <c r="E134" s="21">
        <f t="shared" si="85"/>
        <v>0</v>
      </c>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68"/>
      <c r="AF134" s="23"/>
      <c r="AG134" s="23"/>
      <c r="AH134" s="23"/>
      <c r="AI134" s="23"/>
      <c r="AJ134" s="23"/>
      <c r="AK134" s="23"/>
      <c r="AL134" s="23"/>
      <c r="AM134" s="23"/>
      <c r="AN134" s="23"/>
      <c r="AO134" s="23"/>
      <c r="AP134" s="23"/>
      <c r="AQ134" s="23"/>
      <c r="AR134" s="23"/>
      <c r="AS134" s="21">
        <f t="shared" si="86"/>
        <v>0</v>
      </c>
      <c r="AT134" s="82">
        <v>1.5</v>
      </c>
      <c r="AU134" s="83">
        <f t="shared" si="87"/>
        <v>0</v>
      </c>
      <c r="AV134" s="80">
        <f t="shared" si="39"/>
        <v>0</v>
      </c>
    </row>
    <row r="135" ht="18" customHeight="1" spans="1:48">
      <c r="A135" s="19">
        <v>127</v>
      </c>
      <c r="B135" s="94" t="s">
        <v>389</v>
      </c>
      <c r="C135" s="23"/>
      <c r="D135" s="23"/>
      <c r="E135" s="21">
        <f t="shared" si="85"/>
        <v>0</v>
      </c>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68"/>
      <c r="AF135" s="23"/>
      <c r="AG135" s="23"/>
      <c r="AH135" s="23"/>
      <c r="AI135" s="23"/>
      <c r="AJ135" s="23"/>
      <c r="AK135" s="23"/>
      <c r="AL135" s="23"/>
      <c r="AM135" s="23"/>
      <c r="AN135" s="23"/>
      <c r="AO135" s="23"/>
      <c r="AP135" s="23"/>
      <c r="AQ135" s="23"/>
      <c r="AR135" s="23"/>
      <c r="AS135" s="21">
        <f t="shared" si="86"/>
        <v>0</v>
      </c>
      <c r="AT135" s="88"/>
      <c r="AU135" s="89"/>
      <c r="AV135" s="80">
        <f t="shared" si="39"/>
        <v>0</v>
      </c>
    </row>
    <row r="136" ht="20.5" customHeight="1" spans="1:48">
      <c r="A136" s="19">
        <v>128</v>
      </c>
      <c r="B136" s="28" t="s">
        <v>390</v>
      </c>
      <c r="C136" s="30">
        <f t="shared" ref="C136:AS136" si="88">C137+C148</f>
        <v>0</v>
      </c>
      <c r="D136" s="30">
        <f t="shared" si="88"/>
        <v>0</v>
      </c>
      <c r="E136" s="30">
        <f t="shared" si="88"/>
        <v>0</v>
      </c>
      <c r="F136" s="30">
        <f t="shared" si="88"/>
        <v>0</v>
      </c>
      <c r="G136" s="30">
        <f t="shared" si="88"/>
        <v>0</v>
      </c>
      <c r="H136" s="30">
        <f t="shared" si="88"/>
        <v>0</v>
      </c>
      <c r="I136" s="30">
        <f t="shared" si="88"/>
        <v>0</v>
      </c>
      <c r="J136" s="30">
        <f t="shared" si="88"/>
        <v>0</v>
      </c>
      <c r="K136" s="30">
        <f t="shared" si="88"/>
        <v>0</v>
      </c>
      <c r="L136" s="30">
        <f t="shared" si="88"/>
        <v>0</v>
      </c>
      <c r="M136" s="30">
        <f t="shared" si="88"/>
        <v>0</v>
      </c>
      <c r="N136" s="30">
        <f t="shared" si="88"/>
        <v>0</v>
      </c>
      <c r="O136" s="30">
        <f t="shared" si="88"/>
        <v>0</v>
      </c>
      <c r="P136" s="30">
        <f t="shared" si="88"/>
        <v>0</v>
      </c>
      <c r="Q136" s="30">
        <f t="shared" si="88"/>
        <v>0</v>
      </c>
      <c r="R136" s="30">
        <f t="shared" si="88"/>
        <v>0</v>
      </c>
      <c r="S136" s="30">
        <f t="shared" si="88"/>
        <v>0</v>
      </c>
      <c r="T136" s="30">
        <f t="shared" si="88"/>
        <v>0</v>
      </c>
      <c r="U136" s="30">
        <f t="shared" si="88"/>
        <v>0</v>
      </c>
      <c r="V136" s="30">
        <f t="shared" si="88"/>
        <v>0</v>
      </c>
      <c r="W136" s="30">
        <f t="shared" si="88"/>
        <v>0</v>
      </c>
      <c r="X136" s="30">
        <f t="shared" si="88"/>
        <v>0</v>
      </c>
      <c r="Y136" s="30">
        <f t="shared" si="88"/>
        <v>0</v>
      </c>
      <c r="Z136" s="30">
        <f t="shared" si="88"/>
        <v>0</v>
      </c>
      <c r="AA136" s="30">
        <f t="shared" si="88"/>
        <v>0</v>
      </c>
      <c r="AB136" s="30">
        <f t="shared" si="88"/>
        <v>0</v>
      </c>
      <c r="AC136" s="30">
        <f t="shared" si="88"/>
        <v>0</v>
      </c>
      <c r="AD136" s="30">
        <f t="shared" si="88"/>
        <v>0</v>
      </c>
      <c r="AE136" s="30">
        <f t="shared" si="88"/>
        <v>0</v>
      </c>
      <c r="AF136" s="30">
        <f t="shared" si="88"/>
        <v>0</v>
      </c>
      <c r="AG136" s="30">
        <f t="shared" si="88"/>
        <v>0</v>
      </c>
      <c r="AH136" s="30">
        <f t="shared" si="88"/>
        <v>0</v>
      </c>
      <c r="AI136" s="30">
        <f t="shared" si="88"/>
        <v>0</v>
      </c>
      <c r="AJ136" s="30">
        <f t="shared" si="88"/>
        <v>0</v>
      </c>
      <c r="AK136" s="30">
        <f t="shared" si="88"/>
        <v>0</v>
      </c>
      <c r="AL136" s="30">
        <f t="shared" si="88"/>
        <v>0</v>
      </c>
      <c r="AM136" s="30">
        <f t="shared" si="88"/>
        <v>0</v>
      </c>
      <c r="AN136" s="30">
        <f t="shared" si="88"/>
        <v>0</v>
      </c>
      <c r="AO136" s="30">
        <f t="shared" si="88"/>
        <v>0</v>
      </c>
      <c r="AP136" s="30">
        <f t="shared" si="88"/>
        <v>0</v>
      </c>
      <c r="AQ136" s="30">
        <f t="shared" si="88"/>
        <v>0</v>
      </c>
      <c r="AR136" s="30">
        <f t="shared" si="88"/>
        <v>0</v>
      </c>
      <c r="AS136" s="30">
        <f t="shared" si="88"/>
        <v>0</v>
      </c>
      <c r="AT136" s="79"/>
      <c r="AU136" s="30">
        <f>AU137+AU148</f>
        <v>0</v>
      </c>
      <c r="AV136" s="80">
        <f t="shared" si="39"/>
        <v>0</v>
      </c>
    </row>
    <row r="137" ht="20.5" customHeight="1" spans="1:48">
      <c r="A137" s="19">
        <v>129</v>
      </c>
      <c r="B137" s="93" t="s">
        <v>215</v>
      </c>
      <c r="C137" s="30">
        <f t="shared" ref="C137:AS137" si="89">C138+C144</f>
        <v>0</v>
      </c>
      <c r="D137" s="30">
        <f t="shared" si="89"/>
        <v>0</v>
      </c>
      <c r="E137" s="21">
        <f t="shared" si="89"/>
        <v>0</v>
      </c>
      <c r="F137" s="30">
        <f t="shared" si="89"/>
        <v>0</v>
      </c>
      <c r="G137" s="30">
        <f t="shared" si="89"/>
        <v>0</v>
      </c>
      <c r="H137" s="30">
        <f t="shared" si="89"/>
        <v>0</v>
      </c>
      <c r="I137" s="30">
        <f t="shared" si="89"/>
        <v>0</v>
      </c>
      <c r="J137" s="30">
        <f t="shared" si="89"/>
        <v>0</v>
      </c>
      <c r="K137" s="30">
        <f t="shared" si="89"/>
        <v>0</v>
      </c>
      <c r="L137" s="30">
        <f t="shared" si="89"/>
        <v>0</v>
      </c>
      <c r="M137" s="30">
        <f t="shared" si="89"/>
        <v>0</v>
      </c>
      <c r="N137" s="30">
        <f t="shared" si="89"/>
        <v>0</v>
      </c>
      <c r="O137" s="30">
        <f t="shared" si="89"/>
        <v>0</v>
      </c>
      <c r="P137" s="30">
        <f t="shared" si="89"/>
        <v>0</v>
      </c>
      <c r="Q137" s="30">
        <f t="shared" si="89"/>
        <v>0</v>
      </c>
      <c r="R137" s="30">
        <f t="shared" si="89"/>
        <v>0</v>
      </c>
      <c r="S137" s="30">
        <f t="shared" si="89"/>
        <v>0</v>
      </c>
      <c r="T137" s="30">
        <f t="shared" si="89"/>
        <v>0</v>
      </c>
      <c r="U137" s="30">
        <f t="shared" si="89"/>
        <v>0</v>
      </c>
      <c r="V137" s="30">
        <f t="shared" si="89"/>
        <v>0</v>
      </c>
      <c r="W137" s="30">
        <f t="shared" si="89"/>
        <v>0</v>
      </c>
      <c r="X137" s="30">
        <f t="shared" si="89"/>
        <v>0</v>
      </c>
      <c r="Y137" s="30">
        <f t="shared" si="89"/>
        <v>0</v>
      </c>
      <c r="Z137" s="30">
        <f t="shared" si="89"/>
        <v>0</v>
      </c>
      <c r="AA137" s="30">
        <f t="shared" si="89"/>
        <v>0</v>
      </c>
      <c r="AB137" s="30">
        <f t="shared" si="89"/>
        <v>0</v>
      </c>
      <c r="AC137" s="30">
        <f t="shared" si="89"/>
        <v>0</v>
      </c>
      <c r="AD137" s="30">
        <f t="shared" si="89"/>
        <v>0</v>
      </c>
      <c r="AE137" s="30">
        <f t="shared" si="89"/>
        <v>0</v>
      </c>
      <c r="AF137" s="30">
        <f t="shared" si="89"/>
        <v>0</v>
      </c>
      <c r="AG137" s="30">
        <f t="shared" si="89"/>
        <v>0</v>
      </c>
      <c r="AH137" s="30">
        <f t="shared" si="89"/>
        <v>0</v>
      </c>
      <c r="AI137" s="30">
        <f t="shared" si="89"/>
        <v>0</v>
      </c>
      <c r="AJ137" s="30">
        <f t="shared" si="89"/>
        <v>0</v>
      </c>
      <c r="AK137" s="30">
        <f t="shared" si="89"/>
        <v>0</v>
      </c>
      <c r="AL137" s="30">
        <f t="shared" si="89"/>
        <v>0</v>
      </c>
      <c r="AM137" s="30">
        <f t="shared" si="89"/>
        <v>0</v>
      </c>
      <c r="AN137" s="30">
        <f t="shared" si="89"/>
        <v>0</v>
      </c>
      <c r="AO137" s="30">
        <f t="shared" si="89"/>
        <v>0</v>
      </c>
      <c r="AP137" s="30">
        <f t="shared" si="89"/>
        <v>0</v>
      </c>
      <c r="AQ137" s="30">
        <f t="shared" si="89"/>
        <v>0</v>
      </c>
      <c r="AR137" s="30">
        <f t="shared" si="89"/>
        <v>0</v>
      </c>
      <c r="AS137" s="21">
        <f t="shared" si="89"/>
        <v>0</v>
      </c>
      <c r="AT137" s="79"/>
      <c r="AU137" s="21">
        <f>AU138+AU144</f>
        <v>0</v>
      </c>
      <c r="AV137" s="80">
        <f t="shared" si="39"/>
        <v>0</v>
      </c>
    </row>
    <row r="138" ht="20.5" customHeight="1" spans="1:48">
      <c r="A138" s="19">
        <v>130</v>
      </c>
      <c r="B138" s="31" t="s">
        <v>216</v>
      </c>
      <c r="C138" s="30">
        <f>C139+C140</f>
        <v>0</v>
      </c>
      <c r="D138" s="30">
        <f t="shared" ref="D138:AR138" si="90">+D139+D140</f>
        <v>0</v>
      </c>
      <c r="E138" s="21">
        <f>E139+E140</f>
        <v>0</v>
      </c>
      <c r="F138" s="30">
        <f t="shared" si="90"/>
        <v>0</v>
      </c>
      <c r="G138" s="30">
        <f t="shared" si="90"/>
        <v>0</v>
      </c>
      <c r="H138" s="30">
        <f t="shared" si="90"/>
        <v>0</v>
      </c>
      <c r="I138" s="30">
        <f t="shared" si="90"/>
        <v>0</v>
      </c>
      <c r="J138" s="30">
        <f t="shared" si="90"/>
        <v>0</v>
      </c>
      <c r="K138" s="30">
        <f t="shared" si="90"/>
        <v>0</v>
      </c>
      <c r="L138" s="30">
        <f t="shared" si="90"/>
        <v>0</v>
      </c>
      <c r="M138" s="30">
        <f t="shared" si="90"/>
        <v>0</v>
      </c>
      <c r="N138" s="30">
        <f t="shared" si="90"/>
        <v>0</v>
      </c>
      <c r="O138" s="30">
        <f t="shared" si="90"/>
        <v>0</v>
      </c>
      <c r="P138" s="30">
        <f t="shared" si="90"/>
        <v>0</v>
      </c>
      <c r="Q138" s="30">
        <f t="shared" si="90"/>
        <v>0</v>
      </c>
      <c r="R138" s="30">
        <f t="shared" si="90"/>
        <v>0</v>
      </c>
      <c r="S138" s="30">
        <f t="shared" si="90"/>
        <v>0</v>
      </c>
      <c r="T138" s="30">
        <f t="shared" si="90"/>
        <v>0</v>
      </c>
      <c r="U138" s="30">
        <f t="shared" si="90"/>
        <v>0</v>
      </c>
      <c r="V138" s="30">
        <f t="shared" si="90"/>
        <v>0</v>
      </c>
      <c r="W138" s="30">
        <f t="shared" si="90"/>
        <v>0</v>
      </c>
      <c r="X138" s="30">
        <f t="shared" si="90"/>
        <v>0</v>
      </c>
      <c r="Y138" s="30">
        <f t="shared" si="90"/>
        <v>0</v>
      </c>
      <c r="Z138" s="30">
        <f t="shared" si="90"/>
        <v>0</v>
      </c>
      <c r="AA138" s="30">
        <f t="shared" si="90"/>
        <v>0</v>
      </c>
      <c r="AB138" s="30">
        <f t="shared" si="90"/>
        <v>0</v>
      </c>
      <c r="AC138" s="30">
        <f t="shared" si="90"/>
        <v>0</v>
      </c>
      <c r="AD138" s="30">
        <f t="shared" si="90"/>
        <v>0</v>
      </c>
      <c r="AE138" s="30">
        <f t="shared" si="90"/>
        <v>0</v>
      </c>
      <c r="AF138" s="30">
        <f t="shared" si="90"/>
        <v>0</v>
      </c>
      <c r="AG138" s="30">
        <f t="shared" si="90"/>
        <v>0</v>
      </c>
      <c r="AH138" s="30">
        <f t="shared" si="90"/>
        <v>0</v>
      </c>
      <c r="AI138" s="30">
        <f t="shared" si="90"/>
        <v>0</v>
      </c>
      <c r="AJ138" s="30">
        <f t="shared" si="90"/>
        <v>0</v>
      </c>
      <c r="AK138" s="30">
        <f t="shared" si="90"/>
        <v>0</v>
      </c>
      <c r="AL138" s="30">
        <f t="shared" si="90"/>
        <v>0</v>
      </c>
      <c r="AM138" s="30">
        <f t="shared" si="90"/>
        <v>0</v>
      </c>
      <c r="AN138" s="30">
        <f t="shared" si="90"/>
        <v>0</v>
      </c>
      <c r="AO138" s="30">
        <f t="shared" si="90"/>
        <v>0</v>
      </c>
      <c r="AP138" s="30">
        <f t="shared" si="90"/>
        <v>0</v>
      </c>
      <c r="AQ138" s="30">
        <f t="shared" si="90"/>
        <v>0</v>
      </c>
      <c r="AR138" s="30">
        <f t="shared" si="90"/>
        <v>0</v>
      </c>
      <c r="AS138" s="21">
        <f>SUM(AS139:AS140)</f>
        <v>0</v>
      </c>
      <c r="AT138" s="79"/>
      <c r="AU138" s="21">
        <f>SUM(AU139:AU140)</f>
        <v>0</v>
      </c>
      <c r="AV138" s="80">
        <f t="shared" si="39"/>
        <v>0</v>
      </c>
    </row>
    <row r="139" ht="20.5" customHeight="1" spans="1:48">
      <c r="A139" s="19">
        <v>131</v>
      </c>
      <c r="B139" s="27" t="s">
        <v>217</v>
      </c>
      <c r="C139" s="23"/>
      <c r="D139" s="23"/>
      <c r="E139" s="21">
        <f t="shared" ref="E139:E143" si="91">C139-D139</f>
        <v>0</v>
      </c>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68"/>
      <c r="AF139" s="23"/>
      <c r="AG139" s="23"/>
      <c r="AH139" s="23"/>
      <c r="AI139" s="23"/>
      <c r="AJ139" s="23"/>
      <c r="AK139" s="23"/>
      <c r="AL139" s="23"/>
      <c r="AM139" s="23"/>
      <c r="AN139" s="23"/>
      <c r="AO139" s="23"/>
      <c r="AP139" s="23"/>
      <c r="AQ139" s="23"/>
      <c r="AR139" s="23"/>
      <c r="AS139" s="21">
        <f>IF(E139-G139-H139-I139-J139-K139-L139-M139-N139-O139-P139-Q139-R139-S139-T139-U139-V139-W139-X139-Y139-Z139-AA139-AB139-AC139-AD139-AE139-AF139-AG139-AH139-AI139-AJ139-AK139-AL139-AM139-AN139-AO139-AP139-AQ139-AR139&lt;0,0,E139-G139-H139-I139-J139-K139-L139-M139-N139-O139-P139-Q139-R139-S139-T139-U139-V139-W139-X139-Y139-Z139-AA139-AB139-AC139-AD139-AE139-AF139-AG139-AH139-AI139-AJ139-AK139-AL139-AM139-AN139-AO139-AP139-AQ139-AR139)</f>
        <v>0</v>
      </c>
      <c r="AT139" s="82">
        <v>0.65</v>
      </c>
      <c r="AU139" s="83">
        <f>G139*$G$7+H139*$H$7+I139*$I$7+J139*$J$7+K139*$K$7+L139*$L$7+M139*$M$7+N139*$N$7+O139*$O$7+P139*$P$7+Q139*$Q$7+R139*$R$7+S139*$S$7+T139*$T$7+U139*$U$7+V139*$V$7+W139*$W$7+X139*$X$7+Y139*$Y$7++Z139*$Z$7+AA139*$AA$7+AB139*$AB$7+AC139*$AC$7+AD139*$AD$7+AE139*$AE$7+AF139*$AF$7+AH139*$AH$7+AI139*$AI$7+AJ139*$AJ$7+AK139*$AK$7+AL139*$AL$7+AM139*$AM$7+AN139*$AN$7+AO139*$AO$7+AP139*$AP$7+AQ139*$AQ$7+AR139*$AR$7+AS139*AT139+AG139*$AG$7</f>
        <v>0</v>
      </c>
      <c r="AV139" s="80">
        <f t="shared" ref="AV139:AV202" si="92">IF(E139=0,0,AU139/E139)</f>
        <v>0</v>
      </c>
    </row>
    <row r="140" ht="20.5" customHeight="1" spans="1:48">
      <c r="A140" s="19">
        <v>132</v>
      </c>
      <c r="B140" s="27" t="s">
        <v>218</v>
      </c>
      <c r="C140" s="30">
        <f t="shared" ref="C140:AR140" si="93">C141+C142+C143</f>
        <v>0</v>
      </c>
      <c r="D140" s="30">
        <f t="shared" si="93"/>
        <v>0</v>
      </c>
      <c r="E140" s="21">
        <f>SUM(E141:E143)</f>
        <v>0</v>
      </c>
      <c r="F140" s="30">
        <f t="shared" si="93"/>
        <v>0</v>
      </c>
      <c r="G140" s="30">
        <f t="shared" si="93"/>
        <v>0</v>
      </c>
      <c r="H140" s="30">
        <f t="shared" si="93"/>
        <v>0</v>
      </c>
      <c r="I140" s="30">
        <f t="shared" si="93"/>
        <v>0</v>
      </c>
      <c r="J140" s="30">
        <f t="shared" si="93"/>
        <v>0</v>
      </c>
      <c r="K140" s="30">
        <f t="shared" si="93"/>
        <v>0</v>
      </c>
      <c r="L140" s="30">
        <f t="shared" si="93"/>
        <v>0</v>
      </c>
      <c r="M140" s="30">
        <f t="shared" si="93"/>
        <v>0</v>
      </c>
      <c r="N140" s="30">
        <f t="shared" si="93"/>
        <v>0</v>
      </c>
      <c r="O140" s="30">
        <f t="shared" si="93"/>
        <v>0</v>
      </c>
      <c r="P140" s="30">
        <f t="shared" si="93"/>
        <v>0</v>
      </c>
      <c r="Q140" s="30">
        <f t="shared" si="93"/>
        <v>0</v>
      </c>
      <c r="R140" s="30">
        <f t="shared" si="93"/>
        <v>0</v>
      </c>
      <c r="S140" s="30">
        <f t="shared" si="93"/>
        <v>0</v>
      </c>
      <c r="T140" s="30">
        <f t="shared" si="93"/>
        <v>0</v>
      </c>
      <c r="U140" s="30">
        <f t="shared" si="93"/>
        <v>0</v>
      </c>
      <c r="V140" s="30">
        <f t="shared" si="93"/>
        <v>0</v>
      </c>
      <c r="W140" s="30">
        <f t="shared" si="93"/>
        <v>0</v>
      </c>
      <c r="X140" s="30">
        <f t="shared" si="93"/>
        <v>0</v>
      </c>
      <c r="Y140" s="30">
        <f t="shared" si="93"/>
        <v>0</v>
      </c>
      <c r="Z140" s="30">
        <f t="shared" si="93"/>
        <v>0</v>
      </c>
      <c r="AA140" s="30">
        <f t="shared" si="93"/>
        <v>0</v>
      </c>
      <c r="AB140" s="30">
        <f t="shared" si="93"/>
        <v>0</v>
      </c>
      <c r="AC140" s="30">
        <f t="shared" si="93"/>
        <v>0</v>
      </c>
      <c r="AD140" s="30">
        <f t="shared" si="93"/>
        <v>0</v>
      </c>
      <c r="AE140" s="30">
        <f t="shared" si="93"/>
        <v>0</v>
      </c>
      <c r="AF140" s="30">
        <f t="shared" si="93"/>
        <v>0</v>
      </c>
      <c r="AG140" s="30">
        <f t="shared" si="93"/>
        <v>0</v>
      </c>
      <c r="AH140" s="30">
        <f t="shared" si="93"/>
        <v>0</v>
      </c>
      <c r="AI140" s="30">
        <f t="shared" si="93"/>
        <v>0</v>
      </c>
      <c r="AJ140" s="30">
        <f t="shared" si="93"/>
        <v>0</v>
      </c>
      <c r="AK140" s="30">
        <f t="shared" si="93"/>
        <v>0</v>
      </c>
      <c r="AL140" s="30">
        <f t="shared" si="93"/>
        <v>0</v>
      </c>
      <c r="AM140" s="30">
        <f t="shared" si="93"/>
        <v>0</v>
      </c>
      <c r="AN140" s="30">
        <f t="shared" si="93"/>
        <v>0</v>
      </c>
      <c r="AO140" s="30">
        <f t="shared" si="93"/>
        <v>0</v>
      </c>
      <c r="AP140" s="30">
        <f t="shared" si="93"/>
        <v>0</v>
      </c>
      <c r="AQ140" s="30">
        <f t="shared" si="93"/>
        <v>0</v>
      </c>
      <c r="AR140" s="30">
        <f t="shared" si="93"/>
        <v>0</v>
      </c>
      <c r="AS140" s="21">
        <f>SUM(AS141:AS143)</f>
        <v>0</v>
      </c>
      <c r="AT140" s="79"/>
      <c r="AU140" s="21">
        <f>SUM(AU141:AU143)</f>
        <v>0</v>
      </c>
      <c r="AV140" s="80">
        <f t="shared" si="92"/>
        <v>0</v>
      </c>
    </row>
    <row r="141" ht="20.5" customHeight="1" spans="1:48">
      <c r="A141" s="19">
        <v>133</v>
      </c>
      <c r="B141" s="96" t="s">
        <v>219</v>
      </c>
      <c r="C141" s="23"/>
      <c r="D141" s="23"/>
      <c r="E141" s="21">
        <f t="shared" si="91"/>
        <v>0</v>
      </c>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1">
        <f>IF(E141-G141-H141-I141-J141-K141-L141-M141-N141-O141-P141-Q141-R141-S141-T141-U141-V141-W141-X141-Y141-Z141-AA141-AB141-AC141-AD141-AE141-AF141-AG141-AH141-AI141-AJ141-AK141-AL141-AM141-AN141-AO141-AP141-AQ141-AR141&lt;0,0,E141-G141-H141-I141-J141-K141-L141-M141-N141-O141-P141-Q141-R141-S141-T141-U141-V141-W141-X141-Y141-Z141-AA141-AB141-AC141-AD141-AE141-AF141-AG141-AH141-AI141-AJ141-AK141-AL141-AM141-AN141-AO141-AP141-AQ141-AR141)</f>
        <v>0</v>
      </c>
      <c r="AT141" s="82">
        <v>0.75</v>
      </c>
      <c r="AU141" s="83">
        <f>G141*$G$7+H141*$H$7+I141*$I$7+J141*$J$7+K141*$K$7+L141*$L$7+M141*$M$7+N141*$N$7+O141*$O$7+P141*$P$7+Q141*$Q$7+R141*$R$7+S141*$S$7+T141*$T$7+U141*$U$7+V141*$V$7+W141*$W$7+X141*$X$7+Y141*$Y$7++Z141*$Z$7+AA141*$AA$7+AB141*$AB$7+AC141*$AC$7+AD141*$AD$7+AE141*$AE$7+AF141*$AF$7+AH141*$AH$7+AI141*$AI$7+AJ141*$AJ$7+AK141*$AK$7+AL141*$AL$7+AM141*$AM$7+AN141*$AN$7+AO141*$AO$7+AP141*$AP$7+AQ141*$AQ$7+AR141*$AR$7+AS141*AT141+AG141*$AG$7</f>
        <v>0</v>
      </c>
      <c r="AV141" s="80">
        <f t="shared" si="92"/>
        <v>0</v>
      </c>
    </row>
    <row r="142" ht="20.5" customHeight="1" spans="1:48">
      <c r="A142" s="19">
        <v>134</v>
      </c>
      <c r="B142" s="96" t="s">
        <v>220</v>
      </c>
      <c r="C142" s="23"/>
      <c r="D142" s="23"/>
      <c r="E142" s="21">
        <f t="shared" si="91"/>
        <v>0</v>
      </c>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68"/>
      <c r="AF142" s="23"/>
      <c r="AG142" s="23"/>
      <c r="AH142" s="23"/>
      <c r="AI142" s="23"/>
      <c r="AJ142" s="23"/>
      <c r="AK142" s="23"/>
      <c r="AL142" s="23"/>
      <c r="AM142" s="23"/>
      <c r="AN142" s="23"/>
      <c r="AO142" s="23"/>
      <c r="AP142" s="23"/>
      <c r="AQ142" s="23"/>
      <c r="AR142" s="23"/>
      <c r="AS142" s="21">
        <f>IF(E142-G142-H142-I142-J142-K142-L142-M142-N142-O142-P142-Q142-R142-S142-T142-U142-V142-W142-X142-Y142-Z142-AA142-AB142-AC142-AD142-AE142-AF142-AG142-AH142-AI142-AJ142-AK142-AL142-AM142-AN142-AO142-AP142-AQ142-AR142&lt;0,0,E142-G142-H142-I142-J142-K142-L142-M142-N142-O142-P142-Q142-R142-S142-T142-U142-V142-W142-X142-Y142-Z142-AA142-AB142-AC142-AD142-AE142-AF142-AG142-AH142-AI142-AJ142-AK142-AL142-AM142-AN142-AO142-AP142-AQ142-AR142)</f>
        <v>0</v>
      </c>
      <c r="AT142" s="82">
        <v>0.85</v>
      </c>
      <c r="AU142" s="83">
        <f>G142*$G$7+H142*$H$7+I142*$I$7+J142*$J$7+K142*$K$7+L142*$L$7+M142*$M$7+N142*$N$7+O142*$O$7+P142*$P$7+Q142*$Q$7+R142*$R$7+S142*$S$7+T142*$T$7+U142*$U$7+V142*$V$7+W142*$W$7+X142*$X$7+Y142*$Y$7++Z142*$Z$7+AA142*$AA$7+AB142*$AB$7+AC142*$AC$7+AD142*$AD$7+AE142*$AE$7+AF142*$AF$7+AH142*$AH$7+AI142*$AI$7+AJ142*$AJ$7+AK142*$AK$7+AL142*$AL$7+AM142*$AM$7+AN142*$AN$7+AO142*$AO$7+AP142*$AP$7+AQ142*$AQ$7+AR142*$AR$7+AS142*AT142+AG142*$AG$7</f>
        <v>0</v>
      </c>
      <c r="AV142" s="80">
        <f t="shared" si="92"/>
        <v>0</v>
      </c>
    </row>
    <row r="143" ht="20.5" customHeight="1" spans="1:48">
      <c r="A143" s="19">
        <v>135</v>
      </c>
      <c r="B143" s="96" t="s">
        <v>221</v>
      </c>
      <c r="C143" s="23"/>
      <c r="D143" s="23"/>
      <c r="E143" s="21">
        <f t="shared" si="91"/>
        <v>0</v>
      </c>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68"/>
      <c r="AF143" s="23"/>
      <c r="AG143" s="23"/>
      <c r="AH143" s="23"/>
      <c r="AI143" s="23"/>
      <c r="AJ143" s="23"/>
      <c r="AK143" s="23"/>
      <c r="AL143" s="23"/>
      <c r="AM143" s="23"/>
      <c r="AN143" s="23"/>
      <c r="AO143" s="23"/>
      <c r="AP143" s="23"/>
      <c r="AQ143" s="23"/>
      <c r="AR143" s="23"/>
      <c r="AS143" s="21">
        <f>IF(E143-G143-H143-I143-J143-K143-L143-M143-N143-O143-P143-Q143-R143-S143-T143-U143-V143-W143-X143-Y143-Z143-AA143-AB143-AC143-AD143-AE143-AF143-AG143-AH143-AI143-AJ143-AK143-AL143-AM143-AN143-AO143-AP143-AQ143-AR143&lt;0,0,E143-G143-H143-I143-J143-K143-L143-M143-N143-O143-P143-Q143-R143-S143-T143-U143-V143-W143-X143-Y143-Z143-AA143-AB143-AC143-AD143-AE143-AF143-AG143-AH143-AI143-AJ143-AK143-AL143-AM143-AN143-AO143-AP143-AQ143-AR143)</f>
        <v>0</v>
      </c>
      <c r="AT143" s="82">
        <v>1</v>
      </c>
      <c r="AU143" s="83">
        <f>G143*$G$7+H143*$H$7+I143*$I$7+J143*$J$7+K143*$K$7+L143*$L$7+M143*$M$7+N143*$N$7+O143*$O$7+P143*$P$7+Q143*$Q$7+R143*$R$7+S143*$S$7+T143*$T$7+U143*$U$7+V143*$V$7+W143*$W$7+X143*$X$7+Y143*$Y$7++Z143*$Z$7+AA143*$AA$7+AB143*$AB$7+AC143*$AC$7+AD143*$AD$7+AE143*$AE$7+AF143*$AF$7+AH143*$AH$7+AI143*$AI$7+AJ143*$AJ$7+AK143*$AK$7+AL143*$AL$7+AM143*$AM$7+AN143*$AN$7+AO143*$AO$7+AP143*$AP$7+AQ143*$AQ$7+AR143*$AR$7+AS143*AT143+AG143*$AG$7</f>
        <v>0</v>
      </c>
      <c r="AV143" s="80">
        <f t="shared" si="92"/>
        <v>0</v>
      </c>
    </row>
    <row r="144" ht="20.5" customHeight="1" spans="1:48">
      <c r="A144" s="19">
        <v>136</v>
      </c>
      <c r="B144" s="31" t="s">
        <v>222</v>
      </c>
      <c r="C144" s="30">
        <f t="shared" ref="C144:AR144" si="94">C145+C146+C147</f>
        <v>0</v>
      </c>
      <c r="D144" s="30">
        <f t="shared" si="94"/>
        <v>0</v>
      </c>
      <c r="E144" s="21">
        <f>SUM(E145:E147)</f>
        <v>0</v>
      </c>
      <c r="F144" s="30">
        <f t="shared" si="94"/>
        <v>0</v>
      </c>
      <c r="G144" s="30">
        <f t="shared" si="94"/>
        <v>0</v>
      </c>
      <c r="H144" s="30">
        <f t="shared" si="94"/>
        <v>0</v>
      </c>
      <c r="I144" s="30">
        <f t="shared" si="94"/>
        <v>0</v>
      </c>
      <c r="J144" s="30">
        <f t="shared" si="94"/>
        <v>0</v>
      </c>
      <c r="K144" s="30">
        <f t="shared" si="94"/>
        <v>0</v>
      </c>
      <c r="L144" s="30">
        <f t="shared" si="94"/>
        <v>0</v>
      </c>
      <c r="M144" s="30">
        <f t="shared" si="94"/>
        <v>0</v>
      </c>
      <c r="N144" s="30">
        <f t="shared" si="94"/>
        <v>0</v>
      </c>
      <c r="O144" s="30">
        <f t="shared" si="94"/>
        <v>0</v>
      </c>
      <c r="P144" s="30">
        <f t="shared" si="94"/>
        <v>0</v>
      </c>
      <c r="Q144" s="30">
        <f t="shared" si="94"/>
        <v>0</v>
      </c>
      <c r="R144" s="30">
        <f t="shared" si="94"/>
        <v>0</v>
      </c>
      <c r="S144" s="30">
        <f t="shared" si="94"/>
        <v>0</v>
      </c>
      <c r="T144" s="30">
        <f t="shared" si="94"/>
        <v>0</v>
      </c>
      <c r="U144" s="30">
        <f t="shared" si="94"/>
        <v>0</v>
      </c>
      <c r="V144" s="30">
        <f t="shared" si="94"/>
        <v>0</v>
      </c>
      <c r="W144" s="30">
        <f t="shared" si="94"/>
        <v>0</v>
      </c>
      <c r="X144" s="30">
        <f t="shared" si="94"/>
        <v>0</v>
      </c>
      <c r="Y144" s="30">
        <f t="shared" si="94"/>
        <v>0</v>
      </c>
      <c r="Z144" s="30">
        <f t="shared" si="94"/>
        <v>0</v>
      </c>
      <c r="AA144" s="30">
        <f t="shared" si="94"/>
        <v>0</v>
      </c>
      <c r="AB144" s="30">
        <f t="shared" si="94"/>
        <v>0</v>
      </c>
      <c r="AC144" s="30">
        <f t="shared" si="94"/>
        <v>0</v>
      </c>
      <c r="AD144" s="30">
        <f t="shared" si="94"/>
        <v>0</v>
      </c>
      <c r="AE144" s="30">
        <f t="shared" si="94"/>
        <v>0</v>
      </c>
      <c r="AF144" s="30">
        <f t="shared" si="94"/>
        <v>0</v>
      </c>
      <c r="AG144" s="30">
        <f t="shared" si="94"/>
        <v>0</v>
      </c>
      <c r="AH144" s="30">
        <f t="shared" si="94"/>
        <v>0</v>
      </c>
      <c r="AI144" s="30">
        <f t="shared" si="94"/>
        <v>0</v>
      </c>
      <c r="AJ144" s="30">
        <f t="shared" si="94"/>
        <v>0</v>
      </c>
      <c r="AK144" s="30">
        <f t="shared" si="94"/>
        <v>0</v>
      </c>
      <c r="AL144" s="30">
        <f t="shared" si="94"/>
        <v>0</v>
      </c>
      <c r="AM144" s="30">
        <f t="shared" si="94"/>
        <v>0</v>
      </c>
      <c r="AN144" s="30">
        <f t="shared" si="94"/>
        <v>0</v>
      </c>
      <c r="AO144" s="30">
        <f t="shared" si="94"/>
        <v>0</v>
      </c>
      <c r="AP144" s="30">
        <f t="shared" si="94"/>
        <v>0</v>
      </c>
      <c r="AQ144" s="30">
        <f t="shared" si="94"/>
        <v>0</v>
      </c>
      <c r="AR144" s="30">
        <f t="shared" si="94"/>
        <v>0</v>
      </c>
      <c r="AS144" s="21">
        <f>SUM(AS145:AS147)</f>
        <v>0</v>
      </c>
      <c r="AT144" s="79"/>
      <c r="AU144" s="21">
        <f>SUM(AU145:AU147)</f>
        <v>0</v>
      </c>
      <c r="AV144" s="80">
        <f t="shared" si="92"/>
        <v>0</v>
      </c>
    </row>
    <row r="145" ht="20.5" customHeight="1" spans="1:48">
      <c r="A145" s="19">
        <v>137</v>
      </c>
      <c r="B145" s="27" t="s">
        <v>223</v>
      </c>
      <c r="C145" s="23"/>
      <c r="D145" s="23"/>
      <c r="E145" s="21">
        <f t="shared" ref="E145:E147" si="95">C145-D145</f>
        <v>0</v>
      </c>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1">
        <f>IF(E145-G145-H145-I145-J145-K145-L145-M145-N145-O145-P145-Q145-R145-S145-T145-U145-V145-W145-X145-Y145-Z145-AA145-AB145-AC145-AD145-AE145-AF145-AG145-AH145-AI145-AJ145-AK145-AL145-AM145-AN145-AO145-AP145-AQ145-AR145&lt;0,0,E145-G145-H145-I145-J145-K145-L145-M145-N145-O145-P145-Q145-R145-S145-T145-U145-V145-W145-X145-Y145-Z145-AA145-AB145-AC145-AD145-AE145-AF145-AG145-AH145-AI145-AJ145-AK145-AL145-AM145-AN145-AO145-AP145-AQ145-AR145)</f>
        <v>0</v>
      </c>
      <c r="AT145" s="82">
        <v>0.75</v>
      </c>
      <c r="AU145" s="83">
        <f>G145*$G$7+H145*$H$7+I145*$I$7+J145*$J$7+K145*$K$7+L145*$L$7+M145*$M$7+N145*$N$7+O145*$O$7+P145*$P$7+Q145*$Q$7+R145*$R$7+S145*$S$7+T145*$T$7+U145*$U$7+V145*$V$7+W145*$W$7+X145*$X$7+Y145*$Y$7++Z145*$Z$7+AA145*$AA$7+AB145*$AB$7+AC145*$AC$7+AD145*$AD$7+AE145*$AE$7+AF145*$AF$7+AH145*$AH$7+AI145*$AI$7+AJ145*$AJ$7+AK145*$AK$7+AL145*$AL$7+AM145*$AM$7+AN145*$AN$7+AO145*$AO$7+AP145*$AP$7+AQ145*$AQ$7+AR145*$AR$7+AS145*AT145+AG145*$AG$7</f>
        <v>0</v>
      </c>
      <c r="AV145" s="80">
        <f t="shared" si="92"/>
        <v>0</v>
      </c>
    </row>
    <row r="146" ht="20.5" customHeight="1" spans="1:48">
      <c r="A146" s="19">
        <v>138</v>
      </c>
      <c r="B146" s="27" t="s">
        <v>224</v>
      </c>
      <c r="C146" s="23"/>
      <c r="D146" s="23"/>
      <c r="E146" s="21">
        <f t="shared" si="95"/>
        <v>0</v>
      </c>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68"/>
      <c r="AF146" s="23"/>
      <c r="AG146" s="23"/>
      <c r="AH146" s="23"/>
      <c r="AI146" s="23"/>
      <c r="AJ146" s="23"/>
      <c r="AK146" s="23"/>
      <c r="AL146" s="23"/>
      <c r="AM146" s="23"/>
      <c r="AN146" s="23"/>
      <c r="AO146" s="23"/>
      <c r="AP146" s="23"/>
      <c r="AQ146" s="23"/>
      <c r="AR146" s="23"/>
      <c r="AS146" s="21">
        <f>IF(E146-G146-H146-I146-J146-K146-L146-M146-N146-O146-P146-Q146-R146-S146-T146-U146-V146-W146-X146-Y146-Z146-AA146-AB146-AC146-AD146-AE146-AF146-AG146-AH146-AI146-AJ146-AK146-AL146-AM146-AN146-AO146-AP146-AQ146-AR146&lt;0,0,E146-G146-H146-I146-J146-K146-L146-M146-N146-O146-P146-Q146-R146-S146-T146-U146-V146-W146-X146-Y146-Z146-AA146-AB146-AC146-AD146-AE146-AF146-AG146-AH146-AI146-AJ146-AK146-AL146-AM146-AN146-AO146-AP146-AQ146-AR146)</f>
        <v>0</v>
      </c>
      <c r="AT146" s="82">
        <v>0.85</v>
      </c>
      <c r="AU146" s="83">
        <f>G146*$G$7+H146*$H$7+I146*$I$7+J146*$J$7+K146*$K$7+L146*$L$7+M146*$M$7+N146*$N$7+O146*$O$7+P146*$P$7+Q146*$Q$7+R146*$R$7+S146*$S$7+T146*$T$7+U146*$U$7+V146*$V$7+W146*$W$7+X146*$X$7+Y146*$Y$7++Z146*$Z$7+AA146*$AA$7+AB146*$AB$7+AC146*$AC$7+AD146*$AD$7+AE146*$AE$7+AF146*$AF$7+AH146*$AH$7+AI146*$AI$7+AJ146*$AJ$7+AK146*$AK$7+AL146*$AL$7+AM146*$AM$7+AN146*$AN$7+AO146*$AO$7+AP146*$AP$7+AQ146*$AQ$7+AR146*$AR$7+AS146*AT146+AG146*$AG$7</f>
        <v>0</v>
      </c>
      <c r="AV146" s="80">
        <f t="shared" si="92"/>
        <v>0</v>
      </c>
    </row>
    <row r="147" ht="20.5" customHeight="1" spans="1:48">
      <c r="A147" s="19">
        <v>139</v>
      </c>
      <c r="B147" s="27" t="s">
        <v>225</v>
      </c>
      <c r="C147" s="23"/>
      <c r="D147" s="23"/>
      <c r="E147" s="21">
        <f t="shared" si="95"/>
        <v>0</v>
      </c>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68"/>
      <c r="AF147" s="23"/>
      <c r="AG147" s="23"/>
      <c r="AH147" s="23"/>
      <c r="AI147" s="23"/>
      <c r="AJ147" s="23"/>
      <c r="AK147" s="23"/>
      <c r="AL147" s="23"/>
      <c r="AM147" s="23"/>
      <c r="AN147" s="23"/>
      <c r="AO147" s="23"/>
      <c r="AP147" s="23"/>
      <c r="AQ147" s="23"/>
      <c r="AR147" s="23"/>
      <c r="AS147" s="21">
        <f>IF(E147-G147-H147-I147-J147-K147-L147-M147-N147-O147-P147-Q147-R147-S147-T147-U147-V147-W147-X147-Y147-Z147-AA147-AB147-AC147-AD147-AE147-AF147-AG147-AH147-AI147-AJ147-AK147-AL147-AM147-AN147-AO147-AP147-AQ147-AR147&lt;0,0,E147-G147-H147-I147-J147-K147-L147-M147-N147-O147-P147-Q147-R147-S147-T147-U147-V147-W147-X147-Y147-Z147-AA147-AB147-AC147-AD147-AE147-AF147-AG147-AH147-AI147-AJ147-AK147-AL147-AM147-AN147-AO147-AP147-AQ147-AR147)</f>
        <v>0</v>
      </c>
      <c r="AT147" s="82">
        <v>1</v>
      </c>
      <c r="AU147" s="83">
        <f>G147*$G$7+H147*$H$7+I147*$I$7+J147*$J$7+K147*$K$7+L147*$L$7+M147*$M$7+N147*$N$7+O147*$O$7+P147*$P$7+Q147*$Q$7+R147*$R$7+S147*$S$7+T147*$T$7+U147*$U$7+V147*$V$7+W147*$W$7+X147*$X$7+Y147*$Y$7++Z147*$Z$7+AA147*$AA$7+AB147*$AB$7+AC147*$AC$7+AD147*$AD$7+AE147*$AE$7+AF147*$AF$7+AH147*$AH$7+AI147*$AI$7+AJ147*$AJ$7+AK147*$AK$7+AL147*$AL$7+AM147*$AM$7+AN147*$AN$7+AO147*$AO$7+AP147*$AP$7+AQ147*$AQ$7+AR147*$AR$7+AS147*AT147+AG147*$AG$7</f>
        <v>0</v>
      </c>
      <c r="AV147" s="80">
        <f t="shared" si="92"/>
        <v>0</v>
      </c>
    </row>
    <row r="148" ht="20.5" customHeight="1" spans="1:48">
      <c r="A148" s="19">
        <v>140</v>
      </c>
      <c r="B148" s="93" t="s">
        <v>226</v>
      </c>
      <c r="C148" s="30">
        <f t="shared" ref="C148:AS148" si="96">C149+C155</f>
        <v>0</v>
      </c>
      <c r="D148" s="30">
        <f t="shared" si="96"/>
        <v>0</v>
      </c>
      <c r="E148" s="21">
        <f t="shared" si="96"/>
        <v>0</v>
      </c>
      <c r="F148" s="30">
        <f t="shared" si="96"/>
        <v>0</v>
      </c>
      <c r="G148" s="30">
        <f t="shared" si="96"/>
        <v>0</v>
      </c>
      <c r="H148" s="30">
        <f t="shared" si="96"/>
        <v>0</v>
      </c>
      <c r="I148" s="30">
        <f t="shared" si="96"/>
        <v>0</v>
      </c>
      <c r="J148" s="30">
        <f t="shared" si="96"/>
        <v>0</v>
      </c>
      <c r="K148" s="30">
        <f t="shared" si="96"/>
        <v>0</v>
      </c>
      <c r="L148" s="30">
        <f t="shared" si="96"/>
        <v>0</v>
      </c>
      <c r="M148" s="30">
        <f t="shared" si="96"/>
        <v>0</v>
      </c>
      <c r="N148" s="30">
        <f t="shared" si="96"/>
        <v>0</v>
      </c>
      <c r="O148" s="30">
        <f t="shared" si="96"/>
        <v>0</v>
      </c>
      <c r="P148" s="30">
        <f t="shared" si="96"/>
        <v>0</v>
      </c>
      <c r="Q148" s="30">
        <f t="shared" si="96"/>
        <v>0</v>
      </c>
      <c r="R148" s="30">
        <f t="shared" si="96"/>
        <v>0</v>
      </c>
      <c r="S148" s="30">
        <f t="shared" si="96"/>
        <v>0</v>
      </c>
      <c r="T148" s="30">
        <f t="shared" si="96"/>
        <v>0</v>
      </c>
      <c r="U148" s="30">
        <f t="shared" si="96"/>
        <v>0</v>
      </c>
      <c r="V148" s="30">
        <f t="shared" si="96"/>
        <v>0</v>
      </c>
      <c r="W148" s="30">
        <f t="shared" si="96"/>
        <v>0</v>
      </c>
      <c r="X148" s="30">
        <f t="shared" si="96"/>
        <v>0</v>
      </c>
      <c r="Y148" s="30">
        <f t="shared" si="96"/>
        <v>0</v>
      </c>
      <c r="Z148" s="30">
        <f t="shared" si="96"/>
        <v>0</v>
      </c>
      <c r="AA148" s="30">
        <f t="shared" si="96"/>
        <v>0</v>
      </c>
      <c r="AB148" s="30">
        <f t="shared" si="96"/>
        <v>0</v>
      </c>
      <c r="AC148" s="30">
        <f t="shared" si="96"/>
        <v>0</v>
      </c>
      <c r="AD148" s="30">
        <f t="shared" si="96"/>
        <v>0</v>
      </c>
      <c r="AE148" s="30">
        <f t="shared" si="96"/>
        <v>0</v>
      </c>
      <c r="AF148" s="30">
        <f t="shared" si="96"/>
        <v>0</v>
      </c>
      <c r="AG148" s="30">
        <f t="shared" si="96"/>
        <v>0</v>
      </c>
      <c r="AH148" s="30">
        <f t="shared" si="96"/>
        <v>0</v>
      </c>
      <c r="AI148" s="30">
        <f t="shared" si="96"/>
        <v>0</v>
      </c>
      <c r="AJ148" s="30">
        <f t="shared" si="96"/>
        <v>0</v>
      </c>
      <c r="AK148" s="30">
        <f t="shared" si="96"/>
        <v>0</v>
      </c>
      <c r="AL148" s="30">
        <f t="shared" si="96"/>
        <v>0</v>
      </c>
      <c r="AM148" s="30">
        <f t="shared" si="96"/>
        <v>0</v>
      </c>
      <c r="AN148" s="30">
        <f t="shared" si="96"/>
        <v>0</v>
      </c>
      <c r="AO148" s="30">
        <f t="shared" si="96"/>
        <v>0</v>
      </c>
      <c r="AP148" s="30">
        <f t="shared" si="96"/>
        <v>0</v>
      </c>
      <c r="AQ148" s="30">
        <f t="shared" si="96"/>
        <v>0</v>
      </c>
      <c r="AR148" s="30">
        <f t="shared" si="96"/>
        <v>0</v>
      </c>
      <c r="AS148" s="21">
        <f t="shared" si="96"/>
        <v>0</v>
      </c>
      <c r="AT148" s="79"/>
      <c r="AU148" s="21">
        <f>AU149+AU155</f>
        <v>0</v>
      </c>
      <c r="AV148" s="80">
        <f t="shared" si="92"/>
        <v>0</v>
      </c>
    </row>
    <row r="149" ht="20.5" customHeight="1" spans="1:48">
      <c r="A149" s="19">
        <v>141</v>
      </c>
      <c r="B149" s="31" t="s">
        <v>227</v>
      </c>
      <c r="C149" s="30">
        <f>C150+C151+C154</f>
        <v>0</v>
      </c>
      <c r="D149" s="99">
        <f>D150+D151+D154</f>
        <v>0</v>
      </c>
      <c r="E149" s="21">
        <f>E150+E151+E154</f>
        <v>0</v>
      </c>
      <c r="F149" s="99">
        <f>F150+F151+F154</f>
        <v>0</v>
      </c>
      <c r="G149" s="99">
        <f t="shared" ref="G149:AS149" si="97">G150+G151+G154</f>
        <v>0</v>
      </c>
      <c r="H149" s="99">
        <f t="shared" si="97"/>
        <v>0</v>
      </c>
      <c r="I149" s="99">
        <f t="shared" si="97"/>
        <v>0</v>
      </c>
      <c r="J149" s="99">
        <f t="shared" si="97"/>
        <v>0</v>
      </c>
      <c r="K149" s="99">
        <f t="shared" si="97"/>
        <v>0</v>
      </c>
      <c r="L149" s="99">
        <f t="shared" si="97"/>
        <v>0</v>
      </c>
      <c r="M149" s="99">
        <f t="shared" si="97"/>
        <v>0</v>
      </c>
      <c r="N149" s="99">
        <f t="shared" si="97"/>
        <v>0</v>
      </c>
      <c r="O149" s="99">
        <f t="shared" si="97"/>
        <v>0</v>
      </c>
      <c r="P149" s="99">
        <f t="shared" si="97"/>
        <v>0</v>
      </c>
      <c r="Q149" s="99">
        <f t="shared" si="97"/>
        <v>0</v>
      </c>
      <c r="R149" s="99">
        <f t="shared" si="97"/>
        <v>0</v>
      </c>
      <c r="S149" s="99">
        <f t="shared" si="97"/>
        <v>0</v>
      </c>
      <c r="T149" s="99">
        <f t="shared" si="97"/>
        <v>0</v>
      </c>
      <c r="U149" s="99">
        <f t="shared" si="97"/>
        <v>0</v>
      </c>
      <c r="V149" s="99">
        <f t="shared" si="97"/>
        <v>0</v>
      </c>
      <c r="W149" s="99">
        <f t="shared" si="97"/>
        <v>0</v>
      </c>
      <c r="X149" s="99">
        <f t="shared" si="97"/>
        <v>0</v>
      </c>
      <c r="Y149" s="99">
        <f t="shared" si="97"/>
        <v>0</v>
      </c>
      <c r="Z149" s="99">
        <f t="shared" si="97"/>
        <v>0</v>
      </c>
      <c r="AA149" s="99">
        <f t="shared" si="97"/>
        <v>0</v>
      </c>
      <c r="AB149" s="99">
        <f t="shared" si="97"/>
        <v>0</v>
      </c>
      <c r="AC149" s="99">
        <f t="shared" si="97"/>
        <v>0</v>
      </c>
      <c r="AD149" s="99">
        <f t="shared" si="97"/>
        <v>0</v>
      </c>
      <c r="AE149" s="99">
        <f t="shared" si="97"/>
        <v>0</v>
      </c>
      <c r="AF149" s="99">
        <f t="shared" si="97"/>
        <v>0</v>
      </c>
      <c r="AG149" s="99">
        <f t="shared" si="97"/>
        <v>0</v>
      </c>
      <c r="AH149" s="99">
        <f t="shared" si="97"/>
        <v>0</v>
      </c>
      <c r="AI149" s="99">
        <f t="shared" si="97"/>
        <v>0</v>
      </c>
      <c r="AJ149" s="99">
        <f t="shared" si="97"/>
        <v>0</v>
      </c>
      <c r="AK149" s="99">
        <f t="shared" si="97"/>
        <v>0</v>
      </c>
      <c r="AL149" s="99">
        <f t="shared" si="97"/>
        <v>0</v>
      </c>
      <c r="AM149" s="99">
        <f t="shared" si="97"/>
        <v>0</v>
      </c>
      <c r="AN149" s="99">
        <f t="shared" si="97"/>
        <v>0</v>
      </c>
      <c r="AO149" s="99">
        <f t="shared" si="97"/>
        <v>0</v>
      </c>
      <c r="AP149" s="99">
        <f t="shared" si="97"/>
        <v>0</v>
      </c>
      <c r="AQ149" s="99">
        <f t="shared" si="97"/>
        <v>0</v>
      </c>
      <c r="AR149" s="99">
        <f t="shared" si="97"/>
        <v>0</v>
      </c>
      <c r="AS149" s="21">
        <f t="shared" si="97"/>
        <v>0</v>
      </c>
      <c r="AT149" s="79"/>
      <c r="AU149" s="21">
        <f>AU150+AU151+AU154</f>
        <v>0</v>
      </c>
      <c r="AV149" s="80">
        <f t="shared" si="92"/>
        <v>0</v>
      </c>
    </row>
    <row r="150" ht="20.5" customHeight="1" spans="1:48">
      <c r="A150" s="19">
        <v>142</v>
      </c>
      <c r="B150" s="27" t="s">
        <v>228</v>
      </c>
      <c r="C150" s="23"/>
      <c r="D150" s="23"/>
      <c r="E150" s="21">
        <f t="shared" ref="E150:E155" si="98">C150-D150</f>
        <v>0</v>
      </c>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68"/>
      <c r="AF150" s="23"/>
      <c r="AG150" s="23"/>
      <c r="AH150" s="23"/>
      <c r="AI150" s="23"/>
      <c r="AJ150" s="23"/>
      <c r="AK150" s="23"/>
      <c r="AL150" s="23"/>
      <c r="AM150" s="23"/>
      <c r="AN150" s="23"/>
      <c r="AO150" s="23"/>
      <c r="AP150" s="23"/>
      <c r="AQ150" s="23"/>
      <c r="AR150" s="23"/>
      <c r="AS150" s="21">
        <f>IF(E150-G150-H150-I150-J150-K150-L150-M150-N150-O150-P150-Q150-R150-S150-T150-U150-V150-W150-X150-Y150-Z150-AA150-AB150-AC150-AD150-AE150-AF150-AG150-AH150-AI150-AJ150-AK150-AL150-AM150-AN150-AO150-AP150-AQ150-AR150&lt;0,0,E150-G150-H150-I150-J150-K150-L150-M150-N150-O150-P150-Q150-R150-S150-T150-U150-V150-W150-X150-Y150-Z150-AA150-AB150-AC150-AD150-AE150-AF150-AG150-AH150-AI150-AJ150-AK150-AL150-AM150-AN150-AO150-AP150-AQ150-AR150)</f>
        <v>0</v>
      </c>
      <c r="AT150" s="82">
        <v>0.75</v>
      </c>
      <c r="AU150" s="83">
        <f>G150*$G$7+H150*$H$7+I150*$I$7+J150*$J$7+K150*$K$7+L150*$L$7+M150*$M$7+N150*$N$7+O150*$O$7+P150*$P$7+Q150*$Q$7+R150*$R$7+S150*$S$7+T150*$T$7+U150*$U$7+V150*$V$7+W150*$W$7+X150*$X$7+Y150*$Y$7++Z150*$Z$7+AA150*$AA$7+AB150*$AB$7+AC150*$AC$7+AD150*$AD$7+AE150*$AE$7+AF150*$AF$7+AH150*$AH$7+AI150*$AI$7+AJ150*$AJ$7+AK150*$AK$7+AL150*$AL$7+AM150*$AM$7+AN150*$AN$7+AO150*$AO$7+AP150*$AP$7+AQ150*$AQ$7+AR150*$AR$7+AS150*AT150+AG150*$AG$7</f>
        <v>0</v>
      </c>
      <c r="AV150" s="80">
        <f t="shared" si="92"/>
        <v>0</v>
      </c>
    </row>
    <row r="151" ht="20.5" customHeight="1" spans="1:48">
      <c r="A151" s="19">
        <v>143</v>
      </c>
      <c r="B151" s="27" t="s">
        <v>229</v>
      </c>
      <c r="C151" s="100">
        <f t="shared" ref="C151:AR151" si="99">C152+C153</f>
        <v>0</v>
      </c>
      <c r="D151" s="100">
        <f t="shared" si="99"/>
        <v>0</v>
      </c>
      <c r="E151" s="21">
        <f>SUM(E152:E153)</f>
        <v>0</v>
      </c>
      <c r="F151" s="100">
        <f t="shared" si="99"/>
        <v>0</v>
      </c>
      <c r="G151" s="100">
        <f t="shared" si="99"/>
        <v>0</v>
      </c>
      <c r="H151" s="100">
        <f t="shared" si="99"/>
        <v>0</v>
      </c>
      <c r="I151" s="100">
        <f t="shared" si="99"/>
        <v>0</v>
      </c>
      <c r="J151" s="100">
        <f t="shared" si="99"/>
        <v>0</v>
      </c>
      <c r="K151" s="100">
        <f t="shared" si="99"/>
        <v>0</v>
      </c>
      <c r="L151" s="100">
        <f t="shared" si="99"/>
        <v>0</v>
      </c>
      <c r="M151" s="100">
        <f t="shared" si="99"/>
        <v>0</v>
      </c>
      <c r="N151" s="100">
        <f t="shared" si="99"/>
        <v>0</v>
      </c>
      <c r="O151" s="100">
        <f t="shared" si="99"/>
        <v>0</v>
      </c>
      <c r="P151" s="100">
        <f t="shared" si="99"/>
        <v>0</v>
      </c>
      <c r="Q151" s="100">
        <f t="shared" si="99"/>
        <v>0</v>
      </c>
      <c r="R151" s="100">
        <f t="shared" si="99"/>
        <v>0</v>
      </c>
      <c r="S151" s="100">
        <f t="shared" si="99"/>
        <v>0</v>
      </c>
      <c r="T151" s="100">
        <f t="shared" si="99"/>
        <v>0</v>
      </c>
      <c r="U151" s="100">
        <f t="shared" si="99"/>
        <v>0</v>
      </c>
      <c r="V151" s="100">
        <f t="shared" si="99"/>
        <v>0</v>
      </c>
      <c r="W151" s="100">
        <f t="shared" si="99"/>
        <v>0</v>
      </c>
      <c r="X151" s="100">
        <f t="shared" si="99"/>
        <v>0</v>
      </c>
      <c r="Y151" s="100">
        <f t="shared" si="99"/>
        <v>0</v>
      </c>
      <c r="Z151" s="100">
        <f t="shared" si="99"/>
        <v>0</v>
      </c>
      <c r="AA151" s="100">
        <f t="shared" si="99"/>
        <v>0</v>
      </c>
      <c r="AB151" s="100">
        <f t="shared" si="99"/>
        <v>0</v>
      </c>
      <c r="AC151" s="100">
        <f t="shared" si="99"/>
        <v>0</v>
      </c>
      <c r="AD151" s="100">
        <f t="shared" si="99"/>
        <v>0</v>
      </c>
      <c r="AE151" s="100">
        <f t="shared" si="99"/>
        <v>0</v>
      </c>
      <c r="AF151" s="100">
        <f t="shared" si="99"/>
        <v>0</v>
      </c>
      <c r="AG151" s="100">
        <f t="shared" si="99"/>
        <v>0</v>
      </c>
      <c r="AH151" s="100">
        <f t="shared" si="99"/>
        <v>0</v>
      </c>
      <c r="AI151" s="100">
        <f t="shared" si="99"/>
        <v>0</v>
      </c>
      <c r="AJ151" s="100">
        <f t="shared" si="99"/>
        <v>0</v>
      </c>
      <c r="AK151" s="100">
        <f t="shared" si="99"/>
        <v>0</v>
      </c>
      <c r="AL151" s="100">
        <f t="shared" si="99"/>
        <v>0</v>
      </c>
      <c r="AM151" s="100">
        <f t="shared" si="99"/>
        <v>0</v>
      </c>
      <c r="AN151" s="100">
        <f t="shared" si="99"/>
        <v>0</v>
      </c>
      <c r="AO151" s="100">
        <f t="shared" si="99"/>
        <v>0</v>
      </c>
      <c r="AP151" s="100">
        <f t="shared" si="99"/>
        <v>0</v>
      </c>
      <c r="AQ151" s="100">
        <f t="shared" si="99"/>
        <v>0</v>
      </c>
      <c r="AR151" s="100">
        <f t="shared" si="99"/>
        <v>0</v>
      </c>
      <c r="AS151" s="21">
        <f>SUM(AS152:AS153)</f>
        <v>0</v>
      </c>
      <c r="AT151" s="79"/>
      <c r="AU151" s="21">
        <f>SUM(AU152:AU153)</f>
        <v>0</v>
      </c>
      <c r="AV151" s="80">
        <f t="shared" si="92"/>
        <v>0</v>
      </c>
    </row>
    <row r="152" ht="20.5" customHeight="1" spans="1:48">
      <c r="A152" s="19">
        <v>144</v>
      </c>
      <c r="B152" s="96" t="s">
        <v>230</v>
      </c>
      <c r="C152" s="23"/>
      <c r="D152" s="23"/>
      <c r="E152" s="21">
        <f t="shared" si="98"/>
        <v>0</v>
      </c>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1">
        <f>IF(E152-G152-H152-I152-J152-K152-L152-M152-N152-O152-P152-Q152-R152-S152-T152-U152-V152-W152-X152-Y152-Z152-AA152-AB152-AC152-AD152-AE152-AF152-AG152-AH152-AI152-AJ152-AK152-AL152-AM152-AN152-AO152-AP152-AQ152-AR152&lt;0,0,E152-G152-H152-I152-J152-K152-L152-M152-N152-O152-P152-Q152-R152-S152-T152-U152-V152-W152-X152-Y152-Z152-AA152-AB152-AC152-AD152-AE152-AF152-AG152-AH152-AI152-AJ152-AK152-AL152-AM152-AN152-AO152-AP152-AQ152-AR152)</f>
        <v>0</v>
      </c>
      <c r="AT152" s="82">
        <v>0.9</v>
      </c>
      <c r="AU152" s="83">
        <f>G152*$G$7+H152*$H$7+I152*$I$7+J152*$J$7+K152*$K$7+L152*$L$7+M152*$M$7+N152*$N$7+O152*$O$7+P152*$P$7+Q152*$Q$7+R152*$R$7+S152*$S$7+T152*$T$7+U152*$U$7+V152*$V$7+W152*$W$7+X152*$X$7+Y152*$Y$7++Z152*$Z$7+AA152*$AA$7+AB152*$AB$7+AC152*$AC$7+AD152*$AD$7+AE152*$AE$7+AF152*$AF$7+AH152*$AH$7+AI152*$AI$7+AJ152*$AJ$7+AK152*$AK$7+AL152*$AL$7+AM152*$AM$7+AN152*$AN$7+AO152*$AO$7+AP152*$AP$7+AQ152*$AQ$7+AR152*$AR$7+AS152*AT152+AG152*$AG$7</f>
        <v>0</v>
      </c>
      <c r="AV152" s="80">
        <f t="shared" si="92"/>
        <v>0</v>
      </c>
    </row>
    <row r="153" ht="20.5" customHeight="1" spans="1:48">
      <c r="A153" s="19">
        <v>145</v>
      </c>
      <c r="B153" s="96" t="s">
        <v>231</v>
      </c>
      <c r="C153" s="23"/>
      <c r="D153" s="23"/>
      <c r="E153" s="21">
        <f t="shared" si="98"/>
        <v>0</v>
      </c>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68"/>
      <c r="AF153" s="23"/>
      <c r="AG153" s="23"/>
      <c r="AH153" s="23"/>
      <c r="AI153" s="23"/>
      <c r="AJ153" s="23"/>
      <c r="AK153" s="23"/>
      <c r="AL153" s="23"/>
      <c r="AM153" s="23"/>
      <c r="AN153" s="23"/>
      <c r="AO153" s="23"/>
      <c r="AP153" s="23"/>
      <c r="AQ153" s="23"/>
      <c r="AR153" s="23"/>
      <c r="AS153" s="21">
        <f>IF(E153-G153-H153-I153-J153-K153-L153-M153-N153-O153-P153-Q153-R153-S153-T153-U153-V153-W153-X153-Y153-Z153-AA153-AB153-AC153-AD153-AE153-AF153-AG153-AH153-AI153-AJ153-AK153-AL153-AM153-AN153-AO153-AP153-AQ153-AR153&lt;0,0,E153-G153-H153-I153-J153-K153-L153-M153-N153-O153-P153-Q153-R153-S153-T153-U153-V153-W153-X153-Y153-Z153-AA153-AB153-AC153-AD153-AE153-AF153-AG153-AH153-AI153-AJ153-AK153-AL153-AM153-AN153-AO153-AP153-AQ153-AR153)</f>
        <v>0</v>
      </c>
      <c r="AT153" s="82">
        <v>1</v>
      </c>
      <c r="AU153" s="83">
        <f>G153*$G$7+H153*$H$7+I153*$I$7+J153*$J$7+K153*$K$7+L153*$L$7+M153*$M$7+N153*$N$7+O153*$O$7+P153*$P$7+Q153*$Q$7+R153*$R$7+S153*$S$7+T153*$T$7+U153*$U$7+V153*$V$7+W153*$W$7+X153*$X$7+Y153*$Y$7++Z153*$Z$7+AA153*$AA$7+AB153*$AB$7+AC153*$AC$7+AD153*$AD$7+AE153*$AE$7+AF153*$AF$7+AH153*$AH$7+AI153*$AI$7+AJ153*$AJ$7+AK153*$AK$7+AL153*$AL$7+AM153*$AM$7+AN153*$AN$7+AO153*$AO$7+AP153*$AP$7+AQ153*$AQ$7+AR153*$AR$7+AS153*AT153+AG153*$AG$7</f>
        <v>0</v>
      </c>
      <c r="AV153" s="80">
        <f t="shared" si="92"/>
        <v>0</v>
      </c>
    </row>
    <row r="154" ht="20.5" customHeight="1" spans="1:48">
      <c r="A154" s="19">
        <v>146</v>
      </c>
      <c r="B154" s="27" t="s">
        <v>232</v>
      </c>
      <c r="C154" s="23"/>
      <c r="D154" s="23"/>
      <c r="E154" s="21">
        <f t="shared" si="98"/>
        <v>0</v>
      </c>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68"/>
      <c r="AF154" s="23"/>
      <c r="AG154" s="23"/>
      <c r="AH154" s="23"/>
      <c r="AI154" s="23"/>
      <c r="AJ154" s="23"/>
      <c r="AK154" s="23"/>
      <c r="AL154" s="23"/>
      <c r="AM154" s="23"/>
      <c r="AN154" s="23"/>
      <c r="AO154" s="23"/>
      <c r="AP154" s="23"/>
      <c r="AQ154" s="23"/>
      <c r="AR154" s="23"/>
      <c r="AS154" s="21">
        <f>IF(E154-G154-H154-I154-J154-K154-L154-M154-N154-O154-P154-Q154-R154-S154-T154-U154-V154-W154-X154-Y154-Z154-AA154-AB154-AC154-AD154-AE154-AF154-AG154-AH154-AI154-AJ154-AK154-AL154-AM154-AN154-AO154-AP154-AQ154-AR154&lt;0,0,E154-G154-H154-I154-J154-K154-L154-M154-N154-O154-P154-Q154-R154-S154-T154-U154-V154-W154-X154-Y154-Z154-AA154-AB154-AC154-AD154-AE154-AF154-AG154-AH154-AI154-AJ154-AK154-AL154-AM154-AN154-AO154-AP154-AQ154-AR154)</f>
        <v>0</v>
      </c>
      <c r="AT154" s="82">
        <v>1.1</v>
      </c>
      <c r="AU154" s="83">
        <f>G154*$G$7+H154*$H$7+I154*$I$7+J154*$J$7+K154*$K$7+L154*$L$7+M154*$M$7+N154*$N$7+O154*$O$7+P154*$P$7+Q154*$Q$7+R154*$R$7+S154*$S$7+T154*$T$7+U154*$U$7+V154*$V$7+W154*$W$7+X154*$X$7+Y154*$Y$7++Z154*$Z$7+AA154*$AA$7+AB154*$AB$7+AC154*$AC$7+AD154*$AD$7+AE154*$AE$7+AF154*$AF$7+AH154*$AH$7+AI154*$AI$7+AJ154*$AJ$7+AK154*$AK$7+AL154*$AL$7+AM154*$AM$7+AN154*$AN$7+AO154*$AO$7+AP154*$AP$7+AQ154*$AQ$7+AR154*$AR$7+AS154*AT154+AG154*$AG$7</f>
        <v>0</v>
      </c>
      <c r="AV154" s="80">
        <f t="shared" si="92"/>
        <v>0</v>
      </c>
    </row>
    <row r="155" ht="20.5" customHeight="1" spans="1:48">
      <c r="A155" s="19">
        <v>147</v>
      </c>
      <c r="B155" s="31" t="s">
        <v>233</v>
      </c>
      <c r="C155" s="23"/>
      <c r="D155" s="23"/>
      <c r="E155" s="21">
        <f t="shared" si="98"/>
        <v>0</v>
      </c>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68"/>
      <c r="AF155" s="23"/>
      <c r="AG155" s="23"/>
      <c r="AH155" s="23"/>
      <c r="AI155" s="23"/>
      <c r="AJ155" s="23"/>
      <c r="AK155" s="23"/>
      <c r="AL155" s="23"/>
      <c r="AM155" s="23"/>
      <c r="AN155" s="23"/>
      <c r="AO155" s="23"/>
      <c r="AP155" s="23"/>
      <c r="AQ155" s="23"/>
      <c r="AR155" s="23"/>
      <c r="AS155" s="21">
        <f>IF(E155-G155-H155-I155-J155-K155-L155-M155-N155-O155-P155-Q155-R155-S155-T155-U155-V155-W155-X155-Y155-Z155-AA155-AB155-AC155-AD155-AE155-AF155-AG155-AH155-AI155-AJ155-AK155-AL155-AM155-AN155-AO155-AP155-AQ155-AR155&lt;0,0,E155-G155-H155-I155-J155-K155-L155-M155-N155-O155-P155-Q155-R155-S155-T155-U155-V155-W155-X155-Y155-Z155-AA155-AB155-AC155-AD155-AE155-AF155-AG155-AH155-AI155-AJ155-AK155-AL155-AM155-AN155-AO155-AP155-AQ155-AR155)</f>
        <v>0</v>
      </c>
      <c r="AT155" s="82">
        <v>1.5</v>
      </c>
      <c r="AU155" s="83">
        <f>G155*$G$7+H155*$H$7+I155*$I$7+J155*$J$7+K155*$K$7+L155*$L$7+M155*$M$7+N155*$N$7+O155*$O$7+P155*$P$7+Q155*$Q$7+R155*$R$7+S155*$S$7+T155*$T$7+U155*$U$7+V155*$V$7+W155*$W$7+X155*$X$7+Y155*$Y$7++Z155*$Z$7+AA155*$AA$7+AB155*$AB$7+AC155*$AC$7+AD155*$AD$7+AE155*$AE$7+AF155*$AF$7+AH155*$AH$7+AI155*$AI$7+AJ155*$AJ$7+AK155*$AK$7+AL155*$AL$7+AM155*$AM$7+AN155*$AN$7+AO155*$AO$7+AP155*$AP$7+AQ155*$AQ$7+AR155*$AR$7+AS155*AT155+AG155*$AG$7</f>
        <v>0</v>
      </c>
      <c r="AV155" s="80">
        <f t="shared" si="92"/>
        <v>0</v>
      </c>
    </row>
    <row r="156" ht="20.5" customHeight="1" spans="1:48">
      <c r="A156" s="19">
        <v>148</v>
      </c>
      <c r="B156" s="24" t="s">
        <v>234</v>
      </c>
      <c r="C156" s="100">
        <f t="shared" ref="C156:AS156" si="100">C157+C158</f>
        <v>0</v>
      </c>
      <c r="D156" s="100">
        <f t="shared" si="100"/>
        <v>0</v>
      </c>
      <c r="E156" s="100">
        <f t="shared" si="100"/>
        <v>0</v>
      </c>
      <c r="F156" s="100">
        <f t="shared" si="100"/>
        <v>0</v>
      </c>
      <c r="G156" s="100">
        <f t="shared" si="100"/>
        <v>0</v>
      </c>
      <c r="H156" s="100">
        <f t="shared" si="100"/>
        <v>0</v>
      </c>
      <c r="I156" s="100">
        <f t="shared" si="100"/>
        <v>0</v>
      </c>
      <c r="J156" s="100">
        <f t="shared" si="100"/>
        <v>0</v>
      </c>
      <c r="K156" s="100">
        <f t="shared" si="100"/>
        <v>0</v>
      </c>
      <c r="L156" s="100">
        <f t="shared" si="100"/>
        <v>0</v>
      </c>
      <c r="M156" s="100">
        <f t="shared" si="100"/>
        <v>0</v>
      </c>
      <c r="N156" s="100">
        <f t="shared" si="100"/>
        <v>0</v>
      </c>
      <c r="O156" s="100">
        <f t="shared" si="100"/>
        <v>0</v>
      </c>
      <c r="P156" s="100">
        <f t="shared" si="100"/>
        <v>0</v>
      </c>
      <c r="Q156" s="100">
        <f t="shared" si="100"/>
        <v>0</v>
      </c>
      <c r="R156" s="100">
        <f t="shared" si="100"/>
        <v>0</v>
      </c>
      <c r="S156" s="100">
        <f t="shared" si="100"/>
        <v>0</v>
      </c>
      <c r="T156" s="100">
        <f t="shared" si="100"/>
        <v>0</v>
      </c>
      <c r="U156" s="100">
        <f t="shared" si="100"/>
        <v>0</v>
      </c>
      <c r="V156" s="100">
        <f t="shared" si="100"/>
        <v>0</v>
      </c>
      <c r="W156" s="100">
        <f t="shared" si="100"/>
        <v>0</v>
      </c>
      <c r="X156" s="100">
        <f t="shared" si="100"/>
        <v>0</v>
      </c>
      <c r="Y156" s="100">
        <f t="shared" si="100"/>
        <v>0</v>
      </c>
      <c r="Z156" s="100">
        <f t="shared" si="100"/>
        <v>0</v>
      </c>
      <c r="AA156" s="100">
        <f t="shared" si="100"/>
        <v>0</v>
      </c>
      <c r="AB156" s="100">
        <f t="shared" si="100"/>
        <v>0</v>
      </c>
      <c r="AC156" s="100">
        <f t="shared" si="100"/>
        <v>0</v>
      </c>
      <c r="AD156" s="100">
        <f t="shared" si="100"/>
        <v>0</v>
      </c>
      <c r="AE156" s="100">
        <f t="shared" si="100"/>
        <v>0</v>
      </c>
      <c r="AF156" s="100">
        <f t="shared" si="100"/>
        <v>0</v>
      </c>
      <c r="AG156" s="100">
        <f t="shared" si="100"/>
        <v>0</v>
      </c>
      <c r="AH156" s="100">
        <f t="shared" si="100"/>
        <v>0</v>
      </c>
      <c r="AI156" s="100">
        <f t="shared" si="100"/>
        <v>0</v>
      </c>
      <c r="AJ156" s="100">
        <f t="shared" si="100"/>
        <v>0</v>
      </c>
      <c r="AK156" s="100">
        <f t="shared" si="100"/>
        <v>0</v>
      </c>
      <c r="AL156" s="100">
        <f t="shared" si="100"/>
        <v>0</v>
      </c>
      <c r="AM156" s="100">
        <f t="shared" si="100"/>
        <v>0</v>
      </c>
      <c r="AN156" s="100">
        <f t="shared" si="100"/>
        <v>0</v>
      </c>
      <c r="AO156" s="100">
        <f t="shared" si="100"/>
        <v>0</v>
      </c>
      <c r="AP156" s="100">
        <f t="shared" si="100"/>
        <v>0</v>
      </c>
      <c r="AQ156" s="100">
        <f t="shared" si="100"/>
        <v>0</v>
      </c>
      <c r="AR156" s="100">
        <f t="shared" si="100"/>
        <v>0</v>
      </c>
      <c r="AS156" s="21">
        <f t="shared" si="100"/>
        <v>0</v>
      </c>
      <c r="AT156" s="79"/>
      <c r="AU156" s="21">
        <f>AU157+AU158</f>
        <v>0</v>
      </c>
      <c r="AV156" s="80">
        <f t="shared" si="92"/>
        <v>0</v>
      </c>
    </row>
    <row r="157" ht="20.5" customHeight="1" spans="1:48">
      <c r="A157" s="19">
        <v>149</v>
      </c>
      <c r="B157" s="94" t="s">
        <v>235</v>
      </c>
      <c r="C157" s="23"/>
      <c r="D157" s="23"/>
      <c r="E157" s="21">
        <f t="shared" ref="E157:E167" si="101">C157-D157</f>
        <v>0</v>
      </c>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68"/>
      <c r="AF157" s="23"/>
      <c r="AG157" s="23"/>
      <c r="AH157" s="23"/>
      <c r="AI157" s="23"/>
      <c r="AJ157" s="23"/>
      <c r="AK157" s="23"/>
      <c r="AL157" s="23"/>
      <c r="AM157" s="23"/>
      <c r="AN157" s="23"/>
      <c r="AO157" s="23"/>
      <c r="AP157" s="23"/>
      <c r="AQ157" s="23"/>
      <c r="AR157" s="23"/>
      <c r="AS157" s="21">
        <f>IF(E157-G157-H157-I157-J157-K157-L157-M157-N157-O157-P157-Q157-R157-S157-T157-U157-V157-W157-X157-Y157-Z157-AA157-AB157-AC157-AD157-AE157-AF157-AG157-AH157-AI157-AJ157-AK157-AL157-AM157-AN157-AO157-AP157-AQ157-AR157&lt;0,0,E157-G157-H157-I157-J157-K157-L157-M157-N157-O157-P157-Q157-R157-S157-T157-U157-V157-W157-X157-Y157-Z157-AA157-AB157-AC157-AD157-AE157-AF157-AG157-AH157-AI157-AJ157-AK157-AL157-AM157-AN157-AO157-AP157-AQ157-AR157)</f>
        <v>0</v>
      </c>
      <c r="AT157" s="82">
        <v>1</v>
      </c>
      <c r="AU157" s="83">
        <f>G157*$G$7+H157*$H$7+I157*$I$7+J157*$J$7+K157*$K$7+L157*$L$7+M157*$M$7+N157*$N$7+O157*$O$7+P157*$P$7+Q157*$Q$7+R157*$R$7+S157*$S$7+T157*$T$7+U157*$U$7+V157*$V$7+W157*$W$7+X157*$X$7+Y157*$Y$7++Z157*$Z$7+AA157*$AA$7+AB157*$AB$7+AC157*$AC$7+AD157*$AD$7+AE157*$AE$7+AF157*$AF$7+AH157*$AH$7+AI157*$AI$7+AJ157*$AJ$7+AK157*$AK$7+AL157*$AL$7+AM157*$AM$7+AN157*$AN$7+AO157*$AO$7+AP157*$AP$7+AQ157*$AQ$7+AR157*$AR$7+AS157*AT157+AG157*$AG$7</f>
        <v>0</v>
      </c>
      <c r="AV157" s="80">
        <f t="shared" si="92"/>
        <v>0</v>
      </c>
    </row>
    <row r="158" ht="20.5" customHeight="1" spans="1:48">
      <c r="A158" s="19">
        <v>150</v>
      </c>
      <c r="B158" s="94" t="s">
        <v>391</v>
      </c>
      <c r="C158" s="100">
        <f t="shared" ref="C158:AS158" si="102">C159+C160</f>
        <v>0</v>
      </c>
      <c r="D158" s="100">
        <f t="shared" si="102"/>
        <v>0</v>
      </c>
      <c r="E158" s="100">
        <f t="shared" si="102"/>
        <v>0</v>
      </c>
      <c r="F158" s="100">
        <f t="shared" si="102"/>
        <v>0</v>
      </c>
      <c r="G158" s="100">
        <f t="shared" si="102"/>
        <v>0</v>
      </c>
      <c r="H158" s="100">
        <f t="shared" si="102"/>
        <v>0</v>
      </c>
      <c r="I158" s="100">
        <f t="shared" si="102"/>
        <v>0</v>
      </c>
      <c r="J158" s="100">
        <f t="shared" si="102"/>
        <v>0</v>
      </c>
      <c r="K158" s="100">
        <f t="shared" si="102"/>
        <v>0</v>
      </c>
      <c r="L158" s="100">
        <f t="shared" si="102"/>
        <v>0</v>
      </c>
      <c r="M158" s="100">
        <f t="shared" si="102"/>
        <v>0</v>
      </c>
      <c r="N158" s="100">
        <f t="shared" si="102"/>
        <v>0</v>
      </c>
      <c r="O158" s="100">
        <f t="shared" si="102"/>
        <v>0</v>
      </c>
      <c r="P158" s="100">
        <f t="shared" si="102"/>
        <v>0</v>
      </c>
      <c r="Q158" s="100">
        <f t="shared" si="102"/>
        <v>0</v>
      </c>
      <c r="R158" s="100">
        <f t="shared" si="102"/>
        <v>0</v>
      </c>
      <c r="S158" s="100">
        <f t="shared" si="102"/>
        <v>0</v>
      </c>
      <c r="T158" s="100">
        <f t="shared" si="102"/>
        <v>0</v>
      </c>
      <c r="U158" s="100">
        <f t="shared" si="102"/>
        <v>0</v>
      </c>
      <c r="V158" s="100">
        <f t="shared" si="102"/>
        <v>0</v>
      </c>
      <c r="W158" s="100">
        <f t="shared" si="102"/>
        <v>0</v>
      </c>
      <c r="X158" s="100">
        <f t="shared" si="102"/>
        <v>0</v>
      </c>
      <c r="Y158" s="100">
        <f t="shared" si="102"/>
        <v>0</v>
      </c>
      <c r="Z158" s="100">
        <f t="shared" si="102"/>
        <v>0</v>
      </c>
      <c r="AA158" s="100">
        <f t="shared" si="102"/>
        <v>0</v>
      </c>
      <c r="AB158" s="100">
        <f t="shared" si="102"/>
        <v>0</v>
      </c>
      <c r="AC158" s="100">
        <f t="shared" si="102"/>
        <v>0</v>
      </c>
      <c r="AD158" s="100">
        <f t="shared" si="102"/>
        <v>0</v>
      </c>
      <c r="AE158" s="100">
        <f t="shared" si="102"/>
        <v>0</v>
      </c>
      <c r="AF158" s="100">
        <f t="shared" si="102"/>
        <v>0</v>
      </c>
      <c r="AG158" s="100">
        <f t="shared" si="102"/>
        <v>0</v>
      </c>
      <c r="AH158" s="100">
        <f t="shared" si="102"/>
        <v>0</v>
      </c>
      <c r="AI158" s="100">
        <f t="shared" si="102"/>
        <v>0</v>
      </c>
      <c r="AJ158" s="100">
        <f t="shared" si="102"/>
        <v>0</v>
      </c>
      <c r="AK158" s="100">
        <f t="shared" si="102"/>
        <v>0</v>
      </c>
      <c r="AL158" s="100">
        <f t="shared" si="102"/>
        <v>0</v>
      </c>
      <c r="AM158" s="100">
        <f t="shared" si="102"/>
        <v>0</v>
      </c>
      <c r="AN158" s="100">
        <f t="shared" si="102"/>
        <v>0</v>
      </c>
      <c r="AO158" s="100">
        <f t="shared" si="102"/>
        <v>0</v>
      </c>
      <c r="AP158" s="100">
        <f t="shared" si="102"/>
        <v>0</v>
      </c>
      <c r="AQ158" s="100">
        <f t="shared" si="102"/>
        <v>0</v>
      </c>
      <c r="AR158" s="100">
        <f t="shared" si="102"/>
        <v>0</v>
      </c>
      <c r="AS158" s="21">
        <f t="shared" si="102"/>
        <v>0</v>
      </c>
      <c r="AT158" s="79"/>
      <c r="AU158" s="21">
        <f>AU159+AU160</f>
        <v>0</v>
      </c>
      <c r="AV158" s="80">
        <f t="shared" si="92"/>
        <v>0</v>
      </c>
    </row>
    <row r="159" ht="20.5" customHeight="1" spans="1:48">
      <c r="A159" s="19">
        <v>151</v>
      </c>
      <c r="B159" s="31" t="s">
        <v>392</v>
      </c>
      <c r="C159" s="23"/>
      <c r="D159" s="23"/>
      <c r="E159" s="21">
        <f t="shared" si="101"/>
        <v>0</v>
      </c>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68"/>
      <c r="AF159" s="23"/>
      <c r="AG159" s="23"/>
      <c r="AH159" s="23"/>
      <c r="AI159" s="23"/>
      <c r="AJ159" s="23"/>
      <c r="AK159" s="23"/>
      <c r="AL159" s="23"/>
      <c r="AM159" s="23"/>
      <c r="AN159" s="23"/>
      <c r="AO159" s="23"/>
      <c r="AP159" s="23"/>
      <c r="AQ159" s="23"/>
      <c r="AR159" s="23"/>
      <c r="AS159" s="21">
        <f>IF(E159-G159-H159-I159-J159-K159-L159-M159-N159-O159-P159-Q159-R159-S159-T159-U159-V159-W159-X159-Y159-Z159-AA159-AB159-AC159-AD159-AE159-AF159-AG159-AH159-AI159-AJ159-AK159-AL159-AM159-AN159-AO159-AP159-AQ159-AR159&lt;0,0,E159-G159-H159-I159-J159-K159-L159-M159-N159-O159-P159-Q159-R159-S159-T159-U159-V159-W159-X159-Y159-Z159-AA159-AB159-AC159-AD159-AE159-AF159-AG159-AH159-AI159-AJ159-AK159-AL159-AM159-AN159-AO159-AP159-AQ159-AR159)</f>
        <v>0</v>
      </c>
      <c r="AT159" s="82">
        <v>1</v>
      </c>
      <c r="AU159" s="83">
        <f>G159*$G$7+H159*$H$7+I159*$I$7+J159*$J$7+K159*$K$7+L159*$L$7+M159*$M$7+N159*$N$7+O159*$O$7+P159*$P$7+Q159*$Q$7+R159*$R$7+S159*$S$7+T159*$T$7+U159*$U$7+V159*$V$7+W159*$W$7+X159*$X$7+Y159*$Y$7++Z159*$Z$7+AA159*$AA$7+AB159*$AB$7+AC159*$AC$7+AD159*$AD$7+AE159*$AE$7+AF159*$AF$7+AH159*$AH$7+AI159*$AI$7+AJ159*$AJ$7+AK159*$AK$7+AL159*$AL$7+AM159*$AM$7+AN159*$AN$7+AO159*$AO$7+AP159*$AP$7+AQ159*$AQ$7+AR159*$AR$7+AS159*AT159+AG159*$AG$7</f>
        <v>0</v>
      </c>
      <c r="AV159" s="80">
        <f t="shared" si="92"/>
        <v>0</v>
      </c>
    </row>
    <row r="160" ht="20.5" customHeight="1" spans="1:48">
      <c r="A160" s="19">
        <v>152</v>
      </c>
      <c r="B160" s="31" t="s">
        <v>393</v>
      </c>
      <c r="C160" s="23"/>
      <c r="D160" s="23"/>
      <c r="E160" s="21">
        <f t="shared" si="101"/>
        <v>0</v>
      </c>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68"/>
      <c r="AF160" s="23"/>
      <c r="AG160" s="23"/>
      <c r="AH160" s="23"/>
      <c r="AI160" s="23"/>
      <c r="AJ160" s="23"/>
      <c r="AK160" s="23"/>
      <c r="AL160" s="23"/>
      <c r="AM160" s="23"/>
      <c r="AN160" s="23"/>
      <c r="AO160" s="23"/>
      <c r="AP160" s="23"/>
      <c r="AQ160" s="23"/>
      <c r="AR160" s="23"/>
      <c r="AS160" s="21">
        <f>IF(E160-G160-H160-I160-J160-K160-L160-M160-N160-O160-P160-Q160-R160-S160-T160-U160-V160-W160-X160-Y160-Z160-AA160-AB160-AC160-AD160-AE160-AF160-AG160-AH160-AI160-AJ160-AK160-AL160-AM160-AN160-AO160-AP160-AQ160-AR160&lt;0,0,E160-G160-H160-I160-J160-K160-L160-M160-N160-O160-P160-Q160-R160-S160-T160-U160-V160-W160-X160-Y160-Z160-AA160-AB160-AC160-AD160-AE160-AF160-AG160-AH160-AI160-AJ160-AK160-AL160-AM160-AN160-AO160-AP160-AQ160-AR160)</f>
        <v>0</v>
      </c>
      <c r="AT160" s="82">
        <v>4</v>
      </c>
      <c r="AU160" s="83">
        <f>G160*$G$7+H160*$H$7+I160*$I$7+J160*$J$7+K160*$K$7+L160*$L$7+M160*$M$7+N160*$N$7+O160*$O$7+P160*$P$7+Q160*$Q$7+R160*$R$7+S160*$S$7+T160*$T$7+U160*$U$7+V160*$V$7+W160*$W$7+X160*$X$7+Y160*$Y$7++Z160*$Z$7+AA160*$AA$7+AB160*$AB$7+AC160*$AC$7+AD160*$AD$7+AE160*$AE$7+AF160*$AF$7+AH160*$AH$7+AI160*$AI$7+AJ160*$AJ$7+AK160*$AK$7+AL160*$AL$7+AM160*$AM$7+AN160*$AN$7+AO160*$AO$7+AP160*$AP$7+AQ160*$AQ$7+AR160*$AR$7+AS160*AT160+AG160*$AG$7</f>
        <v>0</v>
      </c>
      <c r="AV160" s="80">
        <f t="shared" si="92"/>
        <v>0</v>
      </c>
    </row>
    <row r="161" ht="20.5" customHeight="1" spans="1:48">
      <c r="A161" s="19">
        <v>153</v>
      </c>
      <c r="B161" s="24" t="s">
        <v>394</v>
      </c>
      <c r="C161" s="23"/>
      <c r="D161" s="23"/>
      <c r="E161" s="21">
        <f t="shared" si="101"/>
        <v>0</v>
      </c>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1">
        <f>IF(E161-G161-H161-I161-J161-K161-L161-M161-N161-O161-P161-Q161-R161-S161-T161-U161-V161-W161-X161-Y161-Z161-AA161-AB161-AC161-AD161-AE161-AF161-AG161-AH161-AI161-AJ161-AK161-AL161-AM161-AN161-AO161-AP161-AQ161-AR161&lt;0,0,E161-G161-H161-I161-J161-K161-L161-M161-N161-O161-P161-Q161-R161-S161-T161-U161-V161-W161-X161-Y161-Z161-AA161-AB161-AC161-AD161-AE161-AF161-AG161-AH161-AI161-AJ161-AK161-AL161-AM161-AN161-AO161-AP161-AQ161-AR161)</f>
        <v>0</v>
      </c>
      <c r="AT161" s="82">
        <v>1</v>
      </c>
      <c r="AU161" s="83">
        <f>G161*$G$7+H161*$H$7+I161*$I$7+J161*$J$7+K161*$K$7+L161*$L$7+M161*$M$7+N161*$N$7+O161*$O$7+P161*$P$7+Q161*$Q$7+R161*$R$7+S161*$S$7+T161*$T$7+U161*$U$7+V161*$V$7+W161*$W$7+X161*$X$7+Y161*$Y$7++Z161*$Z$7+AA161*$AA$7+AB161*$AB$7+AC161*$AC$7+AD161*$AD$7+AE161*$AE$7+AF161*$AF$7+AH161*$AH$7+AI161*$AI$7+AJ161*$AJ$7+AK161*$AK$7+AL161*$AL$7+AM161*$AM$7+AN161*$AN$7+AO161*$AO$7+AP161*$AP$7+AQ161*$AQ$7+AR161*$AR$7+AS161*AT161+AG161*$AG$7</f>
        <v>0</v>
      </c>
      <c r="AV161" s="80">
        <f t="shared" si="92"/>
        <v>0</v>
      </c>
    </row>
    <row r="162" ht="20.5" customHeight="1" spans="1:48">
      <c r="A162" s="19">
        <v>154</v>
      </c>
      <c r="B162" s="24" t="s">
        <v>395</v>
      </c>
      <c r="C162" s="21">
        <f>C163+C164+C165+C166+C167</f>
        <v>0</v>
      </c>
      <c r="D162" s="21">
        <f t="shared" ref="D162:AS162" si="103">D163+D164+D165+D166+D167</f>
        <v>0</v>
      </c>
      <c r="E162" s="21">
        <f t="shared" si="103"/>
        <v>0</v>
      </c>
      <c r="F162" s="21">
        <f t="shared" si="103"/>
        <v>0</v>
      </c>
      <c r="G162" s="21">
        <f t="shared" si="103"/>
        <v>0</v>
      </c>
      <c r="H162" s="21">
        <f t="shared" si="103"/>
        <v>0</v>
      </c>
      <c r="I162" s="21">
        <f t="shared" si="103"/>
        <v>0</v>
      </c>
      <c r="J162" s="21">
        <f t="shared" si="103"/>
        <v>0</v>
      </c>
      <c r="K162" s="21">
        <f t="shared" si="103"/>
        <v>0</v>
      </c>
      <c r="L162" s="21">
        <f t="shared" si="103"/>
        <v>0</v>
      </c>
      <c r="M162" s="21">
        <f t="shared" si="103"/>
        <v>0</v>
      </c>
      <c r="N162" s="21">
        <f t="shared" si="103"/>
        <v>0</v>
      </c>
      <c r="O162" s="21">
        <f t="shared" si="103"/>
        <v>0</v>
      </c>
      <c r="P162" s="21">
        <f t="shared" si="103"/>
        <v>0</v>
      </c>
      <c r="Q162" s="21">
        <f t="shared" si="103"/>
        <v>0</v>
      </c>
      <c r="R162" s="21">
        <f t="shared" si="103"/>
        <v>0</v>
      </c>
      <c r="S162" s="21">
        <f t="shared" si="103"/>
        <v>0</v>
      </c>
      <c r="T162" s="21">
        <f t="shared" si="103"/>
        <v>0</v>
      </c>
      <c r="U162" s="21">
        <f t="shared" si="103"/>
        <v>0</v>
      </c>
      <c r="V162" s="21">
        <f t="shared" si="103"/>
        <v>0</v>
      </c>
      <c r="W162" s="21">
        <f t="shared" si="103"/>
        <v>0</v>
      </c>
      <c r="X162" s="21">
        <f t="shared" si="103"/>
        <v>0</v>
      </c>
      <c r="Y162" s="21">
        <f t="shared" si="103"/>
        <v>0</v>
      </c>
      <c r="Z162" s="21">
        <f t="shared" si="103"/>
        <v>0</v>
      </c>
      <c r="AA162" s="21">
        <f t="shared" si="103"/>
        <v>0</v>
      </c>
      <c r="AB162" s="21">
        <f t="shared" si="103"/>
        <v>0</v>
      </c>
      <c r="AC162" s="21">
        <f t="shared" si="103"/>
        <v>0</v>
      </c>
      <c r="AD162" s="21">
        <f t="shared" si="103"/>
        <v>0</v>
      </c>
      <c r="AE162" s="21">
        <f t="shared" si="103"/>
        <v>0</v>
      </c>
      <c r="AF162" s="21">
        <f t="shared" si="103"/>
        <v>0</v>
      </c>
      <c r="AG162" s="21">
        <f t="shared" si="103"/>
        <v>0</v>
      </c>
      <c r="AH162" s="21">
        <f t="shared" si="103"/>
        <v>0</v>
      </c>
      <c r="AI162" s="21">
        <f t="shared" si="103"/>
        <v>0</v>
      </c>
      <c r="AJ162" s="21">
        <f t="shared" si="103"/>
        <v>0</v>
      </c>
      <c r="AK162" s="21">
        <f t="shared" si="103"/>
        <v>0</v>
      </c>
      <c r="AL162" s="21">
        <f t="shared" si="103"/>
        <v>0</v>
      </c>
      <c r="AM162" s="21">
        <f t="shared" si="103"/>
        <v>0</v>
      </c>
      <c r="AN162" s="21">
        <f t="shared" si="103"/>
        <v>0</v>
      </c>
      <c r="AO162" s="21">
        <f t="shared" si="103"/>
        <v>0</v>
      </c>
      <c r="AP162" s="21">
        <f t="shared" si="103"/>
        <v>0</v>
      </c>
      <c r="AQ162" s="21">
        <f t="shared" si="103"/>
        <v>0</v>
      </c>
      <c r="AR162" s="21">
        <f t="shared" si="103"/>
        <v>0</v>
      </c>
      <c r="AS162" s="21">
        <f t="shared" si="103"/>
        <v>0</v>
      </c>
      <c r="AT162" s="79"/>
      <c r="AU162" s="21">
        <f>AU163+AU164+AU165+AU166+AU167</f>
        <v>0</v>
      </c>
      <c r="AV162" s="80">
        <f t="shared" si="92"/>
        <v>0</v>
      </c>
    </row>
    <row r="163" ht="20.5" customHeight="1" spans="1:48">
      <c r="A163" s="19">
        <v>155</v>
      </c>
      <c r="B163" s="94" t="s">
        <v>396</v>
      </c>
      <c r="C163" s="101"/>
      <c r="D163" s="101"/>
      <c r="E163" s="100">
        <f t="shared" si="101"/>
        <v>0</v>
      </c>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2"/>
      <c r="AD163" s="102"/>
      <c r="AE163" s="102"/>
      <c r="AF163" s="102"/>
      <c r="AG163" s="102"/>
      <c r="AH163" s="102"/>
      <c r="AI163" s="102"/>
      <c r="AJ163" s="102"/>
      <c r="AK163" s="102"/>
      <c r="AL163" s="102"/>
      <c r="AM163" s="102"/>
      <c r="AN163" s="102"/>
      <c r="AO163" s="102"/>
      <c r="AP163" s="102"/>
      <c r="AQ163" s="102"/>
      <c r="AR163" s="102"/>
      <c r="AS163" s="21">
        <f t="shared" ref="AS163:AS167" si="104">IF(E163-G163-H163-I163-J163-K163-L163-M163-N163-O163-P163-Q163-R163-S163-T163-U163-V163-W163-X163-Y163-Z163-AA163-AB163-AC163-AD163-AE163-AF163-AG163-AH163-AI163-AJ163-AK163-AL163-AM163-AN163-AO163-AP163-AQ163-AR163&lt;0,0,E163-G163-H163-I163-J163-K163-L163-M163-N163-O163-P163-Q163-R163-S163-T163-U163-V163-W163-X163-Y163-Z163-AA163-AB163-AC163-AD163-AE163-AF163-AG163-AH163-AI163-AJ163-AK163-AL163-AM163-AN163-AO163-AP163-AQ163-AR163)</f>
        <v>0</v>
      </c>
      <c r="AT163" s="105">
        <v>2.5</v>
      </c>
      <c r="AU163" s="83">
        <f t="shared" ref="AU163:AU167" si="105">G163*$G$7+H163*$H$7+I163*$I$7+J163*$J$7+K163*$K$7+L163*$L$7+M163*$M$7+N163*$N$7+O163*$O$7+P163*$P$7+Q163*$Q$7+R163*$R$7+S163*$S$7+T163*$T$7+U163*$U$7+V163*$V$7+W163*$W$7+X163*$X$7+Y163*$Y$7++Z163*$Z$7+AA163*$AA$7+AB163*$AB$7+AC163*$AC$7+AD163*$AD$7+AE163*$AE$7+AF163*$AF$7+AH163*$AH$7+AI163*$AI$7+AJ163*$AJ$7+AK163*$AK$7+AL163*$AL$7+AM163*$AM$7+AN163*$AN$7+AO163*$AO$7+AP163*$AP$7+AQ163*$AQ$7+AR163*$AR$7+AS163*AT163+AG163*$AG$7</f>
        <v>0</v>
      </c>
      <c r="AV163" s="80">
        <f t="shared" si="92"/>
        <v>0</v>
      </c>
    </row>
    <row r="164" ht="20.5" customHeight="1" spans="1:48">
      <c r="A164" s="19">
        <v>156</v>
      </c>
      <c r="B164" s="94" t="s">
        <v>397</v>
      </c>
      <c r="C164" s="102"/>
      <c r="D164" s="102"/>
      <c r="E164" s="100">
        <f t="shared" si="101"/>
        <v>0</v>
      </c>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21">
        <f t="shared" si="104"/>
        <v>0</v>
      </c>
      <c r="AT164" s="106">
        <v>2.5</v>
      </c>
      <c r="AU164" s="83">
        <f t="shared" si="105"/>
        <v>0</v>
      </c>
      <c r="AV164" s="80">
        <f t="shared" si="92"/>
        <v>0</v>
      </c>
    </row>
    <row r="165" ht="20.5" customHeight="1" spans="1:48">
      <c r="A165" s="19">
        <v>157</v>
      </c>
      <c r="B165" s="94" t="s">
        <v>398</v>
      </c>
      <c r="C165" s="102"/>
      <c r="D165" s="102"/>
      <c r="E165" s="21">
        <f t="shared" si="101"/>
        <v>0</v>
      </c>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c r="AN165" s="102"/>
      <c r="AO165" s="102"/>
      <c r="AP165" s="102"/>
      <c r="AQ165" s="102"/>
      <c r="AR165" s="102"/>
      <c r="AS165" s="21">
        <f t="shared" si="104"/>
        <v>0</v>
      </c>
      <c r="AT165" s="106">
        <v>2.5</v>
      </c>
      <c r="AU165" s="83">
        <f t="shared" si="105"/>
        <v>0</v>
      </c>
      <c r="AV165" s="80">
        <f t="shared" si="92"/>
        <v>0</v>
      </c>
    </row>
    <row r="166" ht="20.5" customHeight="1" spans="1:48">
      <c r="A166" s="19">
        <v>158</v>
      </c>
      <c r="B166" s="94" t="s">
        <v>399</v>
      </c>
      <c r="C166" s="23"/>
      <c r="D166" s="23"/>
      <c r="E166" s="21">
        <f t="shared" si="101"/>
        <v>0</v>
      </c>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1">
        <f t="shared" si="104"/>
        <v>0</v>
      </c>
      <c r="AT166" s="82">
        <v>2.5</v>
      </c>
      <c r="AU166" s="83">
        <f t="shared" si="105"/>
        <v>0</v>
      </c>
      <c r="AV166" s="80">
        <f t="shared" si="92"/>
        <v>0</v>
      </c>
    </row>
    <row r="167" ht="20.5" customHeight="1" spans="1:48">
      <c r="A167" s="19">
        <v>159</v>
      </c>
      <c r="B167" s="94" t="s">
        <v>400</v>
      </c>
      <c r="C167" s="102"/>
      <c r="D167" s="102"/>
      <c r="E167" s="21">
        <f t="shared" si="101"/>
        <v>0</v>
      </c>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c r="AN167" s="102"/>
      <c r="AO167" s="102"/>
      <c r="AP167" s="102"/>
      <c r="AQ167" s="102"/>
      <c r="AR167" s="102"/>
      <c r="AS167" s="21">
        <f t="shared" si="104"/>
        <v>0</v>
      </c>
      <c r="AT167" s="106">
        <v>12.5</v>
      </c>
      <c r="AU167" s="83">
        <f t="shared" si="105"/>
        <v>0</v>
      </c>
      <c r="AV167" s="80">
        <f t="shared" si="92"/>
        <v>0</v>
      </c>
    </row>
    <row r="168" ht="20.5" customHeight="1" spans="1:48">
      <c r="A168" s="19">
        <v>160</v>
      </c>
      <c r="B168" s="24" t="s">
        <v>245</v>
      </c>
      <c r="C168" s="21">
        <f>C169+C170+C171+C172+C173</f>
        <v>0</v>
      </c>
      <c r="D168" s="21">
        <f>D169+D170+D171+D172+D173</f>
        <v>0</v>
      </c>
      <c r="E168" s="21">
        <f>E169+E170+E171+E172+E173</f>
        <v>0</v>
      </c>
      <c r="F168" s="21">
        <f>F169+F170+F171+F172+F173</f>
        <v>0</v>
      </c>
      <c r="G168" s="21">
        <f>G169+G170+G171+G172+G173</f>
        <v>0</v>
      </c>
      <c r="H168" s="21">
        <f t="shared" ref="H168:AR168" si="106">H169+H170+H171+H172+H173</f>
        <v>0</v>
      </c>
      <c r="I168" s="21">
        <f t="shared" si="106"/>
        <v>0</v>
      </c>
      <c r="J168" s="21">
        <f t="shared" si="106"/>
        <v>0</v>
      </c>
      <c r="K168" s="21">
        <f t="shared" si="106"/>
        <v>0</v>
      </c>
      <c r="L168" s="21">
        <f t="shared" si="106"/>
        <v>0</v>
      </c>
      <c r="M168" s="21">
        <f t="shared" si="106"/>
        <v>0</v>
      </c>
      <c r="N168" s="21">
        <f t="shared" si="106"/>
        <v>0</v>
      </c>
      <c r="O168" s="21">
        <f t="shared" si="106"/>
        <v>0</v>
      </c>
      <c r="P168" s="21">
        <f t="shared" si="106"/>
        <v>0</v>
      </c>
      <c r="Q168" s="21">
        <f t="shared" si="106"/>
        <v>0</v>
      </c>
      <c r="R168" s="21">
        <f t="shared" si="106"/>
        <v>0</v>
      </c>
      <c r="S168" s="21">
        <f t="shared" si="106"/>
        <v>0</v>
      </c>
      <c r="T168" s="21">
        <f t="shared" si="106"/>
        <v>0</v>
      </c>
      <c r="U168" s="21">
        <f t="shared" si="106"/>
        <v>0</v>
      </c>
      <c r="V168" s="21">
        <f t="shared" si="106"/>
        <v>0</v>
      </c>
      <c r="W168" s="21">
        <f t="shared" si="106"/>
        <v>0</v>
      </c>
      <c r="X168" s="21">
        <f t="shared" si="106"/>
        <v>0</v>
      </c>
      <c r="Y168" s="21">
        <f t="shared" si="106"/>
        <v>0</v>
      </c>
      <c r="Z168" s="21">
        <f t="shared" si="106"/>
        <v>0</v>
      </c>
      <c r="AA168" s="21">
        <f t="shared" si="106"/>
        <v>0</v>
      </c>
      <c r="AB168" s="21">
        <f t="shared" si="106"/>
        <v>0</v>
      </c>
      <c r="AC168" s="21">
        <f t="shared" si="106"/>
        <v>0</v>
      </c>
      <c r="AD168" s="21">
        <f t="shared" si="106"/>
        <v>0</v>
      </c>
      <c r="AE168" s="21">
        <f t="shared" si="106"/>
        <v>0</v>
      </c>
      <c r="AF168" s="21">
        <f t="shared" si="106"/>
        <v>0</v>
      </c>
      <c r="AG168" s="21">
        <f t="shared" si="106"/>
        <v>0</v>
      </c>
      <c r="AH168" s="21">
        <f t="shared" si="106"/>
        <v>0</v>
      </c>
      <c r="AI168" s="21">
        <f t="shared" si="106"/>
        <v>0</v>
      </c>
      <c r="AJ168" s="21">
        <f t="shared" si="106"/>
        <v>0</v>
      </c>
      <c r="AK168" s="21">
        <f t="shared" si="106"/>
        <v>0</v>
      </c>
      <c r="AL168" s="21">
        <f t="shared" si="106"/>
        <v>0</v>
      </c>
      <c r="AM168" s="21">
        <f t="shared" si="106"/>
        <v>0</v>
      </c>
      <c r="AN168" s="21">
        <f t="shared" si="106"/>
        <v>0</v>
      </c>
      <c r="AO168" s="21">
        <f t="shared" si="106"/>
        <v>0</v>
      </c>
      <c r="AP168" s="21">
        <f t="shared" si="106"/>
        <v>0</v>
      </c>
      <c r="AQ168" s="21">
        <f t="shared" si="106"/>
        <v>0</v>
      </c>
      <c r="AR168" s="21">
        <f t="shared" si="106"/>
        <v>0</v>
      </c>
      <c r="AS168" s="21">
        <f>SUM(AS169:AS173)</f>
        <v>0</v>
      </c>
      <c r="AT168" s="79"/>
      <c r="AU168" s="21">
        <f>SUM(AU169:AU172)</f>
        <v>0</v>
      </c>
      <c r="AV168" s="80">
        <f t="shared" si="92"/>
        <v>0</v>
      </c>
    </row>
    <row r="169" ht="21" customHeight="1" spans="1:48">
      <c r="A169" s="19">
        <v>161</v>
      </c>
      <c r="B169" s="94" t="s">
        <v>401</v>
      </c>
      <c r="C169" s="23"/>
      <c r="D169" s="23"/>
      <c r="E169" s="21">
        <f t="shared" ref="E169:E173" si="107">C169-D169</f>
        <v>0</v>
      </c>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1">
        <f>IF(E169-G169-H169-I169-J169-K169-L169-M169-N169-O169-P169-Q169-R169-S169-T169-U169-V169-W169-X169-Y169-Z169-AA169-AB169-AC169-AD169-AE169-AF169-AG169-AH169-AI169-AJ169-AK169-AL169-AM169-AN169-AO169-AP169-AQ169-AR169&lt;0,0,E169-G169-H169-I169-J169-K169-L169-M169-N169-O169-P169-Q169-R169-S169-T169-U169-V169-W169-X169-Y169-Z169-AA169-AB169-AC169-AD169-AE169-AF169-AG169-AH169-AI169-AJ169-AK169-AL169-AM169-AN169-AO169-AP169-AQ169-AR169)</f>
        <v>0</v>
      </c>
      <c r="AT169" s="82">
        <v>1</v>
      </c>
      <c r="AU169" s="83">
        <f>G169*$G$7+H169*$H$7+I169*$I$7+J169*$J$7+K169*$K$7+L169*$L$7+M169*$M$7+N169*$N$7+O169*$O$7+P169*$P$7+Q169*$Q$7+R169*$R$7+S169*$S$7+T169*$T$7+U169*$U$7+V169*$V$7+W169*$W$7+X169*$X$7+Y169*$Y$7++Z169*$Z$7+AA169*$AA$7+AB169*$AB$7+AC169*$AC$7+AD169*$AD$7+AE169*$AE$7+AF169*$AF$7+AH169*$AH$7+AI169*$AI$7+AJ169*$AJ$7+AK169*$AK$7+AL169*$AL$7+AM169*$AM$7+AN169*$AN$7+AO169*$AO$7+AP169*$AP$7+AQ169*$AQ$7+AR169*$AR$7+AS169*AT169+AG169*$AG$7</f>
        <v>0</v>
      </c>
      <c r="AV169" s="80">
        <f t="shared" si="92"/>
        <v>0</v>
      </c>
    </row>
    <row r="170" ht="21" customHeight="1" spans="1:48">
      <c r="A170" s="19">
        <v>162</v>
      </c>
      <c r="B170" s="94" t="s">
        <v>402</v>
      </c>
      <c r="C170" s="23"/>
      <c r="D170" s="23"/>
      <c r="E170" s="21">
        <f t="shared" si="107"/>
        <v>0</v>
      </c>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1">
        <f>IF(E170-G170-H170-I170-J170-K170-L170-M170-N170-O170-P170-Q170-R170-S170-T170-U170-V170-W170-X170-Y170-Z170-AA170-AB170-AC170-AD170-AE170-AF170-AG170-AH170-AI170-AJ170-AK170-AL170-AM170-AN170-AO170-AP170-AQ170-AR170&lt;0,0,E170-G170-H170-I170-J170-K170-L170-M170-N170-O170-P170-Q170-R170-S170-T170-U170-V170-W170-X170-Y170-Z170-AA170-AB170-AC170-AD170-AE170-AF170-AG170-AH170-AI170-AJ170-AK170-AL170-AM170-AN170-AO170-AP170-AQ170-AR170)</f>
        <v>0</v>
      </c>
      <c r="AT170" s="82">
        <v>1.5</v>
      </c>
      <c r="AU170" s="83">
        <f>G170*$G$7+H170*$H$7+I170*$I$7+J170*$J$7+K170*$K$7+L170*$L$7+M170*$M$7+N170*$N$7+O170*$O$7+P170*$P$7+Q170*$Q$7+R170*$R$7+S170*$S$7+T170*$T$7+U170*$U$7+V170*$V$7+W170*$W$7+X170*$X$7+Y170*$Y$7++Z170*$Z$7+AA170*$AA$7+AB170*$AB$7+AC170*$AC$7+AD170*$AD$7+AE170*$AE$7+AF170*$AF$7+AH170*$AH$7+AI170*$AI$7+AJ170*$AJ$7+AK170*$AK$7+AL170*$AL$7+AM170*$AM$7+AN170*$AN$7+AO170*$AO$7+AP170*$AP$7+AQ170*$AQ$7+AR170*$AR$7+AS170*AT170+AG170*$AG$7</f>
        <v>0</v>
      </c>
      <c r="AV170" s="80">
        <f t="shared" si="92"/>
        <v>0</v>
      </c>
    </row>
    <row r="171" ht="20.5" customHeight="1" spans="1:48">
      <c r="A171" s="19">
        <v>163</v>
      </c>
      <c r="B171" s="94" t="s">
        <v>249</v>
      </c>
      <c r="C171" s="23"/>
      <c r="D171" s="23"/>
      <c r="E171" s="21">
        <f t="shared" si="107"/>
        <v>0</v>
      </c>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1">
        <f>IF(E171-G171-H171-I171-J171-K171-L171-M171-N171-O171-P171-Q171-R171-S171-T171-U171-V171-W171-X171-Y171-Z171-AA171-AB171-AC171-AD171-AE171-AF171-AG171-AH171-AI171-AJ171-AK171-AL171-AM171-AN171-AO171-AP171-AQ171-AR171&lt;0,0,E171-G171-H171-I171-J171-K171-L171-M171-N171-O171-P171-Q171-R171-S171-T171-U171-V171-W171-X171-Y171-Z171-AA171-AB171-AC171-AD171-AE171-AF171-AG171-AH171-AI171-AJ171-AK171-AL171-AM171-AN171-AO171-AP171-AQ171-AR171)</f>
        <v>0</v>
      </c>
      <c r="AT171" s="82">
        <v>1.5</v>
      </c>
      <c r="AU171" s="83">
        <f>G171*$G$7+H171*$H$7+I171*$I$7+J171*$J$7+K171*$K$7+L171*$L$7+M171*$M$7+N171*$N$7+O171*$O$7+P171*$P$7+Q171*$Q$7+R171*$R$7+S171*$S$7+T171*$T$7+U171*$U$7+V171*$V$7+W171*$W$7+X171*$X$7+Y171*$Y$7++Z171*$Z$7+AA171*$AA$7+AB171*$AB$7+AC171*$AC$7+AD171*$AD$7+AE171*$AE$7+AF171*$AF$7+AH171*$AH$7+AI171*$AI$7+AJ171*$AJ$7+AK171*$AK$7+AL171*$AL$7+AM171*$AM$7+AN171*$AN$7+AO171*$AO$7+AP171*$AP$7+AQ171*$AQ$7+AR171*$AR$7+AS171*AT171+AG171*$AG$7</f>
        <v>0</v>
      </c>
      <c r="AV171" s="80">
        <f t="shared" si="92"/>
        <v>0</v>
      </c>
    </row>
    <row r="172" ht="20.5" customHeight="1" spans="1:48">
      <c r="A172" s="19">
        <v>164</v>
      </c>
      <c r="B172" s="94" t="s">
        <v>250</v>
      </c>
      <c r="C172" s="23"/>
      <c r="D172" s="23"/>
      <c r="E172" s="21">
        <f t="shared" si="107"/>
        <v>0</v>
      </c>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1">
        <f>IF(E172-G172-H172-I172-J172-K172-L172-M172-N172-O172-P172-Q172-R172-S172-T172-U172-V172-W172-X172-Y172-Z172-AA172-AB172-AC172-AD172-AE172-AF172-AG172-AH172-AI172-AJ172-AK172-AL172-AM172-AN172-AO172-AP172-AQ172-AR172&lt;0,0,E172-G172-H172-I172-J172-K172-L172-M172-N172-O172-P172-Q172-R172-S172-T172-U172-V172-W172-X172-Y172-Z172-AA172-AB172-AC172-AD172-AE172-AF172-AG172-AH172-AI172-AJ172-AK172-AL172-AM172-AN172-AO172-AP172-AQ172-AR172)</f>
        <v>0</v>
      </c>
      <c r="AT172" s="82">
        <v>1.5</v>
      </c>
      <c r="AU172" s="83">
        <f>G172*$G$7+H172*$H$7+I172*$I$7+J172*$J$7+K172*$K$7+L172*$L$7+M172*$M$7+N172*$N$7+O172*$O$7+P172*$P$7+Q172*$Q$7+R172*$R$7+S172*$S$7+T172*$T$7+U172*$U$7+V172*$V$7+W172*$W$7+X172*$X$7+Y172*$Y$7++Z172*$Z$7+AA172*$AA$7+AB172*$AB$7+AC172*$AC$7+AD172*$AD$7+AE172*$AE$7+AF172*$AF$7+AH172*$AH$7+AI172*$AI$7+AJ172*$AJ$7+AK172*$AK$7+AL172*$AL$7+AM172*$AM$7+AN172*$AN$7+AO172*$AO$7+AP172*$AP$7+AQ172*$AQ$7+AR172*$AR$7+AS172*AT172+AG172*$AG$7</f>
        <v>0</v>
      </c>
      <c r="AV172" s="80">
        <f t="shared" si="92"/>
        <v>0</v>
      </c>
    </row>
    <row r="173" ht="20.5" customHeight="1" spans="1:48">
      <c r="A173" s="19">
        <v>165</v>
      </c>
      <c r="B173" s="22" t="s">
        <v>251</v>
      </c>
      <c r="C173" s="23"/>
      <c r="D173" s="23"/>
      <c r="E173" s="21">
        <f t="shared" si="107"/>
        <v>0</v>
      </c>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1">
        <f>IF(E173-G173-H173-I173-J173-K173-L173-M173-N173-O173-P173-Q173-R173-S173-T173-U173-V173-W173-X173-Y173-Z173-AA173-AB173-AC173-AD173-AE173-AF173-AG173-AH173-AI173-AJ173-AK173-AL173-AM173-AN173-AO173-AP173-AQ173-AR173&lt;0,0,E173-G173-H173-I173-J173-K173-L173-M173-N173-O173-P173-Q173-R173-S173-T173-U173-V173-W173-X173-Y173-Z173-AA173-AB173-AC173-AD173-AE173-AF173-AG173-AH173-AI173-AJ173-AK173-AL173-AM173-AN173-AO173-AP173-AQ173-AR173)</f>
        <v>0</v>
      </c>
      <c r="AT173" s="82">
        <v>1.5</v>
      </c>
      <c r="AU173" s="83">
        <f>G173*$G$7+H173*$H$7+I173*$I$7+J173*$J$7+K173*$K$7+L173*$L$7+M173*$M$7+N173*$N$7+O173*$O$7+P173*$P$7+Q173*$Q$7+R173*$R$7+S173*$S$7+T173*$T$7+U173*$U$7+V173*$V$7+W173*$W$7+X173*$X$7+Y173*$Y$7++Z173*$Z$7+AA173*$AA$7+AB173*$AB$7+AC173*$AC$7+AD173*$AD$7+AE173*$AE$7+AF173*$AF$7+AH173*$AH$7+AI173*$AI$7+AJ173*$AJ$7+AK173*$AK$7+AL173*$AL$7+AM173*$AM$7+AN173*$AN$7+AO173*$AO$7+AP173*$AP$7+AQ173*$AQ$7+AR173*$AR$7+AS173*AT173+AG173*$AG$7</f>
        <v>0</v>
      </c>
      <c r="AV173" s="80">
        <f t="shared" si="92"/>
        <v>0</v>
      </c>
    </row>
    <row r="174" ht="20.5" customHeight="1" spans="1:48">
      <c r="A174" s="19">
        <v>166</v>
      </c>
      <c r="B174" s="24" t="s">
        <v>403</v>
      </c>
      <c r="C174" s="21">
        <f t="shared" ref="C174:AS174" si="108">C175+C180</f>
        <v>0</v>
      </c>
      <c r="D174" s="21">
        <f t="shared" si="108"/>
        <v>0</v>
      </c>
      <c r="E174" s="21">
        <f t="shared" si="108"/>
        <v>0</v>
      </c>
      <c r="F174" s="21">
        <f t="shared" si="108"/>
        <v>0</v>
      </c>
      <c r="G174" s="21">
        <f t="shared" si="108"/>
        <v>0</v>
      </c>
      <c r="H174" s="21">
        <f t="shared" si="108"/>
        <v>0</v>
      </c>
      <c r="I174" s="21">
        <f t="shared" si="108"/>
        <v>0</v>
      </c>
      <c r="J174" s="21">
        <f t="shared" si="108"/>
        <v>0</v>
      </c>
      <c r="K174" s="21">
        <f t="shared" si="108"/>
        <v>0</v>
      </c>
      <c r="L174" s="21">
        <f t="shared" si="108"/>
        <v>0</v>
      </c>
      <c r="M174" s="21">
        <f t="shared" si="108"/>
        <v>0</v>
      </c>
      <c r="N174" s="21">
        <f t="shared" si="108"/>
        <v>0</v>
      </c>
      <c r="O174" s="21">
        <f t="shared" si="108"/>
        <v>0</v>
      </c>
      <c r="P174" s="21">
        <f t="shared" si="108"/>
        <v>0</v>
      </c>
      <c r="Q174" s="21">
        <f t="shared" si="108"/>
        <v>0</v>
      </c>
      <c r="R174" s="21">
        <f t="shared" si="108"/>
        <v>0</v>
      </c>
      <c r="S174" s="21">
        <f t="shared" si="108"/>
        <v>0</v>
      </c>
      <c r="T174" s="21">
        <f t="shared" si="108"/>
        <v>0</v>
      </c>
      <c r="U174" s="21">
        <f t="shared" si="108"/>
        <v>0</v>
      </c>
      <c r="V174" s="21">
        <f t="shared" si="108"/>
        <v>0</v>
      </c>
      <c r="W174" s="21">
        <f t="shared" si="108"/>
        <v>0</v>
      </c>
      <c r="X174" s="21">
        <f t="shared" si="108"/>
        <v>0</v>
      </c>
      <c r="Y174" s="21">
        <f t="shared" si="108"/>
        <v>0</v>
      </c>
      <c r="Z174" s="21">
        <f t="shared" si="108"/>
        <v>0</v>
      </c>
      <c r="AA174" s="21">
        <f t="shared" si="108"/>
        <v>0</v>
      </c>
      <c r="AB174" s="21">
        <f t="shared" si="108"/>
        <v>0</v>
      </c>
      <c r="AC174" s="21">
        <f t="shared" si="108"/>
        <v>0</v>
      </c>
      <c r="AD174" s="21">
        <f t="shared" si="108"/>
        <v>0</v>
      </c>
      <c r="AE174" s="21">
        <f t="shared" si="108"/>
        <v>0</v>
      </c>
      <c r="AF174" s="21">
        <f t="shared" si="108"/>
        <v>0</v>
      </c>
      <c r="AG174" s="21">
        <f t="shared" si="108"/>
        <v>0</v>
      </c>
      <c r="AH174" s="21">
        <f t="shared" si="108"/>
        <v>0</v>
      </c>
      <c r="AI174" s="21">
        <f t="shared" si="108"/>
        <v>0</v>
      </c>
      <c r="AJ174" s="21">
        <f t="shared" si="108"/>
        <v>0</v>
      </c>
      <c r="AK174" s="21">
        <f t="shared" si="108"/>
        <v>0</v>
      </c>
      <c r="AL174" s="21">
        <f t="shared" si="108"/>
        <v>0</v>
      </c>
      <c r="AM174" s="21">
        <f t="shared" si="108"/>
        <v>0</v>
      </c>
      <c r="AN174" s="21">
        <f t="shared" si="108"/>
        <v>0</v>
      </c>
      <c r="AO174" s="21">
        <f t="shared" si="108"/>
        <v>0</v>
      </c>
      <c r="AP174" s="21">
        <f t="shared" si="108"/>
        <v>0</v>
      </c>
      <c r="AQ174" s="21">
        <f t="shared" si="108"/>
        <v>0</v>
      </c>
      <c r="AR174" s="21">
        <f t="shared" si="108"/>
        <v>0</v>
      </c>
      <c r="AS174" s="21">
        <f t="shared" si="108"/>
        <v>0</v>
      </c>
      <c r="AT174" s="79"/>
      <c r="AU174" s="21">
        <f>AU175+AU180</f>
        <v>0</v>
      </c>
      <c r="AV174" s="80">
        <f t="shared" si="92"/>
        <v>0</v>
      </c>
    </row>
    <row r="175" ht="20.5" customHeight="1" spans="1:48">
      <c r="A175" s="19">
        <v>167</v>
      </c>
      <c r="B175" s="94" t="s">
        <v>404</v>
      </c>
      <c r="C175" s="21">
        <f t="shared" ref="C175:AR175" si="109">C176+C177+C178+C179</f>
        <v>0</v>
      </c>
      <c r="D175" s="21">
        <f t="shared" si="109"/>
        <v>0</v>
      </c>
      <c r="E175" s="21">
        <f t="shared" si="109"/>
        <v>0</v>
      </c>
      <c r="F175" s="21">
        <f t="shared" si="109"/>
        <v>0</v>
      </c>
      <c r="G175" s="21">
        <f t="shared" si="109"/>
        <v>0</v>
      </c>
      <c r="H175" s="21">
        <f t="shared" si="109"/>
        <v>0</v>
      </c>
      <c r="I175" s="21">
        <f t="shared" si="109"/>
        <v>0</v>
      </c>
      <c r="J175" s="21">
        <f t="shared" si="109"/>
        <v>0</v>
      </c>
      <c r="K175" s="21">
        <f t="shared" si="109"/>
        <v>0</v>
      </c>
      <c r="L175" s="21">
        <f t="shared" si="109"/>
        <v>0</v>
      </c>
      <c r="M175" s="21">
        <f t="shared" si="109"/>
        <v>0</v>
      </c>
      <c r="N175" s="21">
        <f t="shared" si="109"/>
        <v>0</v>
      </c>
      <c r="O175" s="21">
        <f t="shared" si="109"/>
        <v>0</v>
      </c>
      <c r="P175" s="21">
        <f t="shared" si="109"/>
        <v>0</v>
      </c>
      <c r="Q175" s="21">
        <f t="shared" si="109"/>
        <v>0</v>
      </c>
      <c r="R175" s="21">
        <f t="shared" si="109"/>
        <v>0</v>
      </c>
      <c r="S175" s="21">
        <f t="shared" si="109"/>
        <v>0</v>
      </c>
      <c r="T175" s="21">
        <f t="shared" si="109"/>
        <v>0</v>
      </c>
      <c r="U175" s="21">
        <f t="shared" si="109"/>
        <v>0</v>
      </c>
      <c r="V175" s="21">
        <f t="shared" si="109"/>
        <v>0</v>
      </c>
      <c r="W175" s="21">
        <f t="shared" si="109"/>
        <v>0</v>
      </c>
      <c r="X175" s="21">
        <f t="shared" si="109"/>
        <v>0</v>
      </c>
      <c r="Y175" s="21">
        <f t="shared" si="109"/>
        <v>0</v>
      </c>
      <c r="Z175" s="21">
        <f t="shared" si="109"/>
        <v>0</v>
      </c>
      <c r="AA175" s="21">
        <f t="shared" si="109"/>
        <v>0</v>
      </c>
      <c r="AB175" s="21">
        <f t="shared" si="109"/>
        <v>0</v>
      </c>
      <c r="AC175" s="21">
        <f t="shared" si="109"/>
        <v>0</v>
      </c>
      <c r="AD175" s="21">
        <f t="shared" si="109"/>
        <v>0</v>
      </c>
      <c r="AE175" s="21">
        <f t="shared" si="109"/>
        <v>0</v>
      </c>
      <c r="AF175" s="21">
        <f t="shared" si="109"/>
        <v>0</v>
      </c>
      <c r="AG175" s="21">
        <f t="shared" si="109"/>
        <v>0</v>
      </c>
      <c r="AH175" s="21">
        <f t="shared" si="109"/>
        <v>0</v>
      </c>
      <c r="AI175" s="21">
        <f t="shared" si="109"/>
        <v>0</v>
      </c>
      <c r="AJ175" s="21">
        <f t="shared" si="109"/>
        <v>0</v>
      </c>
      <c r="AK175" s="21">
        <f t="shared" si="109"/>
        <v>0</v>
      </c>
      <c r="AL175" s="21">
        <f t="shared" si="109"/>
        <v>0</v>
      </c>
      <c r="AM175" s="21">
        <f t="shared" si="109"/>
        <v>0</v>
      </c>
      <c r="AN175" s="21">
        <f t="shared" si="109"/>
        <v>0</v>
      </c>
      <c r="AO175" s="21">
        <f t="shared" si="109"/>
        <v>0</v>
      </c>
      <c r="AP175" s="21">
        <f t="shared" si="109"/>
        <v>0</v>
      </c>
      <c r="AQ175" s="21">
        <f t="shared" si="109"/>
        <v>0</v>
      </c>
      <c r="AR175" s="21">
        <f t="shared" si="109"/>
        <v>0</v>
      </c>
      <c r="AS175" s="21">
        <f>SUM(AS176:AS179)</f>
        <v>0</v>
      </c>
      <c r="AT175" s="79"/>
      <c r="AU175" s="21">
        <f>SUM(AU176:AU179)</f>
        <v>0</v>
      </c>
      <c r="AV175" s="80">
        <f t="shared" si="92"/>
        <v>0</v>
      </c>
    </row>
    <row r="176" ht="20.5" customHeight="1" spans="1:48">
      <c r="A176" s="19">
        <v>168</v>
      </c>
      <c r="B176" s="31" t="s">
        <v>254</v>
      </c>
      <c r="C176" s="23"/>
      <c r="D176" s="23"/>
      <c r="E176" s="21">
        <f t="shared" ref="E176:E179" si="110">C176-D176</f>
        <v>0</v>
      </c>
      <c r="F176" s="23"/>
      <c r="G176" s="23"/>
      <c r="H176" s="51"/>
      <c r="I176" s="51"/>
      <c r="J176" s="23"/>
      <c r="K176" s="51"/>
      <c r="L176" s="51"/>
      <c r="M176" s="23"/>
      <c r="N176" s="51"/>
      <c r="O176" s="51"/>
      <c r="P176" s="23"/>
      <c r="Q176" s="51"/>
      <c r="R176" s="51"/>
      <c r="S176" s="51"/>
      <c r="T176" s="51"/>
      <c r="U176" s="51"/>
      <c r="V176" s="51"/>
      <c r="W176" s="23"/>
      <c r="X176" s="51"/>
      <c r="Y176" s="51"/>
      <c r="Z176" s="23"/>
      <c r="AA176" s="51"/>
      <c r="AB176" s="51"/>
      <c r="AC176" s="51"/>
      <c r="AD176" s="51"/>
      <c r="AE176" s="51"/>
      <c r="AF176" s="51"/>
      <c r="AG176" s="51"/>
      <c r="AH176" s="51"/>
      <c r="AI176" s="51"/>
      <c r="AJ176" s="23"/>
      <c r="AK176" s="51"/>
      <c r="AL176" s="51"/>
      <c r="AM176" s="51"/>
      <c r="AN176" s="51"/>
      <c r="AO176" s="51"/>
      <c r="AP176" s="23"/>
      <c r="AQ176" s="51"/>
      <c r="AR176" s="51"/>
      <c r="AS176" s="21">
        <f>IF(E176-G176-H176-I176-J176-K176-L176-M176-N176-O176-P176-Q176-R176-S176-T176-U176-V176-W176-X176-Y176-Z176-AA176-AB176-AC176-AD176-AE176-AF176-AG176-AH176-AI176-AJ176-AK176-AL176-AM176-AN176-AO176-AP176-AQ176-AR176&lt;0,0,E176-G176-H176-I176-J176-K176-L176-M176-N176-O176-P176-Q176-R176-S176-T176-U176-V176-W176-X176-Y176-Z176-AA176-AB176-AC176-AD176-AE176-AF176-AG176-AH176-AI176-AJ176-AK176-AL176-AM176-AN176-AO176-AP176-AQ176-AR176)</f>
        <v>0</v>
      </c>
      <c r="AT176" s="82">
        <v>0.1</v>
      </c>
      <c r="AU176" s="83">
        <f>G176*$G$7+H176*$H$7+I176*$I$7+J176*$J$7+K176*$K$7+L176*$L$7+M176*$M$7+N176*$N$7+O176*$O$7+P176*$P$7+Q176*$Q$7+R176*$R$7+S176*$S$7+T176*$T$7+U176*$U$7+V176*$V$7+W176*$W$7+X176*$X$7+Y176*$Y$7++Z176*$Z$7+AA176*$AA$7+AB176*$AB$7+AC176*$AC$7+AD176*$AD$7+AE176*$AE$7+AF176*$AF$7+AH176*$AH$7+AI176*$AI$7+AJ176*$AJ$7+AK176*$AK$7+AL176*$AL$7+AM176*$AM$7+AN176*$AN$7+AO176*$AO$7+AP176*$AP$7+AQ176*$AQ$7+AR176*$AR$7+AS176*AT176+AG176*$AG$7</f>
        <v>0</v>
      </c>
      <c r="AV176" s="80">
        <f t="shared" si="92"/>
        <v>0</v>
      </c>
    </row>
    <row r="177" ht="20.5" customHeight="1" spans="1:48">
      <c r="A177" s="19">
        <v>169</v>
      </c>
      <c r="B177" s="31" t="s">
        <v>255</v>
      </c>
      <c r="C177" s="23"/>
      <c r="D177" s="23"/>
      <c r="E177" s="21">
        <f t="shared" si="110"/>
        <v>0</v>
      </c>
      <c r="F177" s="23"/>
      <c r="G177" s="23"/>
      <c r="H177" s="23"/>
      <c r="I177" s="51"/>
      <c r="J177" s="23"/>
      <c r="K177" s="23"/>
      <c r="L177" s="51"/>
      <c r="M177" s="23"/>
      <c r="N177" s="23"/>
      <c r="O177" s="51"/>
      <c r="P177" s="23"/>
      <c r="Q177" s="23"/>
      <c r="R177" s="51"/>
      <c r="S177" s="63"/>
      <c r="T177" s="51"/>
      <c r="U177" s="51"/>
      <c r="V177" s="51"/>
      <c r="W177" s="23"/>
      <c r="X177" s="23"/>
      <c r="Y177" s="51"/>
      <c r="Z177" s="23"/>
      <c r="AA177" s="23"/>
      <c r="AB177" s="51"/>
      <c r="AC177" s="51"/>
      <c r="AD177" s="51"/>
      <c r="AE177" s="51"/>
      <c r="AF177" s="51"/>
      <c r="AG177" s="51"/>
      <c r="AH177" s="51"/>
      <c r="AI177" s="51"/>
      <c r="AJ177" s="68"/>
      <c r="AK177" s="68"/>
      <c r="AL177" s="51"/>
      <c r="AM177" s="51"/>
      <c r="AN177" s="51"/>
      <c r="AO177" s="51"/>
      <c r="AP177" s="23"/>
      <c r="AQ177" s="23"/>
      <c r="AR177" s="51"/>
      <c r="AS177" s="21">
        <f>IF(E177-G177-H177-I177-J177-K177-L177-M177-N177-O177-P177-Q177-R177-S177-T177-U177-V177-W177-X177-Y177-Z177-AA177-AB177-AC177-AD177-AE177-AF177-AG177-AH177-AI177-AJ177-AK177-AL177-AM177-AN177-AO177-AP177-AQ177-AR177&lt;0,0,E177-G177-H177-I177-J177-K177-L177-M177-N177-O177-P177-Q177-R177-S177-T177-U177-V177-W177-X177-Y177-Z177-AA177-AB177-AC177-AD177-AE177-AF177-AG177-AH177-AI177-AJ177-AK177-AL177-AM177-AN177-AO177-AP177-AQ177-AR177)</f>
        <v>0</v>
      </c>
      <c r="AT177" s="82">
        <v>0.2</v>
      </c>
      <c r="AU177" s="83">
        <f>G177*$G$7+H177*$H$7+I177*$I$7+J177*$J$7+K177*$K$7+L177*$L$7+M177*$M$7+N177*$N$7+O177*$O$7+P177*$P$7+Q177*$Q$7+R177*$R$7+S177*$S$7+T177*$T$7+U177*$U$7+V177*$V$7+W177*$W$7+X177*$X$7+Y177*$Y$7++Z177*$Z$7+AA177*$AA$7+AB177*$AB$7+AC177*$AC$7+AD177*$AD$7+AE177*$AE$7+AF177*$AF$7+AH177*$AH$7+AI177*$AI$7+AJ177*$AJ$7+AK177*$AK$7+AL177*$AL$7+AM177*$AM$7+AN177*$AN$7+AO177*$AO$7+AP177*$AP$7+AQ177*$AQ$7+AR177*$AR$7+AS177*AT177+AG177*$AG$7</f>
        <v>0</v>
      </c>
      <c r="AV177" s="80">
        <f t="shared" si="92"/>
        <v>0</v>
      </c>
    </row>
    <row r="178" ht="20.5" customHeight="1" spans="1:48">
      <c r="A178" s="19">
        <v>170</v>
      </c>
      <c r="B178" s="31" t="s">
        <v>256</v>
      </c>
      <c r="C178" s="23"/>
      <c r="D178" s="23"/>
      <c r="E178" s="21">
        <f t="shared" si="110"/>
        <v>0</v>
      </c>
      <c r="F178" s="23"/>
      <c r="G178" s="23"/>
      <c r="H178" s="23"/>
      <c r="I178" s="23"/>
      <c r="J178" s="23"/>
      <c r="K178" s="23"/>
      <c r="L178" s="23"/>
      <c r="M178" s="23"/>
      <c r="N178" s="23"/>
      <c r="O178" s="23"/>
      <c r="P178" s="23"/>
      <c r="Q178" s="23"/>
      <c r="R178" s="23"/>
      <c r="S178" s="23"/>
      <c r="T178" s="23"/>
      <c r="U178" s="23"/>
      <c r="V178" s="51"/>
      <c r="W178" s="23"/>
      <c r="X178" s="23"/>
      <c r="Y178" s="23"/>
      <c r="Z178" s="23"/>
      <c r="AA178" s="23"/>
      <c r="AB178" s="23"/>
      <c r="AC178" s="23"/>
      <c r="AD178" s="51"/>
      <c r="AE178" s="68"/>
      <c r="AF178" s="51"/>
      <c r="AG178" s="68"/>
      <c r="AH178" s="68"/>
      <c r="AI178" s="68"/>
      <c r="AJ178" s="68"/>
      <c r="AK178" s="68"/>
      <c r="AL178" s="68"/>
      <c r="AM178" s="68"/>
      <c r="AN178" s="68"/>
      <c r="AO178" s="51"/>
      <c r="AP178" s="23"/>
      <c r="AQ178" s="23"/>
      <c r="AR178" s="23"/>
      <c r="AS178" s="21">
        <f>IF(E178-G178-H178-I178-J178-K178-L178-M178-N178-O178-P178-Q178-R178-S178-T178-U178-V178-W178-X178-Y178-Z178-AA178-AB178-AC178-AD178-AE178-AF178-AG178-AH178-AI178-AJ178-AK178-AL178-AM178-AN178-AO178-AP178-AQ178-AR178&lt;0,0,E178-G178-H178-I178-J178-K178-L178-M178-N178-O178-P178-Q178-R178-S178-T178-U178-V178-W178-X178-Y178-Z178-AA178-AB178-AC178-AD178-AE178-AF178-AG178-AH178-AI178-AJ178-AK178-AL178-AM178-AN178-AO178-AP178-AQ178-AR178)</f>
        <v>0</v>
      </c>
      <c r="AT178" s="82">
        <v>0.5</v>
      </c>
      <c r="AU178" s="83">
        <f>G178*$G$7+H178*$H$7+I178*$I$7+J178*$J$7+K178*$K$7+L178*$L$7+M178*$M$7+N178*$N$7+O178*$O$7+P178*$P$7+Q178*$Q$7+R178*$R$7+S178*$S$7+T178*$T$7+U178*$U$7+V178*$V$7+W178*$W$7+X178*$X$7+Y178*$Y$7++Z178*$Z$7+AA178*$AA$7+AB178*$AB$7+AC178*$AC$7+AD178*$AD$7+AE178*$AE$7+AF178*$AF$7+AH178*$AH$7+AI178*$AI$7+AJ178*$AJ$7+AK178*$AK$7+AL178*$AL$7+AM178*$AM$7+AN178*$AN$7+AO178*$AO$7+AP178*$AP$7+AQ178*$AQ$7+AR178*$AR$7+AS178*AT178+AG178*$AG$7</f>
        <v>0</v>
      </c>
      <c r="AV178" s="80">
        <f t="shared" si="92"/>
        <v>0</v>
      </c>
    </row>
    <row r="179" ht="20.5" customHeight="1" spans="1:48">
      <c r="A179" s="19">
        <v>171</v>
      </c>
      <c r="B179" s="31" t="s">
        <v>257</v>
      </c>
      <c r="C179" s="23"/>
      <c r="D179" s="23"/>
      <c r="E179" s="21">
        <f t="shared" si="110"/>
        <v>0</v>
      </c>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1">
        <f>IF(E179-G179-H179-I179-J179-K179-L179-M179-N179-O179-P179-Q179-R179-S179-T179-U179-V179-W179-X179-Y179-Z179-AA179-AB179-AC179-AD179-AE179-AF179-AG179-AH179-AI179-AJ179-AK179-AL179-AM179-AN179-AO179-AP179-AQ179-AR179&lt;0,0,E179-G179-H179-I179-J179-K179-L179-M179-N179-O179-P179-Q179-R179-S179-T179-U179-V179-W179-X179-Y179-Z179-AA179-AB179-AC179-AD179-AE179-AF179-AG179-AH179-AI179-AJ179-AK179-AL179-AM179-AN179-AO179-AP179-AQ179-AR179)</f>
        <v>0</v>
      </c>
      <c r="AT179" s="82">
        <v>1</v>
      </c>
      <c r="AU179" s="83">
        <f>G179*$G$7+H179*$H$7+I179*$I$7+J179*$J$7+K179*$K$7+L179*$L$7+M179*$M$7+N179*$N$7+O179*$O$7+P179*$P$7+Q179*$Q$7+R179*$R$7+S179*$S$7+T179*$T$7+U179*$U$7+V179*$V$7+W179*$W$7+X179*$X$7+Y179*$Y$7++Z179*$Z$7+AA179*$AA$7+AB179*$AB$7+AC179*$AC$7+AD179*$AD$7+AE179*$AE$7+AF179*$AF$7+AH179*$AH$7+AI179*$AI$7+AJ179*$AJ$7+AK179*$AK$7+AL179*$AL$7+AM179*$AM$7+AN179*$AN$7+AO179*$AO$7+AP179*$AP$7+AQ179*$AQ$7+AR179*$AR$7+AS179*AT179+AG179*$AG$7</f>
        <v>0</v>
      </c>
      <c r="AV179" s="80">
        <f t="shared" si="92"/>
        <v>0</v>
      </c>
    </row>
    <row r="180" ht="20.5" customHeight="1" spans="1:48">
      <c r="A180" s="19">
        <v>172</v>
      </c>
      <c r="B180" s="94" t="s">
        <v>258</v>
      </c>
      <c r="C180" s="21">
        <f t="shared" ref="C180:AR180" si="111">C181+C182+C183+C184</f>
        <v>0</v>
      </c>
      <c r="D180" s="21">
        <f t="shared" si="111"/>
        <v>0</v>
      </c>
      <c r="E180" s="21">
        <f t="shared" si="111"/>
        <v>0</v>
      </c>
      <c r="F180" s="21">
        <f t="shared" si="111"/>
        <v>0</v>
      </c>
      <c r="G180" s="21">
        <f t="shared" si="111"/>
        <v>0</v>
      </c>
      <c r="H180" s="21">
        <f t="shared" si="111"/>
        <v>0</v>
      </c>
      <c r="I180" s="21">
        <f t="shared" si="111"/>
        <v>0</v>
      </c>
      <c r="J180" s="21">
        <f t="shared" si="111"/>
        <v>0</v>
      </c>
      <c r="K180" s="21">
        <f t="shared" si="111"/>
        <v>0</v>
      </c>
      <c r="L180" s="21">
        <f t="shared" si="111"/>
        <v>0</v>
      </c>
      <c r="M180" s="21">
        <f t="shared" si="111"/>
        <v>0</v>
      </c>
      <c r="N180" s="21">
        <f t="shared" si="111"/>
        <v>0</v>
      </c>
      <c r="O180" s="21">
        <f t="shared" si="111"/>
        <v>0</v>
      </c>
      <c r="P180" s="21">
        <f t="shared" si="111"/>
        <v>0</v>
      </c>
      <c r="Q180" s="21">
        <f t="shared" si="111"/>
        <v>0</v>
      </c>
      <c r="R180" s="21">
        <f t="shared" si="111"/>
        <v>0</v>
      </c>
      <c r="S180" s="21">
        <f t="shared" si="111"/>
        <v>0</v>
      </c>
      <c r="T180" s="21">
        <f t="shared" si="111"/>
        <v>0</v>
      </c>
      <c r="U180" s="21">
        <f t="shared" si="111"/>
        <v>0</v>
      </c>
      <c r="V180" s="21">
        <f t="shared" si="111"/>
        <v>0</v>
      </c>
      <c r="W180" s="21">
        <f t="shared" si="111"/>
        <v>0</v>
      </c>
      <c r="X180" s="21">
        <f t="shared" si="111"/>
        <v>0</v>
      </c>
      <c r="Y180" s="21">
        <f t="shared" si="111"/>
        <v>0</v>
      </c>
      <c r="Z180" s="21">
        <f t="shared" si="111"/>
        <v>0</v>
      </c>
      <c r="AA180" s="21">
        <f t="shared" si="111"/>
        <v>0</v>
      </c>
      <c r="AB180" s="21">
        <f t="shared" si="111"/>
        <v>0</v>
      </c>
      <c r="AC180" s="21">
        <f t="shared" si="111"/>
        <v>0</v>
      </c>
      <c r="AD180" s="21">
        <f t="shared" si="111"/>
        <v>0</v>
      </c>
      <c r="AE180" s="21">
        <f t="shared" si="111"/>
        <v>0</v>
      </c>
      <c r="AF180" s="21">
        <f t="shared" si="111"/>
        <v>0</v>
      </c>
      <c r="AG180" s="21">
        <f t="shared" si="111"/>
        <v>0</v>
      </c>
      <c r="AH180" s="21">
        <f t="shared" si="111"/>
        <v>0</v>
      </c>
      <c r="AI180" s="21">
        <f t="shared" si="111"/>
        <v>0</v>
      </c>
      <c r="AJ180" s="21">
        <f t="shared" si="111"/>
        <v>0</v>
      </c>
      <c r="AK180" s="21">
        <f t="shared" si="111"/>
        <v>0</v>
      </c>
      <c r="AL180" s="21">
        <f t="shared" si="111"/>
        <v>0</v>
      </c>
      <c r="AM180" s="21">
        <f t="shared" si="111"/>
        <v>0</v>
      </c>
      <c r="AN180" s="21">
        <f t="shared" si="111"/>
        <v>0</v>
      </c>
      <c r="AO180" s="21">
        <f t="shared" si="111"/>
        <v>0</v>
      </c>
      <c r="AP180" s="21">
        <f t="shared" si="111"/>
        <v>0</v>
      </c>
      <c r="AQ180" s="21">
        <f t="shared" si="111"/>
        <v>0</v>
      </c>
      <c r="AR180" s="21">
        <f t="shared" si="111"/>
        <v>0</v>
      </c>
      <c r="AS180" s="21">
        <f>SUM(AS181:AS184)</f>
        <v>0</v>
      </c>
      <c r="AT180" s="79"/>
      <c r="AU180" s="21">
        <f>SUM(AU181:AU184)</f>
        <v>0</v>
      </c>
      <c r="AV180" s="80">
        <f t="shared" si="92"/>
        <v>0</v>
      </c>
    </row>
    <row r="181" ht="20.5" customHeight="1" spans="1:48">
      <c r="A181" s="19">
        <v>173</v>
      </c>
      <c r="B181" s="31" t="s">
        <v>405</v>
      </c>
      <c r="C181" s="23"/>
      <c r="D181" s="23"/>
      <c r="E181" s="21">
        <f t="shared" ref="E181:E184" si="112">C181-D181</f>
        <v>0</v>
      </c>
      <c r="F181" s="23"/>
      <c r="G181" s="23"/>
      <c r="H181" s="23"/>
      <c r="I181" s="51"/>
      <c r="J181" s="23"/>
      <c r="K181" s="23"/>
      <c r="L181" s="51"/>
      <c r="M181" s="23"/>
      <c r="N181" s="23"/>
      <c r="O181" s="51"/>
      <c r="P181" s="23"/>
      <c r="Q181" s="23"/>
      <c r="R181" s="51"/>
      <c r="S181" s="63"/>
      <c r="T181" s="51"/>
      <c r="U181" s="51"/>
      <c r="V181" s="51"/>
      <c r="W181" s="23"/>
      <c r="X181" s="23"/>
      <c r="Y181" s="51"/>
      <c r="Z181" s="23"/>
      <c r="AA181" s="23"/>
      <c r="AB181" s="51"/>
      <c r="AC181" s="51"/>
      <c r="AD181" s="51"/>
      <c r="AE181" s="51"/>
      <c r="AF181" s="51"/>
      <c r="AG181" s="51"/>
      <c r="AH181" s="51"/>
      <c r="AI181" s="51"/>
      <c r="AJ181" s="68"/>
      <c r="AK181" s="68"/>
      <c r="AL181" s="51"/>
      <c r="AM181" s="51"/>
      <c r="AN181" s="51"/>
      <c r="AO181" s="51"/>
      <c r="AP181" s="23"/>
      <c r="AQ181" s="23"/>
      <c r="AR181" s="51"/>
      <c r="AS181" s="21">
        <f>IF(E181-G181-H181-I181-J181-K181-L181-M181-N181-O181-P181-Q181-R181-S181-T181-U181-V181-W181-X181-Y181-Z181-AA181-AB181-AC181-AD181-AE181-AF181-AG181-AH181-AI181-AJ181-AK181-AL181-AM181-AN181-AO181-AP181-AQ181-AR181&lt;0,0,E181-G181-H181-I181-J181-K181-L181-M181-N181-O181-P181-Q181-R181-S181-T181-U181-V181-W181-X181-Y181-Z181-AA181-AB181-AC181-AD181-AE181-AF181-AG181-AH181-AI181-AJ181-AK181-AL181-AM181-AN181-AO181-AP181-AQ181-AR181)</f>
        <v>0</v>
      </c>
      <c r="AT181" s="82">
        <v>0.15</v>
      </c>
      <c r="AU181" s="83">
        <f>G181*$G$7+H181*$H$7+I181*$I$7+J181*$J$7+K181*$K$7+L181*$L$7+M181*$M$7+N181*$N$7+O181*$O$7+P181*$P$7+Q181*$Q$7+R181*$R$7+S181*$S$7+T181*$T$7+U181*$U$7+V181*$V$7+W181*$W$7+X181*$X$7+Y181*$Y$7++Z181*$Z$7+AA181*$AA$7+AB181*$AB$7+AC181*$AC$7+AD181*$AD$7+AE181*$AE$7+AF181*$AF$7+AH181*$AH$7+AI181*$AI$7+AJ181*$AJ$7+AK181*$AK$7+AL181*$AL$7+AM181*$AM$7+AN181*$AN$7+AO181*$AO$7+AP181*$AP$7+AQ181*$AQ$7+AR181*$AR$7+AS181*AT181+AG181*$AG$7</f>
        <v>0</v>
      </c>
      <c r="AV181" s="80">
        <f t="shared" si="92"/>
        <v>0</v>
      </c>
    </row>
    <row r="182" ht="20.5" customHeight="1" spans="1:48">
      <c r="A182" s="19">
        <v>174</v>
      </c>
      <c r="B182" s="31" t="s">
        <v>406</v>
      </c>
      <c r="C182" s="23"/>
      <c r="D182" s="23"/>
      <c r="E182" s="21">
        <f t="shared" si="112"/>
        <v>0</v>
      </c>
      <c r="F182" s="23"/>
      <c r="G182" s="23"/>
      <c r="H182" s="23"/>
      <c r="I182" s="51"/>
      <c r="J182" s="23"/>
      <c r="K182" s="23"/>
      <c r="L182" s="51"/>
      <c r="M182" s="23"/>
      <c r="N182" s="23"/>
      <c r="O182" s="51"/>
      <c r="P182" s="23"/>
      <c r="Q182" s="23"/>
      <c r="R182" s="51"/>
      <c r="S182" s="63"/>
      <c r="T182" s="51"/>
      <c r="U182" s="51"/>
      <c r="V182" s="51"/>
      <c r="W182" s="23"/>
      <c r="X182" s="23"/>
      <c r="Y182" s="51"/>
      <c r="Z182" s="23"/>
      <c r="AA182" s="23"/>
      <c r="AB182" s="51"/>
      <c r="AC182" s="51"/>
      <c r="AD182" s="51"/>
      <c r="AE182" s="51"/>
      <c r="AF182" s="51"/>
      <c r="AG182" s="51"/>
      <c r="AH182" s="51"/>
      <c r="AI182" s="51"/>
      <c r="AJ182" s="68"/>
      <c r="AK182" s="68"/>
      <c r="AL182" s="51"/>
      <c r="AM182" s="51"/>
      <c r="AN182" s="51"/>
      <c r="AO182" s="51"/>
      <c r="AP182" s="23"/>
      <c r="AQ182" s="23"/>
      <c r="AR182" s="51"/>
      <c r="AS182" s="21">
        <f>IF(E182-G182-H182-I182-J182-K182-L182-M182-N182-O182-P182-Q182-R182-S182-T182-U182-V182-W182-X182-Y182-Z182-AA182-AB182-AC182-AD182-AE182-AF182-AG182-AH182-AI182-AJ182-AK182-AL182-AM182-AN182-AO182-AP182-AQ182-AR182&lt;0,0,E182-G182-H182-I182-J182-K182-L182-M182-N182-O182-P182-Q182-R182-S182-T182-U182-V182-W182-X182-Y182-Z182-AA182-AB182-AC182-AD182-AE182-AF182-AG182-AH182-AI182-AJ182-AK182-AL182-AM182-AN182-AO182-AP182-AQ182-AR182)</f>
        <v>0</v>
      </c>
      <c r="AT182" s="82">
        <v>0.2</v>
      </c>
      <c r="AU182" s="83">
        <f>G182*$G$7+H182*$H$7+I182*$I$7+J182*$J$7+K182*$K$7+L182*$L$7+M182*$M$7+N182*$N$7+O182*$O$7+P182*$P$7+Q182*$Q$7+R182*$R$7+S182*$S$7+T182*$T$7+U182*$U$7+V182*$V$7+W182*$W$7+X182*$X$7+Y182*$Y$7++Z182*$Z$7+AA182*$AA$7+AB182*$AB$7+AC182*$AC$7+AD182*$AD$7+AE182*$AE$7+AF182*$AF$7+AH182*$AH$7+AI182*$AI$7+AJ182*$AJ$7+AK182*$AK$7+AL182*$AL$7+AM182*$AM$7+AN182*$AN$7+AO182*$AO$7+AP182*$AP$7+AQ182*$AQ$7+AR182*$AR$7+AS182*AT182+AG182*$AG$7</f>
        <v>0</v>
      </c>
      <c r="AV182" s="80">
        <f t="shared" si="92"/>
        <v>0</v>
      </c>
    </row>
    <row r="183" ht="20.5" customHeight="1" spans="1:48">
      <c r="A183" s="19">
        <v>175</v>
      </c>
      <c r="B183" s="31" t="s">
        <v>407</v>
      </c>
      <c r="C183" s="23"/>
      <c r="D183" s="23"/>
      <c r="E183" s="21">
        <f t="shared" si="112"/>
        <v>0</v>
      </c>
      <c r="F183" s="23"/>
      <c r="G183" s="23"/>
      <c r="H183" s="23"/>
      <c r="I183" s="23"/>
      <c r="J183" s="23"/>
      <c r="K183" s="23"/>
      <c r="L183" s="23"/>
      <c r="M183" s="23"/>
      <c r="N183" s="23"/>
      <c r="O183" s="23"/>
      <c r="P183" s="23"/>
      <c r="Q183" s="23"/>
      <c r="R183" s="23"/>
      <c r="S183" s="23"/>
      <c r="T183" s="23"/>
      <c r="U183" s="23"/>
      <c r="V183" s="51"/>
      <c r="W183" s="23"/>
      <c r="X183" s="23"/>
      <c r="Y183" s="23"/>
      <c r="Z183" s="23"/>
      <c r="AA183" s="23"/>
      <c r="AB183" s="23"/>
      <c r="AC183" s="23"/>
      <c r="AD183" s="51"/>
      <c r="AE183" s="23"/>
      <c r="AF183" s="51"/>
      <c r="AG183" s="23"/>
      <c r="AH183" s="23"/>
      <c r="AI183" s="51"/>
      <c r="AJ183" s="23"/>
      <c r="AK183" s="23"/>
      <c r="AL183" s="23"/>
      <c r="AM183" s="23"/>
      <c r="AN183" s="23"/>
      <c r="AO183" s="51"/>
      <c r="AP183" s="23"/>
      <c r="AQ183" s="23"/>
      <c r="AR183" s="23"/>
      <c r="AS183" s="21">
        <f>IF(E183-G183-H183-I183-J183-K183-L183-M183-N183-O183-P183-Q183-R183-S183-T183-U183-V183-W183-X183-Y183-Z183-AA183-AB183-AC183-AD183-AE183-AF183-AG183-AH183-AI183-AJ183-AK183-AL183-AM183-AN183-AO183-AP183-AQ183-AR183&lt;0,0,E183-G183-H183-I183-J183-K183-L183-M183-N183-O183-P183-Q183-R183-S183-T183-U183-V183-W183-X183-Y183-Z183-AA183-AB183-AC183-AD183-AE183-AF183-AG183-AH183-AI183-AJ183-AK183-AL183-AM183-AN183-AO183-AP183-AQ183-AR183)</f>
        <v>0</v>
      </c>
      <c r="AT183" s="82">
        <v>0.35</v>
      </c>
      <c r="AU183" s="83">
        <f>G183*$G$7+H183*$H$7+I183*$I$7+J183*$J$7+K183*$K$7+L183*$L$7+M183*$M$7+N183*$N$7+O183*$O$7+P183*$P$7+Q183*$Q$7+R183*$R$7+S183*$S$7+T183*$T$7+U183*$U$7+V183*$V$7+W183*$W$7+X183*$X$7+Y183*$Y$7++Z183*$Z$7+AA183*$AA$7+AB183*$AB$7+AC183*$AC$7+AD183*$AD$7+AE183*$AE$7+AF183*$AF$7+AH183*$AH$7+AI183*$AI$7+AJ183*$AJ$7+AK183*$AK$7+AL183*$AL$7+AM183*$AM$7+AN183*$AN$7+AO183*$AO$7+AP183*$AP$7+AQ183*$AQ$7+AR183*$AR$7+AS183*AT183+AG183*$AG$7</f>
        <v>0</v>
      </c>
      <c r="AV183" s="80">
        <f t="shared" si="92"/>
        <v>0</v>
      </c>
    </row>
    <row r="184" ht="20.5" customHeight="1" spans="1:48">
      <c r="A184" s="19">
        <v>176</v>
      </c>
      <c r="B184" s="31" t="s">
        <v>408</v>
      </c>
      <c r="C184" s="23"/>
      <c r="D184" s="23"/>
      <c r="E184" s="21">
        <f t="shared" si="112"/>
        <v>0</v>
      </c>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1">
        <f>IF(E184-G184-H184-I184-J184-K184-L184-M184-N184-O184-P184-Q184-R184-S184-T184-U184-V184-W184-X184-Y184-Z184-AA184-AB184-AC184-AD184-AE184-AF184-AG184-AH184-AI184-AJ184-AK184-AL184-AM184-AN184-AO184-AP184-AQ184-AR184&lt;0,0,E184-G184-H184-I184-J184-K184-L184-M184-N184-O184-P184-Q184-R184-S184-T184-U184-V184-W184-X184-Y184-Z184-AA184-AB184-AC184-AD184-AE184-AF184-AG184-AH184-AI184-AJ184-AK184-AL184-AM184-AN184-AO184-AP184-AQ184-AR184)</f>
        <v>0</v>
      </c>
      <c r="AT184" s="82">
        <v>1</v>
      </c>
      <c r="AU184" s="83">
        <f>G184*$G$7+H184*$H$7+I184*$I$7+J184*$J$7+K184*$K$7+L184*$L$7+M184*$M$7+N184*$N$7+O184*$O$7+P184*$P$7+Q184*$Q$7+R184*$R$7+S184*$S$7+T184*$T$7+U184*$U$7+V184*$V$7+W184*$W$7+X184*$X$7+Y184*$Y$7++Z184*$Z$7+AA184*$AA$7+AB184*$AB$7+AC184*$AC$7+AD184*$AD$7+AE184*$AE$7+AF184*$AF$7+AH184*$AH$7+AI184*$AI$7+AJ184*$AJ$7+AK184*$AK$7+AL184*$AL$7+AM184*$AM$7+AN184*$AN$7+AO184*$AO$7+AP184*$AP$7+AQ184*$AQ$7+AR184*$AR$7+AS184*AT184+AG184*$AG$7</f>
        <v>0</v>
      </c>
      <c r="AV184" s="80">
        <f t="shared" si="92"/>
        <v>0</v>
      </c>
    </row>
    <row r="185" ht="20.5" customHeight="1" spans="1:48">
      <c r="A185" s="19">
        <v>177</v>
      </c>
      <c r="B185" s="103" t="s">
        <v>263</v>
      </c>
      <c r="C185" s="21">
        <f t="shared" ref="C185:AR185" si="113">C186+C187</f>
        <v>0</v>
      </c>
      <c r="D185" s="21">
        <f t="shared" si="113"/>
        <v>0</v>
      </c>
      <c r="E185" s="21">
        <f t="shared" si="113"/>
        <v>0</v>
      </c>
      <c r="F185" s="21">
        <f t="shared" si="113"/>
        <v>0</v>
      </c>
      <c r="G185" s="21">
        <f t="shared" si="113"/>
        <v>0</v>
      </c>
      <c r="H185" s="21">
        <f t="shared" si="113"/>
        <v>0</v>
      </c>
      <c r="I185" s="21">
        <f t="shared" si="113"/>
        <v>0</v>
      </c>
      <c r="J185" s="21">
        <f t="shared" si="113"/>
        <v>0</v>
      </c>
      <c r="K185" s="21">
        <f t="shared" si="113"/>
        <v>0</v>
      </c>
      <c r="L185" s="21">
        <f t="shared" si="113"/>
        <v>0</v>
      </c>
      <c r="M185" s="21">
        <f t="shared" si="113"/>
        <v>0</v>
      </c>
      <c r="N185" s="21">
        <f t="shared" si="113"/>
        <v>0</v>
      </c>
      <c r="O185" s="21">
        <f t="shared" si="113"/>
        <v>0</v>
      </c>
      <c r="P185" s="21">
        <f t="shared" si="113"/>
        <v>0</v>
      </c>
      <c r="Q185" s="21">
        <f t="shared" si="113"/>
        <v>0</v>
      </c>
      <c r="R185" s="21">
        <f t="shared" si="113"/>
        <v>0</v>
      </c>
      <c r="S185" s="21">
        <f t="shared" si="113"/>
        <v>0</v>
      </c>
      <c r="T185" s="21">
        <f t="shared" si="113"/>
        <v>0</v>
      </c>
      <c r="U185" s="21">
        <f t="shared" si="113"/>
        <v>0</v>
      </c>
      <c r="V185" s="21">
        <f t="shared" si="113"/>
        <v>0</v>
      </c>
      <c r="W185" s="21">
        <f t="shared" si="113"/>
        <v>0</v>
      </c>
      <c r="X185" s="21">
        <f t="shared" si="113"/>
        <v>0</v>
      </c>
      <c r="Y185" s="21">
        <f t="shared" si="113"/>
        <v>0</v>
      </c>
      <c r="Z185" s="21">
        <f t="shared" si="113"/>
        <v>0</v>
      </c>
      <c r="AA185" s="21">
        <f t="shared" si="113"/>
        <v>0</v>
      </c>
      <c r="AB185" s="21">
        <f t="shared" si="113"/>
        <v>0</v>
      </c>
      <c r="AC185" s="21">
        <f t="shared" si="113"/>
        <v>0</v>
      </c>
      <c r="AD185" s="21">
        <f t="shared" si="113"/>
        <v>0</v>
      </c>
      <c r="AE185" s="21">
        <f t="shared" si="113"/>
        <v>0</v>
      </c>
      <c r="AF185" s="21">
        <f t="shared" si="113"/>
        <v>0</v>
      </c>
      <c r="AG185" s="21">
        <f t="shared" si="113"/>
        <v>0</v>
      </c>
      <c r="AH185" s="21">
        <f t="shared" si="113"/>
        <v>0</v>
      </c>
      <c r="AI185" s="21">
        <f t="shared" si="113"/>
        <v>0</v>
      </c>
      <c r="AJ185" s="21">
        <f t="shared" si="113"/>
        <v>0</v>
      </c>
      <c r="AK185" s="21">
        <f t="shared" si="113"/>
        <v>0</v>
      </c>
      <c r="AL185" s="21">
        <f t="shared" si="113"/>
        <v>0</v>
      </c>
      <c r="AM185" s="21">
        <f t="shared" si="113"/>
        <v>0</v>
      </c>
      <c r="AN185" s="21">
        <f t="shared" si="113"/>
        <v>0</v>
      </c>
      <c r="AO185" s="21">
        <f t="shared" si="113"/>
        <v>0</v>
      </c>
      <c r="AP185" s="21">
        <f t="shared" si="113"/>
        <v>0</v>
      </c>
      <c r="AQ185" s="21">
        <f t="shared" si="113"/>
        <v>0</v>
      </c>
      <c r="AR185" s="21">
        <f t="shared" si="113"/>
        <v>0</v>
      </c>
      <c r="AS185" s="21">
        <f>SUM(AS186:AS187)</f>
        <v>0</v>
      </c>
      <c r="AT185" s="79"/>
      <c r="AU185" s="21">
        <f>SUM(AU186:AU187)</f>
        <v>0</v>
      </c>
      <c r="AV185" s="80">
        <f t="shared" si="92"/>
        <v>0</v>
      </c>
    </row>
    <row r="186" ht="31" customHeight="1" spans="1:48">
      <c r="A186" s="19">
        <v>178</v>
      </c>
      <c r="B186" s="94" t="s">
        <v>264</v>
      </c>
      <c r="C186" s="23"/>
      <c r="D186" s="23"/>
      <c r="E186" s="21">
        <f t="shared" ref="E186:E189" si="114">C186-D186</f>
        <v>0</v>
      </c>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1">
        <f t="shared" ref="AS186:AS192" si="115">IF(E186-G186-H186-I186-J186-K186-L186-M186-N186-O186-P186-Q186-R186-S186-T186-U186-V186-W186-X186-Y186-Z186-AA186-AB186-AC186-AD186-AE186-AF186-AG186-AH186-AI186-AJ186-AK186-AL186-AM186-AN186-AO186-AP186-AQ186-AR186&lt;0,0,E186-G186-H186-I186-J186-K186-L186-M186-N186-O186-P186-Q186-R186-S186-T186-U186-V186-W186-X186-Y186-Z186-AA186-AB186-AC186-AD186-AE186-AF186-AG186-AH186-AI186-AJ186-AK186-AL186-AM186-AN186-AO186-AP186-AQ186-AR186)</f>
        <v>0</v>
      </c>
      <c r="AT186" s="82">
        <v>1</v>
      </c>
      <c r="AU186" s="83">
        <f>G186*$G$7+H186*$H$7+I186*$I$7+J186*$J$7+K186*$K$7+L186*$L$7+M186*$M$7+N186*$N$7+O186*$O$7+P186*$P$7+Q186*$Q$7+R186*$R$7+S186*$S$7+T186*$T$7+U186*$U$7+V186*$V$7+W186*$W$7+X186*$X$7+Y186*$Y$7++Z186*$Z$7+AA186*$AA$7+AB186*$AB$7+AC186*$AC$7+AD186*$AD$7+AE186*$AE$7+AF186*$AF$7+AH186*$AH$7+AI186*$AI$7+AJ186*$AJ$7+AK186*$AK$7+AL186*$AL$7+AM186*$AM$7+AN186*$AN$7+AO186*$AO$7+AP186*$AP$7+AQ186*$AQ$7+AR186*$AR$7+AS186*AT186+AG186*$AG$7</f>
        <v>0</v>
      </c>
      <c r="AV186" s="80">
        <f t="shared" si="92"/>
        <v>0</v>
      </c>
    </row>
    <row r="187" ht="20.5" customHeight="1" spans="1:48">
      <c r="A187" s="19">
        <v>179</v>
      </c>
      <c r="B187" s="94" t="s">
        <v>265</v>
      </c>
      <c r="C187" s="100">
        <f t="shared" ref="C187:AR187" si="116">C188+C189</f>
        <v>0</v>
      </c>
      <c r="D187" s="100">
        <f t="shared" si="116"/>
        <v>0</v>
      </c>
      <c r="E187" s="100">
        <f t="shared" si="116"/>
        <v>0</v>
      </c>
      <c r="F187" s="100">
        <f t="shared" si="116"/>
        <v>0</v>
      </c>
      <c r="G187" s="100">
        <f t="shared" si="116"/>
        <v>0</v>
      </c>
      <c r="H187" s="100">
        <f t="shared" si="116"/>
        <v>0</v>
      </c>
      <c r="I187" s="100">
        <f t="shared" si="116"/>
        <v>0</v>
      </c>
      <c r="J187" s="100">
        <f t="shared" si="116"/>
        <v>0</v>
      </c>
      <c r="K187" s="100">
        <f t="shared" si="116"/>
        <v>0</v>
      </c>
      <c r="L187" s="100">
        <f t="shared" si="116"/>
        <v>0</v>
      </c>
      <c r="M187" s="100">
        <f t="shared" si="116"/>
        <v>0</v>
      </c>
      <c r="N187" s="100">
        <f t="shared" si="116"/>
        <v>0</v>
      </c>
      <c r="O187" s="100">
        <f t="shared" si="116"/>
        <v>0</v>
      </c>
      <c r="P187" s="100">
        <f t="shared" si="116"/>
        <v>0</v>
      </c>
      <c r="Q187" s="100">
        <f t="shared" si="116"/>
        <v>0</v>
      </c>
      <c r="R187" s="100">
        <f t="shared" si="116"/>
        <v>0</v>
      </c>
      <c r="S187" s="100">
        <f t="shared" si="116"/>
        <v>0</v>
      </c>
      <c r="T187" s="100">
        <f t="shared" si="116"/>
        <v>0</v>
      </c>
      <c r="U187" s="100">
        <f t="shared" si="116"/>
        <v>0</v>
      </c>
      <c r="V187" s="100">
        <f t="shared" si="116"/>
        <v>0</v>
      </c>
      <c r="W187" s="100">
        <f t="shared" si="116"/>
        <v>0</v>
      </c>
      <c r="X187" s="100">
        <f t="shared" si="116"/>
        <v>0</v>
      </c>
      <c r="Y187" s="100">
        <f t="shared" si="116"/>
        <v>0</v>
      </c>
      <c r="Z187" s="100">
        <f t="shared" si="116"/>
        <v>0</v>
      </c>
      <c r="AA187" s="100">
        <f t="shared" si="116"/>
        <v>0</v>
      </c>
      <c r="AB187" s="100">
        <f t="shared" si="116"/>
        <v>0</v>
      </c>
      <c r="AC187" s="100">
        <f t="shared" si="116"/>
        <v>0</v>
      </c>
      <c r="AD187" s="100">
        <f t="shared" si="116"/>
        <v>0</v>
      </c>
      <c r="AE187" s="100">
        <f t="shared" si="116"/>
        <v>0</v>
      </c>
      <c r="AF187" s="100">
        <f t="shared" si="116"/>
        <v>0</v>
      </c>
      <c r="AG187" s="100">
        <f t="shared" si="116"/>
        <v>0</v>
      </c>
      <c r="AH187" s="100">
        <f t="shared" si="116"/>
        <v>0</v>
      </c>
      <c r="AI187" s="100">
        <f t="shared" si="116"/>
        <v>0</v>
      </c>
      <c r="AJ187" s="100">
        <f t="shared" si="116"/>
        <v>0</v>
      </c>
      <c r="AK187" s="100">
        <f t="shared" si="116"/>
        <v>0</v>
      </c>
      <c r="AL187" s="100">
        <f t="shared" si="116"/>
        <v>0</v>
      </c>
      <c r="AM187" s="100">
        <f t="shared" si="116"/>
        <v>0</v>
      </c>
      <c r="AN187" s="100">
        <f t="shared" si="116"/>
        <v>0</v>
      </c>
      <c r="AO187" s="100">
        <f t="shared" si="116"/>
        <v>0</v>
      </c>
      <c r="AP187" s="100">
        <f t="shared" si="116"/>
        <v>0</v>
      </c>
      <c r="AQ187" s="100">
        <f t="shared" si="116"/>
        <v>0</v>
      </c>
      <c r="AR187" s="100">
        <f t="shared" si="116"/>
        <v>0</v>
      </c>
      <c r="AS187" s="21">
        <f>SUM(AS188:AS189)</f>
        <v>0</v>
      </c>
      <c r="AT187" s="79"/>
      <c r="AU187" s="21">
        <f>SUM(AU188:AU189)</f>
        <v>0</v>
      </c>
      <c r="AV187" s="80">
        <f t="shared" si="92"/>
        <v>0</v>
      </c>
    </row>
    <row r="188" ht="20.5" customHeight="1" spans="1:48">
      <c r="A188" s="19">
        <v>180</v>
      </c>
      <c r="B188" s="31" t="s">
        <v>409</v>
      </c>
      <c r="C188" s="23"/>
      <c r="D188" s="23"/>
      <c r="E188" s="21">
        <f t="shared" si="114"/>
        <v>0</v>
      </c>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1">
        <f t="shared" si="115"/>
        <v>0</v>
      </c>
      <c r="AT188" s="82">
        <v>1.5</v>
      </c>
      <c r="AU188" s="83">
        <f>G188*$G$7+H188*$H$7+I188*$I$7+J188*$J$7+K188*$K$7+L188*$L$7+M188*$M$7+N188*$N$7+O188*$O$7+P188*$P$7+Q188*$Q$7+R188*$R$7+S188*$S$7+T188*$T$7+U188*$U$7+V188*$V$7+W188*$W$7+X188*$X$7+Y188*$Y$7++Z188*$Z$7+AA188*$AA$7+AB188*$AB$7+AC188*$AC$7+AD188*$AD$7+AE188*$AE$7+AF188*$AF$7+AH188*$AH$7+AI188*$AI$7+AJ188*$AJ$7+AK188*$AK$7+AL188*$AL$7+AM188*$AM$7+AN188*$AN$7+AO188*$AO$7+AP188*$AP$7+AQ188*$AQ$7+AR188*$AR$7+AS188*AT188+AG188*$AG$7</f>
        <v>0</v>
      </c>
      <c r="AV188" s="80">
        <f t="shared" si="92"/>
        <v>0</v>
      </c>
    </row>
    <row r="189" ht="20.5" customHeight="1" spans="1:48">
      <c r="A189" s="19">
        <v>181</v>
      </c>
      <c r="B189" s="31" t="s">
        <v>410</v>
      </c>
      <c r="C189" s="23"/>
      <c r="D189" s="23"/>
      <c r="E189" s="21">
        <f t="shared" si="114"/>
        <v>0</v>
      </c>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1">
        <f t="shared" si="115"/>
        <v>0</v>
      </c>
      <c r="AT189" s="82">
        <v>1</v>
      </c>
      <c r="AU189" s="83">
        <f>G189*$G$7+H189*$H$7+I189*$I$7+J189*$J$7+K189*$K$7+L189*$L$7+M189*$M$7+N189*$N$7+O189*$O$7+P189*$P$7+Q189*$Q$7+R189*$R$7+S189*$S$7+T189*$T$7+U189*$U$7+V189*$V$7+W189*$W$7+X189*$X$7+Y189*$Y$7++Z189*$Z$7+AA189*$AA$7+AB189*$AB$7+AC189*$AC$7+AD189*$AD$7+AE189*$AE$7+AF189*$AF$7+AH189*$AH$7+AI189*$AI$7+AJ189*$AJ$7+AK189*$AK$7+AL189*$AL$7+AM189*$AM$7+AN189*$AN$7+AO189*$AO$7+AP189*$AP$7+AQ189*$AQ$7+AR189*$AR$7+AS189*AT189+AG189*$AG$7</f>
        <v>0</v>
      </c>
      <c r="AV189" s="80">
        <f t="shared" si="92"/>
        <v>0</v>
      </c>
    </row>
    <row r="190" ht="20.5" customHeight="1" spans="1:48">
      <c r="A190" s="19">
        <v>182</v>
      </c>
      <c r="B190" s="103" t="s">
        <v>411</v>
      </c>
      <c r="C190" s="21">
        <f t="shared" ref="C190:AS190" si="117">C191+C192+C193</f>
        <v>0</v>
      </c>
      <c r="D190" s="21">
        <f t="shared" si="117"/>
        <v>0</v>
      </c>
      <c r="E190" s="21">
        <f t="shared" si="117"/>
        <v>0</v>
      </c>
      <c r="F190" s="21">
        <f t="shared" si="117"/>
        <v>0</v>
      </c>
      <c r="G190" s="21">
        <f t="shared" si="117"/>
        <v>0</v>
      </c>
      <c r="H190" s="21">
        <f t="shared" si="117"/>
        <v>0</v>
      </c>
      <c r="I190" s="21">
        <f t="shared" si="117"/>
        <v>0</v>
      </c>
      <c r="J190" s="21">
        <f t="shared" si="117"/>
        <v>0</v>
      </c>
      <c r="K190" s="21">
        <f t="shared" si="117"/>
        <v>0</v>
      </c>
      <c r="L190" s="21">
        <f t="shared" si="117"/>
        <v>0</v>
      </c>
      <c r="M190" s="21">
        <f t="shared" si="117"/>
        <v>0</v>
      </c>
      <c r="N190" s="21">
        <f t="shared" si="117"/>
        <v>0</v>
      </c>
      <c r="O190" s="21">
        <f t="shared" si="117"/>
        <v>0</v>
      </c>
      <c r="P190" s="21">
        <f t="shared" si="117"/>
        <v>0</v>
      </c>
      <c r="Q190" s="21">
        <f t="shared" si="117"/>
        <v>0</v>
      </c>
      <c r="R190" s="21">
        <f t="shared" si="117"/>
        <v>0</v>
      </c>
      <c r="S190" s="21">
        <f t="shared" si="117"/>
        <v>0</v>
      </c>
      <c r="T190" s="21">
        <f t="shared" si="117"/>
        <v>0</v>
      </c>
      <c r="U190" s="21">
        <f t="shared" si="117"/>
        <v>0</v>
      </c>
      <c r="V190" s="21">
        <f t="shared" si="117"/>
        <v>0</v>
      </c>
      <c r="W190" s="21">
        <f t="shared" si="117"/>
        <v>0</v>
      </c>
      <c r="X190" s="21">
        <f t="shared" si="117"/>
        <v>0</v>
      </c>
      <c r="Y190" s="21">
        <f t="shared" si="117"/>
        <v>0</v>
      </c>
      <c r="Z190" s="21">
        <f t="shared" si="117"/>
        <v>0</v>
      </c>
      <c r="AA190" s="21">
        <f t="shared" si="117"/>
        <v>0</v>
      </c>
      <c r="AB190" s="21">
        <f t="shared" si="117"/>
        <v>0</v>
      </c>
      <c r="AC190" s="21">
        <f t="shared" si="117"/>
        <v>0</v>
      </c>
      <c r="AD190" s="21">
        <f t="shared" si="117"/>
        <v>0</v>
      </c>
      <c r="AE190" s="21">
        <f t="shared" si="117"/>
        <v>0</v>
      </c>
      <c r="AF190" s="21">
        <f t="shared" si="117"/>
        <v>0</v>
      </c>
      <c r="AG190" s="21">
        <f t="shared" si="117"/>
        <v>0</v>
      </c>
      <c r="AH190" s="21">
        <f t="shared" si="117"/>
        <v>0</v>
      </c>
      <c r="AI190" s="21">
        <f t="shared" si="117"/>
        <v>0</v>
      </c>
      <c r="AJ190" s="21">
        <f t="shared" si="117"/>
        <v>0</v>
      </c>
      <c r="AK190" s="21">
        <f t="shared" si="117"/>
        <v>0</v>
      </c>
      <c r="AL190" s="21">
        <f t="shared" si="117"/>
        <v>0</v>
      </c>
      <c r="AM190" s="21">
        <f t="shared" si="117"/>
        <v>0</v>
      </c>
      <c r="AN190" s="21">
        <f t="shared" si="117"/>
        <v>0</v>
      </c>
      <c r="AO190" s="21">
        <f t="shared" si="117"/>
        <v>0</v>
      </c>
      <c r="AP190" s="21">
        <f t="shared" si="117"/>
        <v>0</v>
      </c>
      <c r="AQ190" s="21">
        <f t="shared" si="117"/>
        <v>0</v>
      </c>
      <c r="AR190" s="21">
        <f t="shared" si="117"/>
        <v>0</v>
      </c>
      <c r="AS190" s="21">
        <f t="shared" si="117"/>
        <v>0</v>
      </c>
      <c r="AT190" s="79"/>
      <c r="AU190" s="21">
        <f>AU191+AU192+AU193</f>
        <v>0</v>
      </c>
      <c r="AV190" s="80">
        <f t="shared" si="92"/>
        <v>0</v>
      </c>
    </row>
    <row r="191" ht="20.5" customHeight="1" spans="1:48">
      <c r="A191" s="19">
        <v>183</v>
      </c>
      <c r="B191" s="22" t="s">
        <v>412</v>
      </c>
      <c r="C191" s="23"/>
      <c r="D191" s="23"/>
      <c r="E191" s="21">
        <f>C191-D191</f>
        <v>0</v>
      </c>
      <c r="F191" s="23"/>
      <c r="G191" s="104"/>
      <c r="H191" s="104"/>
      <c r="I191" s="104"/>
      <c r="J191" s="51"/>
      <c r="K191" s="51"/>
      <c r="L191" s="51"/>
      <c r="M191" s="51"/>
      <c r="N191" s="51"/>
      <c r="O191" s="51"/>
      <c r="P191" s="51"/>
      <c r="Q191" s="51"/>
      <c r="R191" s="51"/>
      <c r="S191" s="51"/>
      <c r="T191" s="51"/>
      <c r="U191" s="51"/>
      <c r="V191" s="51"/>
      <c r="W191" s="51"/>
      <c r="X191" s="51"/>
      <c r="Y191" s="51"/>
      <c r="Z191" s="51"/>
      <c r="AA191" s="51"/>
      <c r="AB191" s="51"/>
      <c r="AC191" s="51"/>
      <c r="AD191" s="51"/>
      <c r="AE191" s="67"/>
      <c r="AF191" s="67"/>
      <c r="AG191" s="67"/>
      <c r="AH191" s="67"/>
      <c r="AI191" s="67"/>
      <c r="AJ191" s="67"/>
      <c r="AK191" s="67"/>
      <c r="AL191" s="67"/>
      <c r="AM191" s="67"/>
      <c r="AN191" s="67"/>
      <c r="AO191" s="67"/>
      <c r="AP191" s="51"/>
      <c r="AQ191" s="51"/>
      <c r="AR191" s="51"/>
      <c r="AS191" s="81">
        <f t="shared" si="115"/>
        <v>0</v>
      </c>
      <c r="AT191" s="82">
        <v>0</v>
      </c>
      <c r="AU191" s="83">
        <f>G191*$G$7+H191*$H$7+I191*$I$7+J191*$J$7+K191*$K$7+L191*$L$7+M191*$M$7+N191*$N$7+O191*$O$7+P191*$P$7+Q191*$Q$7+R191*$R$7+S191*$S$7+T191*$T$7+U191*$U$7+V191*$V$7+W191*$W$7+X191*$X$7+Y191*$Y$7++Z191*$Z$7+AA191*$AA$7+AB191*$AB$7+AC191*$AC$7+AD191*$AD$7+AE191*$AE$7+AF191*$AF$7+AH191*$AH$7+AI191*$AI$7+AJ191*$AJ$7+AK191*$AK$7+AL191*$AL$7+AM191*$AM$7+AN191*$AN$7+AO191*$AO$7+AP191*$AP$7+AQ191*$AQ$7+AR191*$AR$7+AS191*AT191+AG191*$AG$7</f>
        <v>0</v>
      </c>
      <c r="AV191" s="80">
        <f t="shared" si="92"/>
        <v>0</v>
      </c>
    </row>
    <row r="192" ht="20.5" customHeight="1" spans="1:48">
      <c r="A192" s="19">
        <v>184</v>
      </c>
      <c r="B192" s="22" t="s">
        <v>413</v>
      </c>
      <c r="C192" s="23"/>
      <c r="D192" s="23"/>
      <c r="E192" s="21">
        <f>C192-D192</f>
        <v>0</v>
      </c>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1">
        <f t="shared" si="115"/>
        <v>0</v>
      </c>
      <c r="AT192" s="82">
        <v>2.5</v>
      </c>
      <c r="AU192" s="83">
        <f>G192*$G$7+H192*$H$7+I192*$I$7+J192*$J$7+K192*$K$7+L192*$L$7+M192*$M$7+N192*$N$7+O192*$O$7+P192*$P$7+Q192*$Q$7+R192*$R$7+S192*$S$7+T192*$T$7+U192*$U$7+V192*$V$7+W192*$W$7+X192*$X$7+Y192*$Y$7++Z192*$Z$7+AA192*$AA$7+AB192*$AB$7+AC192*$AC$7+AD192*$AD$7+AE192*$AE$7+AF192*$AF$7+AH192*$AH$7+AI192*$AI$7+AJ192*$AJ$7+AK192*$AK$7+AL192*$AL$7+AM192*$AM$7+AN192*$AN$7+AO192*$AO$7+AP192*$AP$7+AQ192*$AQ$7+AR192*$AR$7+AS192*AT192+AG192*$AG$7</f>
        <v>0</v>
      </c>
      <c r="AV192" s="80">
        <f t="shared" si="92"/>
        <v>0</v>
      </c>
    </row>
    <row r="193" ht="20.5" customHeight="1" spans="1:48">
      <c r="A193" s="19">
        <v>185</v>
      </c>
      <c r="B193" s="22" t="s">
        <v>414</v>
      </c>
      <c r="C193" s="100">
        <f>C194+C195+C196+C197+C198+C199+C200+C201+C202+C203+C204+C205+C206+C207+C208+C209</f>
        <v>0</v>
      </c>
      <c r="D193" s="100">
        <f>D194+D195+D196+D197+D198+D199+D200+D201+D202+D203+D204+D205+D206+D207+D208+D209</f>
        <v>0</v>
      </c>
      <c r="E193" s="100">
        <f>E194+E195+E196+E197+E198+E199+E200+E201+E202+E203+E204+E205+E206+E207+E208+E209</f>
        <v>0</v>
      </c>
      <c r="F193" s="100">
        <f>F194+F195+F196+F197+F198+F199+F200+F201+F202+F203+F204+F205+F206+F207+F208+F209</f>
        <v>0</v>
      </c>
      <c r="G193" s="100">
        <f t="shared" ref="G193:AS193" si="118">G194+G195+G196+G197+G198+G199+G200+G201+G202+G203+G204+G205+G206+G207+G208+G209</f>
        <v>0</v>
      </c>
      <c r="H193" s="100">
        <f t="shared" si="118"/>
        <v>0</v>
      </c>
      <c r="I193" s="100">
        <f t="shared" si="118"/>
        <v>0</v>
      </c>
      <c r="J193" s="100">
        <f t="shared" si="118"/>
        <v>0</v>
      </c>
      <c r="K193" s="100">
        <f t="shared" si="118"/>
        <v>0</v>
      </c>
      <c r="L193" s="100">
        <f t="shared" si="118"/>
        <v>0</v>
      </c>
      <c r="M193" s="100">
        <f t="shared" si="118"/>
        <v>0</v>
      </c>
      <c r="N193" s="100">
        <f t="shared" si="118"/>
        <v>0</v>
      </c>
      <c r="O193" s="100">
        <f t="shared" si="118"/>
        <v>0</v>
      </c>
      <c r="P193" s="100">
        <f t="shared" si="118"/>
        <v>0</v>
      </c>
      <c r="Q193" s="100">
        <f t="shared" si="118"/>
        <v>0</v>
      </c>
      <c r="R193" s="100">
        <f t="shared" si="118"/>
        <v>0</v>
      </c>
      <c r="S193" s="100">
        <f t="shared" si="118"/>
        <v>0</v>
      </c>
      <c r="T193" s="100">
        <f t="shared" si="118"/>
        <v>0</v>
      </c>
      <c r="U193" s="100">
        <f t="shared" si="118"/>
        <v>0</v>
      </c>
      <c r="V193" s="100">
        <f t="shared" si="118"/>
        <v>0</v>
      </c>
      <c r="W193" s="100">
        <f t="shared" si="118"/>
        <v>0</v>
      </c>
      <c r="X193" s="100">
        <f t="shared" si="118"/>
        <v>0</v>
      </c>
      <c r="Y193" s="100">
        <f t="shared" si="118"/>
        <v>0</v>
      </c>
      <c r="Z193" s="100">
        <f t="shared" si="118"/>
        <v>0</v>
      </c>
      <c r="AA193" s="100">
        <f t="shared" si="118"/>
        <v>0</v>
      </c>
      <c r="AB193" s="100">
        <f t="shared" si="118"/>
        <v>0</v>
      </c>
      <c r="AC193" s="100">
        <f t="shared" si="118"/>
        <v>0</v>
      </c>
      <c r="AD193" s="100">
        <f t="shared" si="118"/>
        <v>0</v>
      </c>
      <c r="AE193" s="100">
        <f t="shared" si="118"/>
        <v>0</v>
      </c>
      <c r="AF193" s="100">
        <f t="shared" si="118"/>
        <v>0</v>
      </c>
      <c r="AG193" s="100">
        <f t="shared" si="118"/>
        <v>0</v>
      </c>
      <c r="AH193" s="100">
        <f t="shared" si="118"/>
        <v>0</v>
      </c>
      <c r="AI193" s="100">
        <f t="shared" si="118"/>
        <v>0</v>
      </c>
      <c r="AJ193" s="100">
        <f t="shared" si="118"/>
        <v>0</v>
      </c>
      <c r="AK193" s="100">
        <f t="shared" si="118"/>
        <v>0</v>
      </c>
      <c r="AL193" s="100">
        <f t="shared" si="118"/>
        <v>0</v>
      </c>
      <c r="AM193" s="100">
        <f t="shared" si="118"/>
        <v>0</v>
      </c>
      <c r="AN193" s="100">
        <f t="shared" si="118"/>
        <v>0</v>
      </c>
      <c r="AO193" s="100">
        <f t="shared" si="118"/>
        <v>0</v>
      </c>
      <c r="AP193" s="100">
        <f t="shared" si="118"/>
        <v>0</v>
      </c>
      <c r="AQ193" s="100">
        <f t="shared" si="118"/>
        <v>0</v>
      </c>
      <c r="AR193" s="100">
        <f t="shared" si="118"/>
        <v>0</v>
      </c>
      <c r="AS193" s="100">
        <f t="shared" si="118"/>
        <v>0</v>
      </c>
      <c r="AT193" s="79"/>
      <c r="AU193" s="21">
        <f>SUM(AU194:AU209)</f>
        <v>0</v>
      </c>
      <c r="AV193" s="80">
        <f t="shared" si="92"/>
        <v>0</v>
      </c>
    </row>
    <row r="194" ht="20.5" customHeight="1" spans="1:48">
      <c r="A194" s="19">
        <v>186</v>
      </c>
      <c r="B194" s="31" t="s">
        <v>415</v>
      </c>
      <c r="C194" s="23"/>
      <c r="D194" s="23"/>
      <c r="E194" s="21">
        <f>C194-D194</f>
        <v>0</v>
      </c>
      <c r="F194" s="23"/>
      <c r="G194" s="104"/>
      <c r="H194" s="104"/>
      <c r="I194" s="104"/>
      <c r="J194" s="51"/>
      <c r="K194" s="51"/>
      <c r="L194" s="51"/>
      <c r="M194" s="51"/>
      <c r="N194" s="51"/>
      <c r="O194" s="51"/>
      <c r="P194" s="51"/>
      <c r="Q194" s="51"/>
      <c r="R194" s="51"/>
      <c r="S194" s="51"/>
      <c r="T194" s="51"/>
      <c r="U194" s="51"/>
      <c r="V194" s="51"/>
      <c r="W194" s="51"/>
      <c r="X194" s="51"/>
      <c r="Y194" s="51"/>
      <c r="Z194" s="51"/>
      <c r="AA194" s="51"/>
      <c r="AB194" s="51"/>
      <c r="AC194" s="51"/>
      <c r="AD194" s="51"/>
      <c r="AE194" s="67"/>
      <c r="AF194" s="67"/>
      <c r="AG194" s="67"/>
      <c r="AH194" s="67"/>
      <c r="AI194" s="67"/>
      <c r="AJ194" s="67"/>
      <c r="AK194" s="67"/>
      <c r="AL194" s="67"/>
      <c r="AM194" s="67"/>
      <c r="AN194" s="67"/>
      <c r="AO194" s="67"/>
      <c r="AP194" s="51"/>
      <c r="AQ194" s="51"/>
      <c r="AR194" s="51"/>
      <c r="AS194" s="81">
        <f>IF(E194-G194-H194-I194-J194-K194-L194-M194-N194-O194-P194-Q194-R194-S194-T194-U194-V194-W194-X194-Y194-Z194-AA194-AB194-AC194-AD194-AE194-AF194-AG194-AH194-AI194-AJ194-AK194-AL194-AM194-AN194-AO194-AP194-AQ194-AR194&lt;0,0,E194-G194-H194-I194-J194-K194-L194-M194-N194-O194-P194-Q194-R194-S194-T194-U194-V194-W194-X194-Y194-Z194-AA194-AB194-AC194-AD194-AE194-AF194-AG194-AH194-AI194-AJ194-AK194-AL194-AM194-AN194-AO194-AP194-AQ194-AR194)</f>
        <v>0</v>
      </c>
      <c r="AT194" s="82">
        <v>0</v>
      </c>
      <c r="AU194" s="83">
        <f>G194*$G$7+H194*$H$7+I194*$I$7+J194*$J$7+K194*$K$7+L194*$L$7+M194*$M$7+N194*$N$7+O194*$O$7+P194*$P$7+Q194*$Q$7+R194*$R$7+S194*$S$7+T194*$T$7+U194*$U$7+V194*$V$7+W194*$W$7+X194*$X$7+Y194*$Y$7++Z194*$Z$7+AA194*$AA$7+AB194*$AB$7+AC194*$AC$7+AD194*$AD$7+AE194*$AE$7+AF194*$AF$7+AH194*$AH$7+AI194*$AI$7+AJ194*$AJ$7+AK194*$AK$7+AL194*$AL$7+AM194*$AM$7+AN194*$AN$7+AO194*$AO$7+AP194*$AP$7+AQ194*$AQ$7+AR194*$AR$7+AS194*AT194+AG194*$AG$7</f>
        <v>0</v>
      </c>
      <c r="AV194" s="80">
        <f t="shared" si="92"/>
        <v>0</v>
      </c>
    </row>
    <row r="195" ht="20.5" customHeight="1" spans="1:48">
      <c r="A195" s="19">
        <v>187</v>
      </c>
      <c r="B195" s="107" t="s">
        <v>416</v>
      </c>
      <c r="C195" s="23"/>
      <c r="D195" s="23"/>
      <c r="E195" s="21">
        <f>C195-D195</f>
        <v>0</v>
      </c>
      <c r="F195" s="23"/>
      <c r="G195" s="23"/>
      <c r="H195" s="104"/>
      <c r="I195" s="104"/>
      <c r="J195" s="23"/>
      <c r="K195" s="51"/>
      <c r="L195" s="104"/>
      <c r="M195" s="23"/>
      <c r="N195" s="51"/>
      <c r="O195" s="104"/>
      <c r="P195" s="23"/>
      <c r="Q195" s="51"/>
      <c r="R195" s="104"/>
      <c r="S195" s="51"/>
      <c r="T195" s="104"/>
      <c r="U195" s="104"/>
      <c r="V195" s="104"/>
      <c r="W195" s="23"/>
      <c r="X195" s="51"/>
      <c r="Y195" s="104"/>
      <c r="Z195" s="23"/>
      <c r="AA195" s="51"/>
      <c r="AB195" s="104"/>
      <c r="AC195" s="104"/>
      <c r="AD195" s="104"/>
      <c r="AE195" s="133"/>
      <c r="AF195" s="133"/>
      <c r="AG195" s="133"/>
      <c r="AH195" s="133"/>
      <c r="AI195" s="133"/>
      <c r="AJ195" s="23"/>
      <c r="AK195" s="67"/>
      <c r="AL195" s="133"/>
      <c r="AM195" s="133"/>
      <c r="AN195" s="133"/>
      <c r="AO195" s="133"/>
      <c r="AP195" s="23"/>
      <c r="AQ195" s="51"/>
      <c r="AR195" s="104"/>
      <c r="AS195" s="21">
        <f>IF(E195-G195-H195-I195-J195-K195-L195-M195-N195-O195-P195-Q195-R195-S195-T195-U195-V195-W195-X195-Y195-Z195-AA195-AB195-AC195-AD195-AE195-AF195-AG195-AH195-AI195-AJ195-AK195-AL195-AM195-AN195-AO195-AP195-AQ195-AR195&lt;0,0,E195-G195-H195-I195-J195-K195-L195-M195-N195-O195-P195-Q195-R195-S195-T195-U195-V195-W195-X195-Y195-Z195-AA195-AB195-AC195-AD195-AE195-AF195-AG195-AH195-AI195-AJ195-AK195-AL195-AM195-AN195-AO195-AP195-AQ195-AR195)</f>
        <v>0</v>
      </c>
      <c r="AT195" s="138">
        <v>0.02</v>
      </c>
      <c r="AU195" s="83">
        <f>G195*$G$7+H195*$H$7+I195*$I$7+J195*$J$7+K195*$K$7+L195*$L$7+M195*$M$7+N195*$N$7+O195*$O$7+P195*$P$7+Q195*$Q$7+R195*$R$7+S195*$S$7+T195*$T$7+U195*$U$7+V195*$V$7+W195*$W$7+X195*$X$7+Y195*$Y$7++Z195*$Z$7+AA195*$AA$7+AB195*$AB$7+AC195*$AC$7+AD195*$AD$7+AE195*$AE$7+AF195*$AF$7+AH195*$AH$7+AI195*$AI$7+AJ195*$AJ$7+AK195*$AK$7+AL195*$AL$7+AM195*$AM$7+AN195*$AN$7+AO195*$AO$7+AP195*$AP$7+AQ195*$AQ$7+AR195*$AR$7+AS195*AT195+AG195*$AG$7</f>
        <v>0</v>
      </c>
      <c r="AV195" s="80">
        <f t="shared" si="92"/>
        <v>0</v>
      </c>
    </row>
    <row r="196" ht="20.5" customHeight="1" spans="1:48">
      <c r="A196" s="19">
        <v>188</v>
      </c>
      <c r="B196" s="107" t="s">
        <v>417</v>
      </c>
      <c r="C196" s="23"/>
      <c r="D196" s="23"/>
      <c r="E196" s="21">
        <f>C196-D196</f>
        <v>0</v>
      </c>
      <c r="F196" s="23"/>
      <c r="G196" s="23"/>
      <c r="H196" s="104"/>
      <c r="I196" s="104"/>
      <c r="J196" s="23"/>
      <c r="K196" s="51"/>
      <c r="L196" s="104"/>
      <c r="M196" s="23"/>
      <c r="N196" s="51"/>
      <c r="O196" s="104"/>
      <c r="P196" s="23"/>
      <c r="Q196" s="51"/>
      <c r="R196" s="104"/>
      <c r="S196" s="51"/>
      <c r="T196" s="104"/>
      <c r="U196" s="104"/>
      <c r="V196" s="104"/>
      <c r="W196" s="23"/>
      <c r="X196" s="51"/>
      <c r="Y196" s="104"/>
      <c r="Z196" s="23"/>
      <c r="AA196" s="51"/>
      <c r="AB196" s="104"/>
      <c r="AC196" s="104"/>
      <c r="AD196" s="104"/>
      <c r="AE196" s="133"/>
      <c r="AF196" s="133"/>
      <c r="AG196" s="133"/>
      <c r="AH196" s="133"/>
      <c r="AI196" s="133"/>
      <c r="AJ196" s="23"/>
      <c r="AK196" s="67"/>
      <c r="AL196" s="133"/>
      <c r="AM196" s="133"/>
      <c r="AN196" s="133"/>
      <c r="AO196" s="133"/>
      <c r="AP196" s="23"/>
      <c r="AQ196" s="51"/>
      <c r="AR196" s="104"/>
      <c r="AS196" s="21">
        <f>IF(E196-G196-H196-I196-J196-K196-L196-M196-N196-O196-P196-Q196-R196-S196-T196-U196-V196-W196-X196-Y196-Z196-AA196-AB196-AC196-AD196-AE196-AF196-AG196-AH196-AI196-AJ196-AK196-AL196-AM196-AN196-AO196-AP196-AQ196-AR196&lt;0,0,E196-G196-H196-I196-J196-K196-L196-M196-N196-O196-P196-Q196-R196-S196-T196-U196-V196-W196-X196-Y196-Z196-AA196-AB196-AC196-AD196-AE196-AF196-AG196-AH196-AI196-AJ196-AK196-AL196-AM196-AN196-AO196-AP196-AQ196-AR196)</f>
        <v>0</v>
      </c>
      <c r="AT196" s="138">
        <v>0.04</v>
      </c>
      <c r="AU196" s="83">
        <f>G196*$G$7+H196*$H$7+I196*$I$7+J196*$J$7+K196*$K$7+L196*$L$7+M196*$M$7+N196*$N$7+O196*$O$7+P196*$P$7+Q196*$Q$7+R196*$R$7+S196*$S$7+T196*$T$7+U196*$U$7+V196*$V$7+W196*$W$7+X196*$X$7+Y196*$Y$7++Z196*$Z$7+AA196*$AA$7+AB196*$AB$7+AC196*$AC$7+AD196*$AD$7+AE196*$AE$7+AF196*$AF$7+AH196*$AH$7+AI196*$AI$7+AJ196*$AJ$7+AK196*$AK$7+AL196*$AL$7+AM196*$AM$7+AN196*$AN$7+AO196*$AO$7+AP196*$AP$7+AQ196*$AQ$7+AR196*$AR$7+AS196*AT196+AG196*$AG$7</f>
        <v>0</v>
      </c>
      <c r="AV196" s="80">
        <f t="shared" si="92"/>
        <v>0</v>
      </c>
    </row>
    <row r="197" ht="20.5" customHeight="1" spans="1:48">
      <c r="A197" s="19">
        <v>189</v>
      </c>
      <c r="B197" s="31" t="s">
        <v>418</v>
      </c>
      <c r="C197" s="23"/>
      <c r="D197" s="23"/>
      <c r="E197" s="21">
        <f t="shared" ref="E197:E209" si="119">C197-D197</f>
        <v>0</v>
      </c>
      <c r="F197" s="23"/>
      <c r="G197" s="23"/>
      <c r="H197" s="23"/>
      <c r="I197" s="104"/>
      <c r="J197" s="23"/>
      <c r="K197" s="23"/>
      <c r="L197" s="104"/>
      <c r="M197" s="23"/>
      <c r="N197" s="23"/>
      <c r="O197" s="104"/>
      <c r="P197" s="23"/>
      <c r="Q197" s="23"/>
      <c r="R197" s="104"/>
      <c r="S197" s="63"/>
      <c r="T197" s="104"/>
      <c r="U197" s="104"/>
      <c r="V197" s="104"/>
      <c r="W197" s="23"/>
      <c r="X197" s="23"/>
      <c r="Y197" s="104"/>
      <c r="Z197" s="23"/>
      <c r="AA197" s="23"/>
      <c r="AB197" s="104"/>
      <c r="AC197" s="104"/>
      <c r="AD197" s="104"/>
      <c r="AE197" s="104"/>
      <c r="AF197" s="104"/>
      <c r="AG197" s="104"/>
      <c r="AH197" s="104"/>
      <c r="AI197" s="104"/>
      <c r="AJ197" s="23"/>
      <c r="AK197" s="23"/>
      <c r="AL197" s="104"/>
      <c r="AM197" s="104"/>
      <c r="AN197" s="104"/>
      <c r="AO197" s="104"/>
      <c r="AP197" s="23"/>
      <c r="AQ197" s="23"/>
      <c r="AR197" s="104"/>
      <c r="AS197" s="21">
        <f t="shared" ref="AS197:AS209" si="120">IF(E197-G197-H197-I197-J197-K197-L197-M197-N197-O197-P197-Q197-R197-S197-T197-U197-V197-W197-X197-Y197-Z197-AA197-AB197-AC197-AD197-AE197-AF197-AG197-AH197-AI197-AJ197-AK197-AL197-AM197-AN197-AO197-AP197-AQ197-AR197&lt;0,0,E197-G197-H197-I197-J197-K197-L197-M197-N197-O197-P197-Q197-R197-S197-T197-U197-V197-W197-X197-Y197-Z197-AA197-AB197-AC197-AD197-AE197-AF197-AG197-AH197-AI197-AJ197-AK197-AL197-AM197-AN197-AO197-AP197-AQ197-AR197)</f>
        <v>0</v>
      </c>
      <c r="AT197" s="82">
        <v>0.2</v>
      </c>
      <c r="AU197" s="83">
        <f>G197*$G$7+H197*$H$7+I197*$I$7+J197*$J$7+K197*$K$7+L197*$L$7+M197*$M$7+N197*$N$7+O197*$O$7+P197*$P$7+Q197*$Q$7+R197*$R$7+S197*$S$7+T197*$T$7+U197*$U$7+V197*$V$7+W197*$W$7+X197*$X$7+Y197*$Y$7++Z197*$Z$7+AA197*$AA$7+AB197*$AB$7+AC197*$AC$7+AD197*$AD$7+AE197*$AE$7+AF197*$AF$7+AH197*$AH$7+AI197*$AI$7+AJ197*$AJ$7+AK197*$AK$7+AL197*$AL$7+AM197*$AM$7+AN197*$AN$7+AO197*$AO$7+AP197*$AP$7+AQ197*$AQ$7+AR197*$AR$7+AS197*AT197+AG197*$AG$7</f>
        <v>0</v>
      </c>
      <c r="AV197" s="80">
        <f t="shared" si="92"/>
        <v>0</v>
      </c>
    </row>
    <row r="198" ht="20.5" customHeight="1" spans="1:48">
      <c r="A198" s="19">
        <v>190</v>
      </c>
      <c r="B198" s="31" t="s">
        <v>419</v>
      </c>
      <c r="C198" s="23"/>
      <c r="D198" s="23"/>
      <c r="E198" s="21">
        <f t="shared" si="119"/>
        <v>0</v>
      </c>
      <c r="F198" s="23"/>
      <c r="G198" s="23"/>
      <c r="H198" s="23"/>
      <c r="I198" s="23"/>
      <c r="J198" s="23"/>
      <c r="K198" s="23"/>
      <c r="L198" s="23"/>
      <c r="M198" s="23"/>
      <c r="N198" s="23"/>
      <c r="O198" s="23"/>
      <c r="P198" s="23"/>
      <c r="Q198" s="23"/>
      <c r="R198" s="23"/>
      <c r="S198" s="23"/>
      <c r="T198" s="23"/>
      <c r="U198" s="23"/>
      <c r="V198" s="104"/>
      <c r="W198" s="23"/>
      <c r="X198" s="23"/>
      <c r="Y198" s="23"/>
      <c r="Z198" s="23"/>
      <c r="AA198" s="23"/>
      <c r="AB198" s="23"/>
      <c r="AC198" s="23"/>
      <c r="AD198" s="104"/>
      <c r="AE198" s="23"/>
      <c r="AF198" s="104"/>
      <c r="AG198" s="23"/>
      <c r="AH198" s="104"/>
      <c r="AI198" s="104"/>
      <c r="AJ198" s="23"/>
      <c r="AK198" s="23"/>
      <c r="AL198" s="23"/>
      <c r="AM198" s="23"/>
      <c r="AN198" s="104"/>
      <c r="AO198" s="104"/>
      <c r="AP198" s="23"/>
      <c r="AQ198" s="23"/>
      <c r="AR198" s="23"/>
      <c r="AS198" s="21">
        <f t="shared" si="120"/>
        <v>0</v>
      </c>
      <c r="AT198" s="82">
        <v>0.3</v>
      </c>
      <c r="AU198" s="83">
        <f t="shared" ref="AU197:AU209" si="121">G198*$G$7+H198*$H$7+I198*$I$7+J198*$J$7+K198*$K$7+L198*$L$7+M198*$M$7+N198*$N$7+O198*$O$7+P198*$P$7+Q198*$Q$7+R198*$R$7+S198*$S$7+T198*$T$7+U198*$U$7+V198*$V$7+W198*$W$7+X198*$X$7+Y198*$Y$7++Z198*$Z$7+AA198*$AA$7+AB198*$AB$7+AC198*$AC$7+AD198*$AD$7+AE198*$AE$7+AF198*$AF$7+AH198*$AH$7+AI198*$AI$7+AJ198*$AJ$7+AK198*$AK$7+AL198*$AL$7+AM198*$AM$7+AN198*$AN$7+AO198*$AO$7+AP198*$AP$7+AQ198*$AQ$7+AR198*$AR$7+AS198*AT198+AG198*$AG$7</f>
        <v>0</v>
      </c>
      <c r="AV198" s="80">
        <f t="shared" si="92"/>
        <v>0</v>
      </c>
    </row>
    <row r="199" ht="20.5" customHeight="1" spans="1:48">
      <c r="A199" s="19">
        <v>191</v>
      </c>
      <c r="B199" s="31" t="s">
        <v>420</v>
      </c>
      <c r="C199" s="23"/>
      <c r="D199" s="23"/>
      <c r="E199" s="21">
        <f t="shared" si="119"/>
        <v>0</v>
      </c>
      <c r="F199" s="23"/>
      <c r="G199" s="23"/>
      <c r="H199" s="23"/>
      <c r="I199" s="23"/>
      <c r="J199" s="23"/>
      <c r="K199" s="23"/>
      <c r="L199" s="23"/>
      <c r="M199" s="23"/>
      <c r="N199" s="23"/>
      <c r="O199" s="23"/>
      <c r="P199" s="23"/>
      <c r="Q199" s="23"/>
      <c r="R199" s="23"/>
      <c r="S199" s="23"/>
      <c r="T199" s="23"/>
      <c r="U199" s="23"/>
      <c r="V199" s="104"/>
      <c r="W199" s="23"/>
      <c r="X199" s="23"/>
      <c r="Y199" s="23"/>
      <c r="Z199" s="23"/>
      <c r="AA199" s="23"/>
      <c r="AB199" s="23"/>
      <c r="AC199" s="23"/>
      <c r="AD199" s="104"/>
      <c r="AE199" s="23"/>
      <c r="AF199" s="104"/>
      <c r="AG199" s="23"/>
      <c r="AH199" s="23"/>
      <c r="AI199" s="104"/>
      <c r="AJ199" s="23"/>
      <c r="AK199" s="23"/>
      <c r="AL199" s="23"/>
      <c r="AM199" s="23"/>
      <c r="AN199" s="23"/>
      <c r="AO199" s="104"/>
      <c r="AP199" s="23"/>
      <c r="AQ199" s="23"/>
      <c r="AR199" s="23"/>
      <c r="AS199" s="21">
        <f t="shared" si="120"/>
        <v>0</v>
      </c>
      <c r="AT199" s="82">
        <v>0.4</v>
      </c>
      <c r="AU199" s="83">
        <f t="shared" si="121"/>
        <v>0</v>
      </c>
      <c r="AV199" s="80">
        <f t="shared" si="92"/>
        <v>0</v>
      </c>
    </row>
    <row r="200" ht="20.5" customHeight="1" spans="1:48">
      <c r="A200" s="19">
        <v>192</v>
      </c>
      <c r="B200" s="31" t="s">
        <v>421</v>
      </c>
      <c r="C200" s="23"/>
      <c r="D200" s="23"/>
      <c r="E200" s="21">
        <f t="shared" si="119"/>
        <v>0</v>
      </c>
      <c r="F200" s="23"/>
      <c r="G200" s="23"/>
      <c r="H200" s="23"/>
      <c r="I200" s="23"/>
      <c r="J200" s="23"/>
      <c r="K200" s="23"/>
      <c r="L200" s="23"/>
      <c r="M200" s="23"/>
      <c r="N200" s="23"/>
      <c r="O200" s="23"/>
      <c r="P200" s="23"/>
      <c r="Q200" s="23"/>
      <c r="R200" s="23"/>
      <c r="S200" s="23"/>
      <c r="T200" s="23"/>
      <c r="U200" s="23"/>
      <c r="V200" s="104"/>
      <c r="W200" s="23"/>
      <c r="X200" s="23"/>
      <c r="Y200" s="23"/>
      <c r="Z200" s="23"/>
      <c r="AA200" s="23"/>
      <c r="AB200" s="23"/>
      <c r="AC200" s="23"/>
      <c r="AD200" s="104"/>
      <c r="AE200" s="23"/>
      <c r="AF200" s="104"/>
      <c r="AG200" s="23"/>
      <c r="AH200" s="23"/>
      <c r="AI200" s="23"/>
      <c r="AJ200" s="23"/>
      <c r="AK200" s="23"/>
      <c r="AL200" s="23"/>
      <c r="AM200" s="23"/>
      <c r="AN200" s="23"/>
      <c r="AO200" s="104"/>
      <c r="AP200" s="23"/>
      <c r="AQ200" s="23"/>
      <c r="AR200" s="23"/>
      <c r="AS200" s="21">
        <f t="shared" si="120"/>
        <v>0</v>
      </c>
      <c r="AT200" s="82">
        <v>0.45</v>
      </c>
      <c r="AU200" s="83">
        <f t="shared" si="121"/>
        <v>0</v>
      </c>
      <c r="AV200" s="80">
        <f t="shared" si="92"/>
        <v>0</v>
      </c>
    </row>
    <row r="201" ht="20.5" customHeight="1" spans="1:48">
      <c r="A201" s="19">
        <v>193</v>
      </c>
      <c r="B201" s="31" t="s">
        <v>422</v>
      </c>
      <c r="C201" s="23"/>
      <c r="D201" s="23"/>
      <c r="E201" s="21">
        <f t="shared" si="119"/>
        <v>0</v>
      </c>
      <c r="F201" s="23"/>
      <c r="G201" s="23"/>
      <c r="H201" s="23"/>
      <c r="I201" s="23"/>
      <c r="J201" s="23"/>
      <c r="K201" s="23"/>
      <c r="L201" s="23"/>
      <c r="M201" s="23"/>
      <c r="N201" s="23"/>
      <c r="O201" s="23"/>
      <c r="P201" s="23"/>
      <c r="Q201" s="23"/>
      <c r="R201" s="23"/>
      <c r="S201" s="23"/>
      <c r="T201" s="23"/>
      <c r="U201" s="23"/>
      <c r="V201" s="104"/>
      <c r="W201" s="23"/>
      <c r="X201" s="23"/>
      <c r="Y201" s="23"/>
      <c r="Z201" s="23"/>
      <c r="AA201" s="23"/>
      <c r="AB201" s="23"/>
      <c r="AC201" s="23"/>
      <c r="AD201" s="104"/>
      <c r="AE201" s="23"/>
      <c r="AF201" s="104"/>
      <c r="AG201" s="23"/>
      <c r="AH201" s="23"/>
      <c r="AI201" s="23"/>
      <c r="AJ201" s="23"/>
      <c r="AK201" s="23"/>
      <c r="AL201" s="23"/>
      <c r="AM201" s="23"/>
      <c r="AN201" s="23"/>
      <c r="AO201" s="104"/>
      <c r="AP201" s="23"/>
      <c r="AQ201" s="23"/>
      <c r="AR201" s="23"/>
      <c r="AS201" s="21">
        <f t="shared" si="120"/>
        <v>0</v>
      </c>
      <c r="AT201" s="82">
        <v>0.5</v>
      </c>
      <c r="AU201" s="83">
        <f t="shared" si="121"/>
        <v>0</v>
      </c>
      <c r="AV201" s="80">
        <f t="shared" si="92"/>
        <v>0</v>
      </c>
    </row>
    <row r="202" ht="20.5" customHeight="1" spans="1:48">
      <c r="A202" s="19">
        <v>194</v>
      </c>
      <c r="B202" s="31" t="s">
        <v>423</v>
      </c>
      <c r="C202" s="23"/>
      <c r="D202" s="23"/>
      <c r="E202" s="21">
        <f t="shared" si="119"/>
        <v>0</v>
      </c>
      <c r="F202" s="23"/>
      <c r="G202" s="23"/>
      <c r="H202" s="23"/>
      <c r="I202" s="23"/>
      <c r="J202" s="23"/>
      <c r="K202" s="23"/>
      <c r="L202" s="23"/>
      <c r="M202" s="23"/>
      <c r="N202" s="23"/>
      <c r="O202" s="23"/>
      <c r="P202" s="23"/>
      <c r="Q202" s="23"/>
      <c r="R202" s="23"/>
      <c r="S202" s="23"/>
      <c r="T202" s="23"/>
      <c r="U202" s="23"/>
      <c r="V202" s="132"/>
      <c r="W202" s="23"/>
      <c r="X202" s="23"/>
      <c r="Y202" s="23"/>
      <c r="Z202" s="23"/>
      <c r="AA202" s="23"/>
      <c r="AB202" s="23"/>
      <c r="AC202" s="23"/>
      <c r="AD202" s="132"/>
      <c r="AE202" s="23"/>
      <c r="AF202" s="132"/>
      <c r="AG202" s="23"/>
      <c r="AH202" s="23"/>
      <c r="AI202" s="23"/>
      <c r="AJ202" s="23"/>
      <c r="AK202" s="23"/>
      <c r="AL202" s="23"/>
      <c r="AM202" s="23"/>
      <c r="AN202" s="23"/>
      <c r="AO202" s="132"/>
      <c r="AP202" s="23"/>
      <c r="AQ202" s="23"/>
      <c r="AR202" s="23"/>
      <c r="AS202" s="21">
        <f t="shared" si="120"/>
        <v>0</v>
      </c>
      <c r="AT202" s="82">
        <v>0.6</v>
      </c>
      <c r="AU202" s="83">
        <f t="shared" si="121"/>
        <v>0</v>
      </c>
      <c r="AV202" s="80">
        <f t="shared" si="92"/>
        <v>0</v>
      </c>
    </row>
    <row r="203" ht="20.5" customHeight="1" spans="1:48">
      <c r="A203" s="19">
        <v>195</v>
      </c>
      <c r="B203" s="31" t="s">
        <v>424</v>
      </c>
      <c r="C203" s="23"/>
      <c r="D203" s="23"/>
      <c r="E203" s="21">
        <f t="shared" si="119"/>
        <v>0</v>
      </c>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1">
        <f t="shared" si="120"/>
        <v>0</v>
      </c>
      <c r="AT203" s="82">
        <v>0.75</v>
      </c>
      <c r="AU203" s="83">
        <f t="shared" si="121"/>
        <v>0</v>
      </c>
      <c r="AV203" s="80">
        <f>IF(E203=0,0,AU203/E203)</f>
        <v>0</v>
      </c>
    </row>
    <row r="204" ht="20.5" customHeight="1" spans="1:48">
      <c r="A204" s="19">
        <v>196</v>
      </c>
      <c r="B204" s="31" t="s">
        <v>425</v>
      </c>
      <c r="C204" s="23"/>
      <c r="D204" s="23"/>
      <c r="E204" s="21">
        <f t="shared" si="119"/>
        <v>0</v>
      </c>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1">
        <f t="shared" si="120"/>
        <v>0</v>
      </c>
      <c r="AT204" s="82">
        <v>0.85</v>
      </c>
      <c r="AU204" s="83">
        <f t="shared" si="121"/>
        <v>0</v>
      </c>
      <c r="AV204" s="80">
        <f>IF(E204=0,0,AU204/E204)</f>
        <v>0</v>
      </c>
    </row>
    <row r="205" ht="20.5" customHeight="1" spans="1:48">
      <c r="A205" s="19">
        <v>197</v>
      </c>
      <c r="B205" s="31" t="s">
        <v>426</v>
      </c>
      <c r="C205" s="23"/>
      <c r="D205" s="23"/>
      <c r="E205" s="21">
        <f t="shared" si="119"/>
        <v>0</v>
      </c>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1">
        <f t="shared" si="120"/>
        <v>0</v>
      </c>
      <c r="AT205" s="82">
        <v>1</v>
      </c>
      <c r="AU205" s="83">
        <f t="shared" si="121"/>
        <v>0</v>
      </c>
      <c r="AV205" s="80">
        <f t="shared" ref="AV205:AV217" si="122">IF(E205=0,0,AU205/E205)</f>
        <v>0</v>
      </c>
    </row>
    <row r="206" ht="20.5" customHeight="1" spans="1:48">
      <c r="A206" s="19">
        <v>198</v>
      </c>
      <c r="B206" s="31" t="s">
        <v>427</v>
      </c>
      <c r="C206" s="23"/>
      <c r="D206" s="23"/>
      <c r="E206" s="21">
        <f t="shared" si="119"/>
        <v>0</v>
      </c>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1">
        <f t="shared" si="120"/>
        <v>0</v>
      </c>
      <c r="AT206" s="82">
        <v>1.5</v>
      </c>
      <c r="AU206" s="83">
        <f t="shared" si="121"/>
        <v>0</v>
      </c>
      <c r="AV206" s="80">
        <f t="shared" si="122"/>
        <v>0</v>
      </c>
    </row>
    <row r="207" ht="20.5" customHeight="1" spans="1:48">
      <c r="A207" s="19">
        <v>199</v>
      </c>
      <c r="B207" s="31" t="s">
        <v>428</v>
      </c>
      <c r="C207" s="23"/>
      <c r="D207" s="23"/>
      <c r="E207" s="21">
        <f t="shared" si="119"/>
        <v>0</v>
      </c>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1">
        <f t="shared" si="120"/>
        <v>0</v>
      </c>
      <c r="AT207" s="82">
        <v>2.5</v>
      </c>
      <c r="AU207" s="83">
        <f t="shared" si="121"/>
        <v>0</v>
      </c>
      <c r="AV207" s="80">
        <f t="shared" si="122"/>
        <v>0</v>
      </c>
    </row>
    <row r="208" ht="20.5" customHeight="1" spans="1:48">
      <c r="A208" s="19">
        <v>200</v>
      </c>
      <c r="B208" s="31" t="s">
        <v>429</v>
      </c>
      <c r="C208" s="23"/>
      <c r="D208" s="23"/>
      <c r="E208" s="21">
        <f t="shared" si="119"/>
        <v>0</v>
      </c>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1">
        <f t="shared" si="120"/>
        <v>0</v>
      </c>
      <c r="AT208" s="82">
        <v>4</v>
      </c>
      <c r="AU208" s="83">
        <f t="shared" si="121"/>
        <v>0</v>
      </c>
      <c r="AV208" s="80">
        <f t="shared" si="122"/>
        <v>0</v>
      </c>
    </row>
    <row r="209" ht="20.5" customHeight="1" spans="1:48">
      <c r="A209" s="19">
        <v>201</v>
      </c>
      <c r="B209" s="31" t="s">
        <v>430</v>
      </c>
      <c r="C209" s="23"/>
      <c r="D209" s="23"/>
      <c r="E209" s="21">
        <f t="shared" si="119"/>
        <v>0</v>
      </c>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1">
        <f t="shared" si="120"/>
        <v>0</v>
      </c>
      <c r="AT209" s="82">
        <v>12.5</v>
      </c>
      <c r="AU209" s="83">
        <f t="shared" si="121"/>
        <v>0</v>
      </c>
      <c r="AV209" s="80">
        <f t="shared" si="122"/>
        <v>0</v>
      </c>
    </row>
    <row r="210" ht="20.5" customHeight="1" spans="1:48">
      <c r="A210" s="19">
        <v>202</v>
      </c>
      <c r="B210" s="103" t="s">
        <v>431</v>
      </c>
      <c r="C210" s="21">
        <f t="shared" ref="C210:AS210" si="123">C211+C217</f>
        <v>0</v>
      </c>
      <c r="D210" s="21">
        <f t="shared" si="123"/>
        <v>0</v>
      </c>
      <c r="E210" s="21">
        <f t="shared" si="123"/>
        <v>0</v>
      </c>
      <c r="F210" s="21">
        <f t="shared" si="123"/>
        <v>0</v>
      </c>
      <c r="G210" s="21">
        <f t="shared" si="123"/>
        <v>0</v>
      </c>
      <c r="H210" s="21">
        <f t="shared" si="123"/>
        <v>0</v>
      </c>
      <c r="I210" s="21">
        <f t="shared" si="123"/>
        <v>0</v>
      </c>
      <c r="J210" s="21">
        <f t="shared" si="123"/>
        <v>0</v>
      </c>
      <c r="K210" s="21">
        <f t="shared" si="123"/>
        <v>0</v>
      </c>
      <c r="L210" s="21">
        <f t="shared" si="123"/>
        <v>0</v>
      </c>
      <c r="M210" s="21">
        <f t="shared" si="123"/>
        <v>0</v>
      </c>
      <c r="N210" s="21">
        <f t="shared" si="123"/>
        <v>0</v>
      </c>
      <c r="O210" s="21">
        <f t="shared" si="123"/>
        <v>0</v>
      </c>
      <c r="P210" s="21">
        <f t="shared" si="123"/>
        <v>0</v>
      </c>
      <c r="Q210" s="21">
        <f t="shared" si="123"/>
        <v>0</v>
      </c>
      <c r="R210" s="21">
        <f t="shared" si="123"/>
        <v>0</v>
      </c>
      <c r="S210" s="21">
        <f t="shared" si="123"/>
        <v>0</v>
      </c>
      <c r="T210" s="21">
        <f t="shared" si="123"/>
        <v>0</v>
      </c>
      <c r="U210" s="21">
        <f t="shared" si="123"/>
        <v>0</v>
      </c>
      <c r="V210" s="21">
        <f t="shared" si="123"/>
        <v>0</v>
      </c>
      <c r="W210" s="21">
        <f t="shared" si="123"/>
        <v>0</v>
      </c>
      <c r="X210" s="21">
        <f t="shared" si="123"/>
        <v>0</v>
      </c>
      <c r="Y210" s="21">
        <f t="shared" si="123"/>
        <v>0</v>
      </c>
      <c r="Z210" s="21">
        <f t="shared" si="123"/>
        <v>0</v>
      </c>
      <c r="AA210" s="21">
        <f t="shared" si="123"/>
        <v>0</v>
      </c>
      <c r="AB210" s="21">
        <f t="shared" si="123"/>
        <v>0</v>
      </c>
      <c r="AC210" s="21">
        <f t="shared" si="123"/>
        <v>0</v>
      </c>
      <c r="AD210" s="21">
        <f t="shared" si="123"/>
        <v>0</v>
      </c>
      <c r="AE210" s="21">
        <f t="shared" si="123"/>
        <v>0</v>
      </c>
      <c r="AF210" s="21">
        <f t="shared" si="123"/>
        <v>0</v>
      </c>
      <c r="AG210" s="21">
        <f t="shared" si="123"/>
        <v>0</v>
      </c>
      <c r="AH210" s="21">
        <f t="shared" si="123"/>
        <v>0</v>
      </c>
      <c r="AI210" s="21">
        <f t="shared" si="123"/>
        <v>0</v>
      </c>
      <c r="AJ210" s="21">
        <f t="shared" si="123"/>
        <v>0</v>
      </c>
      <c r="AK210" s="21">
        <f t="shared" si="123"/>
        <v>0</v>
      </c>
      <c r="AL210" s="21">
        <f t="shared" si="123"/>
        <v>0</v>
      </c>
      <c r="AM210" s="21">
        <f t="shared" si="123"/>
        <v>0</v>
      </c>
      <c r="AN210" s="21">
        <f t="shared" si="123"/>
        <v>0</v>
      </c>
      <c r="AO210" s="21">
        <f t="shared" si="123"/>
        <v>0</v>
      </c>
      <c r="AP210" s="21">
        <f t="shared" si="123"/>
        <v>0</v>
      </c>
      <c r="AQ210" s="21">
        <f t="shared" si="123"/>
        <v>0</v>
      </c>
      <c r="AR210" s="21">
        <f t="shared" si="123"/>
        <v>0</v>
      </c>
      <c r="AS210" s="21">
        <f t="shared" si="123"/>
        <v>0</v>
      </c>
      <c r="AT210" s="110"/>
      <c r="AU210" s="21">
        <f>AU211+AU217</f>
        <v>0</v>
      </c>
      <c r="AV210" s="80">
        <f t="shared" si="122"/>
        <v>0</v>
      </c>
    </row>
    <row r="211" ht="20.5" customHeight="1" spans="1:48">
      <c r="A211" s="19">
        <v>203</v>
      </c>
      <c r="B211" s="22" t="s">
        <v>432</v>
      </c>
      <c r="C211" s="83">
        <f t="shared" ref="C211:AR211" si="124">C212+C213+C214+C215+C216</f>
        <v>0</v>
      </c>
      <c r="D211" s="83">
        <f t="shared" si="124"/>
        <v>0</v>
      </c>
      <c r="E211" s="21">
        <f>SUM(E212:E216)</f>
        <v>0</v>
      </c>
      <c r="F211" s="83">
        <f t="shared" si="124"/>
        <v>0</v>
      </c>
      <c r="G211" s="83">
        <f t="shared" si="124"/>
        <v>0</v>
      </c>
      <c r="H211" s="83">
        <f t="shared" si="124"/>
        <v>0</v>
      </c>
      <c r="I211" s="83">
        <f t="shared" si="124"/>
        <v>0</v>
      </c>
      <c r="J211" s="83">
        <f t="shared" si="124"/>
        <v>0</v>
      </c>
      <c r="K211" s="83">
        <f t="shared" si="124"/>
        <v>0</v>
      </c>
      <c r="L211" s="83">
        <f t="shared" si="124"/>
        <v>0</v>
      </c>
      <c r="M211" s="83">
        <f t="shared" si="124"/>
        <v>0</v>
      </c>
      <c r="N211" s="83">
        <f t="shared" si="124"/>
        <v>0</v>
      </c>
      <c r="O211" s="83">
        <f t="shared" si="124"/>
        <v>0</v>
      </c>
      <c r="P211" s="83">
        <f t="shared" si="124"/>
        <v>0</v>
      </c>
      <c r="Q211" s="83">
        <f t="shared" si="124"/>
        <v>0</v>
      </c>
      <c r="R211" s="83">
        <f t="shared" si="124"/>
        <v>0</v>
      </c>
      <c r="S211" s="83">
        <f t="shared" si="124"/>
        <v>0</v>
      </c>
      <c r="T211" s="83">
        <f t="shared" si="124"/>
        <v>0</v>
      </c>
      <c r="U211" s="83">
        <f t="shared" si="124"/>
        <v>0</v>
      </c>
      <c r="V211" s="83">
        <f t="shared" si="124"/>
        <v>0</v>
      </c>
      <c r="W211" s="83">
        <f t="shared" si="124"/>
        <v>0</v>
      </c>
      <c r="X211" s="83">
        <f t="shared" si="124"/>
        <v>0</v>
      </c>
      <c r="Y211" s="83">
        <f t="shared" si="124"/>
        <v>0</v>
      </c>
      <c r="Z211" s="83">
        <f t="shared" si="124"/>
        <v>0</v>
      </c>
      <c r="AA211" s="83">
        <f t="shared" si="124"/>
        <v>0</v>
      </c>
      <c r="AB211" s="83">
        <f t="shared" si="124"/>
        <v>0</v>
      </c>
      <c r="AC211" s="83">
        <f t="shared" si="124"/>
        <v>0</v>
      </c>
      <c r="AD211" s="83">
        <f t="shared" si="124"/>
        <v>0</v>
      </c>
      <c r="AE211" s="83">
        <f t="shared" si="124"/>
        <v>0</v>
      </c>
      <c r="AF211" s="83">
        <f t="shared" si="124"/>
        <v>0</v>
      </c>
      <c r="AG211" s="83">
        <f t="shared" si="124"/>
        <v>0</v>
      </c>
      <c r="AH211" s="83">
        <f t="shared" si="124"/>
        <v>0</v>
      </c>
      <c r="AI211" s="83">
        <f t="shared" si="124"/>
        <v>0</v>
      </c>
      <c r="AJ211" s="83">
        <f t="shared" si="124"/>
        <v>0</v>
      </c>
      <c r="AK211" s="83">
        <f t="shared" si="124"/>
        <v>0</v>
      </c>
      <c r="AL211" s="83">
        <f t="shared" si="124"/>
        <v>0</v>
      </c>
      <c r="AM211" s="83">
        <f t="shared" si="124"/>
        <v>0</v>
      </c>
      <c r="AN211" s="83">
        <f t="shared" si="124"/>
        <v>0</v>
      </c>
      <c r="AO211" s="83">
        <f t="shared" si="124"/>
        <v>0</v>
      </c>
      <c r="AP211" s="83">
        <f t="shared" si="124"/>
        <v>0</v>
      </c>
      <c r="AQ211" s="83">
        <f t="shared" si="124"/>
        <v>0</v>
      </c>
      <c r="AR211" s="83">
        <f t="shared" si="124"/>
        <v>0</v>
      </c>
      <c r="AS211" s="21">
        <f>SUM(AS212:AS216)</f>
        <v>0</v>
      </c>
      <c r="AT211" s="110"/>
      <c r="AU211" s="21">
        <f>SUM(AU212:AU216)</f>
        <v>0</v>
      </c>
      <c r="AV211" s="80">
        <f t="shared" si="122"/>
        <v>0</v>
      </c>
    </row>
    <row r="212" ht="20.5" customHeight="1" spans="1:48">
      <c r="A212" s="19">
        <v>204</v>
      </c>
      <c r="B212" s="31" t="s">
        <v>433</v>
      </c>
      <c r="C212" s="23"/>
      <c r="D212" s="23"/>
      <c r="E212" s="21">
        <f t="shared" ref="E212:E218" si="125">C212-D212</f>
        <v>0</v>
      </c>
      <c r="F212" s="23"/>
      <c r="G212" s="51"/>
      <c r="H212" s="51"/>
      <c r="I212" s="51"/>
      <c r="J212" s="51"/>
      <c r="K212" s="51"/>
      <c r="L212" s="51"/>
      <c r="M212" s="51"/>
      <c r="N212" s="51"/>
      <c r="O212" s="51"/>
      <c r="P212" s="51"/>
      <c r="Q212" s="51"/>
      <c r="R212" s="51"/>
      <c r="S212" s="51"/>
      <c r="T212" s="51"/>
      <c r="U212" s="51"/>
      <c r="V212" s="51"/>
      <c r="W212" s="51"/>
      <c r="X212" s="51"/>
      <c r="Y212" s="51"/>
      <c r="Z212" s="51"/>
      <c r="AA212" s="51"/>
      <c r="AB212" s="51"/>
      <c r="AC212" s="67"/>
      <c r="AD212" s="67"/>
      <c r="AE212" s="51"/>
      <c r="AF212" s="51"/>
      <c r="AG212" s="51"/>
      <c r="AH212" s="51"/>
      <c r="AI212" s="51"/>
      <c r="AJ212" s="51"/>
      <c r="AK212" s="51"/>
      <c r="AL212" s="51"/>
      <c r="AM212" s="51"/>
      <c r="AN212" s="51"/>
      <c r="AO212" s="51"/>
      <c r="AP212" s="51"/>
      <c r="AQ212" s="51"/>
      <c r="AR212" s="51"/>
      <c r="AS212" s="81">
        <f t="shared" ref="AS212:AS217" si="126">IF(E212-G212-H212-I212-J212-K212-L212-M212-N212-O212-P212-Q212-R212-S212-T212-U212-V212-W212-X212-Y212-Z212-AA212-AB212-AC212-AD212-AE212-AF212-AG212-AH212-AI212-AJ212-AK212-AL212-AM212-AN212-AO212-AP212-AQ212-AR212&lt;0,0,E212-G212-H212-I212-J212-K212-L212-M212-N212-O212-P212-Q212-R212-S212-T212-U212-V212-W212-X212-Y212-Z212-AA212-AB212-AC212-AD212-AE212-AF212-AG212-AH212-AI212-AJ212-AK212-AL212-AM212-AN212-AO212-AP212-AQ212-AR212)</f>
        <v>0</v>
      </c>
      <c r="AT212" s="139">
        <v>0</v>
      </c>
      <c r="AU212" s="21">
        <f t="shared" ref="AU212:AU217" si="127">G212*$G$7+H212*$H$7+I212*$I$7+J212*$J$7+K212*$K$7+L212*$L$7+M212*$M$7+N212*$N$7+O212*$O$7+P212*$P$7+Q212*$Q$7+R212*$R$7+S212*$S$7+T212*$T$7+U212*$U$7+V212*$V$7+W212*$W$7+X212*$X$7+Y212*$Y$7++Z212*$Z$7+AA212*$AA$7+AB212*$AB$7+AC212*$AC$7+AD212*$AD$7+AE212*$AE$7+AF212*$AF$7+AH212*$AH$7+AI212*$AI$7+AJ212*$AJ$7+AK212*$AK$7+AL212*$AL$7+AM212*$AM$7+AN212*$AN$7+AO212*$AO$7+AP212*$AP$7+AQ212*$AQ$7+AR212*$AR$7+AS212*AT212+AG212*$AG$7</f>
        <v>0</v>
      </c>
      <c r="AV212" s="80">
        <f t="shared" si="122"/>
        <v>0</v>
      </c>
    </row>
    <row r="213" ht="20.5" customHeight="1" spans="1:48">
      <c r="A213" s="19">
        <v>205</v>
      </c>
      <c r="B213" s="31" t="s">
        <v>434</v>
      </c>
      <c r="C213" s="23"/>
      <c r="D213" s="23"/>
      <c r="E213" s="21">
        <f t="shared" si="125"/>
        <v>0</v>
      </c>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68"/>
      <c r="AD213" s="68"/>
      <c r="AE213" s="23"/>
      <c r="AF213" s="23"/>
      <c r="AG213" s="23"/>
      <c r="AH213" s="23"/>
      <c r="AI213" s="23"/>
      <c r="AJ213" s="23"/>
      <c r="AK213" s="23"/>
      <c r="AL213" s="23"/>
      <c r="AM213" s="23"/>
      <c r="AN213" s="23"/>
      <c r="AO213" s="23"/>
      <c r="AP213" s="23"/>
      <c r="AQ213" s="23"/>
      <c r="AR213" s="23"/>
      <c r="AS213" s="21">
        <f t="shared" si="126"/>
        <v>0</v>
      </c>
      <c r="AT213" s="139">
        <v>1</v>
      </c>
      <c r="AU213" s="21">
        <f t="shared" si="127"/>
        <v>0</v>
      </c>
      <c r="AV213" s="80">
        <f t="shared" si="122"/>
        <v>0</v>
      </c>
    </row>
    <row r="214" ht="20.5" customHeight="1" spans="1:48">
      <c r="A214" s="19">
        <v>206</v>
      </c>
      <c r="B214" s="31" t="s">
        <v>435</v>
      </c>
      <c r="C214" s="23"/>
      <c r="D214" s="23"/>
      <c r="E214" s="21">
        <f t="shared" si="125"/>
        <v>0</v>
      </c>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68"/>
      <c r="AD214" s="68"/>
      <c r="AE214" s="23"/>
      <c r="AF214" s="23"/>
      <c r="AG214" s="23"/>
      <c r="AH214" s="23"/>
      <c r="AI214" s="23"/>
      <c r="AJ214" s="23"/>
      <c r="AK214" s="23"/>
      <c r="AL214" s="23"/>
      <c r="AM214" s="23"/>
      <c r="AN214" s="23"/>
      <c r="AO214" s="23"/>
      <c r="AP214" s="23"/>
      <c r="AQ214" s="23"/>
      <c r="AR214" s="23"/>
      <c r="AS214" s="21">
        <f t="shared" si="126"/>
        <v>0</v>
      </c>
      <c r="AT214" s="139">
        <v>6.25</v>
      </c>
      <c r="AU214" s="21">
        <f t="shared" si="127"/>
        <v>0</v>
      </c>
      <c r="AV214" s="80">
        <f t="shared" si="122"/>
        <v>0</v>
      </c>
    </row>
    <row r="215" ht="20.5" customHeight="1" spans="1:48">
      <c r="A215" s="19">
        <v>207</v>
      </c>
      <c r="B215" s="31" t="s">
        <v>436</v>
      </c>
      <c r="C215" s="23"/>
      <c r="D215" s="23"/>
      <c r="E215" s="21">
        <f t="shared" si="125"/>
        <v>0</v>
      </c>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68"/>
      <c r="AD215" s="68"/>
      <c r="AE215" s="23"/>
      <c r="AF215" s="23"/>
      <c r="AG215" s="23"/>
      <c r="AH215" s="23"/>
      <c r="AI215" s="23"/>
      <c r="AJ215" s="23"/>
      <c r="AK215" s="23"/>
      <c r="AL215" s="23"/>
      <c r="AM215" s="23"/>
      <c r="AN215" s="23"/>
      <c r="AO215" s="23"/>
      <c r="AP215" s="23"/>
      <c r="AQ215" s="23"/>
      <c r="AR215" s="23"/>
      <c r="AS215" s="21">
        <f t="shared" si="126"/>
        <v>0</v>
      </c>
      <c r="AT215" s="139">
        <v>9.375</v>
      </c>
      <c r="AU215" s="21">
        <f t="shared" si="127"/>
        <v>0</v>
      </c>
      <c r="AV215" s="80">
        <f t="shared" si="122"/>
        <v>0</v>
      </c>
    </row>
    <row r="216" ht="20.5" customHeight="1" spans="1:48">
      <c r="A216" s="19">
        <v>208</v>
      </c>
      <c r="B216" s="31" t="s">
        <v>437</v>
      </c>
      <c r="C216" s="23"/>
      <c r="D216" s="23"/>
      <c r="E216" s="21">
        <f t="shared" si="125"/>
        <v>0</v>
      </c>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68"/>
      <c r="AD216" s="68"/>
      <c r="AE216" s="23"/>
      <c r="AF216" s="23"/>
      <c r="AG216" s="23"/>
      <c r="AH216" s="23"/>
      <c r="AI216" s="23"/>
      <c r="AJ216" s="23"/>
      <c r="AK216" s="23"/>
      <c r="AL216" s="23"/>
      <c r="AM216" s="23"/>
      <c r="AN216" s="23"/>
      <c r="AO216" s="23"/>
      <c r="AP216" s="23"/>
      <c r="AQ216" s="23"/>
      <c r="AR216" s="23"/>
      <c r="AS216" s="21">
        <f t="shared" si="126"/>
        <v>0</v>
      </c>
      <c r="AT216" s="139">
        <v>12.5</v>
      </c>
      <c r="AU216" s="21">
        <f t="shared" si="127"/>
        <v>0</v>
      </c>
      <c r="AV216" s="80">
        <f t="shared" si="122"/>
        <v>0</v>
      </c>
    </row>
    <row r="217" ht="20.5" customHeight="1" spans="1:48">
      <c r="A217" s="19">
        <v>209</v>
      </c>
      <c r="B217" s="22" t="s">
        <v>438</v>
      </c>
      <c r="C217" s="23"/>
      <c r="D217" s="23"/>
      <c r="E217" s="21">
        <f t="shared" si="125"/>
        <v>0</v>
      </c>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68"/>
      <c r="AD217" s="68"/>
      <c r="AE217" s="23"/>
      <c r="AF217" s="23"/>
      <c r="AG217" s="23"/>
      <c r="AH217" s="23"/>
      <c r="AI217" s="23"/>
      <c r="AJ217" s="23"/>
      <c r="AK217" s="23"/>
      <c r="AL217" s="23"/>
      <c r="AM217" s="23"/>
      <c r="AN217" s="23"/>
      <c r="AO217" s="23"/>
      <c r="AP217" s="23"/>
      <c r="AQ217" s="23"/>
      <c r="AR217" s="23"/>
      <c r="AS217" s="21">
        <f t="shared" si="126"/>
        <v>0</v>
      </c>
      <c r="AT217" s="139">
        <v>12.5</v>
      </c>
      <c r="AU217" s="21">
        <f t="shared" si="127"/>
        <v>0</v>
      </c>
      <c r="AV217" s="80">
        <f t="shared" si="122"/>
        <v>0</v>
      </c>
    </row>
    <row r="218" ht="20.5" customHeight="1" spans="1:48">
      <c r="A218" s="19">
        <v>210</v>
      </c>
      <c r="B218" s="24" t="s">
        <v>439</v>
      </c>
      <c r="C218" s="23"/>
      <c r="D218" s="23"/>
      <c r="E218" s="21">
        <f t="shared" si="125"/>
        <v>0</v>
      </c>
      <c r="F218" s="102"/>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c r="AI218" s="110"/>
      <c r="AJ218" s="110"/>
      <c r="AK218" s="110"/>
      <c r="AL218" s="110"/>
      <c r="AM218" s="110"/>
      <c r="AN218" s="110"/>
      <c r="AO218" s="110"/>
      <c r="AP218" s="110"/>
      <c r="AQ218" s="110"/>
      <c r="AR218" s="110"/>
      <c r="AS218" s="110"/>
      <c r="AT218" s="110"/>
      <c r="AU218" s="23"/>
      <c r="AV218" s="140"/>
    </row>
    <row r="219" ht="20.5" customHeight="1" spans="1:48">
      <c r="A219" s="19">
        <v>211</v>
      </c>
      <c r="B219" s="28" t="s">
        <v>295</v>
      </c>
      <c r="C219" s="108">
        <f t="shared" ref="C219:F219" si="128">C220+C221</f>
        <v>0</v>
      </c>
      <c r="D219" s="108">
        <f t="shared" si="128"/>
        <v>0</v>
      </c>
      <c r="E219" s="108">
        <f t="shared" si="128"/>
        <v>0</v>
      </c>
      <c r="F219" s="108">
        <f t="shared" si="128"/>
        <v>0</v>
      </c>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c r="AD219" s="126"/>
      <c r="AE219" s="126"/>
      <c r="AF219" s="126"/>
      <c r="AG219" s="126"/>
      <c r="AH219" s="126"/>
      <c r="AI219" s="126"/>
      <c r="AJ219" s="126"/>
      <c r="AK219" s="126"/>
      <c r="AL219" s="126"/>
      <c r="AM219" s="126"/>
      <c r="AN219" s="126"/>
      <c r="AO219" s="126"/>
      <c r="AP219" s="126"/>
      <c r="AQ219" s="126"/>
      <c r="AR219" s="126"/>
      <c r="AS219" s="108">
        <f>E219</f>
        <v>0</v>
      </c>
      <c r="AT219" s="110"/>
      <c r="AU219" s="83">
        <f>SUM(AU220:AU222)</f>
        <v>0</v>
      </c>
      <c r="AV219" s="80">
        <f>IF(E219=0,0,AU219/E219)</f>
        <v>0</v>
      </c>
    </row>
    <row r="220" ht="20.5" customHeight="1" spans="1:48">
      <c r="A220" s="19">
        <v>212</v>
      </c>
      <c r="B220" s="22" t="s">
        <v>296</v>
      </c>
      <c r="C220" s="109"/>
      <c r="D220" s="109"/>
      <c r="E220" s="21">
        <f>C220-D220</f>
        <v>0</v>
      </c>
      <c r="F220" s="127">
        <f>E220</f>
        <v>0</v>
      </c>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c r="AI220" s="110"/>
      <c r="AJ220" s="110"/>
      <c r="AK220" s="110"/>
      <c r="AL220" s="110"/>
      <c r="AM220" s="110"/>
      <c r="AN220" s="110"/>
      <c r="AO220" s="110"/>
      <c r="AP220" s="110"/>
      <c r="AQ220" s="110"/>
      <c r="AR220" s="110"/>
      <c r="AS220" s="108">
        <f>E220</f>
        <v>0</v>
      </c>
      <c r="AT220" s="110"/>
      <c r="AU220" s="23"/>
      <c r="AV220" s="141"/>
    </row>
    <row r="221" ht="21" customHeight="1" spans="1:48">
      <c r="A221" s="19">
        <v>213</v>
      </c>
      <c r="B221" s="22" t="s">
        <v>297</v>
      </c>
      <c r="C221" s="109"/>
      <c r="D221" s="109"/>
      <c r="E221" s="21">
        <f>C221-D221</f>
        <v>0</v>
      </c>
      <c r="F221" s="127">
        <f>E221</f>
        <v>0</v>
      </c>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c r="AI221" s="110"/>
      <c r="AJ221" s="110"/>
      <c r="AK221" s="110"/>
      <c r="AL221" s="110"/>
      <c r="AM221" s="110"/>
      <c r="AN221" s="110"/>
      <c r="AO221" s="110"/>
      <c r="AP221" s="110"/>
      <c r="AQ221" s="110"/>
      <c r="AR221" s="110"/>
      <c r="AS221" s="108">
        <f>E221</f>
        <v>0</v>
      </c>
      <c r="AT221" s="110"/>
      <c r="AU221" s="23"/>
      <c r="AV221" s="141"/>
    </row>
    <row r="222" ht="21" customHeight="1" spans="1:48">
      <c r="A222" s="19">
        <v>214</v>
      </c>
      <c r="B222" s="22" t="s">
        <v>298</v>
      </c>
      <c r="C222" s="110"/>
      <c r="D222" s="110"/>
      <c r="E222" s="128"/>
      <c r="F222" s="129"/>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c r="AI222" s="110"/>
      <c r="AJ222" s="110"/>
      <c r="AK222" s="110"/>
      <c r="AL222" s="110"/>
      <c r="AM222" s="110"/>
      <c r="AN222" s="110"/>
      <c r="AO222" s="110"/>
      <c r="AP222" s="110"/>
      <c r="AQ222" s="110"/>
      <c r="AR222" s="110"/>
      <c r="AS222" s="110"/>
      <c r="AT222" s="110"/>
      <c r="AU222" s="23"/>
      <c r="AV222" s="141"/>
    </row>
    <row r="223" ht="20.5" customHeight="1" spans="1:48">
      <c r="A223" s="19">
        <v>215</v>
      </c>
      <c r="B223" s="103" t="s">
        <v>299</v>
      </c>
      <c r="C223" s="21">
        <f>C219+C218+C210+C190+C185+C174+C168+C162+C161+C156+C136+C108+C105+C97+C84+C47+C39+C33+C32+C23+C13+C9</f>
        <v>0</v>
      </c>
      <c r="D223" s="21">
        <f>D219+D218+D210+D190+D185+D174+D168+D162+D161+D156+D136+D108+D105+D97+D84+D47+D39+D33+D32+D23+D13+D9</f>
        <v>0</v>
      </c>
      <c r="E223" s="21">
        <f>E219+E218+E210+E190+E185+E174+E168+E162+E161+E156+E136+E108+E105+E97+E84+E47+E39+E33+E32+E23+E13+E9</f>
        <v>0</v>
      </c>
      <c r="F223" s="21">
        <f>F219+F218+F210+F190+F185+F174+F168+F162+F161+F156+F136+F108+F105+F97+F84+F47+F39+F33+F32+F23+F13+F9</f>
        <v>0</v>
      </c>
      <c r="G223" s="21">
        <f>G210+G190+G185+G174+G168+G162+G161+G156+G136+G108+G105+G97+G84+G47+G39+G33+G32+G23+G13+G9</f>
        <v>0</v>
      </c>
      <c r="H223" s="21">
        <f t="shared" ref="H223:AR223" si="129">H210+H190+H185+H174+H168+H162+H161+H156+H136+H108+H105+H97+H84+H47+H39+H33+H32+H23+H13+H9</f>
        <v>0</v>
      </c>
      <c r="I223" s="21">
        <f t="shared" si="129"/>
        <v>0</v>
      </c>
      <c r="J223" s="21">
        <f t="shared" si="129"/>
        <v>0</v>
      </c>
      <c r="K223" s="21">
        <f t="shared" si="129"/>
        <v>0</v>
      </c>
      <c r="L223" s="21">
        <f t="shared" si="129"/>
        <v>0</v>
      </c>
      <c r="M223" s="21">
        <f t="shared" si="129"/>
        <v>0</v>
      </c>
      <c r="N223" s="21">
        <f t="shared" si="129"/>
        <v>0</v>
      </c>
      <c r="O223" s="21">
        <f t="shared" si="129"/>
        <v>0</v>
      </c>
      <c r="P223" s="21">
        <f t="shared" si="129"/>
        <v>0</v>
      </c>
      <c r="Q223" s="21">
        <f t="shared" si="129"/>
        <v>0</v>
      </c>
      <c r="R223" s="21">
        <f t="shared" si="129"/>
        <v>0</v>
      </c>
      <c r="S223" s="21">
        <f t="shared" si="129"/>
        <v>0</v>
      </c>
      <c r="T223" s="21">
        <f t="shared" si="129"/>
        <v>0</v>
      </c>
      <c r="U223" s="21">
        <f t="shared" si="129"/>
        <v>0</v>
      </c>
      <c r="V223" s="21">
        <f t="shared" si="129"/>
        <v>0</v>
      </c>
      <c r="W223" s="21">
        <f t="shared" si="129"/>
        <v>0</v>
      </c>
      <c r="X223" s="21">
        <f t="shared" si="129"/>
        <v>0</v>
      </c>
      <c r="Y223" s="21">
        <f t="shared" si="129"/>
        <v>0</v>
      </c>
      <c r="Z223" s="21">
        <f t="shared" si="129"/>
        <v>0</v>
      </c>
      <c r="AA223" s="21">
        <f t="shared" si="129"/>
        <v>0</v>
      </c>
      <c r="AB223" s="21">
        <f t="shared" si="129"/>
        <v>0</v>
      </c>
      <c r="AC223" s="21">
        <f t="shared" si="129"/>
        <v>0</v>
      </c>
      <c r="AD223" s="21">
        <f t="shared" si="129"/>
        <v>0</v>
      </c>
      <c r="AE223" s="21">
        <f t="shared" si="129"/>
        <v>0</v>
      </c>
      <c r="AF223" s="21">
        <f t="shared" si="129"/>
        <v>0</v>
      </c>
      <c r="AG223" s="21">
        <f t="shared" si="129"/>
        <v>0</v>
      </c>
      <c r="AH223" s="21">
        <f t="shared" si="129"/>
        <v>0</v>
      </c>
      <c r="AI223" s="21">
        <f t="shared" si="129"/>
        <v>0</v>
      </c>
      <c r="AJ223" s="21">
        <f t="shared" si="129"/>
        <v>0</v>
      </c>
      <c r="AK223" s="21">
        <f t="shared" si="129"/>
        <v>0</v>
      </c>
      <c r="AL223" s="21">
        <f t="shared" si="129"/>
        <v>0</v>
      </c>
      <c r="AM223" s="21">
        <f t="shared" si="129"/>
        <v>0</v>
      </c>
      <c r="AN223" s="21">
        <f t="shared" si="129"/>
        <v>0</v>
      </c>
      <c r="AO223" s="21">
        <f t="shared" si="129"/>
        <v>0</v>
      </c>
      <c r="AP223" s="21">
        <f t="shared" si="129"/>
        <v>0</v>
      </c>
      <c r="AQ223" s="21">
        <f t="shared" si="129"/>
        <v>0</v>
      </c>
      <c r="AR223" s="21">
        <f t="shared" si="129"/>
        <v>0</v>
      </c>
      <c r="AS223" s="21">
        <f>AS219+AS210+AS190+AS185+AS174+AS168+AS162+AS161+AS156+AS136+AS108+AS105+AS97+AS84+AS47+AS39+AS33+AS32+AS23+AS13+AS9</f>
        <v>0</v>
      </c>
      <c r="AT223" s="110"/>
      <c r="AU223" s="21">
        <f>AU219+AU218+AU210+AU190+AU185+AU174+AU168+AU162+AU161+AU156+AU136+AU108+AU105+AU97+AU84+AU47+AU39+AU33+AU32+AU23+AU13+AU9</f>
        <v>0</v>
      </c>
      <c r="AV223" s="80">
        <f>IF(E223=0,0,AU223/E223)</f>
        <v>0</v>
      </c>
    </row>
    <row r="224" ht="20.5" customHeight="1" spans="1:48">
      <c r="A224" s="19">
        <v>216</v>
      </c>
      <c r="B224" s="103" t="s">
        <v>440</v>
      </c>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c r="AD224" s="111"/>
      <c r="AE224" s="134"/>
      <c r="AF224" s="134"/>
      <c r="AG224" s="134"/>
      <c r="AH224" s="134"/>
      <c r="AI224" s="134"/>
      <c r="AJ224" s="134"/>
      <c r="AK224" s="134"/>
      <c r="AL224" s="134"/>
      <c r="AM224" s="134"/>
      <c r="AN224" s="134"/>
      <c r="AO224" s="134"/>
      <c r="AP224" s="111"/>
      <c r="AQ224" s="111"/>
      <c r="AR224" s="111"/>
      <c r="AS224" s="111"/>
      <c r="AT224" s="110"/>
      <c r="AU224" s="142"/>
      <c r="AV224" s="141"/>
    </row>
    <row r="225" ht="20.5" customHeight="1" spans="1:48">
      <c r="A225" s="19">
        <v>217</v>
      </c>
      <c r="B225" s="103" t="s">
        <v>441</v>
      </c>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35"/>
      <c r="AF225" s="135"/>
      <c r="AG225" s="135"/>
      <c r="AH225" s="135"/>
      <c r="AI225" s="135"/>
      <c r="AJ225" s="135"/>
      <c r="AK225" s="135"/>
      <c r="AL225" s="135"/>
      <c r="AM225" s="135"/>
      <c r="AN225" s="135"/>
      <c r="AO225" s="135"/>
      <c r="AP225" s="112"/>
      <c r="AQ225" s="112"/>
      <c r="AR225" s="112"/>
      <c r="AS225" s="111"/>
      <c r="AT225" s="110"/>
      <c r="AU225" s="142"/>
      <c r="AV225" s="141"/>
    </row>
    <row r="226" ht="20.5" customHeight="1" spans="1:48">
      <c r="A226" s="19">
        <v>218</v>
      </c>
      <c r="B226" s="113" t="s">
        <v>302</v>
      </c>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c r="AB226" s="114"/>
      <c r="AC226" s="114"/>
      <c r="AD226" s="114"/>
      <c r="AE226" s="136"/>
      <c r="AF226" s="136"/>
      <c r="AG226" s="136"/>
      <c r="AH226" s="136"/>
      <c r="AI226" s="136"/>
      <c r="AJ226" s="136"/>
      <c r="AK226" s="136"/>
      <c r="AL226" s="136"/>
      <c r="AM226" s="136"/>
      <c r="AN226" s="136"/>
      <c r="AO226" s="136"/>
      <c r="AP226" s="114"/>
      <c r="AQ226" s="114"/>
      <c r="AR226" s="114"/>
      <c r="AS226" s="114"/>
      <c r="AT226" s="114"/>
      <c r="AU226" s="143">
        <f>AU223+AU224-AU225</f>
        <v>0</v>
      </c>
      <c r="AV226" s="144"/>
    </row>
    <row r="227" spans="1:48">
      <c r="A227" s="115" t="s">
        <v>303</v>
      </c>
      <c r="B227" s="116"/>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37"/>
      <c r="AF227" s="137"/>
      <c r="AG227" s="137"/>
      <c r="AH227" s="137"/>
      <c r="AI227" s="137"/>
      <c r="AJ227" s="137"/>
      <c r="AK227" s="137"/>
      <c r="AL227" s="137"/>
      <c r="AM227" s="137"/>
      <c r="AN227" s="137"/>
      <c r="AO227" s="137"/>
      <c r="AP227" s="117"/>
      <c r="AQ227" s="117"/>
      <c r="AR227" s="117"/>
      <c r="AS227" s="117"/>
      <c r="AT227" s="145"/>
      <c r="AU227" s="117"/>
      <c r="AV227" s="117"/>
    </row>
    <row r="228" spans="1:48">
      <c r="A228" s="118">
        <v>1</v>
      </c>
      <c r="B228" s="39" t="s">
        <v>442</v>
      </c>
      <c r="C228" s="119"/>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37"/>
      <c r="AF228" s="137"/>
      <c r="AG228" s="137"/>
      <c r="AH228" s="137"/>
      <c r="AI228" s="137"/>
      <c r="AJ228" s="137"/>
      <c r="AK228" s="137"/>
      <c r="AL228" s="137"/>
      <c r="AM228" s="137"/>
      <c r="AN228" s="137"/>
      <c r="AO228" s="137"/>
      <c r="AP228" s="117"/>
      <c r="AQ228" s="117"/>
      <c r="AR228" s="117"/>
      <c r="AS228" s="117"/>
      <c r="AT228" s="145"/>
      <c r="AU228" s="117"/>
      <c r="AV228" s="117"/>
    </row>
    <row r="229" spans="1:48">
      <c r="A229" s="118">
        <v>2</v>
      </c>
      <c r="B229" s="39" t="s">
        <v>305</v>
      </c>
      <c r="C229" s="119"/>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37"/>
      <c r="AF229" s="137"/>
      <c r="AG229" s="137"/>
      <c r="AH229" s="137"/>
      <c r="AI229" s="137"/>
      <c r="AJ229" s="137"/>
      <c r="AK229" s="137"/>
      <c r="AL229" s="137"/>
      <c r="AM229" s="137"/>
      <c r="AN229" s="137"/>
      <c r="AO229" s="137"/>
      <c r="AP229" s="117"/>
      <c r="AQ229" s="117"/>
      <c r="AR229" s="117"/>
      <c r="AS229" s="117"/>
      <c r="AT229" s="145"/>
      <c r="AU229" s="117"/>
      <c r="AV229" s="117"/>
    </row>
    <row r="230" spans="1:48">
      <c r="A230" s="118">
        <v>3</v>
      </c>
      <c r="B230" s="39" t="s">
        <v>443</v>
      </c>
      <c r="C230" s="119"/>
      <c r="D230" s="117"/>
      <c r="E230" s="130"/>
      <c r="F230" s="130"/>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37"/>
      <c r="AF230" s="137"/>
      <c r="AG230" s="137"/>
      <c r="AH230" s="137"/>
      <c r="AI230" s="137"/>
      <c r="AJ230" s="137"/>
      <c r="AK230" s="137"/>
      <c r="AL230" s="137"/>
      <c r="AM230" s="137"/>
      <c r="AN230" s="137"/>
      <c r="AO230" s="137"/>
      <c r="AP230" s="117"/>
      <c r="AQ230" s="117"/>
      <c r="AR230" s="117"/>
      <c r="AS230" s="117"/>
      <c r="AT230" s="145"/>
      <c r="AU230" s="117"/>
      <c r="AV230" s="117"/>
    </row>
    <row r="231" ht="15.5" customHeight="1" spans="1:48">
      <c r="A231" s="118">
        <v>4</v>
      </c>
      <c r="B231" s="120" t="s">
        <v>444</v>
      </c>
      <c r="C231" s="119"/>
      <c r="D231" s="117"/>
      <c r="E231" s="130"/>
      <c r="F231" s="130"/>
      <c r="G231" s="117"/>
      <c r="H231" s="117"/>
      <c r="I231" s="117"/>
      <c r="J231" s="117"/>
      <c r="K231" s="117"/>
      <c r="L231" s="117"/>
      <c r="M231" s="117"/>
      <c r="N231" s="117"/>
      <c r="O231" s="117"/>
      <c r="P231" s="117"/>
      <c r="Q231" s="117"/>
      <c r="R231" s="131"/>
      <c r="S231" s="131"/>
      <c r="T231" s="131"/>
      <c r="U231" s="117"/>
      <c r="V231" s="117"/>
      <c r="W231" s="117"/>
      <c r="X231" s="117"/>
      <c r="Y231" s="117"/>
      <c r="Z231" s="117"/>
      <c r="AA231" s="117"/>
      <c r="AB231" s="117"/>
      <c r="AC231" s="117"/>
      <c r="AD231" s="117"/>
      <c r="AE231" s="137"/>
      <c r="AF231" s="137"/>
      <c r="AG231" s="137"/>
      <c r="AH231" s="137"/>
      <c r="AI231" s="137"/>
      <c r="AJ231" s="137"/>
      <c r="AK231" s="137"/>
      <c r="AL231" s="137"/>
      <c r="AM231" s="137"/>
      <c r="AN231" s="137"/>
      <c r="AO231" s="137"/>
      <c r="AP231" s="117"/>
      <c r="AQ231" s="117"/>
      <c r="AR231" s="117"/>
      <c r="AS231" s="117"/>
      <c r="AT231" s="145"/>
      <c r="AU231" s="117"/>
      <c r="AV231" s="117"/>
    </row>
    <row r="232" spans="1:48">
      <c r="A232" s="118">
        <v>5</v>
      </c>
      <c r="B232" s="39" t="s">
        <v>308</v>
      </c>
      <c r="C232" s="119"/>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37"/>
      <c r="AF232" s="137"/>
      <c r="AG232" s="137"/>
      <c r="AH232" s="137"/>
      <c r="AI232" s="137"/>
      <c r="AJ232" s="137"/>
      <c r="AK232" s="137"/>
      <c r="AL232" s="137"/>
      <c r="AM232" s="137"/>
      <c r="AN232" s="137"/>
      <c r="AO232" s="137"/>
      <c r="AP232" s="117"/>
      <c r="AQ232" s="117"/>
      <c r="AR232" s="117"/>
      <c r="AS232" s="117"/>
      <c r="AT232" s="145"/>
      <c r="AU232" s="117"/>
      <c r="AV232" s="117"/>
    </row>
    <row r="233" s="1" customFormat="1" ht="12" spans="1:7">
      <c r="A233" s="1" t="s">
        <v>445</v>
      </c>
      <c r="C233" s="1" t="s">
        <v>446</v>
      </c>
      <c r="G233" s="1" t="s">
        <v>447</v>
      </c>
    </row>
    <row r="234" spans="1:2">
      <c r="A234" s="121"/>
      <c r="B234" s="122" t="s">
        <v>448</v>
      </c>
    </row>
    <row r="235" s="2" customFormat="1" spans="1:2">
      <c r="A235" s="123"/>
      <c r="B235" s="122" t="s">
        <v>449</v>
      </c>
    </row>
    <row r="236" spans="1:2">
      <c r="A236" s="124" t="s">
        <v>450</v>
      </c>
      <c r="B236" s="125">
        <v>251</v>
      </c>
    </row>
  </sheetData>
  <sheetProtection sort="0" autoFilter="0" pivotTables="0"/>
  <protectedRanges>
    <protectedRange sqref="C100:D104 F106:F107 C111:D116 C127:D135 C139:D139 C122:D124 C118:D120 C145:D147 C141:D143 C150:D155 C157:D157 F150:F160 C158:E158 C156:E156 F100:F104 G122:AR122 F111:F116 F127:F135 F139 F122:F124 F118:F120 F145:F147 F141:F143 C106:D107 G141:AR141 G145:AR145 G118:AR118 C159:D160 G151:AR152 G156:AR156 G158:AR158" name="区域9_1"/>
    <protectedRange sqref="C86:D89 C161:D161 F34:F38 F40:F46 C92:D96 F86:F89 F161 F92:F96 C34:D38 C40:D46" name="区域7_1"/>
    <protectedRange sqref="C81:D83 F81:F83" name="区域6_1"/>
    <protectedRange sqref="C53:D54 C68:D69 F53:F54 F68:F69" name="区域5_1"/>
    <protectedRange sqref="C62:D66 C70:D72 C76:D77 AU48 C50:D51 C49:E49 F62:F66 F70:F72 F76:F77 F49:F51 G49:AR49 C48:AS48" name="区域4_1"/>
    <protectedRange sqref="F10:F12 C10:D12" name="区域1_1"/>
    <protectedRange sqref="AU23 AU33 AU39 C25:D25 C33:E33 C23:E23 C14:D22 C27:D32 F14:F23 F27:F33 F25 C39:AS39 G33:AS33 C26:AS26 C24:AS24 G23:AS23" name="区域2_1"/>
    <protectedRange sqref="F166 C169:D173 C176:D179 C181:D184 C186:D186 C188:D189 C187:E187 G187:AR187 F169:F173 F176:F179 F181:F184 F186:F189 C166:D166" name="区域11_1"/>
    <protectedRange sqref="C191:D192 C218:D218 C194:D209 C220:D221 C224:D225 G197:H197 J197:K197 M197:N197 P197:Q197 S197 G198:U202 W197:X197 Z197:AA197 W198:AC202 AE198:AE202 AH199 AH200:AI202 AJ197:AK197 AJ198:AM198 AJ199:AN202 AP198:AR202 AP197:AQ197 C219:E219 F191:F192 F218:F221 F224:F225 G203:AR209 F194:F209 C193:AS193 G219:AR219 AS219:AS221" name="区域13_1"/>
    <protectedRange sqref="G17:H17 J17:K17 M17:N17 P17:Q17 S17 U17:X17 Z17:AA17 G28:H30 J28:K30 M28:N30 P28:Q30 S28:S30 U28:X30 Z28:AA30 G34:H34 J34:K34 M34:N34 P34:Q34 S34 U34:X34 Z34:AA34 G41:H41 J41:K41 M41:N41 P41:Q41 S41 U41:X41 Z41:AA41 G50:H50 J50:K50 M50:N50 P50:Q50 S50 U50:X50 Z50:AA50 AX53:BK53 G53:H53 J53:K53 M53:N53 P53:Q53 S53 U53:X53 Z53:AA53 G62:H62 J62:K62 M62:N62 P62:Q62 S62 U62:X62 Z62:AA62 G68:H68 J68:K68 M68:N68 P68:Q68 S68 U68:X68 Z68:AA68 G177:H177 J177:K177 M177:N177 P177:Q177 S177 U177:X177 Z177:AA177 V54 AD54 AF54:AG54 AI111 AO54 V69 AD69 AF69:AG69 AI54 AO69 V111 AD111 AF111:AG111 AO111 G181:H182 J181:K182 M181:N182 P181:Q182 S181:S182 U181:X182 Z181:AA182 G25:AR25 G43:AR43 G64:AR64 G178:AR178 G127:AR129 G112:AR113 G100:AR100 G74:AR74 G70:AR70 G56:AR56 G35:AR35 AI69 AC181:AQ182 G18:AR22 AC177:AQ177 AC68:AQ68 AC62:AQ62 AC53:AQ53 AC50:AQ50 AC41:AQ41 AC34:AQ34 AC28:AQ30 G27:AR27 AC17:AQ17 G46:AR46 G31:AR32" name="区域14_1"/>
    <protectedRange sqref="G54:U54 W54:AC54 AE54 AH69 AJ54:AN54 AP54:AR54 G69:U69 W69:AC69 AE69 AH111 AJ69:AN69 AP69:AR69 G111:U111 W111:AC111 AE111 AP111:AR111 AJ111:AN111 AH54" name="区域21_1"/>
    <protectedRange sqref="G81:V83" name="区域22_1"/>
    <protectedRange sqref="W81:Y83" name="区域24_1"/>
    <protectedRange sqref="Z81:AD83" name="区域26_1"/>
    <protectedRange sqref="AE81:AO83" name="区域27_1"/>
    <protectedRange sqref="AP81:AR83" name="区域28_1"/>
    <protectedRange sqref="G36:V36" name="区域29_1"/>
    <protectedRange sqref="W36:Y36" name="区域31_1"/>
    <protectedRange sqref="Z36:AD36" name="区域33_1"/>
    <protectedRange sqref="AE36:AO36" name="区域34_1"/>
    <protectedRange sqref="AP36:AR36" name="区域35_1"/>
    <protectedRange sqref="G183:AG183 AO183:AR183 G63:AR63 G51:AR51 G44:AR45 G42:AR42 G161:AR161 G92:AR96 G40:AR40 AI183:AM183 G86:AR89 G38:AR38" name="区域36_1"/>
    <protectedRange sqref="G114:AR116 G106:AR107 G157:AR157 G153:AR155 G146:AR147 G142:AR143 G150:AR150 G139:AR139 G123:AR124 G130:AR135 G119:AR120 G101:AR104 G159:AR160" name="区域40_1"/>
    <protectedRange sqref="G176 AN183 J176 M176 P176 W176 Z176 AJ176 AP176 AH183 G179:AR179 G188:AR189 G186:AR186 G169:AR173 G184:AR184 G166:AR166" name="区域42_1"/>
    <protectedRange sqref="C212:D217 F212:F217" name="区域13_5_1"/>
    <protectedRange sqref="AU218 AU220:AU221 G212:AR217" name="区域43_5_1"/>
  </protectedRanges>
  <mergeCells count="35">
    <mergeCell ref="A1:AV1"/>
    <mergeCell ref="A2:B2"/>
    <mergeCell ref="AP2:AR2"/>
    <mergeCell ref="G4:AR4"/>
    <mergeCell ref="C4:C8"/>
    <mergeCell ref="D4:D8"/>
    <mergeCell ref="E4:E8"/>
    <mergeCell ref="F4:F8"/>
    <mergeCell ref="S5:S6"/>
    <mergeCell ref="T5:T6"/>
    <mergeCell ref="U5:U6"/>
    <mergeCell ref="V5:V6"/>
    <mergeCell ref="AC5:AC6"/>
    <mergeCell ref="AD5:AD6"/>
    <mergeCell ref="AE5:AE6"/>
    <mergeCell ref="AF5:AF6"/>
    <mergeCell ref="AG5:AG6"/>
    <mergeCell ref="AH5:AH6"/>
    <mergeCell ref="AI5:AI6"/>
    <mergeCell ref="AM5:AM6"/>
    <mergeCell ref="AN5:AN6"/>
    <mergeCell ref="AO5:AO6"/>
    <mergeCell ref="AS4:AS8"/>
    <mergeCell ref="AT4:AT8"/>
    <mergeCell ref="AU4:AU8"/>
    <mergeCell ref="AV4:AV8"/>
    <mergeCell ref="G5:I6"/>
    <mergeCell ref="J5:L6"/>
    <mergeCell ref="M5:O6"/>
    <mergeCell ref="P5:R6"/>
    <mergeCell ref="A3:B8"/>
    <mergeCell ref="W5:Y6"/>
    <mergeCell ref="Z5:AB6"/>
    <mergeCell ref="AJ5:AL6"/>
    <mergeCell ref="AP5:AR6"/>
  </mergeCells>
  <dataValidations count="3">
    <dataValidation type="decimal" operator="between" allowBlank="1" showInputMessage="1" showErrorMessage="1" sqref="C9:AT9 C10:AR10 AS10 AT10 C11:AR11 AS11 AT11 C12:AR12 AS12 AT12 C13:AT13 C14:AR14 AS14 AT14 C15:AR15 AS15 AT15 C16:AR16 AS16 AT16 C22:AR22 AS22 AT22 C25:AR25 AS25 AT25 C32:AR32 AS32 AT32 C40:AR40 AS40 AT40 AW53:BL53 C149:D149 F149:AR149 H176:I176 K176:L176 N176:O176 Q176:V176 X176:Y176 AA176:AI176 AK176:AO176 AQ176:AS176 G181:AS181 AH182 AN182 AS191 AS192 AS194 AU194 AS212 AU219 AS222 C227 C48:C148 C150:C160 D137:D148 D150:D160 E137:E161 E163:E167 E169:E173 E176:E179 E181:E186 E188:E189 E191:E192 E194:E196 E197:E218 E220:E222 AS137:AS161 AS163:AS175 AS177:AS180 AS182:AS190 AS195:AS197 AS198:AS211 AS213:AS218 AS224:AS226 AT48:AT54 AT56:AT59 AT62:AT72 AT74:AT79 AT81:AT83 AT86:AT89 AT92:AT160 AU9:AU161 AU163:AU193 AU195:AU196 AU197:AU217 AU224:AU226 D48:AS136 C41:AT47 G182:AG183 G177:AR178 AO182:AR183 AI182:AM183 F137:AR148 F150:AR160 C26:AT31 C33:AT39 C17:AT21 C23:AT24 D227:AU232">
      <formula1>-9999999999</formula1>
      <formula2>9999999999</formula2>
    </dataValidation>
    <dataValidation type="decimal" operator="between" allowBlank="1" showInputMessage="1" showErrorMessage="1" sqref="C223:F223 G223:AR223 AS223 AU223 AV1:AV2 AV4:AV193 AV194:AV196 AV197:AV234 AV236:AV1048576">
      <formula1>-9999999999</formula1>
      <formula2>99999999999</formula2>
    </dataValidation>
    <dataValidation type="decimal" operator="greaterThanOrEqual" allowBlank="1" showInputMessage="1" showErrorMessage="1" sqref="F161:AR161 E162:AS162 AU162 E168 G174:AR174 H175:I175 K175:L175 N175:O175 Q175:V175 X175:Y175 AA175:AI175 AK175:AO175 AQ175:AR175 E180 AH183 AN183 G184:AR184 G185:AE185 AF185:AG185 AH185:AR185 G186:AR186 E187 G187:AE187 AF187:AG187 AH187:AR187 E190 G190:AE190 AF190:AG190 AH190:AR190 C193:D193 E193 F193:AQ193 AR193:AS193 C194:D194 F194 G194:AR194 C195:D195 F195 G195:AR195 AT195 C196:D196 F196 G196:AR196 AT196 AU218 E219 C228:C232 E174:E175 F174:F192 F197:F222 G175:G176 J175:J176 M175:M176 P175:P176 W175:W176 Z175:Z176 AJ175:AJ176 AP175:AP176 AS219:AS221 AT161:AT194 AT197:AT226 AU220:AU222 G179:AR180 G191:AR192 G197:AR222 C161:D192 F163:AR173 G188:AR189 C197:D222 C224:AR226">
      <formula1>0</formula1>
    </dataValidation>
  </dataValidations>
  <pageMargins left="0.699305555555556" right="0.699305555555556"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区域9_1" rangeCreator="" othersAccessPermission="edit"/>
    <arrUserId title="区域7_1" rangeCreator="" othersAccessPermission="edit"/>
    <arrUserId title="区域6_1" rangeCreator="" othersAccessPermission="edit"/>
    <arrUserId title="区域5_1" rangeCreator="" othersAccessPermission="edit"/>
    <arrUserId title="区域4_1" rangeCreator="" othersAccessPermission="edit"/>
    <arrUserId title="区域1_1" rangeCreator="" othersAccessPermission="edit"/>
    <arrUserId title="区域2_1" rangeCreator="" othersAccessPermission="edit"/>
    <arrUserId title="区域11_1" rangeCreator="" othersAccessPermission="edit"/>
    <arrUserId title="区域13_1" rangeCreator="" othersAccessPermission="edit"/>
    <arrUserId title="区域14_1" rangeCreator="" othersAccessPermission="edit"/>
    <arrUserId title="区域21_1" rangeCreator="" othersAccessPermission="edit"/>
    <arrUserId title="区域22_1" rangeCreator="" othersAccessPermission="edit"/>
    <arrUserId title="区域24_1" rangeCreator="" othersAccessPermission="edit"/>
    <arrUserId title="区域26_1" rangeCreator="" othersAccessPermission="edit"/>
    <arrUserId title="区域27_1" rangeCreator="" othersAccessPermission="edit"/>
    <arrUserId title="区域28_1" rangeCreator="" othersAccessPermission="edit"/>
    <arrUserId title="区域29_1" rangeCreator="" othersAccessPermission="edit"/>
    <arrUserId title="区域31_1" rangeCreator="" othersAccessPermission="edit"/>
    <arrUserId title="区域33_1" rangeCreator="" othersAccessPermission="edit"/>
    <arrUserId title="区域34_1" rangeCreator="" othersAccessPermission="edit"/>
    <arrUserId title="区域35_1" rangeCreator="" othersAccessPermission="edit"/>
    <arrUserId title="区域36_1" rangeCreator="" othersAccessPermission="edit"/>
    <arrUserId title="区域40_1" rangeCreator="" othersAccessPermission="edit"/>
    <arrUserId title="区域42_1" rangeCreator="" othersAccessPermission="edit"/>
    <arrUserId title="区域13_5_1" rangeCreator="" othersAccessPermission="edit"/>
    <arrUserId title="区域43_5_1" rangeCreator="" othersAccessPermission="edit"/>
  </rangeList>
  <rangeList sheetStid="2" master="">
    <arrUserId title="区域9_1" rangeCreator="" othersAccessPermission="edit"/>
    <arrUserId title="区域7_1" rangeCreator="" othersAccessPermission="edit"/>
    <arrUserId title="区域6_1" rangeCreator="" othersAccessPermission="edit"/>
    <arrUserId title="区域5_1" rangeCreator="" othersAccessPermission="edit"/>
    <arrUserId title="区域4_1" rangeCreator="" othersAccessPermission="edit"/>
    <arrUserId title="区域1_1" rangeCreator="" othersAccessPermission="edit"/>
    <arrUserId title="区域2_1" rangeCreator="" othersAccessPermission="edit"/>
    <arrUserId title="区域11_1" rangeCreator="" othersAccessPermission="edit"/>
    <arrUserId title="区域13_1" rangeCreator="" othersAccessPermission="edit"/>
    <arrUserId title="区域14_1" rangeCreator="" othersAccessPermission="edit"/>
    <arrUserId title="区域21_1" rangeCreator="" othersAccessPermission="edit"/>
    <arrUserId title="区域22_1" rangeCreator="" othersAccessPermission="edit"/>
    <arrUserId title="区域24_1" rangeCreator="" othersAccessPermission="edit"/>
    <arrUserId title="区域26_1" rangeCreator="" othersAccessPermission="edit"/>
    <arrUserId title="区域27_1" rangeCreator="" othersAccessPermission="edit"/>
    <arrUserId title="区域28_1" rangeCreator="" othersAccessPermission="edit"/>
    <arrUserId title="区域29_1" rangeCreator="" othersAccessPermission="edit"/>
    <arrUserId title="区域31_1" rangeCreator="" othersAccessPermission="edit"/>
    <arrUserId title="区域33_1" rangeCreator="" othersAccessPermission="edit"/>
    <arrUserId title="区域34_1" rangeCreator="" othersAccessPermission="edit"/>
    <arrUserId title="区域35_1" rangeCreator="" othersAccessPermission="edit"/>
    <arrUserId title="区域36_1" rangeCreator="" othersAccessPermission="edit"/>
    <arrUserId title="区域40_1" rangeCreator="" othersAccessPermission="edit"/>
    <arrUserId title="区域42_1" rangeCreator="" othersAccessPermission="edit"/>
    <arrUserId title="区域13_5_1" rangeCreator="" othersAccessPermission="edit"/>
    <arrUserId title="区域43_5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G4B-1修订（第一档和第二档整合版）</vt:lpstr>
      <vt:lpstr>G4B-1（第一档）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 QD Yang</dc:creator>
  <cp:lastModifiedBy>陈静</cp:lastModifiedBy>
  <dcterms:created xsi:type="dcterms:W3CDTF">2015-06-09T18:17:00Z</dcterms:created>
  <dcterms:modified xsi:type="dcterms:W3CDTF">2024-12-13T14:49:31Z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2052-11.8.2.11764</vt:lpwstr>
  </property>
  <property fmtid="{D5CDD505-2E9C-101B-9397-08002B2CF9AE}" pid="3" name="ICV">
    <vt:lpwstr>ACFBEB9A6ED485E541A43A67BD6230AE</vt:lpwstr>
  </property>
  <property fmtid="{D5CDD505-2E9C-101B-9397-08002B2CF9AE}" pid="4" name="EM_Doc_Temp_ID">
    <vt:lpwstr>b1e32429</vt:lpwstr>
  </property>
</Properties>
</file>