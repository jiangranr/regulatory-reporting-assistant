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25"/>
  </bookViews>
  <sheets>
    <sheet name="G4D-1" sheetId="1" r:id="rId1"/>
  </sheets>
  <externalReferences>
    <externalReference r:id="rId2"/>
    <externalReference r:id="rId3"/>
    <externalReference r:id="rId4"/>
  </externalReferences>
  <definedNames>
    <definedName name="Accounting">[1]Parameters!$D$277:$D$279</definedName>
    <definedName name="BankType">[1]Parameters!$D$280:$D$282</definedName>
    <definedName name="BankTypeNumeric">[1]Parameters!$C$283:$C$289</definedName>
    <definedName name="Basel">[2]Parameters!$C$32:$C$33</definedName>
    <definedName name="CRMCCF">[1]Parameters!$D$447:$D$448</definedName>
    <definedName name="CryptoActivity">[1]Parameters!$D$524:$D$544</definedName>
    <definedName name="CryptoAssetCLasses">[1]Parameters!$D$497:$D$515</definedName>
    <definedName name="CryptoFrequency">[1]Parameters!$D$516:$D$520</definedName>
    <definedName name="CryptoGroup">[1]Parameters!$D$521:$D$523</definedName>
    <definedName name="CryptoHQLA">[1]Parameters!$D$545:$D$548</definedName>
    <definedName name="CryptoTicker">[1]Parameters!$F$549:$F$650</definedName>
    <definedName name="Group">[1]Parameters!$D$252:$D$253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OpRiskData">[1]Parameters!$D$493:$D$496</definedName>
    <definedName name="OpRiskLossThreshold">[1]Parameters!$D$272:$D$274</definedName>
    <definedName name="QNumericZ100">[1]Parameters!$C$317:$C$417</definedName>
    <definedName name="RegDesks">[1]Parameters!$D$296:$D$316</definedName>
    <definedName name="TBRCCurrency">[1]Parameters!$D$452:$D$453</definedName>
    <definedName name="TBRCScalar">[1]Parameters!$D$454:$D$456</definedName>
    <definedName name="UnitT">[1]Parameters!$E$254:$F$256</definedName>
    <definedName name="UnitW">[1]Parameters!$D$254:$D$256</definedName>
    <definedName name="YesNo">[1]Parameters!$D$249:$D$250</definedName>
    <definedName name="YesNoBasel2" localSheetId="0">[3]Parameters!#REF!</definedName>
    <definedName name="YesNoBasel2">[3]Parameters!#REF!</definedName>
    <definedName name="YesNoDontKnow">[1]Parameters!$D$248:$D$250</definedName>
    <definedName name="YesNoSimplified">[1]Parameters!$D$449:$D$451</definedName>
  </definedNames>
  <calcPr calcId="144525"/>
</workbook>
</file>

<file path=xl/sharedStrings.xml><?xml version="1.0" encoding="utf-8"?>
<sst xmlns="http://schemas.openxmlformats.org/spreadsheetml/2006/main" count="45" uniqueCount="45">
  <si>
    <t>G4D-1操作风险历史损失数据情况表(新规)</t>
  </si>
  <si>
    <t>填报机构：</t>
  </si>
  <si>
    <t>报表日期：   年    月    日</t>
  </si>
  <si>
    <t>单位：万元，件</t>
  </si>
  <si>
    <t>序号</t>
  </si>
  <si>
    <t>纳入内部损失乘数计算的损失事件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</si>
  <si>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</si>
  <si>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</si>
  <si>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</si>
  <si>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</si>
  <si>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</si>
  <si>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</si>
  <si>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</si>
  <si>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</si>
  <si>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</si>
  <si>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</si>
  <si>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</si>
  <si>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</si>
  <si>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最近第一年</t>
  </si>
  <si>
    <t>最近第二年</t>
  </si>
  <si>
    <t>最近第三年</t>
  </si>
  <si>
    <t>最近第四年</t>
  </si>
  <si>
    <t>最近第五年</t>
  </si>
  <si>
    <t>最近第六年</t>
  </si>
  <si>
    <t>最近第七年</t>
  </si>
  <si>
    <t>最近第八年</t>
  </si>
  <si>
    <t>最近第九年</t>
  </si>
  <si>
    <t>最近第十年</t>
  </si>
  <si>
    <t>平均值</t>
  </si>
  <si>
    <t xml:space="preserve">合计 </t>
  </si>
  <si>
    <t>1.1操作风险损失事件数量</t>
  </si>
  <si>
    <t>1.2总损失金额</t>
  </si>
  <si>
    <t>1.3回收金额</t>
  </si>
  <si>
    <t xml:space="preserve">   1.3.1保险回收金额</t>
  </si>
  <si>
    <t xml:space="preserve">   1.3.2非保险回收金额</t>
  </si>
  <si>
    <t>1.4净损失金额</t>
  </si>
  <si>
    <t>1.5经监管部门认可剔除的特定损失事件数量</t>
  </si>
  <si>
    <t>1.6经监管部门认可剔除的特定损失事件净损失金额</t>
  </si>
  <si>
    <t>1.7扣除可剔除金额后的净损失金额</t>
  </si>
  <si>
    <t>填表人：</t>
  </si>
  <si>
    <t>复核人：</t>
  </si>
  <si>
    <t>负责人：</t>
  </si>
  <si>
    <t>无数据部分</t>
  </si>
  <si>
    <t>自动计算部分</t>
  </si>
  <si>
    <t>版本号：</t>
  </si>
</sst>
</file>

<file path=xl/styles.xml><?xml version="1.0" encoding="utf-8"?>
<styleSheet xmlns="http://schemas.openxmlformats.org/spreadsheetml/2006/main">
  <numFmts count="14">
    <numFmt numFmtId="176" formatCode="0_);[Red]\(0\)"/>
    <numFmt numFmtId="177" formatCode="[&gt;0]General"/>
    <numFmt numFmtId="178" formatCode="0.00_ "/>
    <numFmt numFmtId="44" formatCode="_ &quot;￥&quot;* #,##0.00_ ;_ &quot;￥&quot;* \-#,##0.00_ ;_ &quot;￥&quot;* &quot;-&quot;??_ ;_ @_ "/>
    <numFmt numFmtId="179" formatCode="_-* #,##0.00_-;\-* #,##0.00_-;_-* &quot;-&quot;??_-;_-@_-"/>
    <numFmt numFmtId="180" formatCode="0.0000%"/>
    <numFmt numFmtId="42" formatCode="_ &quot;￥&quot;* #,##0_ ;_ &quot;￥&quot;* \-#,##0_ ;_ &quot;￥&quot;* &quot;-&quot;_ ;_ @_ "/>
    <numFmt numFmtId="181" formatCode="0.0"/>
    <numFmt numFmtId="43" formatCode="_ * #,##0.00_ ;_ * \-#,##0.00_ ;_ * &quot;-&quot;??_ ;_ @_ "/>
    <numFmt numFmtId="182" formatCode="0.0%"/>
    <numFmt numFmtId="183" formatCode="yyyy\-mm\-dd;@"/>
    <numFmt numFmtId="41" formatCode="_ * #,##0_ ;_ * \-#,##0_ ;_ * &quot;-&quot;_ ;_ @_ "/>
    <numFmt numFmtId="184" formatCode="0.00000"/>
    <numFmt numFmtId="185" formatCode="0.0000"/>
  </numFmts>
  <fonts count="40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  <scheme val="minor"/>
    </font>
    <font>
      <sz val="10"/>
      <color theme="1"/>
      <name val="Segoe UI"/>
      <charset val="134"/>
    </font>
    <font>
      <sz val="10"/>
      <color theme="1"/>
      <name val="宋体"/>
      <charset val="134"/>
    </font>
    <font>
      <sz val="10"/>
      <name val="Segoe UI"/>
      <charset val="134"/>
    </font>
    <font>
      <sz val="9"/>
      <color indexed="10"/>
      <name val="宋体"/>
      <charset val="134"/>
    </font>
    <font>
      <sz val="10"/>
      <color theme="1"/>
      <name val="仿宋_GB2312"/>
      <charset val="134"/>
    </font>
    <font>
      <sz val="12"/>
      <name val="宋体"/>
      <charset val="134"/>
    </font>
    <font>
      <sz val="10"/>
      <name val="Arial"/>
      <charset val="134"/>
    </font>
    <font>
      <sz val="18"/>
      <color theme="1"/>
      <name val="彩虹黑体"/>
      <charset val="134"/>
    </font>
    <font>
      <sz val="11"/>
      <color theme="0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20"/>
      <name val="Segoe UI"/>
      <charset val="1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0"/>
      <color rgb="FF427F6D"/>
      <name val="Segoe UI"/>
      <charset val="1"/>
    </font>
    <font>
      <sz val="10"/>
      <name val="Arial"/>
      <charset val="0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0"/>
      <color rgb="FFAA322F"/>
      <name val="Segoe UI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0"/>
      <color rgb="FFAA322F"/>
      <name val="Arial"/>
      <charset val="134"/>
    </font>
    <font>
      <sz val="11"/>
      <color rgb="FF9C6500"/>
      <name val="宋体"/>
      <charset val="0"/>
      <scheme val="minor"/>
    </font>
    <font>
      <b/>
      <sz val="13"/>
      <name val="Segoe UI"/>
      <charset val="1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0"/>
      <name val="Segoe UI"/>
      <charset val="1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</fonts>
  <fills count="5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0.599963377788629"/>
        <bgColor indexed="64"/>
      </patternFill>
    </fill>
    <fill>
      <patternFill patternType="mediumGray">
        <fgColor indexed="45"/>
        <bgColor indexed="9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8"/>
        <bgColor indexed="64"/>
      </patternFill>
    </fill>
    <fill>
      <patternFill patternType="lightGray">
        <fgColor indexed="45"/>
        <bgColor indexed="9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C7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rgb="FFEAA121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D5D6D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FEC72"/>
        <bgColor indexed="45"/>
      </patternFill>
    </fill>
    <fill>
      <patternFill patternType="lightGrid">
        <fgColor rgb="FFD5D6D2"/>
        <bgColor theme="0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14548173467"/>
        <bgColor indexed="45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CBDBC"/>
      </left>
      <right style="thin">
        <color rgb="FFBCBDBC"/>
      </right>
      <top style="thin">
        <color rgb="FFBCBDBC"/>
      </top>
      <bottom style="thin">
        <color rgb="FFBCBDBC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auto="1"/>
      </left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CBDBC"/>
      </left>
      <right style="thin">
        <color rgb="FFBCBDBC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29">
    <xf numFmtId="0" fontId="0" fillId="0" borderId="0">
      <alignment vertical="center"/>
    </xf>
    <xf numFmtId="0" fontId="23" fillId="0" borderId="0">
      <alignment vertical="center"/>
    </xf>
    <xf numFmtId="3" fontId="10" fillId="7" borderId="2" applyFont="0">
      <alignment horizontal="right" vertical="center"/>
      <protection locked="0"/>
    </xf>
    <xf numFmtId="0" fontId="9" fillId="0" borderId="0">
      <alignment vertical="center"/>
    </xf>
    <xf numFmtId="0" fontId="34" fillId="3" borderId="11" applyBorder="0">
      <alignment horizontal="center" wrapText="1"/>
    </xf>
    <xf numFmtId="180" fontId="10" fillId="15" borderId="2" applyFont="0">
      <alignment horizontal="right" vertical="center"/>
      <protection locked="0"/>
    </xf>
    <xf numFmtId="3" fontId="26" fillId="3" borderId="1" applyFont="0" applyBorder="0">
      <alignment horizontal="right" vertical="center"/>
    </xf>
    <xf numFmtId="3" fontId="10" fillId="20" borderId="2" applyFont="0" applyProtection="0">
      <alignment horizontal="right" vertical="center"/>
    </xf>
    <xf numFmtId="185" fontId="10" fillId="30" borderId="2" applyFont="0">
      <alignment vertical="center"/>
      <protection locked="0"/>
    </xf>
    <xf numFmtId="43" fontId="13" fillId="0" borderId="0" applyFont="0" applyFill="0" applyBorder="0" applyAlignment="0" applyProtection="0">
      <alignment vertical="center"/>
    </xf>
    <xf numFmtId="181" fontId="10" fillId="15" borderId="2" applyFont="0">
      <alignment horizontal="right" vertical="center"/>
      <protection locked="0"/>
    </xf>
    <xf numFmtId="3" fontId="10" fillId="15" borderId="2" applyFont="0">
      <alignment horizontal="right" vertical="center"/>
      <protection locked="0"/>
    </xf>
    <xf numFmtId="0" fontId="10" fillId="0" borderId="0">
      <alignment vertical="center"/>
    </xf>
    <xf numFmtId="9" fontId="10" fillId="15" borderId="2" applyFont="0">
      <alignment horizontal="right" vertical="center"/>
      <protection locked="0"/>
    </xf>
    <xf numFmtId="0" fontId="6" fillId="3" borderId="1" applyFont="0" applyBorder="0">
      <alignment horizontal="center" vertical="center"/>
    </xf>
    <xf numFmtId="0" fontId="22" fillId="3" borderId="1" applyBorder="0">
      <alignment horizontal="center" vertical="center"/>
    </xf>
    <xf numFmtId="184" fontId="10" fillId="3" borderId="1" applyFont="0">
      <alignment horizontal="right" vertical="center"/>
    </xf>
    <xf numFmtId="0" fontId="0" fillId="1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181" fontId="10" fillId="7" borderId="2" applyFont="0">
      <alignment horizontal="right" vertical="center"/>
      <protection locked="0"/>
    </xf>
    <xf numFmtId="0" fontId="0" fillId="27" borderId="0" applyNumberFormat="0" applyBorder="0" applyAlignment="0" applyProtection="0">
      <alignment vertical="center"/>
    </xf>
    <xf numFmtId="10" fontId="10" fillId="20" borderId="2" applyFont="0" applyProtection="0">
      <alignment horizontal="right" vertical="center"/>
    </xf>
    <xf numFmtId="0" fontId="10" fillId="22" borderId="1" applyNumberFormat="0" applyFont="0" applyBorder="0">
      <alignment horizontal="center" vertical="center"/>
    </xf>
    <xf numFmtId="0" fontId="6" fillId="3" borderId="0">
      <alignment vertical="center"/>
    </xf>
    <xf numFmtId="49" fontId="10" fillId="15" borderId="2" applyFont="0">
      <alignment vertical="center"/>
      <protection locked="0"/>
    </xf>
    <xf numFmtId="9" fontId="10" fillId="7" borderId="2" applyFont="0">
      <alignment horizontal="right" vertical="center"/>
      <protection locked="0"/>
    </xf>
    <xf numFmtId="0" fontId="15" fillId="34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3" fontId="10" fillId="24" borderId="1" applyFont="0">
      <alignment horizontal="right" vertical="center"/>
      <protection locked="0"/>
    </xf>
    <xf numFmtId="0" fontId="15" fillId="21" borderId="0" applyNumberFormat="0" applyBorder="0" applyAlignment="0" applyProtection="0">
      <alignment vertical="center"/>
    </xf>
    <xf numFmtId="0" fontId="6" fillId="3" borderId="0">
      <alignment vertical="center"/>
    </xf>
    <xf numFmtId="9" fontId="10" fillId="20" borderId="2" applyFont="0" applyProtection="0">
      <alignment horizontal="right" vertical="center"/>
    </xf>
    <xf numFmtId="183" fontId="6" fillId="3" borderId="1" applyBorder="0">
      <alignment horizontal="right" vertical="center"/>
    </xf>
    <xf numFmtId="0" fontId="14" fillId="3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3" fontId="10" fillId="3" borderId="1" applyFont="0">
      <alignment horizontal="right" vertical="center"/>
    </xf>
    <xf numFmtId="182" fontId="10" fillId="15" borderId="2" applyFont="0">
      <alignment horizontal="right" vertical="center"/>
      <protection locked="0"/>
    </xf>
    <xf numFmtId="0" fontId="30" fillId="40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180" fontId="10" fillId="8" borderId="1" applyFont="0">
      <alignment horizontal="right" vertical="center"/>
    </xf>
    <xf numFmtId="10" fontId="10" fillId="9" borderId="10" applyFont="0">
      <alignment horizontal="right" vertical="center"/>
    </xf>
    <xf numFmtId="0" fontId="15" fillId="43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183" fontId="10" fillId="44" borderId="1">
      <alignment vertical="center"/>
    </xf>
    <xf numFmtId="0" fontId="35" fillId="45" borderId="12" applyNumberFormat="0" applyAlignment="0" applyProtection="0">
      <alignment vertical="center"/>
    </xf>
    <xf numFmtId="185" fontId="10" fillId="9" borderId="1" applyFont="0">
      <alignment horizontal="right" vertical="center"/>
    </xf>
    <xf numFmtId="9" fontId="13" fillId="0" borderId="0" applyFont="0" applyFill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5" fillId="47" borderId="0" applyNumberFormat="0" applyBorder="0" applyAlignment="0" applyProtection="0">
      <alignment vertical="center"/>
    </xf>
    <xf numFmtId="0" fontId="10" fillId="20" borderId="2" applyNumberFormat="0" applyFont="0" applyProtection="0">
      <alignment horizontal="left" vertical="center"/>
    </xf>
    <xf numFmtId="41" fontId="0" fillId="0" borderId="0" applyFont="0" applyFill="0" applyBorder="0" applyAlignment="0" applyProtection="0">
      <alignment vertical="center"/>
    </xf>
    <xf numFmtId="9" fontId="10" fillId="9" borderId="1" applyFont="0">
      <alignment horizontal="right" vertical="center"/>
    </xf>
    <xf numFmtId="0" fontId="28" fillId="0" borderId="0" applyNumberFormat="0" applyFill="0" applyBorder="0" applyAlignment="0" applyProtection="0">
      <alignment vertical="center"/>
    </xf>
    <xf numFmtId="0" fontId="10" fillId="9" borderId="1" applyFont="0">
      <alignment horizontal="center" vertical="center" wrapText="1"/>
    </xf>
    <xf numFmtId="0" fontId="21" fillId="23" borderId="7" applyNumberFormat="0" applyAlignment="0" applyProtection="0">
      <alignment vertical="center"/>
    </xf>
    <xf numFmtId="0" fontId="10" fillId="7" borderId="2" applyFont="0">
      <alignment horizontal="center" vertical="center" wrapText="1"/>
      <protection locked="0"/>
    </xf>
    <xf numFmtId="0" fontId="14" fillId="3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10" fontId="10" fillId="15" borderId="2" applyFont="0">
      <alignment horizontal="right" vertical="center"/>
      <protection locked="0"/>
    </xf>
    <xf numFmtId="0" fontId="37" fillId="0" borderId="13" applyNumberFormat="0" applyFill="0" applyAlignment="0" applyProtection="0">
      <alignment vertical="center"/>
    </xf>
    <xf numFmtId="177" fontId="10" fillId="3" borderId="1" applyFont="0">
      <alignment horizontal="center" vertical="center" wrapText="1"/>
    </xf>
    <xf numFmtId="0" fontId="32" fillId="41" borderId="7" applyNumberFormat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51" borderId="14" applyNumberFormat="0" applyFont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3" fillId="0" borderId="0">
      <protection locked="0"/>
    </xf>
    <xf numFmtId="10" fontId="10" fillId="8" borderId="1" applyFont="0">
      <alignment horizontal="right" vertical="center"/>
    </xf>
    <xf numFmtId="0" fontId="38" fillId="0" borderId="13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0" fontId="10" fillId="7" borderId="2" applyFont="0">
      <alignment horizontal="right" vertical="center"/>
      <protection locked="0"/>
    </xf>
    <xf numFmtId="0" fontId="14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0" fillId="3" borderId="1" applyFont="0">
      <alignment horizontal="right" vertical="center"/>
    </xf>
    <xf numFmtId="0" fontId="29" fillId="0" borderId="0" applyNumberFormat="0" applyFill="0" applyBorder="0" applyAlignment="0" applyProtection="0"/>
    <xf numFmtId="0" fontId="17" fillId="0" borderId="3" applyNumberFormat="0" applyFill="0" applyAlignment="0" applyProtection="0">
      <alignment vertical="center"/>
    </xf>
    <xf numFmtId="180" fontId="10" fillId="7" borderId="2" applyFont="0">
      <alignment horizontal="right" vertical="center"/>
      <protection locked="0"/>
    </xf>
    <xf numFmtId="0" fontId="16" fillId="0" borderId="0" applyNumberFormat="0" applyFill="0" applyBorder="0" applyAlignment="0" applyProtection="0">
      <alignment vertical="center"/>
    </xf>
    <xf numFmtId="0" fontId="19" fillId="0" borderId="5" applyNumberFormat="0" applyFill="0" applyBorder="0" applyAlignment="0" applyProtection="0">
      <alignment horizontal="left"/>
    </xf>
    <xf numFmtId="0" fontId="18" fillId="0" borderId="4" applyNumberFormat="0" applyFill="0" applyAlignment="0" applyProtection="0">
      <alignment vertical="center"/>
    </xf>
    <xf numFmtId="0" fontId="20" fillId="23" borderId="6" applyNumberFormat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183" fontId="10" fillId="29" borderId="8">
      <alignment vertical="center"/>
      <protection locked="0"/>
    </xf>
    <xf numFmtId="49" fontId="10" fillId="9" borderId="1" applyFont="0">
      <alignment vertical="center"/>
    </xf>
    <xf numFmtId="0" fontId="15" fillId="10" borderId="0" applyNumberFormat="0" applyBorder="0" applyAlignment="0" applyProtection="0">
      <alignment vertical="center"/>
    </xf>
    <xf numFmtId="10" fontId="10" fillId="3" borderId="1" applyFont="0">
      <alignment horizontal="right" vertical="center"/>
    </xf>
    <xf numFmtId="0" fontId="13" fillId="0" borderId="0">
      <alignment vertical="center"/>
    </xf>
    <xf numFmtId="0" fontId="14" fillId="14" borderId="0" applyNumberFormat="0" applyBorder="0" applyAlignment="0" applyProtection="0">
      <alignment vertical="center"/>
    </xf>
    <xf numFmtId="183" fontId="10" fillId="15" borderId="2" applyFont="0">
      <alignment vertical="center"/>
      <protection locked="0"/>
    </xf>
    <xf numFmtId="0" fontId="10" fillId="15" borderId="2" applyFont="0">
      <alignment horizontal="center" vertical="center" wrapText="1"/>
      <protection locked="0"/>
    </xf>
    <xf numFmtId="42" fontId="0" fillId="0" borderId="0" applyFon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0" fillId="0" borderId="0"/>
    <xf numFmtId="181" fontId="10" fillId="9" borderId="1" applyFont="0">
      <alignment vertical="center"/>
    </xf>
    <xf numFmtId="0" fontId="14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25" borderId="0" applyNumberFormat="0" applyBorder="0" applyAlignment="0" applyProtection="0">
      <alignment vertical="center"/>
    </xf>
    <xf numFmtId="10" fontId="10" fillId="9" borderId="1" applyFont="0">
      <alignment horizontal="right" vertical="center"/>
    </xf>
    <xf numFmtId="1" fontId="10" fillId="9" borderId="1" applyFont="0">
      <alignment horizontal="right" vertical="center"/>
    </xf>
    <xf numFmtId="9" fontId="10" fillId="11" borderId="1" applyFont="0">
      <alignment horizontal="right" vertical="center"/>
    </xf>
    <xf numFmtId="180" fontId="10" fillId="9" borderId="1" applyFont="0">
      <alignment horizontal="right" vertical="center"/>
    </xf>
    <xf numFmtId="185" fontId="10" fillId="11" borderId="1" applyFont="0">
      <alignment vertical="center"/>
    </xf>
    <xf numFmtId="0" fontId="12" fillId="10" borderId="0" applyNumberFormat="0" applyBorder="0" applyAlignment="0" applyProtection="0">
      <alignment vertical="center"/>
    </xf>
    <xf numFmtId="49" fontId="10" fillId="8" borderId="1" applyFont="0">
      <alignment vertical="center"/>
    </xf>
    <xf numFmtId="182" fontId="10" fillId="7" borderId="2" applyFont="0">
      <alignment horizontal="right" vertical="center"/>
      <protection locked="0"/>
    </xf>
    <xf numFmtId="185" fontId="10" fillId="9" borderId="1" applyFont="0">
      <alignment vertical="center"/>
    </xf>
    <xf numFmtId="0" fontId="10" fillId="8" borderId="1" applyFont="0">
      <alignment horizontal="center" vertical="center" wrapText="1"/>
    </xf>
    <xf numFmtId="185" fontId="10" fillId="8" borderId="1" applyFont="0">
      <alignment vertical="center"/>
    </xf>
    <xf numFmtId="9" fontId="10" fillId="8" borderId="1" applyFont="0">
      <alignment horizontal="right" vertical="center"/>
    </xf>
    <xf numFmtId="1" fontId="10" fillId="8" borderId="1" applyFont="0">
      <alignment horizontal="right" vertical="center"/>
    </xf>
    <xf numFmtId="183" fontId="10" fillId="8" borderId="1" applyFont="0">
      <alignment vertical="center"/>
    </xf>
    <xf numFmtId="181" fontId="10" fillId="3" borderId="1" applyFont="0">
      <alignment horizontal="right" vertical="center"/>
    </xf>
    <xf numFmtId="3" fontId="10" fillId="3" borderId="1" applyFont="0">
      <alignment horizontal="right" vertical="center"/>
    </xf>
    <xf numFmtId="179" fontId="13" fillId="0" borderId="0" applyFont="0" applyFill="0" applyBorder="0" applyAlignment="0" applyProtection="0">
      <alignment vertical="center"/>
    </xf>
    <xf numFmtId="0" fontId="22" fillId="31" borderId="1" applyBorder="0">
      <alignment horizontal="center" vertical="center"/>
    </xf>
    <xf numFmtId="0" fontId="10" fillId="7" borderId="2" applyNumberFormat="0" applyFont="0">
      <alignment horizontal="center" vertical="center" wrapText="1"/>
      <protection locked="0"/>
    </xf>
  </cellStyleXfs>
  <cellXfs count="30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30" applyFont="1" applyFill="1" applyBorder="1" applyAlignment="1" applyProtection="1">
      <protection locked="0"/>
    </xf>
    <xf numFmtId="0" fontId="2" fillId="0" borderId="1" xfId="97" applyNumberFormat="1" applyFont="1" applyFill="1" applyBorder="1" applyAlignment="1" applyProtection="1">
      <alignment horizontal="center" vertical="center" wrapText="1"/>
      <protection locked="0"/>
    </xf>
    <xf numFmtId="0" fontId="2" fillId="2" borderId="1" xfId="97" applyNumberFormat="1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vertical="center"/>
    </xf>
    <xf numFmtId="0" fontId="2" fillId="3" borderId="1" xfId="30" applyFont="1" applyFill="1" applyBorder="1" applyAlignment="1">
      <alignment vertical="center" wrapText="1"/>
    </xf>
    <xf numFmtId="3" fontId="3" fillId="4" borderId="1" xfId="11" applyFont="1" applyFill="1" applyBorder="1">
      <alignment horizontal="right" vertical="center"/>
      <protection locked="0"/>
    </xf>
    <xf numFmtId="3" fontId="4" fillId="4" borderId="1" xfId="11" applyFont="1" applyFill="1" applyBorder="1">
      <alignment horizontal="right" vertical="center"/>
      <protection locked="0"/>
    </xf>
    <xf numFmtId="178" fontId="5" fillId="5" borderId="1" xfId="0" applyNumberFormat="1" applyFont="1" applyFill="1" applyBorder="1" applyAlignment="1">
      <alignment horizontal="right" vertical="center"/>
    </xf>
    <xf numFmtId="0" fontId="2" fillId="0" borderId="0" xfId="30" applyFont="1" applyFill="1" applyBorder="1" applyAlignment="1" applyProtection="1">
      <alignment horizontal="center"/>
      <protection locked="0"/>
    </xf>
    <xf numFmtId="0" fontId="6" fillId="0" borderId="0" xfId="30" applyFont="1" applyFill="1" applyBorder="1" applyAlignment="1">
      <alignment vertical="center" wrapText="1"/>
    </xf>
    <xf numFmtId="0" fontId="2" fillId="0" borderId="0" xfId="30" applyFont="1" applyFill="1" applyBorder="1" applyAlignment="1" applyProtection="1">
      <alignment horizontal="center" vertical="center"/>
      <protection locked="0"/>
    </xf>
    <xf numFmtId="178" fontId="2" fillId="6" borderId="0" xfId="0" applyNumberFormat="1" applyFont="1" applyFill="1" applyAlignment="1" applyProtection="1">
      <alignment vertical="center"/>
      <protection locked="0"/>
    </xf>
    <xf numFmtId="0" fontId="2" fillId="0" borderId="0" xfId="0" applyFont="1" applyAlignment="1">
      <alignment vertical="center"/>
    </xf>
    <xf numFmtId="178" fontId="7" fillId="5" borderId="0" xfId="0" applyNumberFormat="1" applyFont="1" applyFill="1" applyAlignment="1">
      <alignment horizontal="right" vertical="center"/>
    </xf>
    <xf numFmtId="176" fontId="8" fillId="0" borderId="0" xfId="108" applyNumberFormat="1" applyFont="1" applyProtection="1">
      <alignment vertical="center"/>
      <protection locked="0"/>
    </xf>
    <xf numFmtId="176" fontId="8" fillId="0" borderId="0" xfId="108" applyNumberFormat="1" applyFont="1" applyAlignment="1" applyProtection="1">
      <alignment horizontal="left" vertical="center"/>
      <protection locked="0"/>
    </xf>
    <xf numFmtId="0" fontId="6" fillId="0" borderId="0" xfId="30" applyFill="1">
      <alignment vertical="center"/>
    </xf>
    <xf numFmtId="0" fontId="6" fillId="0" borderId="0" xfId="30" applyFill="1" applyBorder="1">
      <alignment vertical="center"/>
    </xf>
    <xf numFmtId="0" fontId="9" fillId="0" borderId="0" xfId="30" applyFont="1" applyFill="1" applyBorder="1" applyAlignment="1" applyProtection="1">
      <protection locked="0"/>
    </xf>
    <xf numFmtId="0" fontId="9" fillId="0" borderId="0" xfId="30" applyFont="1" applyFill="1" applyBorder="1" applyAlignment="1" applyProtection="1">
      <alignment horizontal="center"/>
      <protection locked="0"/>
    </xf>
    <xf numFmtId="0" fontId="10" fillId="0" borderId="0" xfId="30" applyFont="1" applyFill="1" applyBorder="1" applyAlignment="1" applyProtection="1">
      <protection locked="0"/>
    </xf>
    <xf numFmtId="0" fontId="2" fillId="0" borderId="1" xfId="97" applyNumberFormat="1" applyFont="1" applyBorder="1" applyAlignment="1">
      <alignment horizontal="center" vertical="center"/>
    </xf>
    <xf numFmtId="0" fontId="10" fillId="2" borderId="1" xfId="30" applyFont="1" applyFill="1" applyBorder="1" applyAlignment="1" applyProtection="1">
      <alignment horizontal="center"/>
      <protection locked="0"/>
    </xf>
    <xf numFmtId="0" fontId="9" fillId="0" borderId="0" xfId="30" applyFont="1" applyFill="1" applyBorder="1" applyAlignment="1"/>
    <xf numFmtId="0" fontId="11" fillId="0" borderId="0" xfId="0" applyFont="1" applyFill="1" applyBorder="1" applyAlignment="1">
      <alignment horizontal="center" vertical="center"/>
    </xf>
    <xf numFmtId="0" fontId="2" fillId="2" borderId="1" xfId="30" applyFont="1" applyFill="1" applyBorder="1" applyAlignment="1" applyProtection="1">
      <alignment horizontal="center" vertical="center"/>
      <protection locked="0"/>
    </xf>
    <xf numFmtId="0" fontId="0" fillId="0" borderId="0" xfId="0" applyFill="1" applyBorder="1">
      <alignment vertical="center"/>
    </xf>
  </cellXfs>
  <cellStyles count="129">
    <cellStyle name="常规" xfId="0" builtinId="0"/>
    <cellStyle name="常规_G01" xfId="1"/>
    <cellStyle name="optionalExposure" xfId="2"/>
    <cellStyle name="Normal_G10revised-20050118" xfId="3"/>
    <cellStyle name="HeadingTable" xfId="4"/>
    <cellStyle name="inputPercentageL" xfId="5"/>
    <cellStyle name="checkExposure" xfId="6"/>
    <cellStyle name="highlightExposure" xfId="7"/>
    <cellStyle name="inputParameterE" xfId="8"/>
    <cellStyle name="千位分隔 3" xfId="9"/>
    <cellStyle name="inputMaturity" xfId="10"/>
    <cellStyle name="inputExposure" xfId="11"/>
    <cellStyle name="常规 3" xfId="12"/>
    <cellStyle name="inputPercentage" xfId="13"/>
    <cellStyle name="checkResult" xfId="14"/>
    <cellStyle name="showCheckYN" xfId="15"/>
    <cellStyle name="showParameterE" xfId="16"/>
    <cellStyle name="40% - 着色 5" xfId="17"/>
    <cellStyle name="20% - 着色 5" xfId="18"/>
    <cellStyle name="optionalMaturity" xfId="19"/>
    <cellStyle name="40% - 着色 4" xfId="20"/>
    <cellStyle name="highlightPD" xfId="21"/>
    <cellStyle name="greyed" xfId="22"/>
    <cellStyle name="Normal 2" xfId="23"/>
    <cellStyle name="inputText" xfId="24"/>
    <cellStyle name="optionalPercentage" xfId="25"/>
    <cellStyle name="强调文字颜色 3" xfId="26" builtinId="37"/>
    <cellStyle name="40% - 强调文字颜色 2" xfId="27" builtinId="35"/>
    <cellStyle name="reviseExposure" xfId="28"/>
    <cellStyle name="60% - 强调文字颜色 2" xfId="29" builtinId="36"/>
    <cellStyle name="常规 2" xfId="30"/>
    <cellStyle name="highlightPercentage" xfId="31"/>
    <cellStyle name="showDate" xfId="32"/>
    <cellStyle name="40% - 强调文字颜色 1" xfId="33" builtinId="31"/>
    <cellStyle name="60% - 着色 2" xfId="34"/>
    <cellStyle name="强调文字颜色 2" xfId="35" builtinId="33"/>
    <cellStyle name="showExposure" xfId="36"/>
    <cellStyle name="inputPercentageS" xfId="37"/>
    <cellStyle name="适中" xfId="38" builtinId="28"/>
    <cellStyle name="强调文字颜色 1" xfId="39" builtinId="29"/>
    <cellStyle name="Heading 2" xfId="40"/>
    <cellStyle name="标题 4" xfId="41" builtinId="19"/>
    <cellStyle name="好" xfId="42" builtinId="26"/>
    <cellStyle name="标题" xfId="43" builtinId="15"/>
    <cellStyle name="60% - 强调文字颜色 3" xfId="44" builtinId="40"/>
    <cellStyle name="sup2PercentageL" xfId="45"/>
    <cellStyle name="supPercentageM" xfId="46"/>
    <cellStyle name="60% - 强调文字颜色 1" xfId="47" builtinId="32"/>
    <cellStyle name="链接单元格" xfId="48" builtinId="24"/>
    <cellStyle name="supDate" xfId="49"/>
    <cellStyle name="检查单元格" xfId="50" builtinId="23"/>
    <cellStyle name="supFloat" xfId="51"/>
    <cellStyle name="百分比 2" xfId="52"/>
    <cellStyle name="40% - 强调文字颜色 3" xfId="53" builtinId="39"/>
    <cellStyle name="强调文字颜色 4" xfId="54" builtinId="41"/>
    <cellStyle name="highlightText" xfId="55"/>
    <cellStyle name="千位分隔[0]" xfId="56" builtinId="6"/>
    <cellStyle name="supPercentage" xfId="57"/>
    <cellStyle name="已访问的超链接" xfId="58" builtinId="9"/>
    <cellStyle name="supSelection" xfId="59"/>
    <cellStyle name="计算" xfId="60" builtinId="22"/>
    <cellStyle name="optionalSelection" xfId="61"/>
    <cellStyle name="20% - 强调文字颜色 4" xfId="62" builtinId="42"/>
    <cellStyle name="差" xfId="63" builtinId="27"/>
    <cellStyle name="货币" xfId="64" builtinId="4"/>
    <cellStyle name="20% - 强调文字颜色 3" xfId="65" builtinId="38"/>
    <cellStyle name="60% - 强调文字颜色 6" xfId="66" builtinId="52"/>
    <cellStyle name="超链接" xfId="67" builtinId="8"/>
    <cellStyle name="inputPD" xfId="68"/>
    <cellStyle name="标题 1" xfId="69" builtinId="16"/>
    <cellStyle name="showSelection" xfId="70"/>
    <cellStyle name="输入" xfId="71" builtinId="20"/>
    <cellStyle name="60% - 强调文字颜色 5" xfId="72" builtinId="48"/>
    <cellStyle name="20% - 强调文字颜色 2" xfId="73" builtinId="34"/>
    <cellStyle name="警告文本" xfId="74" builtinId="11"/>
    <cellStyle name="注释" xfId="75" builtinId="10"/>
    <cellStyle name="60% - 强调文字颜色 4" xfId="76" builtinId="44"/>
    <cellStyle name="常规 4" xfId="77"/>
    <cellStyle name="sup2PercentageM" xfId="78"/>
    <cellStyle name="标题 2" xfId="79" builtinId="17"/>
    <cellStyle name="千位分隔" xfId="80" builtinId="3"/>
    <cellStyle name="optionalPD" xfId="81"/>
    <cellStyle name="20% - 强调文字颜色 1" xfId="82" builtinId="30"/>
    <cellStyle name="百分比" xfId="83" builtinId="5"/>
    <cellStyle name="showPercentage" xfId="84"/>
    <cellStyle name="警告文本 2" xfId="85"/>
    <cellStyle name="汇总" xfId="86" builtinId="25"/>
    <cellStyle name="optionalPercentageL" xfId="87"/>
    <cellStyle name="解释性文本" xfId="88" builtinId="53"/>
    <cellStyle name="Heading 1" xfId="89"/>
    <cellStyle name="标题 3" xfId="90" builtinId="18"/>
    <cellStyle name="输出" xfId="91" builtinId="21"/>
    <cellStyle name="40% - 强调文字颜色 4" xfId="92" builtinId="43"/>
    <cellStyle name="optionalDate" xfId="93"/>
    <cellStyle name="supText" xfId="94"/>
    <cellStyle name="强调文字颜色 5" xfId="95" builtinId="45"/>
    <cellStyle name="showPD" xfId="96"/>
    <cellStyle name="常规 2 2" xfId="97"/>
    <cellStyle name="20% - 强调文字颜色 5" xfId="98" builtinId="46"/>
    <cellStyle name="inputDate" xfId="99"/>
    <cellStyle name="inputSelection" xfId="100"/>
    <cellStyle name="货币[0]" xfId="101" builtinId="7"/>
    <cellStyle name="40% - 强调文字颜色 5" xfId="102" builtinId="47"/>
    <cellStyle name="强调文字颜色 6" xfId="103" builtinId="49"/>
    <cellStyle name="20% - 强调文字颜色 6" xfId="104" builtinId="50"/>
    <cellStyle name="Standard" xfId="105"/>
    <cellStyle name="supParameterS" xfId="106"/>
    <cellStyle name="40% - 强调文字颜色 6" xfId="107" builtinId="51"/>
    <cellStyle name="常规_资本充足率汇总表-0223" xfId="108"/>
    <cellStyle name="着色 1" xfId="109"/>
    <cellStyle name="supPD" xfId="110"/>
    <cellStyle name="supInt" xfId="111"/>
    <cellStyle name="sup3Percentage" xfId="112"/>
    <cellStyle name="supPercentageL" xfId="113"/>
    <cellStyle name="sup3ParameterE" xfId="114"/>
    <cellStyle name="着色 5" xfId="115"/>
    <cellStyle name="sup2Text" xfId="116"/>
    <cellStyle name="optionalPercentageS" xfId="117"/>
    <cellStyle name="supParameterE" xfId="118"/>
    <cellStyle name="sup2Selection" xfId="119"/>
    <cellStyle name="sup2ParameterE" xfId="120"/>
    <cellStyle name="sup2Percentage" xfId="121"/>
    <cellStyle name="sup2Int" xfId="122"/>
    <cellStyle name="sup2Date" xfId="123"/>
    <cellStyle name="showParameterS" xfId="124"/>
    <cellStyle name="showExposure 2 2" xfId="125"/>
    <cellStyle name="千位分隔 2" xfId="126"/>
    <cellStyle name="showCheck" xfId="127"/>
    <cellStyle name="optionalText" xfId="128"/>
  </cellStyles>
  <dxfs count="3">
    <dxf>
      <font>
        <strike val="0"/>
        <color rgb="FF427F6D"/>
      </font>
      <fill>
        <patternFill patternType="solid">
          <bgColor theme="0"/>
        </patternFill>
      </fill>
    </dxf>
    <dxf>
      <font>
        <b val="1"/>
        <i val="0"/>
        <strike val="0"/>
        <color rgb="FFAA322F"/>
      </font>
      <fill>
        <patternFill patternType="solid">
          <bgColor theme="0"/>
        </patternFill>
      </fill>
    </dxf>
    <dxf>
      <fill>
        <patternFill patternType="solid">
          <bgColor rgb="FFFF0000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0417;&#31649;&#25253;&#34920;&#20462;&#35746;&#65288;&#25439;&#22833;&#25968;&#25454;&#6528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BG_IS4_ReportingTempla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l%20III%20implementation%20monitoring%20reporting%20template%20v2-2-0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pervisory information"/>
      <sheetName val="Checks"/>
      <sheetName val="General Info"/>
      <sheetName val="Requirements"/>
      <sheetName val="DefCap"/>
      <sheetName val="TLAC holdings"/>
      <sheetName val="TLAC"/>
      <sheetName val="Leverage ratio"/>
      <sheetName val="Leverage ratio additional"/>
      <sheetName val="NSFR"/>
      <sheetName val="Credit risk (SA)"/>
      <sheetName val="Credit risk (IRB)"/>
      <sheetName val="Securitisation"/>
      <sheetName val="CCR and CVA"/>
      <sheetName val="TB"/>
      <sheetName val="TB risk class"/>
      <sheetName val="TB IMA Backtesting-P&amp;L"/>
      <sheetName val="OpRisk"/>
      <sheetName val="Crypto"/>
      <sheetName val="Sovereigns"/>
      <sheetName val="Parameters"/>
      <sheetName val="fx_triang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General Info"/>
      <sheetName val="IRC"/>
      <sheetName val="Securitisations"/>
      <sheetName val="Correlation trading portf"/>
      <sheetName val="Securitisations LSS"/>
      <sheetName val="Correlation trading portf LSS"/>
      <sheetName val="Securitisations wide"/>
      <sheetName val="Correlation trading portf wide "/>
      <sheetName val="Paramet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General Info"/>
      <sheetName val="DefCapB3"/>
      <sheetName val="DefCapB3-MI"/>
      <sheetName val="Leverage Ratio"/>
      <sheetName val="LCR"/>
      <sheetName val="NSFR"/>
      <sheetName val="Checks"/>
      <sheetName val="Paramet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22"/>
  <sheetViews>
    <sheetView tabSelected="1" workbookViewId="0">
      <selection activeCell="A17" sqref="A17:B17"/>
    </sheetView>
  </sheetViews>
  <sheetFormatPr defaultColWidth="8.83333333333333" defaultRowHeight="13.5"/>
  <cols>
    <col min="2" max="2" width="39.1666666666667" customWidth="1"/>
    <col min="3" max="12" width="11.8333333333333" customWidth="1"/>
    <col min="13" max="14" width="10.8333333333333" customWidth="1"/>
  </cols>
  <sheetData>
    <row r="1" ht="22.5" spans="1:14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7"/>
    </row>
    <row r="2" ht="14.25" spans="1:14">
      <c r="A2" s="3" t="s">
        <v>1</v>
      </c>
      <c r="B2" s="1"/>
      <c r="C2" s="1"/>
      <c r="D2" s="1"/>
      <c r="E2" s="1"/>
      <c r="F2" s="1"/>
      <c r="G2" s="19"/>
      <c r="H2" s="1"/>
      <c r="I2" s="13" t="s">
        <v>2</v>
      </c>
      <c r="J2" s="22"/>
      <c r="K2" s="23"/>
      <c r="L2" s="23"/>
      <c r="M2" s="13"/>
      <c r="N2" s="13" t="s">
        <v>3</v>
      </c>
    </row>
    <row r="3" spans="1:14">
      <c r="A3" s="4" t="s">
        <v>4</v>
      </c>
      <c r="B3" s="4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5" t="s">
        <v>10</v>
      </c>
      <c r="H3" s="5" t="s">
        <v>11</v>
      </c>
      <c r="I3" s="5" t="s">
        <v>12</v>
      </c>
      <c r="J3" s="24" t="s">
        <v>13</v>
      </c>
      <c r="K3" s="25" t="s">
        <v>14</v>
      </c>
      <c r="L3" s="25" t="s">
        <v>15</v>
      </c>
      <c r="M3" s="28" t="s">
        <v>16</v>
      </c>
      <c r="N3" s="28" t="s">
        <v>17</v>
      </c>
    </row>
    <row r="4" spans="1:14">
      <c r="A4" s="4"/>
      <c r="B4" s="4"/>
      <c r="C4" s="6" t="s">
        <v>18</v>
      </c>
      <c r="D4" s="6" t="s">
        <v>19</v>
      </c>
      <c r="E4" s="6" t="s">
        <v>20</v>
      </c>
      <c r="F4" s="6" t="s">
        <v>21</v>
      </c>
      <c r="G4" s="6" t="s">
        <v>22</v>
      </c>
      <c r="H4" s="6" t="s">
        <v>23</v>
      </c>
      <c r="I4" s="6" t="s">
        <v>24</v>
      </c>
      <c r="J4" s="6" t="s">
        <v>25</v>
      </c>
      <c r="K4" s="6" t="s">
        <v>26</v>
      </c>
      <c r="L4" s="6" t="s">
        <v>27</v>
      </c>
      <c r="M4" s="28" t="s">
        <v>28</v>
      </c>
      <c r="N4" s="28" t="s">
        <v>29</v>
      </c>
    </row>
    <row r="5" spans="1:14">
      <c r="A5" s="6">
        <v>1</v>
      </c>
      <c r="B5" s="7" t="s">
        <v>30</v>
      </c>
      <c r="C5" s="8"/>
      <c r="D5" s="8"/>
      <c r="E5" s="8"/>
      <c r="F5" s="8"/>
      <c r="G5" s="8"/>
      <c r="H5" s="8"/>
      <c r="I5" s="8"/>
      <c r="J5" s="8"/>
      <c r="K5" s="8"/>
      <c r="L5" s="9"/>
      <c r="M5" s="10">
        <f>IFERROR(AVERAGE(C5:L5),0)</f>
        <v>0</v>
      </c>
      <c r="N5" s="10">
        <f>SUM(C5:L5)</f>
        <v>0</v>
      </c>
    </row>
    <row r="6" spans="1:14">
      <c r="A6" s="6">
        <v>2</v>
      </c>
      <c r="B6" s="7" t="s">
        <v>31</v>
      </c>
      <c r="C6" s="8"/>
      <c r="D6" s="9"/>
      <c r="E6" s="9"/>
      <c r="F6" s="9"/>
      <c r="G6" s="9"/>
      <c r="H6" s="9"/>
      <c r="I6" s="9"/>
      <c r="J6" s="9"/>
      <c r="K6" s="9"/>
      <c r="L6" s="9"/>
      <c r="M6" s="10">
        <f t="shared" ref="M6:M10" si="0">IFERROR(AVERAGE(C6:L6),0)</f>
        <v>0</v>
      </c>
      <c r="N6" s="10">
        <f t="shared" ref="N6:N10" si="1">SUM(C6:L6)</f>
        <v>0</v>
      </c>
    </row>
    <row r="7" spans="1:14">
      <c r="A7" s="6">
        <v>3</v>
      </c>
      <c r="B7" s="7" t="s">
        <v>32</v>
      </c>
      <c r="C7" s="10">
        <f>C8+C9</f>
        <v>0</v>
      </c>
      <c r="D7" s="10">
        <f t="shared" ref="D7:L7" si="2">D8+D9</f>
        <v>0</v>
      </c>
      <c r="E7" s="10">
        <f t="shared" si="2"/>
        <v>0</v>
      </c>
      <c r="F7" s="10">
        <f t="shared" si="2"/>
        <v>0</v>
      </c>
      <c r="G7" s="10">
        <f t="shared" si="2"/>
        <v>0</v>
      </c>
      <c r="H7" s="10">
        <f t="shared" si="2"/>
        <v>0</v>
      </c>
      <c r="I7" s="10">
        <f t="shared" si="2"/>
        <v>0</v>
      </c>
      <c r="J7" s="10">
        <f t="shared" si="2"/>
        <v>0</v>
      </c>
      <c r="K7" s="10">
        <f t="shared" si="2"/>
        <v>0</v>
      </c>
      <c r="L7" s="10">
        <f t="shared" si="2"/>
        <v>0</v>
      </c>
      <c r="M7" s="10">
        <f t="shared" si="0"/>
        <v>0</v>
      </c>
      <c r="N7" s="10">
        <f t="shared" si="1"/>
        <v>0</v>
      </c>
    </row>
    <row r="8" spans="1:14">
      <c r="A8" s="6">
        <v>4</v>
      </c>
      <c r="B8" s="7" t="s">
        <v>33</v>
      </c>
      <c r="C8" s="8"/>
      <c r="D8" s="9"/>
      <c r="E8" s="9"/>
      <c r="F8" s="9"/>
      <c r="G8" s="9"/>
      <c r="H8" s="9"/>
      <c r="I8" s="9"/>
      <c r="J8" s="9"/>
      <c r="K8" s="9"/>
      <c r="L8" s="9"/>
      <c r="M8" s="10">
        <f t="shared" si="0"/>
        <v>0</v>
      </c>
      <c r="N8" s="10">
        <f t="shared" si="1"/>
        <v>0</v>
      </c>
    </row>
    <row r="9" spans="1:14">
      <c r="A9" s="6">
        <v>5</v>
      </c>
      <c r="B9" s="7" t="s">
        <v>34</v>
      </c>
      <c r="C9" s="8"/>
      <c r="D9" s="9"/>
      <c r="E9" s="9"/>
      <c r="F9" s="9"/>
      <c r="G9" s="9"/>
      <c r="H9" s="9"/>
      <c r="I9" s="9"/>
      <c r="J9" s="9"/>
      <c r="K9" s="9"/>
      <c r="L9" s="9"/>
      <c r="M9" s="10">
        <f t="shared" si="0"/>
        <v>0</v>
      </c>
      <c r="N9" s="10">
        <f t="shared" si="1"/>
        <v>0</v>
      </c>
    </row>
    <row r="10" spans="1:14">
      <c r="A10" s="6">
        <v>6</v>
      </c>
      <c r="B10" s="7" t="s">
        <v>35</v>
      </c>
      <c r="C10" s="10">
        <f>C6-C7</f>
        <v>0</v>
      </c>
      <c r="D10" s="10">
        <f t="shared" ref="D10:L10" si="3">D6-D7</f>
        <v>0</v>
      </c>
      <c r="E10" s="10">
        <f t="shared" si="3"/>
        <v>0</v>
      </c>
      <c r="F10" s="10">
        <f t="shared" si="3"/>
        <v>0</v>
      </c>
      <c r="G10" s="10">
        <f t="shared" si="3"/>
        <v>0</v>
      </c>
      <c r="H10" s="10">
        <f t="shared" si="3"/>
        <v>0</v>
      </c>
      <c r="I10" s="10">
        <f t="shared" si="3"/>
        <v>0</v>
      </c>
      <c r="J10" s="10">
        <f t="shared" si="3"/>
        <v>0</v>
      </c>
      <c r="K10" s="10">
        <f t="shared" si="3"/>
        <v>0</v>
      </c>
      <c r="L10" s="10">
        <f t="shared" si="3"/>
        <v>0</v>
      </c>
      <c r="M10" s="10">
        <f t="shared" si="0"/>
        <v>0</v>
      </c>
      <c r="N10" s="10">
        <f t="shared" si="1"/>
        <v>0</v>
      </c>
    </row>
    <row r="11" spans="1:14">
      <c r="A11" s="6">
        <v>7</v>
      </c>
      <c r="B11" s="7" t="s">
        <v>36</v>
      </c>
      <c r="C11" s="8"/>
      <c r="D11" s="9"/>
      <c r="E11" s="9"/>
      <c r="F11" s="9"/>
      <c r="G11" s="9"/>
      <c r="H11" s="9"/>
      <c r="I11" s="9"/>
      <c r="J11" s="9"/>
      <c r="K11" s="9"/>
      <c r="L11" s="9"/>
      <c r="M11" s="10">
        <f t="shared" ref="M11:M12" si="4">IFERROR(AVERAGE(C11:L11),0)</f>
        <v>0</v>
      </c>
      <c r="N11" s="10">
        <f t="shared" ref="N11:N12" si="5">SUM(C11:L11)</f>
        <v>0</v>
      </c>
    </row>
    <row r="12" spans="1:14">
      <c r="A12" s="6">
        <v>8</v>
      </c>
      <c r="B12" s="7" t="s">
        <v>37</v>
      </c>
      <c r="C12" s="8"/>
      <c r="D12" s="9"/>
      <c r="E12" s="9"/>
      <c r="F12" s="9"/>
      <c r="G12" s="9"/>
      <c r="H12" s="9"/>
      <c r="I12" s="9"/>
      <c r="J12" s="9"/>
      <c r="K12" s="9"/>
      <c r="L12" s="9"/>
      <c r="M12" s="10">
        <f t="shared" si="4"/>
        <v>0</v>
      </c>
      <c r="N12" s="10">
        <f t="shared" si="5"/>
        <v>0</v>
      </c>
    </row>
    <row r="13" spans="1:14">
      <c r="A13" s="6">
        <v>9</v>
      </c>
      <c r="B13" s="7" t="s">
        <v>38</v>
      </c>
      <c r="C13" s="10">
        <f>C10-C12</f>
        <v>0</v>
      </c>
      <c r="D13" s="10">
        <f t="shared" ref="D13:L13" si="6">D10-D12</f>
        <v>0</v>
      </c>
      <c r="E13" s="10">
        <f t="shared" si="6"/>
        <v>0</v>
      </c>
      <c r="F13" s="10">
        <f t="shared" si="6"/>
        <v>0</v>
      </c>
      <c r="G13" s="10">
        <f t="shared" si="6"/>
        <v>0</v>
      </c>
      <c r="H13" s="10">
        <f t="shared" si="6"/>
        <v>0</v>
      </c>
      <c r="I13" s="10">
        <f t="shared" si="6"/>
        <v>0</v>
      </c>
      <c r="J13" s="10">
        <f t="shared" si="6"/>
        <v>0</v>
      </c>
      <c r="K13" s="10">
        <f t="shared" si="6"/>
        <v>0</v>
      </c>
      <c r="L13" s="10">
        <f t="shared" si="6"/>
        <v>0</v>
      </c>
      <c r="M13" s="10">
        <f t="shared" ref="M13" si="7">IFERROR(AVERAGE(C13:L13),0)</f>
        <v>0</v>
      </c>
      <c r="N13" s="10">
        <f t="shared" ref="N13" si="8">SUM(C13:L13)</f>
        <v>0</v>
      </c>
    </row>
    <row r="14" ht="14.25" spans="1:15">
      <c r="A14" s="11" t="s">
        <v>39</v>
      </c>
      <c r="B14" s="12"/>
      <c r="C14" s="13" t="s">
        <v>40</v>
      </c>
      <c r="D14" s="11"/>
      <c r="E14" s="20"/>
      <c r="F14" s="13"/>
      <c r="G14" s="13"/>
      <c r="H14" s="21"/>
      <c r="I14" s="21"/>
      <c r="J14" s="20"/>
      <c r="K14" s="3" t="s">
        <v>41</v>
      </c>
      <c r="L14" s="26"/>
      <c r="M14" s="29"/>
      <c r="N14" s="29"/>
      <c r="O14" s="1"/>
    </row>
    <row r="15" spans="1:15">
      <c r="A15" s="14"/>
      <c r="B15" s="15" t="s">
        <v>42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16"/>
      <c r="B16" s="15" t="s">
        <v>43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>
      <c r="A17" s="17" t="s">
        <v>44</v>
      </c>
      <c r="B17" s="18">
        <v>241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</sheetData>
  <sheetProtection sort="0" autoFilter="0" pivotTables="0"/>
  <mergeCells count="3">
    <mergeCell ref="B1:M1"/>
    <mergeCell ref="A3:A4"/>
    <mergeCell ref="B3:B4"/>
  </mergeCells>
  <conditionalFormatting sqref="B11:L11">
    <cfRule type="cellIs" dxfId="0" priority="4" stopIfTrue="1" operator="equal">
      <formula>"Pass"</formula>
    </cfRule>
    <cfRule type="cellIs" dxfId="1" priority="5" stopIfTrue="1" operator="equal">
      <formula>"Fail"</formula>
    </cfRule>
  </conditionalFormatting>
  <conditionalFormatting sqref="C11:L11">
    <cfRule type="cellIs" dxfId="2" priority="6" stopIfTrue="1" operator="lessThan">
      <formula>0</formula>
    </cfRule>
  </conditionalFormatting>
  <conditionalFormatting sqref="B12:L12">
    <cfRule type="cellIs" dxfId="0" priority="1" stopIfTrue="1" operator="equal">
      <formula>"Pass"</formula>
    </cfRule>
    <cfRule type="cellIs" dxfId="1" priority="2" stopIfTrue="1" operator="equal">
      <formula>"Fail"</formula>
    </cfRule>
  </conditionalFormatting>
  <conditionalFormatting sqref="C12:L12">
    <cfRule type="cellIs" dxfId="2" priority="3" stopIfTrue="1" operator="lessThan">
      <formula>0</formula>
    </cfRule>
  </conditionalFormatting>
  <conditionalFormatting sqref="B13">
    <cfRule type="cellIs" dxfId="0" priority="7" stopIfTrue="1" operator="equal">
      <formula>"Pass"</formula>
    </cfRule>
    <cfRule type="cellIs" dxfId="1" priority="8" stopIfTrue="1" operator="equal">
      <formula>"Fail"</formula>
    </cfRule>
  </conditionalFormatting>
  <conditionalFormatting sqref="B8:B9">
    <cfRule type="cellIs" dxfId="0" priority="11" stopIfTrue="1" operator="equal">
      <formula>"Pass"</formula>
    </cfRule>
    <cfRule type="cellIs" dxfId="1" priority="12" stopIfTrue="1" operator="equal">
      <formula>"Fail"</formula>
    </cfRule>
  </conditionalFormatting>
  <conditionalFormatting sqref="B14 B10 C8:L9 B7 B5:L6">
    <cfRule type="cellIs" dxfId="0" priority="30" stopIfTrue="1" operator="equal">
      <formula>"Pass"</formula>
    </cfRule>
    <cfRule type="cellIs" dxfId="1" priority="31" stopIfTrue="1" operator="equal">
      <formula>"Fail"</formula>
    </cfRule>
  </conditionalFormatting>
  <conditionalFormatting sqref="C5:L6">
    <cfRule type="cellIs" dxfId="2" priority="27" stopIfTrue="1" operator="lessThan">
      <formula>0</formula>
    </cfRule>
  </conditionalFormatting>
  <conditionalFormatting sqref="C8:L9">
    <cfRule type="cellIs" dxfId="2" priority="32" stopIfTrue="1" operator="lessThan">
      <formula>0</formula>
    </cfRule>
  </conditionalFormatting>
  <pageMargins left="0.699305555555556" right="0.699305555555556" top="0.75" bottom="0.75" header="0.3" footer="0.3"/>
  <pageSetup paperSize="9" scale="86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G4D-1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钟剑</dc:creator>
  <cp:lastModifiedBy>陈静</cp:lastModifiedBy>
  <dcterms:created xsi:type="dcterms:W3CDTF">2022-07-01T23:16:00Z</dcterms:created>
  <cp:lastPrinted>2022-07-15T18:30:00Z</cp:lastPrinted>
  <dcterms:modified xsi:type="dcterms:W3CDTF">2024-12-13T14:48:47Z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2052-11.8.2.11764</vt:lpwstr>
  </property>
  <property fmtid="{D5CDD505-2E9C-101B-9397-08002B2CF9AE}" pid="3" name="ICV">
    <vt:lpwstr>41C975AE43D70153E8A75A675341BD73</vt:lpwstr>
  </property>
</Properties>
</file>