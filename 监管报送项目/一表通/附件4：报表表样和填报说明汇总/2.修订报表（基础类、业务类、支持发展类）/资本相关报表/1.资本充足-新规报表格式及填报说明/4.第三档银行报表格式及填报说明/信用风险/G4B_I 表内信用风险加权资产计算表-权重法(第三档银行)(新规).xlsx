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25"/>
  </bookViews>
  <sheets>
    <sheet name="G4B-1（第三档）" sheetId="1" r:id="rId1"/>
  </sheets>
  <definedNames>
    <definedName name="_xlnm._FilterDatabase" localSheetId="0" hidden="1">'G4B-1（第三档）'!$A$8:$R$66</definedName>
    <definedName name="_xlnm.Print_Titles" localSheetId="0">'G4B-1（第三档）'!$3:$8</definedName>
    <definedName name="Z_EEB39285_1378_4F4C_B72A_68261139B9F0_.wvu.FilterData" localSheetId="0" hidden="1">'G4B-1（第三档）'!$A$8:$R$66</definedName>
  </definedNames>
  <calcPr calcId="144525"/>
</workbook>
</file>

<file path=xl/sharedStrings.xml><?xml version="1.0" encoding="utf-8"?>
<sst xmlns="http://schemas.openxmlformats.org/spreadsheetml/2006/main" count="98" uniqueCount="98">
  <si>
    <r>
      <rPr>
        <b/>
        <sz val="18"/>
        <color theme="1"/>
        <rFont val="Times New Roman"/>
        <charset val="134"/>
      </rPr>
      <t xml:space="preserve">G4B_I </t>
    </r>
    <r>
      <rPr>
        <b/>
        <sz val="18"/>
        <color theme="1"/>
        <rFont val="宋体"/>
        <charset val="134"/>
      </rPr>
      <t>表内信用风险加权资产计算表</t>
    </r>
    <r>
      <rPr>
        <b/>
        <sz val="18"/>
        <color theme="1"/>
        <rFont val="Times New Roman"/>
        <charset val="134"/>
      </rPr>
      <t>-</t>
    </r>
    <r>
      <rPr>
        <b/>
        <sz val="18"/>
        <color theme="1"/>
        <rFont val="宋体"/>
        <charset val="134"/>
      </rPr>
      <t>权重法</t>
    </r>
    <r>
      <rPr>
        <b/>
        <sz val="18"/>
        <color theme="1"/>
        <rFont val="Times New Roman"/>
        <charset val="134"/>
      </rPr>
      <t>(</t>
    </r>
    <r>
      <rPr>
        <b/>
        <sz val="18"/>
        <color theme="1"/>
        <rFont val="宋体"/>
        <charset val="134"/>
      </rPr>
      <t>第三档银行</t>
    </r>
    <r>
      <rPr>
        <b/>
        <sz val="18"/>
        <color theme="1"/>
        <rFont val="Times New Roman"/>
        <charset val="134"/>
      </rPr>
      <t>)(</t>
    </r>
    <r>
      <rPr>
        <b/>
        <sz val="18"/>
        <color theme="1"/>
        <rFont val="宋体"/>
        <charset val="134"/>
      </rPr>
      <t>新规</t>
    </r>
    <r>
      <rPr>
        <b/>
        <sz val="18"/>
        <color theme="1"/>
        <rFont val="Times New Roman"/>
        <charset val="134"/>
      </rPr>
      <t>)</t>
    </r>
  </si>
  <si>
    <t>填报机构：</t>
  </si>
  <si>
    <r>
      <rPr>
        <sz val="10"/>
        <color theme="1"/>
        <rFont val="宋体"/>
        <charset val="134"/>
      </rPr>
      <t>报表日期：</t>
    </r>
    <r>
      <rPr>
        <sz val="10"/>
        <color indexed="8"/>
        <rFont val="Times New Roman"/>
        <charset val="134"/>
      </rPr>
      <t xml:space="preserve">     </t>
    </r>
    <r>
      <rPr>
        <sz val="10"/>
        <color indexed="8"/>
        <rFont val="宋体"/>
        <charset val="134"/>
      </rPr>
      <t>年</t>
    </r>
    <r>
      <rPr>
        <sz val="10"/>
        <color indexed="8"/>
        <rFont val="Times New Roman"/>
        <charset val="134"/>
      </rPr>
      <t xml:space="preserve">     </t>
    </r>
    <r>
      <rPr>
        <sz val="10"/>
        <color indexed="8"/>
        <rFont val="宋体"/>
        <charset val="134"/>
      </rPr>
      <t>月</t>
    </r>
    <r>
      <rPr>
        <sz val="10"/>
        <color indexed="8"/>
        <rFont val="Times New Roman"/>
        <charset val="134"/>
      </rPr>
      <t xml:space="preserve">      </t>
    </r>
    <r>
      <rPr>
        <sz val="10"/>
        <color indexed="8"/>
        <rFont val="宋体"/>
        <charset val="134"/>
      </rPr>
      <t>日</t>
    </r>
  </si>
  <si>
    <t>单位：万元</t>
  </si>
  <si>
    <r>
      <rPr>
        <sz val="10"/>
        <color theme="1"/>
        <rFont val="宋体"/>
        <charset val="134"/>
      </rPr>
      <t>项目</t>
    </r>
    <r>
      <rPr>
        <sz val="10"/>
        <color indexed="8"/>
        <rFont val="Times New Roman"/>
        <charset val="134"/>
      </rPr>
      <t>/</t>
    </r>
    <r>
      <rPr>
        <sz val="10"/>
        <color indexed="8"/>
        <rFont val="宋体"/>
        <charset val="134"/>
      </rPr>
      <t>权重</t>
    </r>
  </si>
  <si>
    <t>A</t>
  </si>
  <si>
    <t>B</t>
  </si>
  <si>
    <t>C</t>
  </si>
  <si>
    <t>D</t>
  </si>
  <si>
    <t>E</t>
  </si>
  <si>
    <t>F</t>
  </si>
  <si>
    <t>G</t>
  </si>
  <si>
    <t>H</t>
  </si>
  <si>
    <t>I</t>
  </si>
  <si>
    <t>J</t>
  </si>
  <si>
    <t>K</t>
  </si>
  <si>
    <t>L</t>
  </si>
  <si>
    <t>M</t>
  </si>
  <si>
    <t>N</t>
  </si>
  <si>
    <t>O</t>
  </si>
  <si>
    <t>P</t>
  </si>
  <si>
    <t>本期余额</t>
  </si>
  <si>
    <t>各项减值准备</t>
  </si>
  <si>
    <t>风险暴露</t>
  </si>
  <si>
    <t>其中：因下列因素或以下列因素为保证或抵质押，可得以风险缓释后的本期资产余额：</t>
  </si>
  <si>
    <t>未缓释风险暴露</t>
  </si>
  <si>
    <t>权重</t>
  </si>
  <si>
    <t>风险加权资产余额</t>
  </si>
  <si>
    <r>
      <rPr>
        <sz val="10"/>
        <color theme="1"/>
        <rFont val="宋体"/>
        <charset val="134"/>
      </rPr>
      <t xml:space="preserve">风险加权资产比例
</t>
    </r>
    <r>
      <rPr>
        <sz val="10"/>
        <color indexed="8"/>
        <rFont val="Times New Roman"/>
        <charset val="134"/>
      </rPr>
      <t>(%)</t>
    </r>
  </si>
  <si>
    <t>现金类资产</t>
  </si>
  <si>
    <t>我国中央政府</t>
  </si>
  <si>
    <t>中国人民银行</t>
  </si>
  <si>
    <t>我国开发性金融机构和政策性银行</t>
  </si>
  <si>
    <t>视同我国主权的公共部门实体</t>
  </si>
  <si>
    <t>经金融监管总局认定的我国一般公共部门实体</t>
  </si>
  <si>
    <t>境内商业银行</t>
  </si>
  <si>
    <t>村镇银行对主发起行或农村信用合作社对省级机构的债权</t>
  </si>
  <si>
    <t>合格多边开发银行</t>
  </si>
  <si>
    <t>1.现金类资产</t>
  </si>
  <si>
    <t>1.1现金(0%)</t>
  </si>
  <si>
    <t>1.2黄金(0%)</t>
  </si>
  <si>
    <t>1.3存放中国人民银行款项(0%)</t>
  </si>
  <si>
    <t>2.中央政府和中央银行的债权</t>
  </si>
  <si>
    <t>2.1对我国中央政府的债权(0%)</t>
  </si>
  <si>
    <t>2.2对中国人民银行的债权(0%)</t>
  </si>
  <si>
    <t>3.开发性金融机构和政策性银行、合格多边开发银行</t>
  </si>
  <si>
    <t>3.1开发性金融机构和政策性银行(0%)</t>
  </si>
  <si>
    <t>3.2合格多边开发银行(0%)</t>
  </si>
  <si>
    <t>4.持有我国中央政府投资的金融资产管理公司为收购国有银行不良贷款而定向发行的债券（0%）</t>
  </si>
  <si>
    <t>5.对视同我国主权的公共部门实体</t>
  </si>
  <si>
    <t>5.1省级（直辖区、自治区）以及计划单列市人民政府(20%)</t>
  </si>
  <si>
    <t>5.2除财政部和中国人民银行外，其他收入主要源于中央财政的公共部门实体（20%）</t>
  </si>
  <si>
    <t>6.对经金融监管总局认定的我国一般公共部门实体（50%）</t>
  </si>
  <si>
    <t>7.对我国境内金融机构</t>
  </si>
  <si>
    <t>7.1对境内商业银行</t>
  </si>
  <si>
    <r>
      <rPr>
        <sz val="10"/>
        <color theme="1"/>
        <rFont val="宋体"/>
        <charset val="134"/>
      </rPr>
      <t xml:space="preserve">   7.1.1村镇银行对其主发起行（投资管理行），农村信用社（含农村商业银行、农村合作银行）对</t>
    </r>
    <r>
      <rPr>
        <sz val="10"/>
        <color rgb="FF00B050"/>
        <rFont val="宋体"/>
        <charset val="134"/>
      </rPr>
      <t>农村信用社省级机构</t>
    </r>
    <r>
      <rPr>
        <sz val="10"/>
        <color theme="1"/>
        <rFont val="宋体"/>
        <charset val="134"/>
      </rPr>
      <t>的债权（20%）</t>
    </r>
  </si>
  <si>
    <t xml:space="preserve">   7.1.2对境内商业银行其他债权（30%）</t>
  </si>
  <si>
    <t>7.2对其他金融机构的债权(100%)</t>
  </si>
  <si>
    <t>8.对异地个人的债权（100%）</t>
  </si>
  <si>
    <t>9.对本地个人的债权</t>
  </si>
  <si>
    <t>9.1个人住房抵押贷款(50%)</t>
  </si>
  <si>
    <t>9.2个人住房抵押追加贷款(150%)</t>
  </si>
  <si>
    <t>9.3对监管零售个人的债权（符合本办法附件2第七部分（三）规定）</t>
  </si>
  <si>
    <t xml:space="preserve">   9.3.1大额客户（85%）</t>
  </si>
  <si>
    <t xml:space="preserve">   9.3.2小额客户（60%）</t>
  </si>
  <si>
    <t xml:space="preserve">   9.3.3对其他监管零售个人的债权（75%）</t>
  </si>
  <si>
    <t>9.4对其他个人的债权</t>
  </si>
  <si>
    <t xml:space="preserve">   9.4.1大额客户（120%）</t>
  </si>
  <si>
    <t xml:space="preserve">   9.4.2非大额客户（100%）</t>
  </si>
  <si>
    <t>10.对异地公司的债权（150%）</t>
  </si>
  <si>
    <t>11.对本地公司的债权</t>
  </si>
  <si>
    <t>11.1符合标准的小微企业（符合本办法附件2第六部分（四）规定）</t>
  </si>
  <si>
    <t xml:space="preserve">   11.1.1大额客户（85%）</t>
  </si>
  <si>
    <t xml:space="preserve">   11.1.2小额客户（60%）</t>
  </si>
  <si>
    <t xml:space="preserve">   11.1.3其他符合标准的小微企业（75%）</t>
  </si>
  <si>
    <t>11.2 对本地其他公司的债权</t>
  </si>
  <si>
    <t xml:space="preserve">   11.2.1 大额客户（120%）</t>
  </si>
  <si>
    <t xml:space="preserve">   11.2.2 非大额客户(100%)</t>
  </si>
  <si>
    <t>11.3对公司的房产抵押追加贷款（150%）</t>
  </si>
  <si>
    <t>12.股权投资</t>
  </si>
  <si>
    <t>12.1对金融机构股权投资（未扣除部分）（250%）</t>
  </si>
  <si>
    <r>
      <rPr>
        <sz val="10"/>
        <color theme="1"/>
        <rFont val="宋体"/>
        <charset val="134"/>
      </rPr>
      <t>12.2被动持有的对工商企业的股权投资</t>
    </r>
    <r>
      <rPr>
        <sz val="10"/>
        <color rgb="FFFF0000"/>
        <rFont val="宋体"/>
        <charset val="134"/>
      </rPr>
      <t>在法律规定处分期限内</t>
    </r>
    <r>
      <rPr>
        <sz val="10"/>
        <color theme="1"/>
        <rFont val="宋体"/>
        <charset val="134"/>
      </rPr>
      <t>（250%）</t>
    </r>
  </si>
  <si>
    <t>12.3对工商企业的其他股权投资（1250%）</t>
  </si>
  <si>
    <t>13.其他</t>
  </si>
  <si>
    <t>13.1商业银行非自用不动产（不含因行使抵押权而持有并在法律规定处分期限内的非自用不动产）（400%）</t>
  </si>
  <si>
    <t>13.2其他表内资产（100%）</t>
  </si>
  <si>
    <t>14.小计</t>
  </si>
  <si>
    <t>15.计入其他资本的超额损失准备</t>
  </si>
  <si>
    <t>16.从资本中扣除的损失准备缺口</t>
  </si>
  <si>
    <t>17.表内信用风险加权资产</t>
  </si>
  <si>
    <t>附注项目：</t>
  </si>
  <si>
    <t>1.资本扣减项</t>
  </si>
  <si>
    <t>2.未纳入监管并表的附属公司的资产</t>
  </si>
  <si>
    <t>填表人：</t>
  </si>
  <si>
    <t>复核人：</t>
  </si>
  <si>
    <t>紫色底为含公式区域</t>
  </si>
  <si>
    <t>无数据部分</t>
  </si>
  <si>
    <t>版本号：</t>
  </si>
</sst>
</file>

<file path=xl/styles.xml><?xml version="1.0" encoding="utf-8"?>
<styleSheet xmlns="http://schemas.openxmlformats.org/spreadsheetml/2006/main">
  <numFmts count="7">
    <numFmt numFmtId="176" formatCode="0_);[Red]\(0\)"/>
    <numFmt numFmtId="41" formatCode="_ * #,##0_ ;_ * \-#,##0_ ;_ * &quot;-&quot;_ ;_ @_ "/>
    <numFmt numFmtId="177" formatCode="_-* #,##0_-;\-* #,##0_-;_-* &quot;-&quot;_-;_-@_-"/>
    <numFmt numFmtId="44" formatCode="_ &quot;￥&quot;* #,##0.00_ ;_ &quot;￥&quot;* \-#,##0.00_ ;_ &quot;￥&quot;* &quot;-&quot;??_ ;_ @_ "/>
    <numFmt numFmtId="43" formatCode="_ * #,##0.00_ ;_ * \-#,##0.00_ ;_ * &quot;-&quot;??_ ;_ @_ "/>
    <numFmt numFmtId="42" formatCode="_ &quot;￥&quot;* #,##0_ ;_ &quot;￥&quot;* \-#,##0_ ;_ &quot;￥&quot;* &quot;-&quot;_ ;_ @_ "/>
    <numFmt numFmtId="178" formatCode="_-* #,##0.00_-;\-* #,##0.00_-;_-* &quot;-&quot;??_-;_-@_-"/>
  </numFmts>
  <fonts count="91">
    <font>
      <sz val="12"/>
      <name val="宋体"/>
      <charset val="134"/>
    </font>
    <font>
      <b/>
      <sz val="16"/>
      <color theme="1"/>
      <name val="黑体"/>
      <charset val="134"/>
    </font>
    <font>
      <sz val="10"/>
      <color theme="1"/>
      <name val="宋体"/>
      <charset val="134"/>
    </font>
    <font>
      <b/>
      <sz val="10"/>
      <color theme="1"/>
      <name val="宋体"/>
      <charset val="134"/>
    </font>
    <font>
      <sz val="10"/>
      <color rgb="FFFF0000"/>
      <name val="宋体"/>
      <charset val="134"/>
    </font>
    <font>
      <sz val="12"/>
      <color theme="1"/>
      <name val="宋体"/>
      <charset val="134"/>
    </font>
    <font>
      <sz val="12"/>
      <color rgb="FFFF0000"/>
      <name val="宋体"/>
      <charset val="134"/>
    </font>
    <font>
      <b/>
      <sz val="18"/>
      <color theme="1"/>
      <name val="Times New Roman"/>
      <charset val="134"/>
    </font>
    <font>
      <b/>
      <sz val="10"/>
      <color rgb="FFFF0000"/>
      <name val="宋体"/>
      <charset val="134"/>
    </font>
    <font>
      <sz val="10"/>
      <color theme="1"/>
      <name val="Times New Roman"/>
      <charset val="134"/>
    </font>
    <font>
      <b/>
      <sz val="18"/>
      <color rgb="FFFF0000"/>
      <name val="Times New Roman"/>
      <charset val="134"/>
    </font>
    <font>
      <sz val="10"/>
      <name val="宋体"/>
      <charset val="134"/>
    </font>
    <font>
      <sz val="10"/>
      <color theme="1"/>
      <name val="仿宋_GB2312"/>
      <charset val="134"/>
    </font>
    <font>
      <sz val="11"/>
      <color indexed="8"/>
      <name val="Tahoma"/>
      <charset val="134"/>
    </font>
    <font>
      <sz val="11"/>
      <color indexed="9"/>
      <name val="宋体"/>
      <charset val="134"/>
    </font>
    <font>
      <sz val="11"/>
      <color indexed="8"/>
      <name val="宋体"/>
      <charset val="134"/>
    </font>
    <font>
      <b/>
      <sz val="13"/>
      <color indexed="56"/>
      <name val="宋体"/>
      <charset val="134"/>
    </font>
    <font>
      <sz val="11"/>
      <color rgb="FF006100"/>
      <name val="等线"/>
      <charset val="0"/>
      <scheme val="minor"/>
    </font>
    <font>
      <sz val="10"/>
      <name val="Arial"/>
      <charset val="134"/>
    </font>
    <font>
      <sz val="11"/>
      <color indexed="62"/>
      <name val="宋体"/>
      <charset val="134"/>
    </font>
    <font>
      <sz val="11"/>
      <color indexed="57"/>
      <name val="Tahoma"/>
      <charset val="134"/>
    </font>
    <font>
      <b/>
      <sz val="18"/>
      <color indexed="62"/>
      <name val="宋体"/>
      <charset val="134"/>
    </font>
    <font>
      <sz val="11"/>
      <color indexed="17"/>
      <name val="宋体"/>
      <charset val="134"/>
    </font>
    <font>
      <b/>
      <sz val="11"/>
      <color indexed="9"/>
      <name val="宋体"/>
      <charset val="134"/>
    </font>
    <font>
      <sz val="12"/>
      <color indexed="8"/>
      <name val="新細明體"/>
      <charset val="136"/>
    </font>
    <font>
      <b/>
      <sz val="11"/>
      <color indexed="56"/>
      <name val="宋体"/>
      <charset val="134"/>
    </font>
    <font>
      <sz val="11"/>
      <color indexed="10"/>
      <name val="宋体"/>
      <charset val="134"/>
    </font>
    <font>
      <sz val="12"/>
      <color indexed="62"/>
      <name val="新細明體"/>
      <charset val="136"/>
    </font>
    <font>
      <i/>
      <sz val="11"/>
      <color indexed="23"/>
      <name val="Tahoma"/>
      <charset val="134"/>
    </font>
    <font>
      <b/>
      <sz val="11"/>
      <color indexed="63"/>
      <name val="宋体"/>
      <charset val="134"/>
    </font>
    <font>
      <b/>
      <sz val="12"/>
      <color indexed="8"/>
      <name val="新細明體"/>
      <charset val="136"/>
    </font>
    <font>
      <sz val="11"/>
      <color rgb="FFFF0000"/>
      <name val="等线"/>
      <charset val="0"/>
      <scheme val="minor"/>
    </font>
    <font>
      <b/>
      <sz val="11"/>
      <color indexed="57"/>
      <name val="Tahoma"/>
      <charset val="134"/>
    </font>
    <font>
      <sz val="11"/>
      <color indexed="20"/>
      <name val="Tahoma"/>
      <charset val="134"/>
    </font>
    <font>
      <b/>
      <sz val="11"/>
      <color indexed="8"/>
      <name val="宋体"/>
      <charset val="134"/>
    </font>
    <font>
      <b/>
      <sz val="11"/>
      <color indexed="52"/>
      <name val="宋体"/>
      <charset val="134"/>
    </font>
    <font>
      <i/>
      <sz val="11"/>
      <color indexed="23"/>
      <name val="宋体"/>
      <charset val="134"/>
    </font>
    <font>
      <sz val="12"/>
      <color indexed="9"/>
      <name val="新細明體"/>
      <charset val="136"/>
    </font>
    <font>
      <sz val="12"/>
      <color indexed="20"/>
      <name val="新細明體"/>
      <charset val="136"/>
    </font>
    <font>
      <sz val="11"/>
      <color indexed="20"/>
      <name val="宋体"/>
      <charset val="134"/>
    </font>
    <font>
      <b/>
      <sz val="13"/>
      <color indexed="62"/>
      <name val="Tahoma"/>
      <charset val="134"/>
    </font>
    <font>
      <sz val="11"/>
      <color theme="0"/>
      <name val="等线"/>
      <charset val="0"/>
      <scheme val="minor"/>
    </font>
    <font>
      <b/>
      <sz val="11"/>
      <color indexed="52"/>
      <name val="Tahoma"/>
      <charset val="134"/>
    </font>
    <font>
      <sz val="11"/>
      <color indexed="52"/>
      <name val="宋体"/>
      <charset val="134"/>
    </font>
    <font>
      <b/>
      <sz val="11"/>
      <color indexed="56"/>
      <name val="新細明體"/>
      <charset val="136"/>
    </font>
    <font>
      <sz val="11"/>
      <color indexed="17"/>
      <name val="Tahoma"/>
      <charset val="134"/>
    </font>
    <font>
      <sz val="11"/>
      <color rgb="FFFA7D00"/>
      <name val="等线"/>
      <charset val="0"/>
      <scheme val="minor"/>
    </font>
    <font>
      <b/>
      <sz val="11"/>
      <color indexed="62"/>
      <name val="Tahoma"/>
      <charset val="134"/>
    </font>
    <font>
      <sz val="11"/>
      <color theme="1"/>
      <name val="等线"/>
      <charset val="0"/>
      <scheme val="minor"/>
    </font>
    <font>
      <b/>
      <sz val="15"/>
      <color indexed="62"/>
      <name val="Tahoma"/>
      <charset val="134"/>
    </font>
    <font>
      <i/>
      <sz val="11"/>
      <color rgb="FF7F7F7F"/>
      <name val="等线"/>
      <charset val="0"/>
      <scheme val="minor"/>
    </font>
    <font>
      <sz val="12"/>
      <color indexed="17"/>
      <name val="新細明體"/>
      <charset val="136"/>
    </font>
    <font>
      <sz val="11"/>
      <color indexed="60"/>
      <name val="宋体"/>
      <charset val="134"/>
    </font>
    <font>
      <sz val="11"/>
      <color indexed="10"/>
      <name val="Tahoma"/>
      <charset val="134"/>
    </font>
    <font>
      <b/>
      <sz val="15"/>
      <color indexed="56"/>
      <name val="新細明體"/>
      <charset val="136"/>
    </font>
    <font>
      <b/>
      <sz val="18"/>
      <color indexed="56"/>
      <name val="宋体"/>
      <charset val="134"/>
    </font>
    <font>
      <sz val="11"/>
      <color indexed="62"/>
      <name val="Tahoma"/>
      <charset val="134"/>
    </font>
    <font>
      <b/>
      <sz val="15"/>
      <color indexed="56"/>
      <name val="宋体"/>
      <charset val="134"/>
    </font>
    <font>
      <b/>
      <sz val="12"/>
      <color indexed="9"/>
      <name val="新細明體"/>
      <charset val="136"/>
    </font>
    <font>
      <sz val="12"/>
      <name val="Times New Roman"/>
      <charset val="134"/>
    </font>
    <font>
      <sz val="11"/>
      <color theme="1"/>
      <name val="等线"/>
      <charset val="134"/>
      <scheme val="minor"/>
    </font>
    <font>
      <b/>
      <sz val="11"/>
      <color indexed="63"/>
      <name val="Tahoma"/>
      <charset val="134"/>
    </font>
    <font>
      <sz val="11"/>
      <color indexed="52"/>
      <name val="Tahoma"/>
      <charset val="134"/>
    </font>
    <font>
      <b/>
      <sz val="15"/>
      <color theme="3"/>
      <name val="等线"/>
      <charset val="134"/>
      <scheme val="minor"/>
    </font>
    <font>
      <sz val="12"/>
      <color indexed="60"/>
      <name val="新細明體"/>
      <charset val="136"/>
    </font>
    <font>
      <b/>
      <sz val="12"/>
      <color indexed="63"/>
      <name val="新細明體"/>
      <charset val="136"/>
    </font>
    <font>
      <b/>
      <sz val="12"/>
      <color indexed="52"/>
      <name val="新細明體"/>
      <charset val="136"/>
    </font>
    <font>
      <b/>
      <sz val="18"/>
      <color indexed="56"/>
      <name val="新細明體"/>
      <charset val="136"/>
    </font>
    <font>
      <sz val="11"/>
      <color indexed="60"/>
      <name val="Tahoma"/>
      <charset val="134"/>
    </font>
    <font>
      <b/>
      <sz val="13"/>
      <color indexed="56"/>
      <name val="新細明體"/>
      <charset val="136"/>
    </font>
    <font>
      <b/>
      <sz val="11"/>
      <color indexed="8"/>
      <name val="Tahoma"/>
      <charset val="134"/>
    </font>
    <font>
      <b/>
      <sz val="11"/>
      <color theme="1"/>
      <name val="等线"/>
      <charset val="0"/>
      <scheme val="minor"/>
    </font>
    <font>
      <b/>
      <sz val="13"/>
      <color theme="3"/>
      <name val="等线"/>
      <charset val="134"/>
      <scheme val="minor"/>
    </font>
    <font>
      <sz val="11"/>
      <color rgb="FF3F3F76"/>
      <name val="等线"/>
      <charset val="0"/>
      <scheme val="minor"/>
    </font>
    <font>
      <u/>
      <sz val="11"/>
      <color rgb="FF0000FF"/>
      <name val="等线"/>
      <charset val="0"/>
      <scheme val="minor"/>
    </font>
    <font>
      <sz val="12"/>
      <color indexed="52"/>
      <name val="新細明體"/>
      <charset val="136"/>
    </font>
    <font>
      <sz val="11"/>
      <color rgb="FF9C0006"/>
      <name val="等线"/>
      <charset val="0"/>
      <scheme val="minor"/>
    </font>
    <font>
      <b/>
      <sz val="11"/>
      <color theme="3"/>
      <name val="等线"/>
      <charset val="134"/>
      <scheme val="minor"/>
    </font>
    <font>
      <sz val="12"/>
      <color indexed="10"/>
      <name val="新細明體"/>
      <charset val="136"/>
    </font>
    <font>
      <b/>
      <sz val="18"/>
      <color theme="3"/>
      <name val="等线"/>
      <charset val="134"/>
      <scheme val="minor"/>
    </font>
    <font>
      <sz val="11"/>
      <color rgb="FF9C6500"/>
      <name val="等线"/>
      <charset val="0"/>
      <scheme val="minor"/>
    </font>
    <font>
      <b/>
      <sz val="11"/>
      <color rgb="FFFFFFFF"/>
      <name val="等线"/>
      <charset val="0"/>
      <scheme val="minor"/>
    </font>
    <font>
      <b/>
      <sz val="11"/>
      <color rgb="FFFA7D00"/>
      <name val="等线"/>
      <charset val="0"/>
      <scheme val="minor"/>
    </font>
    <font>
      <i/>
      <sz val="12"/>
      <color indexed="23"/>
      <name val="新細明體"/>
      <charset val="136"/>
    </font>
    <font>
      <b/>
      <sz val="11"/>
      <color rgb="FF3F3F3F"/>
      <name val="等线"/>
      <charset val="0"/>
      <scheme val="minor"/>
    </font>
    <font>
      <u/>
      <sz val="11"/>
      <color rgb="FF800080"/>
      <name val="等线"/>
      <charset val="0"/>
      <scheme val="minor"/>
    </font>
    <font>
      <sz val="10"/>
      <name val="Arial"/>
      <charset val="0"/>
    </font>
    <font>
      <b/>
      <sz val="18"/>
      <color theme="1"/>
      <name val="宋体"/>
      <charset val="134"/>
    </font>
    <font>
      <sz val="10"/>
      <color indexed="8"/>
      <name val="Times New Roman"/>
      <charset val="134"/>
    </font>
    <font>
      <sz val="10"/>
      <color indexed="8"/>
      <name val="宋体"/>
      <charset val="134"/>
    </font>
    <font>
      <sz val="10"/>
      <color rgb="FF00B050"/>
      <name val="宋体"/>
      <charset val="134"/>
    </font>
  </fonts>
  <fills count="63">
    <fill>
      <patternFill patternType="none"/>
    </fill>
    <fill>
      <patternFill patternType="gray125"/>
    </fill>
    <fill>
      <patternFill patternType="solid">
        <fgColor indexed="46"/>
        <bgColor indexed="64"/>
      </patternFill>
    </fill>
    <fill>
      <patternFill patternType="solid">
        <fgColor indexed="13"/>
        <bgColor indexed="64"/>
      </patternFill>
    </fill>
    <fill>
      <patternFill patternType="solid">
        <fgColor rgb="FFCC99FF"/>
        <bgColor indexed="64"/>
      </patternFill>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25"/>
        <bgColor indexed="64"/>
      </patternFill>
    </fill>
    <fill>
      <patternFill patternType="solid">
        <fgColor indexed="55"/>
        <bgColor indexed="64"/>
      </patternFill>
    </fill>
    <fill>
      <patternFill patternType="solid">
        <fgColor indexed="36"/>
        <bgColor indexed="64"/>
      </patternFill>
    </fill>
    <fill>
      <patternFill patternType="solid">
        <fgColor indexed="29"/>
        <bgColor indexed="64"/>
      </patternFill>
    </fill>
    <fill>
      <patternFill patternType="solid">
        <fgColor indexed="53"/>
        <bgColor indexed="64"/>
      </patternFill>
    </fill>
    <fill>
      <patternFill patternType="solid">
        <fgColor rgb="FFC6EFCE"/>
        <bgColor indexed="64"/>
      </patternFill>
    </fill>
    <fill>
      <patternFill patternType="solid">
        <fgColor indexed="42"/>
        <bgColor indexed="64"/>
      </patternFill>
    </fill>
    <fill>
      <patternFill patternType="solid">
        <fgColor indexed="47"/>
        <bgColor indexed="64"/>
      </patternFill>
    </fill>
    <fill>
      <patternFill patternType="solid">
        <fgColor indexed="11"/>
        <bgColor indexed="64"/>
      </patternFill>
    </fill>
    <fill>
      <patternFill patternType="solid">
        <fgColor indexed="26"/>
        <bgColor indexed="64"/>
      </patternFill>
    </fill>
    <fill>
      <patternFill patternType="solid">
        <fgColor indexed="43"/>
        <bgColor indexed="64"/>
      </patternFill>
    </fill>
    <fill>
      <patternFill patternType="solid">
        <fgColor indexed="49"/>
        <bgColor indexed="64"/>
      </patternFill>
    </fill>
    <fill>
      <patternFill patternType="solid">
        <fgColor indexed="51"/>
        <bgColor indexed="64"/>
      </patternFill>
    </fill>
    <fill>
      <patternFill patternType="solid">
        <fgColor indexed="44"/>
        <bgColor indexed="64"/>
      </patternFill>
    </fill>
    <fill>
      <patternFill patternType="solid">
        <fgColor indexed="62"/>
        <bgColor indexed="64"/>
      </patternFill>
    </fill>
    <fill>
      <patternFill patternType="solid">
        <fgColor indexed="57"/>
        <bgColor indexed="64"/>
      </patternFill>
    </fill>
    <fill>
      <patternFill patternType="solid">
        <fgColor indexed="45"/>
        <bgColor indexed="64"/>
      </patternFill>
    </fill>
    <fill>
      <patternFill patternType="solid">
        <fgColor indexed="31"/>
        <bgColor indexed="64"/>
      </patternFill>
    </fill>
    <fill>
      <patternFill patternType="solid">
        <fgColor indexed="10"/>
        <bgColor indexed="64"/>
      </patternFill>
    </fill>
    <fill>
      <patternFill patternType="solid">
        <fgColor indexed="30"/>
        <bgColor indexed="64"/>
      </patternFill>
    </fill>
    <fill>
      <patternFill patternType="solid">
        <fgColor indexed="27"/>
        <bgColor indexed="64"/>
      </patternFill>
    </fill>
    <fill>
      <patternFill patternType="solid">
        <fgColor theme="9" tint="0.399975585192419"/>
        <bgColor indexed="64"/>
      </patternFill>
    </fill>
    <fill>
      <patternFill patternType="solid">
        <fgColor indexed="52"/>
        <bgColor indexed="64"/>
      </patternFill>
    </fill>
    <fill>
      <patternFill patternType="solid">
        <fgColor indexed="54"/>
        <bgColor indexed="64"/>
      </patternFill>
    </fill>
    <fill>
      <patternFill patternType="solid">
        <fgColor theme="9"/>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8"/>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7"/>
        <bgColor indexed="64"/>
      </patternFill>
    </fill>
    <fill>
      <patternFill patternType="solid">
        <fgColor theme="8" tint="0.799981688894314"/>
        <bgColor indexed="64"/>
      </patternFill>
    </fill>
    <fill>
      <patternFill patternType="solid">
        <fgColor rgb="FFFFCC99"/>
        <bgColor indexed="64"/>
      </patternFill>
    </fill>
    <fill>
      <patternFill patternType="solid">
        <fgColor rgb="FFFFC7CE"/>
        <bgColor indexed="64"/>
      </patternFill>
    </fill>
    <fill>
      <patternFill patternType="solid">
        <fgColor rgb="FFFFFFCC"/>
        <bgColor indexed="64"/>
      </patternFill>
    </fill>
    <fill>
      <patternFill patternType="solid">
        <fgColor theme="6" tint="0.599993896298105"/>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rgb="FFFFEB9C"/>
        <bgColor indexed="64"/>
      </patternFill>
    </fill>
    <fill>
      <patternFill patternType="solid">
        <fgColor theme="5"/>
        <bgColor indexed="64"/>
      </patternFill>
    </fill>
    <fill>
      <patternFill patternType="solid">
        <fgColor theme="4"/>
        <bgColor indexed="64"/>
      </patternFill>
    </fill>
    <fill>
      <patternFill patternType="solid">
        <fgColor theme="6" tint="0.799981688894314"/>
        <bgColor indexed="64"/>
      </patternFill>
    </fill>
    <fill>
      <patternFill patternType="solid">
        <fgColor rgb="FFA5A5A5"/>
        <bgColor indexed="64"/>
      </patternFill>
    </fill>
    <fill>
      <patternFill patternType="solid">
        <fgColor rgb="FFF2F2F2"/>
        <bgColor indexed="64"/>
      </patternFill>
    </fill>
    <fill>
      <patternFill patternType="solid">
        <fgColor theme="6"/>
        <bgColor indexed="64"/>
      </patternFill>
    </fill>
    <fill>
      <patternFill patternType="solid">
        <fgColor theme="7" tint="0.799981688894314"/>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5" tint="0.799981688894314"/>
        <bgColor indexed="64"/>
      </patternFill>
    </fill>
  </fills>
  <borders count="44">
    <border>
      <left/>
      <right/>
      <top/>
      <bottom/>
      <diagonal/>
    </border>
    <border>
      <left style="medium">
        <color auto="1"/>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style="thin">
        <color auto="1"/>
      </bottom>
      <diagonal/>
    </border>
    <border>
      <left style="medium">
        <color auto="1"/>
      </left>
      <right/>
      <top/>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medium">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top/>
      <bottom/>
      <diagonal/>
    </border>
    <border>
      <left style="thin">
        <color auto="1"/>
      </left>
      <right style="thin">
        <color auto="1"/>
      </right>
      <top style="thin">
        <color auto="1"/>
      </top>
      <bottom style="medium">
        <color auto="1"/>
      </bottom>
      <diagonal/>
    </border>
    <border>
      <left/>
      <right/>
      <top/>
      <bottom style="medium">
        <color auto="1"/>
      </bottom>
      <diagonal/>
    </border>
    <border>
      <left/>
      <right style="medium">
        <color auto="1"/>
      </right>
      <top style="medium">
        <color auto="1"/>
      </top>
      <bottom style="thin">
        <color auto="1"/>
      </bottom>
      <diagonal/>
    </border>
    <border>
      <left style="thin">
        <color auto="1"/>
      </left>
      <right/>
      <top style="thin">
        <color auto="1"/>
      </top>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medium">
        <color auto="1"/>
      </bottom>
      <diagonal/>
    </border>
    <border>
      <left/>
      <right/>
      <top/>
      <bottom style="thick">
        <color indexed="2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double">
        <color indexed="52"/>
      </bottom>
      <diagonal/>
    </border>
    <border>
      <left/>
      <right/>
      <top/>
      <bottom style="double">
        <color rgb="FFFF8001"/>
      </bottom>
      <diagonal/>
    </border>
    <border>
      <left/>
      <right/>
      <top/>
      <bottom style="thick">
        <color indexed="49"/>
      </bottom>
      <diagonal/>
    </border>
    <border>
      <left/>
      <right/>
      <top/>
      <bottom style="thick">
        <color indexed="62"/>
      </bottom>
      <diagonal/>
    </border>
    <border>
      <left/>
      <right/>
      <top/>
      <bottom style="medium">
        <color theme="4"/>
      </bottom>
      <diagonal/>
    </border>
    <border>
      <left/>
      <right/>
      <top/>
      <bottom style="medium">
        <color indexed="49"/>
      </bottom>
      <diagonal/>
    </border>
    <border>
      <left/>
      <right/>
      <top style="thin">
        <color indexed="49"/>
      </top>
      <bottom style="double">
        <color indexed="49"/>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s>
  <cellStyleXfs count="868">
    <xf numFmtId="0" fontId="0" fillId="0" borderId="0"/>
    <xf numFmtId="0" fontId="86" fillId="0" borderId="0">
      <alignment vertical="center"/>
    </xf>
    <xf numFmtId="0" fontId="37" fillId="12" borderId="0" applyNumberFormat="0" applyBorder="0" applyAlignment="0" applyProtection="0">
      <alignment vertical="center"/>
    </xf>
    <xf numFmtId="0" fontId="15" fillId="26" borderId="0" applyNumberFormat="0" applyBorder="0" applyAlignment="0" applyProtection="0">
      <alignment vertical="center"/>
    </xf>
    <xf numFmtId="0" fontId="20" fillId="21" borderId="0" applyNumberFormat="0" applyBorder="0" applyAlignment="0" applyProtection="0">
      <alignment vertical="center"/>
    </xf>
    <xf numFmtId="0" fontId="37" fillId="25" borderId="0" applyNumberFormat="0" applyBorder="0" applyAlignment="0" applyProtection="0">
      <alignment vertical="center"/>
    </xf>
    <xf numFmtId="0" fontId="15" fillId="26" borderId="0" applyNumberFormat="0" applyBorder="0" applyAlignment="0" applyProtection="0">
      <alignment vertical="center"/>
    </xf>
    <xf numFmtId="0" fontId="35" fillId="6" borderId="25" applyNumberFormat="0" applyAlignment="0" applyProtection="0">
      <alignment vertical="center"/>
    </xf>
    <xf numFmtId="0" fontId="0" fillId="0" borderId="0">
      <alignment vertical="center"/>
    </xf>
    <xf numFmtId="0" fontId="13" fillId="20" borderId="0" applyNumberFormat="0" applyBorder="0" applyAlignment="0" applyProtection="0">
      <alignment vertical="center"/>
    </xf>
    <xf numFmtId="0" fontId="20" fillId="21" borderId="0" applyNumberFormat="0" applyBorder="0" applyAlignment="0" applyProtection="0">
      <alignment vertical="center"/>
    </xf>
    <xf numFmtId="0" fontId="55" fillId="0" borderId="0" applyNumberFormat="0" applyFill="0" applyBorder="0" applyAlignment="0" applyProtection="0">
      <alignment vertical="center"/>
    </xf>
    <xf numFmtId="0" fontId="15" fillId="18" borderId="0" applyNumberFormat="0" applyBorder="0" applyAlignment="0" applyProtection="0">
      <alignment vertical="center"/>
    </xf>
    <xf numFmtId="0" fontId="15" fillId="30" borderId="0" applyNumberFormat="0" applyBorder="0" applyAlignment="0" applyProtection="0">
      <alignment vertical="center"/>
    </xf>
    <xf numFmtId="0" fontId="45" fillId="16" borderId="0" applyNumberFormat="0" applyBorder="0" applyAlignment="0" applyProtection="0">
      <alignment vertical="center"/>
    </xf>
    <xf numFmtId="0" fontId="20" fillId="25" borderId="0" applyNumberFormat="0" applyBorder="0" applyAlignment="0" applyProtection="0">
      <alignment vertical="center"/>
    </xf>
    <xf numFmtId="178" fontId="0" fillId="0" borderId="0" applyFont="0" applyFill="0" applyBorder="0" applyAlignment="0" applyProtection="0"/>
    <xf numFmtId="0" fontId="43" fillId="0" borderId="31" applyNumberFormat="0" applyFill="0" applyAlignment="0" applyProtection="0">
      <alignment vertical="center"/>
    </xf>
    <xf numFmtId="0" fontId="57" fillId="0" borderId="34" applyNumberFormat="0" applyFill="0" applyAlignment="0" applyProtection="0">
      <alignment vertical="center"/>
    </xf>
    <xf numFmtId="0" fontId="20" fillId="21" borderId="0" applyNumberFormat="0" applyBorder="0" applyAlignment="0" applyProtection="0">
      <alignment vertical="center"/>
    </xf>
    <xf numFmtId="0" fontId="34" fillId="0" borderId="30" applyNumberFormat="0" applyFill="0" applyAlignment="0" applyProtection="0">
      <alignment vertical="center"/>
    </xf>
    <xf numFmtId="0" fontId="0" fillId="0" borderId="0">
      <alignment vertical="center"/>
    </xf>
    <xf numFmtId="0" fontId="57" fillId="0" borderId="34" applyNumberFormat="0" applyFill="0" applyAlignment="0" applyProtection="0">
      <alignment vertical="center"/>
    </xf>
    <xf numFmtId="0" fontId="67" fillId="0" borderId="0" applyNumberFormat="0" applyFill="0" applyBorder="0" applyAlignment="0" applyProtection="0">
      <alignment vertical="center"/>
    </xf>
    <xf numFmtId="0" fontId="16" fillId="0" borderId="24" applyNumberFormat="0" applyFill="0" applyAlignment="0" applyProtection="0">
      <alignment vertical="center"/>
    </xf>
    <xf numFmtId="0" fontId="62" fillId="0" borderId="31" applyNumberFormat="0" applyFill="0" applyAlignment="0" applyProtection="0">
      <alignment vertical="center"/>
    </xf>
    <xf numFmtId="0" fontId="13" fillId="13" borderId="0" applyNumberFormat="0" applyBorder="0" applyAlignment="0" applyProtection="0">
      <alignment vertical="center"/>
    </xf>
    <xf numFmtId="0" fontId="0" fillId="19" borderId="26" applyNumberFormat="0" applyFont="0" applyAlignment="0" applyProtection="0">
      <alignment vertical="center"/>
    </xf>
    <xf numFmtId="0" fontId="15" fillId="30" borderId="0" applyNumberFormat="0" applyBorder="0" applyAlignment="0" applyProtection="0">
      <alignment vertical="center"/>
    </xf>
    <xf numFmtId="0" fontId="21" fillId="0" borderId="0" applyNumberFormat="0" applyFill="0" applyBorder="0" applyAlignment="0" applyProtection="0">
      <alignment vertical="center"/>
    </xf>
    <xf numFmtId="0" fontId="23" fillId="11" borderId="27" applyNumberFormat="0" applyAlignment="0" applyProtection="0">
      <alignment vertical="center"/>
    </xf>
    <xf numFmtId="0" fontId="20" fillId="21" borderId="0" applyNumberFormat="0" applyBorder="0" applyAlignment="0" applyProtection="0">
      <alignment vertical="center"/>
    </xf>
    <xf numFmtId="0" fontId="15" fillId="2" borderId="0" applyNumberFormat="0" applyBorder="0" applyAlignment="0" applyProtection="0">
      <alignment vertical="center"/>
    </xf>
    <xf numFmtId="0" fontId="0" fillId="0" borderId="0"/>
    <xf numFmtId="0" fontId="14" fillId="21" borderId="0" applyNumberFormat="0" applyBorder="0" applyAlignment="0" applyProtection="0">
      <alignment vertical="center"/>
    </xf>
    <xf numFmtId="0" fontId="20" fillId="17" borderId="0" applyNumberFormat="0" applyBorder="0" applyAlignment="0" applyProtection="0">
      <alignment vertical="center"/>
    </xf>
    <xf numFmtId="0" fontId="15" fillId="27" borderId="0" applyNumberFormat="0" applyBorder="0" applyAlignment="0" applyProtection="0">
      <alignment vertical="center"/>
    </xf>
    <xf numFmtId="0" fontId="15" fillId="2" borderId="0" applyNumberFormat="0" applyBorder="0" applyAlignment="0" applyProtection="0">
      <alignment vertical="center"/>
    </xf>
    <xf numFmtId="0" fontId="47" fillId="0" borderId="0" applyNumberFormat="0" applyFill="0" applyBorder="0" applyAlignment="0" applyProtection="0">
      <alignment vertical="center"/>
    </xf>
    <xf numFmtId="0" fontId="14" fillId="21" borderId="0" applyNumberFormat="0" applyBorder="0" applyAlignment="0" applyProtection="0">
      <alignment vertical="center"/>
    </xf>
    <xf numFmtId="0" fontId="28" fillId="0" borderId="0" applyNumberFormat="0" applyFill="0" applyBorder="0" applyAlignment="0" applyProtection="0">
      <alignment vertical="center"/>
    </xf>
    <xf numFmtId="0" fontId="20" fillId="6" borderId="0" applyNumberFormat="0" applyBorder="0" applyAlignment="0" applyProtection="0">
      <alignment vertical="center"/>
    </xf>
    <xf numFmtId="0" fontId="14" fillId="12" borderId="0" applyNumberFormat="0" applyBorder="0" applyAlignment="0" applyProtection="0">
      <alignment vertical="center"/>
    </xf>
    <xf numFmtId="0" fontId="22" fillId="16" borderId="0" applyNumberFormat="0" applyBorder="0" applyAlignment="0" applyProtection="0">
      <alignment vertical="center"/>
    </xf>
    <xf numFmtId="0" fontId="13" fillId="20" borderId="0" applyNumberFormat="0" applyBorder="0" applyAlignment="0" applyProtection="0">
      <alignment vertical="center"/>
    </xf>
    <xf numFmtId="0" fontId="14" fillId="12" borderId="0" applyNumberFormat="0" applyBorder="0" applyAlignment="0" applyProtection="0">
      <alignment vertical="center"/>
    </xf>
    <xf numFmtId="0" fontId="15" fillId="26" borderId="0" applyNumberFormat="0" applyBorder="0" applyAlignment="0" applyProtection="0">
      <alignment vertical="center"/>
    </xf>
    <xf numFmtId="0" fontId="37" fillId="28" borderId="0" applyNumberFormat="0" applyBorder="0" applyAlignment="0" applyProtection="0">
      <alignment vertical="center"/>
    </xf>
    <xf numFmtId="0" fontId="14" fillId="21" borderId="0" applyNumberFormat="0" applyBorder="0" applyAlignment="0" applyProtection="0">
      <alignment vertical="center"/>
    </xf>
    <xf numFmtId="0" fontId="13" fillId="17" borderId="0" applyNumberFormat="0" applyBorder="0" applyAlignment="0" applyProtection="0">
      <alignment vertical="center"/>
    </xf>
    <xf numFmtId="0" fontId="47" fillId="0" borderId="0" applyNumberFormat="0" applyFill="0" applyBorder="0" applyAlignment="0" applyProtection="0">
      <alignment vertical="center"/>
    </xf>
    <xf numFmtId="0" fontId="14" fillId="32" borderId="0" applyNumberFormat="0" applyBorder="0" applyAlignment="0" applyProtection="0">
      <alignment vertical="center"/>
    </xf>
    <xf numFmtId="0" fontId="47" fillId="0" borderId="36" applyNumberFormat="0" applyFill="0" applyAlignment="0" applyProtection="0">
      <alignment vertical="center"/>
    </xf>
    <xf numFmtId="0" fontId="15" fillId="2" borderId="0" applyNumberFormat="0" applyBorder="0" applyAlignment="0" applyProtection="0">
      <alignment vertical="center"/>
    </xf>
    <xf numFmtId="0" fontId="14" fillId="32" borderId="0" applyNumberFormat="0" applyBorder="0" applyAlignment="0" applyProtection="0">
      <alignment vertical="center"/>
    </xf>
    <xf numFmtId="0" fontId="25" fillId="0" borderId="28" applyNumberFormat="0" applyFill="0" applyAlignment="0" applyProtection="0">
      <alignment vertical="center"/>
    </xf>
    <xf numFmtId="0" fontId="49" fillId="0" borderId="33" applyNumberFormat="0" applyFill="0" applyAlignment="0" applyProtection="0">
      <alignment vertical="center"/>
    </xf>
    <xf numFmtId="0" fontId="14" fillId="32" borderId="0" applyNumberFormat="0" applyBorder="0" applyAlignment="0" applyProtection="0">
      <alignment vertical="center"/>
    </xf>
    <xf numFmtId="0" fontId="59" fillId="0" borderId="0"/>
    <xf numFmtId="0" fontId="29" fillId="6" borderId="29" applyNumberFormat="0" applyAlignment="0" applyProtection="0">
      <alignment vertical="center"/>
    </xf>
    <xf numFmtId="0" fontId="14" fillId="28" borderId="0" applyNumberFormat="0" applyBorder="0" applyAlignment="0" applyProtection="0">
      <alignment vertical="center"/>
    </xf>
    <xf numFmtId="0" fontId="66" fillId="6" borderId="25" applyNumberFormat="0" applyAlignment="0" applyProtection="0">
      <alignment vertical="center"/>
    </xf>
    <xf numFmtId="0" fontId="52" fillId="20" borderId="0" applyNumberFormat="0" applyBorder="0" applyAlignment="0" applyProtection="0">
      <alignment vertical="center"/>
    </xf>
    <xf numFmtId="0" fontId="20" fillId="20" borderId="0" applyNumberFormat="0" applyBorder="0" applyAlignment="0" applyProtection="0">
      <alignment vertical="center"/>
    </xf>
    <xf numFmtId="0" fontId="15" fillId="30" borderId="0" applyNumberFormat="0" applyBorder="0" applyAlignment="0" applyProtection="0">
      <alignment vertical="center"/>
    </xf>
    <xf numFmtId="0" fontId="34" fillId="0" borderId="30" applyNumberFormat="0" applyFill="0" applyAlignment="0" applyProtection="0">
      <alignment vertical="center"/>
    </xf>
    <xf numFmtId="0" fontId="15" fillId="17" borderId="0" applyNumberFormat="0" applyBorder="0" applyAlignment="0" applyProtection="0">
      <alignment vertical="center"/>
    </xf>
    <xf numFmtId="0" fontId="14" fillId="32" borderId="0" applyNumberFormat="0" applyBorder="0" applyAlignment="0" applyProtection="0">
      <alignment vertical="center"/>
    </xf>
    <xf numFmtId="0" fontId="47" fillId="0" borderId="0" applyNumberFormat="0" applyFill="0" applyBorder="0" applyAlignment="0" applyProtection="0">
      <alignment vertical="center"/>
    </xf>
    <xf numFmtId="0" fontId="14" fillId="12" borderId="0" applyNumberFormat="0" applyBorder="0" applyAlignment="0" applyProtection="0">
      <alignment vertical="center"/>
    </xf>
    <xf numFmtId="0" fontId="20" fillId="6" borderId="0" applyNumberFormat="0" applyBorder="0" applyAlignment="0" applyProtection="0">
      <alignment vertical="center"/>
    </xf>
    <xf numFmtId="0" fontId="13" fillId="5" borderId="0" applyNumberFormat="0" applyBorder="0" applyAlignment="0" applyProtection="0">
      <alignment vertical="center"/>
    </xf>
    <xf numFmtId="0" fontId="14" fillId="32"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13" fillId="6" borderId="0" applyNumberFormat="0" applyBorder="0" applyAlignment="0" applyProtection="0">
      <alignment vertical="center"/>
    </xf>
    <xf numFmtId="0" fontId="22" fillId="16" borderId="0" applyNumberFormat="0" applyBorder="0" applyAlignment="0" applyProtection="0">
      <alignment vertical="center"/>
    </xf>
    <xf numFmtId="0" fontId="20" fillId="14" borderId="0" applyNumberFormat="0" applyBorder="0" applyAlignment="0" applyProtection="0">
      <alignment vertical="center"/>
    </xf>
    <xf numFmtId="0" fontId="68" fillId="20" borderId="0" applyNumberFormat="0" applyBorder="0" applyAlignment="0" applyProtection="0">
      <alignment vertical="center"/>
    </xf>
    <xf numFmtId="9" fontId="0" fillId="0" borderId="0" applyFont="0" applyFill="0" applyBorder="0" applyAlignment="0" applyProtection="0">
      <alignment vertical="center"/>
    </xf>
    <xf numFmtId="0" fontId="23" fillId="11" borderId="27" applyNumberFormat="0" applyAlignment="0" applyProtection="0">
      <alignment vertical="center"/>
    </xf>
    <xf numFmtId="0" fontId="26" fillId="0" borderId="0" applyNumberFormat="0" applyFill="0" applyBorder="0" applyAlignment="0" applyProtection="0">
      <alignment vertical="center"/>
    </xf>
    <xf numFmtId="0" fontId="24" fillId="18" borderId="0" applyNumberFormat="0" applyBorder="0" applyAlignment="0" applyProtection="0">
      <alignment vertical="center"/>
    </xf>
    <xf numFmtId="0" fontId="15" fillId="27" borderId="0" applyNumberFormat="0" applyBorder="0" applyAlignment="0" applyProtection="0">
      <alignment vertical="center"/>
    </xf>
    <xf numFmtId="0" fontId="40" fillId="0" borderId="24" applyNumberFormat="0" applyFill="0" applyAlignment="0" applyProtection="0">
      <alignment vertical="center"/>
    </xf>
    <xf numFmtId="0" fontId="69" fillId="0" borderId="24" applyNumberFormat="0" applyFill="0" applyAlignment="0" applyProtection="0">
      <alignment vertical="center"/>
    </xf>
    <xf numFmtId="0" fontId="14" fillId="12" borderId="0" applyNumberFormat="0" applyBorder="0" applyAlignment="0" applyProtection="0">
      <alignment vertical="center"/>
    </xf>
    <xf numFmtId="0" fontId="20" fillId="21" borderId="0" applyNumberFormat="0" applyBorder="0" applyAlignment="0" applyProtection="0">
      <alignment vertical="center"/>
    </xf>
    <xf numFmtId="0" fontId="34" fillId="0" borderId="30" applyNumberFormat="0" applyFill="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8" fillId="0" borderId="0"/>
    <xf numFmtId="0" fontId="57" fillId="0" borderId="34" applyNumberFormat="0" applyFill="0" applyAlignment="0" applyProtection="0">
      <alignment vertical="center"/>
    </xf>
    <xf numFmtId="0" fontId="14" fillId="21" borderId="0" applyNumberFormat="0" applyBorder="0" applyAlignment="0" applyProtection="0">
      <alignment vertical="center"/>
    </xf>
    <xf numFmtId="0" fontId="28" fillId="0" borderId="0" applyNumberFormat="0" applyFill="0" applyBorder="0" applyAlignment="0" applyProtection="0">
      <alignment vertical="center"/>
    </xf>
    <xf numFmtId="0" fontId="14" fillId="21" borderId="0" applyNumberFormat="0" applyBorder="0" applyAlignment="0" applyProtection="0">
      <alignment vertical="center"/>
    </xf>
    <xf numFmtId="0" fontId="57" fillId="0" borderId="34" applyNumberFormat="0" applyFill="0" applyAlignment="0" applyProtection="0">
      <alignment vertical="center"/>
    </xf>
    <xf numFmtId="0" fontId="37" fillId="21" borderId="0" applyNumberFormat="0" applyBorder="0" applyAlignment="0" applyProtection="0">
      <alignment vertical="center"/>
    </xf>
    <xf numFmtId="0" fontId="0" fillId="0" borderId="0">
      <alignment vertical="center"/>
    </xf>
    <xf numFmtId="0" fontId="18" fillId="0" borderId="0"/>
    <xf numFmtId="0" fontId="40" fillId="0" borderId="24" applyNumberFormat="0" applyFill="0" applyAlignment="0" applyProtection="0">
      <alignment vertical="center"/>
    </xf>
    <xf numFmtId="0" fontId="54" fillId="0" borderId="34" applyNumberFormat="0" applyFill="0" applyAlignment="0" applyProtection="0">
      <alignment vertical="center"/>
    </xf>
    <xf numFmtId="0" fontId="16" fillId="0" borderId="24" applyNumberFormat="0" applyFill="0" applyAlignment="0" applyProtection="0">
      <alignment vertical="center"/>
    </xf>
    <xf numFmtId="0" fontId="14" fillId="18" borderId="0" applyNumberFormat="0" applyBorder="0" applyAlignment="0" applyProtection="0">
      <alignment vertical="center"/>
    </xf>
    <xf numFmtId="0" fontId="14" fillId="25" borderId="0" applyNumberFormat="0" applyBorder="0" applyAlignment="0" applyProtection="0">
      <alignment vertical="center"/>
    </xf>
    <xf numFmtId="0" fontId="15" fillId="13" borderId="0" applyNumberFormat="0" applyBorder="0" applyAlignment="0" applyProtection="0">
      <alignment vertical="center"/>
    </xf>
    <xf numFmtId="0" fontId="29" fillId="6" borderId="29" applyNumberFormat="0" applyAlignment="0" applyProtection="0">
      <alignment vertical="center"/>
    </xf>
    <xf numFmtId="0" fontId="36" fillId="0" borderId="0" applyNumberFormat="0" applyFill="0" applyBorder="0" applyAlignment="0" applyProtection="0">
      <alignment vertical="center"/>
    </xf>
    <xf numFmtId="0" fontId="14" fillId="32" borderId="0" applyNumberFormat="0" applyBorder="0" applyAlignment="0" applyProtection="0">
      <alignment vertical="center"/>
    </xf>
    <xf numFmtId="0" fontId="15" fillId="2" borderId="0" applyNumberFormat="0" applyBorder="0" applyAlignment="0" applyProtection="0">
      <alignment vertical="center"/>
    </xf>
    <xf numFmtId="0" fontId="34" fillId="0" borderId="30" applyNumberFormat="0" applyFill="0" applyAlignment="0" applyProtection="0">
      <alignment vertical="center"/>
    </xf>
    <xf numFmtId="0" fontId="35" fillId="6" borderId="25" applyNumberFormat="0" applyAlignment="0" applyProtection="0">
      <alignment vertical="center"/>
    </xf>
    <xf numFmtId="0" fontId="14" fillId="21" borderId="0" applyNumberFormat="0" applyBorder="0" applyAlignment="0" applyProtection="0">
      <alignment vertical="center"/>
    </xf>
    <xf numFmtId="0" fontId="14" fillId="12" borderId="0" applyNumberFormat="0" applyBorder="0" applyAlignment="0" applyProtection="0">
      <alignment vertical="center"/>
    </xf>
    <xf numFmtId="0" fontId="15" fillId="13" borderId="0" applyNumberFormat="0" applyBorder="0" applyAlignment="0" applyProtection="0">
      <alignment vertical="center"/>
    </xf>
    <xf numFmtId="0" fontId="14" fillId="12" borderId="0" applyNumberFormat="0" applyBorder="0" applyAlignment="0" applyProtection="0">
      <alignment vertical="center"/>
    </xf>
    <xf numFmtId="0" fontId="20" fillId="21" borderId="0" applyNumberFormat="0" applyBorder="0" applyAlignment="0" applyProtection="0">
      <alignment vertical="center"/>
    </xf>
    <xf numFmtId="0" fontId="47" fillId="0" borderId="36" applyNumberFormat="0" applyFill="0" applyAlignment="0" applyProtection="0">
      <alignment vertical="center"/>
    </xf>
    <xf numFmtId="0" fontId="14" fillId="32" borderId="0" applyNumberFormat="0" applyBorder="0" applyAlignment="0" applyProtection="0">
      <alignment vertical="center"/>
    </xf>
    <xf numFmtId="0" fontId="14" fillId="24" borderId="0" applyNumberFormat="0" applyBorder="0" applyAlignment="0" applyProtection="0">
      <alignment vertical="center"/>
    </xf>
    <xf numFmtId="0" fontId="67" fillId="0" borderId="0" applyNumberFormat="0" applyFill="0" applyBorder="0" applyAlignment="0" applyProtection="0">
      <alignment vertical="center"/>
    </xf>
    <xf numFmtId="0" fontId="22" fillId="16" borderId="0" applyNumberFormat="0" applyBorder="0" applyAlignment="0" applyProtection="0">
      <alignment vertical="center"/>
    </xf>
    <xf numFmtId="0" fontId="33" fillId="26" borderId="0" applyNumberFormat="0" applyBorder="0" applyAlignment="0" applyProtection="0">
      <alignment vertical="center"/>
    </xf>
    <xf numFmtId="0" fontId="43" fillId="0" borderId="31" applyNumberFormat="0" applyFill="0" applyAlignment="0" applyProtection="0">
      <alignment vertical="center"/>
    </xf>
    <xf numFmtId="0" fontId="21" fillId="0" borderId="0" applyNumberFormat="0" applyFill="0" applyBorder="0" applyAlignment="0" applyProtection="0">
      <alignment vertical="center"/>
    </xf>
    <xf numFmtId="0" fontId="47" fillId="0" borderId="36" applyNumberFormat="0" applyFill="0" applyAlignment="0" applyProtection="0">
      <alignment vertical="center"/>
    </xf>
    <xf numFmtId="0" fontId="14" fillId="32" borderId="0" applyNumberFormat="0" applyBorder="0" applyAlignment="0" applyProtection="0">
      <alignment vertical="center"/>
    </xf>
    <xf numFmtId="0" fontId="35" fillId="6" borderId="25" applyNumberFormat="0" applyAlignment="0" applyProtection="0">
      <alignment vertical="center"/>
    </xf>
    <xf numFmtId="0" fontId="14" fillId="12" borderId="0" applyNumberFormat="0" applyBorder="0" applyAlignment="0" applyProtection="0">
      <alignment vertical="center"/>
    </xf>
    <xf numFmtId="0" fontId="20" fillId="14" borderId="0" applyNumberFormat="0" applyBorder="0" applyAlignment="0" applyProtection="0">
      <alignment vertical="center"/>
    </xf>
    <xf numFmtId="0" fontId="0" fillId="0" borderId="0"/>
    <xf numFmtId="0" fontId="47" fillId="0" borderId="36" applyNumberFormat="0" applyFill="0" applyAlignment="0" applyProtection="0">
      <alignment vertical="center"/>
    </xf>
    <xf numFmtId="0" fontId="34" fillId="0" borderId="30" applyNumberFormat="0" applyFill="0" applyAlignment="0" applyProtection="0">
      <alignment vertical="center"/>
    </xf>
    <xf numFmtId="0" fontId="29" fillId="6" borderId="29" applyNumberFormat="0" applyAlignment="0" applyProtection="0">
      <alignment vertical="center"/>
    </xf>
    <xf numFmtId="0" fontId="15" fillId="23" borderId="0" applyNumberFormat="0" applyBorder="0" applyAlignment="0" applyProtection="0">
      <alignment vertical="center"/>
    </xf>
    <xf numFmtId="0" fontId="52" fillId="20" borderId="0" applyNumberFormat="0" applyBorder="0" applyAlignment="0" applyProtection="0">
      <alignment vertical="center"/>
    </xf>
    <xf numFmtId="0" fontId="43" fillId="0" borderId="31" applyNumberFormat="0" applyFill="0" applyAlignment="0" applyProtection="0">
      <alignment vertical="center"/>
    </xf>
    <xf numFmtId="0" fontId="13" fillId="6" borderId="0" applyNumberFormat="0" applyBorder="0" applyAlignment="0" applyProtection="0">
      <alignment vertical="center"/>
    </xf>
    <xf numFmtId="0" fontId="15" fillId="26" borderId="0" applyNumberFormat="0" applyBorder="0" applyAlignment="0" applyProtection="0">
      <alignment vertical="center"/>
    </xf>
    <xf numFmtId="0" fontId="37" fillId="24" borderId="0" applyNumberFormat="0" applyBorder="0" applyAlignment="0" applyProtection="0">
      <alignment vertical="center"/>
    </xf>
    <xf numFmtId="0" fontId="0" fillId="0" borderId="0">
      <alignment vertical="center"/>
    </xf>
    <xf numFmtId="0" fontId="57" fillId="0" borderId="34" applyNumberFormat="0" applyFill="0" applyAlignment="0" applyProtection="0">
      <alignment vertical="center"/>
    </xf>
    <xf numFmtId="0" fontId="37" fillId="32" borderId="0" applyNumberFormat="0" applyBorder="0" applyAlignment="0" applyProtection="0">
      <alignment vertical="center"/>
    </xf>
    <xf numFmtId="0" fontId="13" fillId="30" borderId="0" applyNumberFormat="0" applyBorder="0" applyAlignment="0" applyProtection="0">
      <alignment vertical="center"/>
    </xf>
    <xf numFmtId="0" fontId="20" fillId="13" borderId="0" applyNumberFormat="0" applyBorder="0" applyAlignment="0" applyProtection="0">
      <alignment vertical="center"/>
    </xf>
    <xf numFmtId="0" fontId="15" fillId="2"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13" fillId="6" borderId="0" applyNumberFormat="0" applyBorder="0" applyAlignment="0" applyProtection="0">
      <alignment vertical="center"/>
    </xf>
    <xf numFmtId="0" fontId="55"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4" fillId="32" borderId="0" applyNumberFormat="0" applyBorder="0" applyAlignment="0" applyProtection="0">
      <alignment vertical="center"/>
    </xf>
    <xf numFmtId="0" fontId="47" fillId="0" borderId="0" applyNumberFormat="0" applyFill="0" applyBorder="0" applyAlignment="0" applyProtection="0">
      <alignment vertical="center"/>
    </xf>
    <xf numFmtId="0" fontId="14" fillId="21" borderId="0" applyNumberFormat="0" applyBorder="0" applyAlignment="0" applyProtection="0">
      <alignment vertical="center"/>
    </xf>
    <xf numFmtId="0" fontId="15" fillId="22" borderId="0" applyNumberFormat="0" applyBorder="0" applyAlignment="0" applyProtection="0">
      <alignment vertical="center"/>
    </xf>
    <xf numFmtId="0" fontId="14" fillId="18" borderId="0" applyNumberFormat="0" applyBorder="0" applyAlignment="0" applyProtection="0">
      <alignment vertical="center"/>
    </xf>
    <xf numFmtId="0" fontId="14" fillId="12" borderId="0" applyNumberFormat="0" applyBorder="0" applyAlignment="0" applyProtection="0">
      <alignment vertical="center"/>
    </xf>
    <xf numFmtId="0" fontId="15" fillId="17" borderId="0" applyNumberFormat="0" applyBorder="0" applyAlignment="0" applyProtection="0">
      <alignment vertical="center"/>
    </xf>
    <xf numFmtId="0" fontId="14" fillId="21" borderId="0" applyNumberFormat="0" applyBorder="0" applyAlignment="0" applyProtection="0">
      <alignment vertical="center"/>
    </xf>
    <xf numFmtId="0" fontId="57" fillId="0" borderId="34" applyNumberFormat="0" applyFill="0" applyAlignment="0" applyProtection="0">
      <alignment vertical="center"/>
    </xf>
    <xf numFmtId="0" fontId="16" fillId="0" borderId="24" applyNumberFormat="0" applyFill="0" applyAlignment="0" applyProtection="0">
      <alignment vertical="center"/>
    </xf>
    <xf numFmtId="0" fontId="14" fillId="13" borderId="0" applyNumberFormat="0" applyBorder="0" applyAlignment="0" applyProtection="0">
      <alignment vertical="center"/>
    </xf>
    <xf numFmtId="0" fontId="15" fillId="30" borderId="0" applyNumberFormat="0" applyBorder="0" applyAlignment="0" applyProtection="0">
      <alignment vertical="center"/>
    </xf>
    <xf numFmtId="0" fontId="15" fillId="22" borderId="0" applyNumberFormat="0" applyBorder="0" applyAlignment="0" applyProtection="0">
      <alignment vertical="center"/>
    </xf>
    <xf numFmtId="0" fontId="14" fillId="21" borderId="0" applyNumberFormat="0" applyBorder="0" applyAlignment="0" applyProtection="0">
      <alignment vertical="center"/>
    </xf>
    <xf numFmtId="0" fontId="14" fillId="21" borderId="0" applyNumberFormat="0" applyBorder="0" applyAlignment="0" applyProtection="0">
      <alignment vertical="center"/>
    </xf>
    <xf numFmtId="0" fontId="22" fillId="16" borderId="0" applyNumberFormat="0" applyBorder="0" applyAlignment="0" applyProtection="0">
      <alignment vertical="center"/>
    </xf>
    <xf numFmtId="0" fontId="18" fillId="0" borderId="0"/>
    <xf numFmtId="0" fontId="14" fillId="14" borderId="0" applyNumberFormat="0" applyBorder="0" applyAlignment="0" applyProtection="0">
      <alignment vertical="center"/>
    </xf>
    <xf numFmtId="0" fontId="14" fillId="25" borderId="0" applyNumberFormat="0" applyBorder="0" applyAlignment="0" applyProtection="0">
      <alignment vertical="center"/>
    </xf>
    <xf numFmtId="0" fontId="43" fillId="0" borderId="31" applyNumberFormat="0" applyFill="0" applyAlignment="0" applyProtection="0">
      <alignment vertical="center"/>
    </xf>
    <xf numFmtId="0" fontId="65" fillId="6" borderId="29" applyNumberFormat="0" applyAlignment="0" applyProtection="0">
      <alignment vertical="center"/>
    </xf>
    <xf numFmtId="0" fontId="14" fillId="29" borderId="0" applyNumberFormat="0" applyBorder="0" applyAlignment="0" applyProtection="0">
      <alignment vertical="center"/>
    </xf>
    <xf numFmtId="0" fontId="14" fillId="18" borderId="0" applyNumberFormat="0" applyBorder="0" applyAlignment="0" applyProtection="0">
      <alignment vertical="center"/>
    </xf>
    <xf numFmtId="0" fontId="25" fillId="0" borderId="28" applyNumberFormat="0" applyFill="0" applyAlignment="0" applyProtection="0">
      <alignment vertical="center"/>
    </xf>
    <xf numFmtId="0" fontId="57" fillId="0" borderId="34" applyNumberFormat="0" applyFill="0" applyAlignment="0" applyProtection="0">
      <alignment vertical="center"/>
    </xf>
    <xf numFmtId="0" fontId="52" fillId="20" borderId="0" applyNumberFormat="0" applyBorder="0" applyAlignment="0" applyProtection="0">
      <alignment vertical="center"/>
    </xf>
    <xf numFmtId="0" fontId="25" fillId="0" borderId="0" applyNumberFormat="0" applyFill="0" applyBorder="0" applyAlignment="0" applyProtection="0">
      <alignment vertical="center"/>
    </xf>
    <xf numFmtId="0" fontId="14" fillId="14" borderId="0" applyNumberFormat="0" applyBorder="0" applyAlignment="0" applyProtection="0">
      <alignment vertical="center"/>
    </xf>
    <xf numFmtId="0" fontId="15" fillId="2" borderId="0" applyNumberFormat="0" applyBorder="0" applyAlignment="0" applyProtection="0">
      <alignment vertical="center"/>
    </xf>
    <xf numFmtId="0" fontId="64" fillId="20" borderId="0" applyNumberFormat="0" applyBorder="0" applyAlignment="0" applyProtection="0">
      <alignment vertical="center"/>
    </xf>
    <xf numFmtId="0" fontId="48" fillId="37" borderId="0" applyNumberFormat="0" applyBorder="0" applyAlignment="0" applyProtection="0">
      <alignment vertical="center"/>
    </xf>
    <xf numFmtId="0" fontId="15" fillId="17" borderId="0" applyNumberFormat="0" applyBorder="0" applyAlignment="0" applyProtection="0">
      <alignment vertical="center"/>
    </xf>
    <xf numFmtId="0" fontId="26" fillId="0" borderId="0" applyNumberFormat="0" applyFill="0" applyBorder="0" applyAlignment="0" applyProtection="0">
      <alignment vertical="center"/>
    </xf>
    <xf numFmtId="0" fontId="14" fillId="21" borderId="0" applyNumberFormat="0" applyBorder="0" applyAlignment="0" applyProtection="0">
      <alignment vertical="center"/>
    </xf>
    <xf numFmtId="0" fontId="58" fillId="11" borderId="27" applyNumberFormat="0" applyAlignment="0" applyProtection="0">
      <alignment vertical="center"/>
    </xf>
    <xf numFmtId="0" fontId="36" fillId="0" borderId="0" applyNumberFormat="0" applyFill="0" applyBorder="0" applyAlignment="0" applyProtection="0">
      <alignment vertical="center"/>
    </xf>
    <xf numFmtId="0" fontId="16" fillId="0" borderId="24" applyNumberFormat="0" applyFill="0" applyAlignment="0" applyProtection="0">
      <alignment vertical="center"/>
    </xf>
    <xf numFmtId="0" fontId="15" fillId="30" borderId="0" applyNumberFormat="0" applyBorder="0" applyAlignment="0" applyProtection="0">
      <alignment vertical="center"/>
    </xf>
    <xf numFmtId="0" fontId="14" fillId="32" borderId="0" applyNumberFormat="0" applyBorder="0" applyAlignment="0" applyProtection="0">
      <alignment vertical="center"/>
    </xf>
    <xf numFmtId="0" fontId="36" fillId="0" borderId="0" applyNumberFormat="0" applyFill="0" applyBorder="0" applyAlignment="0" applyProtection="0">
      <alignment vertical="center"/>
    </xf>
    <xf numFmtId="0" fontId="16" fillId="0" borderId="24" applyNumberFormat="0" applyFill="0" applyAlignment="0" applyProtection="0">
      <alignment vertical="center"/>
    </xf>
    <xf numFmtId="0" fontId="15" fillId="30" borderId="0" applyNumberFormat="0" applyBorder="0" applyAlignment="0" applyProtection="0">
      <alignment vertical="center"/>
    </xf>
    <xf numFmtId="0" fontId="15" fillId="30" borderId="0" applyNumberFormat="0" applyBorder="0" applyAlignment="0" applyProtection="0">
      <alignment vertical="center"/>
    </xf>
    <xf numFmtId="0" fontId="14" fillId="18" borderId="0" applyNumberFormat="0" applyBorder="0" applyAlignment="0" applyProtection="0">
      <alignment vertical="center"/>
    </xf>
    <xf numFmtId="0" fontId="14" fillId="29" borderId="0" applyNumberFormat="0" applyBorder="0" applyAlignment="0" applyProtection="0">
      <alignment vertical="center"/>
    </xf>
    <xf numFmtId="0" fontId="50" fillId="0" borderId="0" applyNumberFormat="0" applyFill="0" applyBorder="0" applyAlignment="0" applyProtection="0">
      <alignment vertical="center"/>
    </xf>
    <xf numFmtId="0" fontId="15" fillId="2" borderId="0" applyNumberFormat="0" applyBorder="0" applyAlignment="0" applyProtection="0">
      <alignment vertical="center"/>
    </xf>
    <xf numFmtId="0" fontId="15" fillId="2" borderId="0" applyNumberFormat="0" applyBorder="0" applyAlignment="0" applyProtection="0">
      <alignment vertical="center"/>
    </xf>
    <xf numFmtId="0" fontId="37" fillId="12" borderId="0" applyNumberFormat="0" applyBorder="0" applyAlignment="0" applyProtection="0">
      <alignment vertical="center"/>
    </xf>
    <xf numFmtId="0" fontId="57" fillId="0" borderId="34" applyNumberFormat="0" applyFill="0" applyAlignment="0" applyProtection="0">
      <alignment vertical="center"/>
    </xf>
    <xf numFmtId="0" fontId="14" fillId="25" borderId="0" applyNumberFormat="0" applyBorder="0" applyAlignment="0" applyProtection="0">
      <alignment vertical="center"/>
    </xf>
    <xf numFmtId="0" fontId="14" fillId="13" borderId="0" applyNumberFormat="0" applyBorder="0" applyAlignment="0" applyProtection="0">
      <alignment vertical="center"/>
    </xf>
    <xf numFmtId="0" fontId="15" fillId="30" borderId="0" applyNumberFormat="0" applyBorder="0" applyAlignment="0" applyProtection="0">
      <alignment vertical="center"/>
    </xf>
    <xf numFmtId="43" fontId="0" fillId="0" borderId="0" applyFont="0" applyFill="0" applyBorder="0" applyAlignment="0" applyProtection="0">
      <alignment vertical="center"/>
    </xf>
    <xf numFmtId="0" fontId="15" fillId="2" borderId="0" applyNumberFormat="0" applyBorder="0" applyAlignment="0" applyProtection="0">
      <alignment vertical="center"/>
    </xf>
    <xf numFmtId="0" fontId="20" fillId="17" borderId="0" applyNumberFormat="0" applyBorder="0" applyAlignment="0" applyProtection="0">
      <alignment vertical="center"/>
    </xf>
    <xf numFmtId="0" fontId="18" fillId="0" borderId="0"/>
    <xf numFmtId="0" fontId="15" fillId="22" borderId="0" applyNumberFormat="0" applyBorder="0" applyAlignment="0" applyProtection="0">
      <alignment vertical="center"/>
    </xf>
    <xf numFmtId="0" fontId="15" fillId="22" borderId="0" applyNumberFormat="0" applyBorder="0" applyAlignment="0" applyProtection="0">
      <alignment vertical="center"/>
    </xf>
    <xf numFmtId="0" fontId="51" fillId="16" borderId="0" applyNumberFormat="0" applyBorder="0" applyAlignment="0" applyProtection="0">
      <alignment vertical="center"/>
    </xf>
    <xf numFmtId="0" fontId="20" fillId="21" borderId="0" applyNumberFormat="0" applyBorder="0" applyAlignment="0" applyProtection="0">
      <alignment vertical="center"/>
    </xf>
    <xf numFmtId="0" fontId="15" fillId="27" borderId="0" applyNumberFormat="0" applyBorder="0" applyAlignment="0" applyProtection="0">
      <alignment vertical="center"/>
    </xf>
    <xf numFmtId="0" fontId="15" fillId="2" borderId="0" applyNumberFormat="0" applyBorder="0" applyAlignment="0" applyProtection="0">
      <alignment vertical="center"/>
    </xf>
    <xf numFmtId="0" fontId="49" fillId="0" borderId="33" applyNumberFormat="0" applyFill="0" applyAlignment="0" applyProtection="0">
      <alignment vertical="center"/>
    </xf>
    <xf numFmtId="43" fontId="0" fillId="0" borderId="0" applyFont="0" applyFill="0" applyBorder="0" applyAlignment="0" applyProtection="0">
      <alignment vertical="center"/>
    </xf>
    <xf numFmtId="0" fontId="13" fillId="5" borderId="0" applyNumberFormat="0" applyBorder="0" applyAlignment="0" applyProtection="0">
      <alignment vertical="center"/>
    </xf>
    <xf numFmtId="0" fontId="20" fillId="21" borderId="0" applyNumberFormat="0" applyBorder="0" applyAlignment="0" applyProtection="0">
      <alignment vertical="center"/>
    </xf>
    <xf numFmtId="0" fontId="15" fillId="23" borderId="0" applyNumberFormat="0" applyBorder="0" applyAlignment="0" applyProtection="0">
      <alignment vertical="center"/>
    </xf>
    <xf numFmtId="0" fontId="13" fillId="23" borderId="0" applyNumberFormat="0" applyBorder="0" applyAlignment="0" applyProtection="0">
      <alignment vertical="center"/>
    </xf>
    <xf numFmtId="0" fontId="23" fillId="11" borderId="27" applyNumberFormat="0" applyAlignment="0" applyProtection="0">
      <alignment vertical="center"/>
    </xf>
    <xf numFmtId="0" fontId="15" fillId="2" borderId="0" applyNumberFormat="0" applyBorder="0" applyAlignment="0" applyProtection="0">
      <alignment vertical="center"/>
    </xf>
    <xf numFmtId="0" fontId="14" fillId="29" borderId="0" applyNumberFormat="0" applyBorder="0" applyAlignment="0" applyProtection="0">
      <alignment vertical="center"/>
    </xf>
    <xf numFmtId="0" fontId="16" fillId="0" borderId="24" applyNumberFormat="0" applyFill="0" applyAlignment="0" applyProtection="0">
      <alignment vertical="center"/>
    </xf>
    <xf numFmtId="0" fontId="15" fillId="23" borderId="0" applyNumberFormat="0" applyBorder="0" applyAlignment="0" applyProtection="0">
      <alignment vertical="center"/>
    </xf>
    <xf numFmtId="0" fontId="24" fillId="26" borderId="0" applyNumberFormat="0" applyBorder="0" applyAlignment="0" applyProtection="0">
      <alignment vertical="center"/>
    </xf>
    <xf numFmtId="0" fontId="51" fillId="16" borderId="0" applyNumberFormat="0" applyBorder="0" applyAlignment="0" applyProtection="0">
      <alignment vertical="center"/>
    </xf>
    <xf numFmtId="0" fontId="33" fillId="26" borderId="0" applyNumberFormat="0" applyBorder="0" applyAlignment="0" applyProtection="0">
      <alignment vertical="center"/>
    </xf>
    <xf numFmtId="0" fontId="15" fillId="18" borderId="0" applyNumberFormat="0" applyBorder="0" applyAlignment="0" applyProtection="0">
      <alignment vertical="center"/>
    </xf>
    <xf numFmtId="0" fontId="35" fillId="6" borderId="25" applyNumberFormat="0" applyAlignment="0" applyProtection="0">
      <alignment vertical="center"/>
    </xf>
    <xf numFmtId="0" fontId="13" fillId="5" borderId="0" applyNumberFormat="0" applyBorder="0" applyAlignment="0" applyProtection="0">
      <alignment vertical="center"/>
    </xf>
    <xf numFmtId="0" fontId="14" fillId="28" borderId="0" applyNumberFormat="0" applyBorder="0" applyAlignment="0" applyProtection="0">
      <alignment vertical="center"/>
    </xf>
    <xf numFmtId="0" fontId="49" fillId="0" borderId="33" applyNumberFormat="0" applyFill="0" applyAlignment="0" applyProtection="0">
      <alignment vertical="center"/>
    </xf>
    <xf numFmtId="0" fontId="15" fillId="2" borderId="0" applyNumberFormat="0" applyBorder="0" applyAlignment="0" applyProtection="0">
      <alignment vertical="center"/>
    </xf>
    <xf numFmtId="0" fontId="22" fillId="16" borderId="0" applyNumberFormat="0" applyBorder="0" applyAlignment="0" applyProtection="0">
      <alignment vertical="center"/>
    </xf>
    <xf numFmtId="0" fontId="18" fillId="0" borderId="0"/>
    <xf numFmtId="0" fontId="13" fillId="6" borderId="0" applyNumberFormat="0" applyBorder="0" applyAlignment="0" applyProtection="0">
      <alignment vertical="center"/>
    </xf>
    <xf numFmtId="0" fontId="15" fillId="2" borderId="0" applyNumberFormat="0" applyBorder="0" applyAlignment="0" applyProtection="0">
      <alignment vertical="center"/>
    </xf>
    <xf numFmtId="0" fontId="15" fillId="2" borderId="0" applyNumberFormat="0" applyBorder="0" applyAlignment="0" applyProtection="0">
      <alignment vertical="center"/>
    </xf>
    <xf numFmtId="0" fontId="14" fillId="28" borderId="0" applyNumberFormat="0" applyBorder="0" applyAlignment="0" applyProtection="0">
      <alignment vertical="center"/>
    </xf>
    <xf numFmtId="0" fontId="13" fillId="5" borderId="0" applyNumberFormat="0" applyBorder="0" applyAlignment="0" applyProtection="0">
      <alignment vertical="center"/>
    </xf>
    <xf numFmtId="0" fontId="14" fillId="28" borderId="0" applyNumberFormat="0" applyBorder="0" applyAlignment="0" applyProtection="0">
      <alignment vertical="center"/>
    </xf>
    <xf numFmtId="0" fontId="35" fillId="6" borderId="25" applyNumberFormat="0" applyAlignment="0" applyProtection="0">
      <alignment vertical="center"/>
    </xf>
    <xf numFmtId="0" fontId="15" fillId="27" borderId="0" applyNumberFormat="0" applyBorder="0" applyAlignment="0" applyProtection="0">
      <alignment vertical="center"/>
    </xf>
    <xf numFmtId="0" fontId="14" fillId="12" borderId="0" applyNumberFormat="0" applyBorder="0" applyAlignment="0" applyProtection="0">
      <alignment vertical="center"/>
    </xf>
    <xf numFmtId="0" fontId="15" fillId="23" borderId="0" applyNumberFormat="0" applyBorder="0" applyAlignment="0" applyProtection="0">
      <alignment vertical="center"/>
    </xf>
    <xf numFmtId="43" fontId="0" fillId="0" borderId="0" applyFont="0" applyFill="0" applyBorder="0" applyAlignment="0" applyProtection="0">
      <alignment vertical="center"/>
    </xf>
    <xf numFmtId="0" fontId="13" fillId="5" borderId="0" applyNumberFormat="0" applyBorder="0" applyAlignment="0" applyProtection="0">
      <alignment vertical="center"/>
    </xf>
    <xf numFmtId="0" fontId="20" fillId="21" borderId="0" applyNumberFormat="0" applyBorder="0" applyAlignment="0" applyProtection="0">
      <alignment vertical="center"/>
    </xf>
    <xf numFmtId="0" fontId="29" fillId="6" borderId="29" applyNumberFormat="0" applyAlignment="0" applyProtection="0">
      <alignment vertical="center"/>
    </xf>
    <xf numFmtId="0" fontId="40" fillId="0" borderId="24" applyNumberFormat="0" applyFill="0" applyAlignment="0" applyProtection="0">
      <alignment vertical="center"/>
    </xf>
    <xf numFmtId="0" fontId="13" fillId="20" borderId="0" applyNumberFormat="0" applyBorder="0" applyAlignment="0" applyProtection="0">
      <alignment vertical="center"/>
    </xf>
    <xf numFmtId="0" fontId="15" fillId="18" borderId="0" applyNumberFormat="0" applyBorder="0" applyAlignment="0" applyProtection="0">
      <alignment vertical="center"/>
    </xf>
    <xf numFmtId="0" fontId="14" fillId="25" borderId="0" applyNumberFormat="0" applyBorder="0" applyAlignment="0" applyProtection="0">
      <alignment vertical="center"/>
    </xf>
    <xf numFmtId="0" fontId="14" fillId="24" borderId="0" applyNumberFormat="0" applyBorder="0" applyAlignment="0" applyProtection="0">
      <alignment vertical="center"/>
    </xf>
    <xf numFmtId="0" fontId="15" fillId="13" borderId="0" applyNumberFormat="0" applyBorder="0" applyAlignment="0" applyProtection="0">
      <alignment vertical="center"/>
    </xf>
    <xf numFmtId="0" fontId="18" fillId="0" borderId="0"/>
    <xf numFmtId="0" fontId="18" fillId="0" borderId="0"/>
    <xf numFmtId="0" fontId="22" fillId="16" borderId="0" applyNumberFormat="0" applyBorder="0" applyAlignment="0" applyProtection="0">
      <alignment vertical="center"/>
    </xf>
    <xf numFmtId="9" fontId="0" fillId="0" borderId="0" applyFont="0" applyFill="0" applyBorder="0" applyAlignment="0" applyProtection="0">
      <alignment vertical="center"/>
    </xf>
    <xf numFmtId="0" fontId="52" fillId="20" borderId="0" applyNumberFormat="0" applyBorder="0" applyAlignment="0" applyProtection="0">
      <alignment vertical="center"/>
    </xf>
    <xf numFmtId="0" fontId="24" fillId="22" borderId="0" applyNumberFormat="0" applyBorder="0" applyAlignment="0" applyProtection="0">
      <alignment vertical="center"/>
    </xf>
    <xf numFmtId="0" fontId="39" fillId="26" borderId="0" applyNumberFormat="0" applyBorder="0" applyAlignment="0" applyProtection="0">
      <alignment vertical="center"/>
    </xf>
    <xf numFmtId="0" fontId="62" fillId="0" borderId="31" applyNumberFormat="0" applyFill="0" applyAlignment="0" applyProtection="0">
      <alignment vertical="center"/>
    </xf>
    <xf numFmtId="0" fontId="14" fillId="29" borderId="0" applyNumberFormat="0" applyBorder="0" applyAlignment="0" applyProtection="0">
      <alignment vertical="center"/>
    </xf>
    <xf numFmtId="0" fontId="37" fillId="18" borderId="0" applyNumberFormat="0" applyBorder="0" applyAlignment="0" applyProtection="0">
      <alignment vertical="center"/>
    </xf>
    <xf numFmtId="0" fontId="14" fillId="12" borderId="0" applyNumberFormat="0" applyBorder="0" applyAlignment="0" applyProtection="0">
      <alignment vertical="center"/>
    </xf>
    <xf numFmtId="0" fontId="15" fillId="22" borderId="0" applyNumberFormat="0" applyBorder="0" applyAlignment="0" applyProtection="0">
      <alignment vertical="center"/>
    </xf>
    <xf numFmtId="0" fontId="14" fillId="29" borderId="0" applyNumberFormat="0" applyBorder="0" applyAlignment="0" applyProtection="0">
      <alignment vertical="center"/>
    </xf>
    <xf numFmtId="0" fontId="57" fillId="0" borderId="34" applyNumberFormat="0" applyFill="0" applyAlignment="0" applyProtection="0">
      <alignment vertical="center"/>
    </xf>
    <xf numFmtId="0" fontId="36" fillId="0" borderId="0" applyNumberFormat="0" applyFill="0" applyBorder="0" applyAlignment="0" applyProtection="0">
      <alignment vertical="center"/>
    </xf>
    <xf numFmtId="0" fontId="16" fillId="0" borderId="24" applyNumberFormat="0" applyFill="0" applyAlignment="0" applyProtection="0">
      <alignment vertical="center"/>
    </xf>
    <xf numFmtId="0" fontId="14" fillId="13" borderId="0" applyNumberFormat="0" applyBorder="0" applyAlignment="0" applyProtection="0">
      <alignment vertical="center"/>
    </xf>
    <xf numFmtId="0" fontId="20" fillId="21" borderId="0" applyNumberFormat="0" applyBorder="0" applyAlignment="0" applyProtection="0">
      <alignment vertical="center"/>
    </xf>
    <xf numFmtId="0" fontId="36" fillId="0" borderId="0" applyNumberFormat="0" applyFill="0" applyBorder="0" applyAlignment="0" applyProtection="0">
      <alignment vertical="center"/>
    </xf>
    <xf numFmtId="0" fontId="19" fillId="17" borderId="25" applyNumberFormat="0" applyAlignment="0" applyProtection="0">
      <alignment vertical="center"/>
    </xf>
    <xf numFmtId="0" fontId="20" fillId="25" borderId="0" applyNumberFormat="0" applyBorder="0" applyAlignment="0" applyProtection="0">
      <alignment vertical="center"/>
    </xf>
    <xf numFmtId="0" fontId="15" fillId="18" borderId="0" applyNumberFormat="0" applyBorder="0" applyAlignment="0" applyProtection="0">
      <alignment vertical="center"/>
    </xf>
    <xf numFmtId="0" fontId="15" fillId="16" borderId="0" applyNumberFormat="0" applyBorder="0" applyAlignment="0" applyProtection="0">
      <alignment vertical="center"/>
    </xf>
    <xf numFmtId="0" fontId="13" fillId="19" borderId="0" applyNumberFormat="0" applyBorder="0" applyAlignment="0" applyProtection="0">
      <alignment vertical="center"/>
    </xf>
    <xf numFmtId="0" fontId="35" fillId="6" borderId="25" applyNumberFormat="0" applyAlignment="0" applyProtection="0">
      <alignment vertical="center"/>
    </xf>
    <xf numFmtId="0" fontId="15" fillId="2" borderId="0" applyNumberFormat="0" applyBorder="0" applyAlignment="0" applyProtection="0">
      <alignment vertical="center"/>
    </xf>
    <xf numFmtId="0" fontId="45" fillId="16" borderId="0" applyNumberFormat="0" applyBorder="0" applyAlignment="0" applyProtection="0">
      <alignment vertical="center"/>
    </xf>
    <xf numFmtId="0" fontId="25" fillId="0" borderId="28" applyNumberFormat="0" applyFill="0" applyAlignment="0" applyProtection="0">
      <alignment vertical="center"/>
    </xf>
    <xf numFmtId="0" fontId="14" fillId="32" borderId="0" applyNumberFormat="0" applyBorder="0" applyAlignment="0" applyProtection="0">
      <alignment vertical="center"/>
    </xf>
    <xf numFmtId="0" fontId="14" fillId="18" borderId="0" applyNumberFormat="0" applyBorder="0" applyAlignment="0" applyProtection="0">
      <alignment vertical="center"/>
    </xf>
    <xf numFmtId="0" fontId="15" fillId="26" borderId="0" applyNumberFormat="0" applyBorder="0" applyAlignment="0" applyProtection="0">
      <alignment vertical="center"/>
    </xf>
    <xf numFmtId="0" fontId="37" fillId="21" borderId="0" applyNumberFormat="0" applyBorder="0" applyAlignment="0" applyProtection="0">
      <alignment vertical="center"/>
    </xf>
    <xf numFmtId="0" fontId="15" fillId="13" borderId="0" applyNumberFormat="0" applyBorder="0" applyAlignment="0" applyProtection="0">
      <alignment vertical="center"/>
    </xf>
    <xf numFmtId="0" fontId="25" fillId="0" borderId="0" applyNumberFormat="0" applyFill="0" applyBorder="0" applyAlignment="0" applyProtection="0">
      <alignment vertical="center"/>
    </xf>
    <xf numFmtId="0" fontId="56" fillId="17" borderId="25" applyNumberFormat="0" applyAlignment="0" applyProtection="0">
      <alignment vertical="center"/>
    </xf>
    <xf numFmtId="0" fontId="62" fillId="0" borderId="31" applyNumberFormat="0" applyFill="0" applyAlignment="0" applyProtection="0">
      <alignment vertical="center"/>
    </xf>
    <xf numFmtId="0" fontId="34" fillId="0" borderId="30" applyNumberFormat="0" applyFill="0" applyAlignment="0" applyProtection="0">
      <alignment vertical="center"/>
    </xf>
    <xf numFmtId="0" fontId="35" fillId="6" borderId="25" applyNumberFormat="0" applyAlignment="0" applyProtection="0">
      <alignment vertical="center"/>
    </xf>
    <xf numFmtId="0" fontId="20" fillId="20" borderId="0" applyNumberFormat="0" applyBorder="0" applyAlignment="0" applyProtection="0">
      <alignment vertical="center"/>
    </xf>
    <xf numFmtId="0" fontId="0" fillId="19" borderId="26" applyNumberFormat="0" applyFont="0" applyAlignment="0" applyProtection="0">
      <alignment vertical="center"/>
    </xf>
    <xf numFmtId="0" fontId="45" fillId="16" borderId="0" applyNumberFormat="0" applyBorder="0" applyAlignment="0" applyProtection="0">
      <alignment vertical="center"/>
    </xf>
    <xf numFmtId="0" fontId="13" fillId="17" borderId="0" applyNumberFormat="0" applyBorder="0" applyAlignment="0" applyProtection="0">
      <alignment vertical="center"/>
    </xf>
    <xf numFmtId="0" fontId="26" fillId="0" borderId="0" applyNumberFormat="0" applyFill="0" applyBorder="0" applyAlignment="0" applyProtection="0">
      <alignment vertical="center"/>
    </xf>
    <xf numFmtId="0" fontId="39" fillId="26" borderId="0" applyNumberFormat="0" applyBorder="0" applyAlignment="0" applyProtection="0">
      <alignment vertical="center"/>
    </xf>
    <xf numFmtId="0" fontId="51" fillId="16" borderId="0" applyNumberFormat="0" applyBorder="0" applyAlignment="0" applyProtection="0">
      <alignment vertical="center"/>
    </xf>
    <xf numFmtId="0" fontId="42" fillId="5" borderId="25" applyNumberFormat="0" applyAlignment="0" applyProtection="0">
      <alignment vertical="center"/>
    </xf>
    <xf numFmtId="0" fontId="46" fillId="0" borderId="32" applyNumberFormat="0" applyFill="0" applyAlignment="0" applyProtection="0">
      <alignment vertical="center"/>
    </xf>
    <xf numFmtId="0" fontId="32" fillId="11" borderId="27" applyNumberFormat="0" applyAlignment="0" applyProtection="0">
      <alignment vertical="center"/>
    </xf>
    <xf numFmtId="0" fontId="20" fillId="13" borderId="0" applyNumberFormat="0" applyBorder="0" applyAlignment="0" applyProtection="0">
      <alignment vertical="center"/>
    </xf>
    <xf numFmtId="0" fontId="13" fillId="30" borderId="0" applyNumberFormat="0" applyBorder="0" applyAlignment="0" applyProtection="0">
      <alignment vertical="center"/>
    </xf>
    <xf numFmtId="0" fontId="14" fillId="14" borderId="0" applyNumberFormat="0" applyBorder="0" applyAlignment="0" applyProtection="0">
      <alignment vertical="center"/>
    </xf>
    <xf numFmtId="0" fontId="25" fillId="0" borderId="0" applyNumberFormat="0" applyFill="0" applyBorder="0" applyAlignment="0" applyProtection="0">
      <alignment vertical="center"/>
    </xf>
    <xf numFmtId="0" fontId="14" fillId="18" borderId="0" applyNumberFormat="0" applyBorder="0" applyAlignment="0" applyProtection="0">
      <alignment vertical="center"/>
    </xf>
    <xf numFmtId="0" fontId="21" fillId="0" borderId="0" applyNumberFormat="0" applyFill="0" applyBorder="0" applyAlignment="0" applyProtection="0">
      <alignment vertical="center"/>
    </xf>
    <xf numFmtId="0" fontId="15" fillId="16" borderId="0" applyNumberFormat="0" applyBorder="0" applyAlignment="0" applyProtection="0">
      <alignment vertical="center"/>
    </xf>
    <xf numFmtId="0" fontId="14" fillId="18" borderId="0" applyNumberFormat="0" applyBorder="0" applyAlignment="0" applyProtection="0">
      <alignment vertical="center"/>
    </xf>
    <xf numFmtId="0" fontId="23" fillId="11" borderId="27" applyNumberFormat="0" applyAlignment="0" applyProtection="0">
      <alignment vertical="center"/>
    </xf>
    <xf numFmtId="0" fontId="48" fillId="41" borderId="0" applyNumberFormat="0" applyBorder="0" applyAlignment="0" applyProtection="0">
      <alignment vertical="center"/>
    </xf>
    <xf numFmtId="0" fontId="48" fillId="39" borderId="0" applyNumberFormat="0" applyBorder="0" applyAlignment="0" applyProtection="0">
      <alignment vertical="center"/>
    </xf>
    <xf numFmtId="0" fontId="14" fillId="12" borderId="0" applyNumberFormat="0" applyBorder="0" applyAlignment="0" applyProtection="0">
      <alignment vertical="center"/>
    </xf>
    <xf numFmtId="0" fontId="15" fillId="2" borderId="0" applyNumberFormat="0" applyBorder="0" applyAlignment="0" applyProtection="0">
      <alignment vertical="center"/>
    </xf>
    <xf numFmtId="0" fontId="14" fillId="24" borderId="0" applyNumberFormat="0" applyBorder="0" applyAlignment="0" applyProtection="0">
      <alignment vertical="center"/>
    </xf>
    <xf numFmtId="0" fontId="20" fillId="21" borderId="0" applyNumberFormat="0" applyBorder="0" applyAlignment="0" applyProtection="0">
      <alignment vertical="center"/>
    </xf>
    <xf numFmtId="0" fontId="15" fillId="30" borderId="0" applyNumberFormat="0" applyBorder="0" applyAlignment="0" applyProtection="0">
      <alignment vertical="center"/>
    </xf>
    <xf numFmtId="0" fontId="43" fillId="0" borderId="31" applyNumberFormat="0" applyFill="0" applyAlignment="0" applyProtection="0">
      <alignment vertical="center"/>
    </xf>
    <xf numFmtId="0" fontId="41" fillId="34" borderId="0" applyNumberFormat="0" applyBorder="0" applyAlignment="0" applyProtection="0">
      <alignment vertical="center"/>
    </xf>
    <xf numFmtId="0" fontId="48" fillId="35" borderId="0" applyNumberFormat="0" applyBorder="0" applyAlignment="0" applyProtection="0">
      <alignment vertical="center"/>
    </xf>
    <xf numFmtId="0" fontId="15" fillId="2" borderId="0" applyNumberFormat="0" applyBorder="0" applyAlignment="0" applyProtection="0">
      <alignment vertical="center"/>
    </xf>
    <xf numFmtId="42" fontId="60" fillId="0" borderId="0" applyFont="0" applyFill="0" applyBorder="0" applyAlignment="0" applyProtection="0">
      <alignment vertical="center"/>
    </xf>
    <xf numFmtId="0" fontId="29" fillId="6" borderId="29" applyNumberFormat="0" applyAlignment="0" applyProtection="0">
      <alignment vertical="center"/>
    </xf>
    <xf numFmtId="0" fontId="0" fillId="19" borderId="26" applyNumberFormat="0" applyFont="0" applyAlignment="0" applyProtection="0">
      <alignment vertical="center"/>
    </xf>
    <xf numFmtId="0" fontId="20" fillId="28" borderId="0" applyNumberFormat="0" applyBorder="0" applyAlignment="0" applyProtection="0">
      <alignment vertical="center"/>
    </xf>
    <xf numFmtId="0" fontId="0" fillId="19" borderId="26" applyNumberFormat="0" applyFont="0" applyAlignment="0" applyProtection="0">
      <alignment vertical="center"/>
    </xf>
    <xf numFmtId="0" fontId="41" fillId="38" borderId="0" applyNumberFormat="0" applyBorder="0" applyAlignment="0" applyProtection="0">
      <alignment vertical="center"/>
    </xf>
    <xf numFmtId="0" fontId="34" fillId="0" borderId="30" applyNumberFormat="0" applyFill="0" applyAlignment="0" applyProtection="0">
      <alignment vertical="center"/>
    </xf>
    <xf numFmtId="0" fontId="19" fillId="17" borderId="25" applyNumberFormat="0" applyAlignment="0" applyProtection="0">
      <alignment vertical="center"/>
    </xf>
    <xf numFmtId="0" fontId="0" fillId="0" borderId="0">
      <alignment vertical="center"/>
    </xf>
    <xf numFmtId="0" fontId="20" fillId="21" borderId="0" applyNumberFormat="0" applyBorder="0" applyAlignment="0" applyProtection="0">
      <alignment vertical="center"/>
    </xf>
    <xf numFmtId="0" fontId="15" fillId="16" borderId="0" applyNumberFormat="0" applyBorder="0" applyAlignment="0" applyProtection="0">
      <alignment vertical="center"/>
    </xf>
    <xf numFmtId="0" fontId="13" fillId="17" borderId="0" applyNumberFormat="0" applyBorder="0" applyAlignment="0" applyProtection="0">
      <alignment vertical="center"/>
    </xf>
    <xf numFmtId="0" fontId="25" fillId="0" borderId="0" applyNumberFormat="0" applyFill="0" applyBorder="0" applyAlignment="0" applyProtection="0">
      <alignment vertical="center"/>
    </xf>
    <xf numFmtId="0" fontId="19" fillId="17" borderId="25" applyNumberFormat="0" applyAlignment="0" applyProtection="0">
      <alignment vertical="center"/>
    </xf>
    <xf numFmtId="0" fontId="71" fillId="0" borderId="38" applyNumberFormat="0" applyFill="0" applyAlignment="0" applyProtection="0">
      <alignment vertical="center"/>
    </xf>
    <xf numFmtId="0" fontId="14" fillId="24" borderId="0" applyNumberFormat="0" applyBorder="0" applyAlignment="0" applyProtection="0">
      <alignment vertical="center"/>
    </xf>
    <xf numFmtId="0" fontId="15" fillId="17" borderId="0" applyNumberFormat="0" applyBorder="0" applyAlignment="0" applyProtection="0">
      <alignment vertical="center"/>
    </xf>
    <xf numFmtId="0" fontId="48" fillId="61" borderId="0" applyNumberFormat="0" applyBorder="0" applyAlignment="0" applyProtection="0">
      <alignment vertical="center"/>
    </xf>
    <xf numFmtId="0" fontId="14" fillId="28" borderId="0" applyNumberFormat="0" applyBorder="0" applyAlignment="0" applyProtection="0">
      <alignment vertical="center"/>
    </xf>
    <xf numFmtId="43" fontId="60" fillId="0" borderId="0" applyFont="0" applyFill="0" applyBorder="0" applyAlignment="0" applyProtection="0">
      <alignment vertical="center"/>
    </xf>
    <xf numFmtId="0" fontId="72" fillId="0" borderId="35" applyNumberFormat="0" applyFill="0" applyAlignment="0" applyProtection="0">
      <alignment vertical="center"/>
    </xf>
    <xf numFmtId="0" fontId="52" fillId="20" borderId="0" applyNumberFormat="0" applyBorder="0" applyAlignment="0" applyProtection="0">
      <alignment vertical="center"/>
    </xf>
    <xf numFmtId="0" fontId="15" fillId="30" borderId="0" applyNumberFormat="0" applyBorder="0" applyAlignment="0" applyProtection="0">
      <alignment vertical="center"/>
    </xf>
    <xf numFmtId="0" fontId="14" fillId="13" borderId="0" applyNumberFormat="0" applyBorder="0" applyAlignment="0" applyProtection="0">
      <alignment vertical="center"/>
    </xf>
    <xf numFmtId="0" fontId="25" fillId="0" borderId="28" applyNumberFormat="0" applyFill="0" applyAlignment="0" applyProtection="0">
      <alignment vertical="center"/>
    </xf>
    <xf numFmtId="0" fontId="14" fillId="21" borderId="0" applyNumberFormat="0" applyBorder="0" applyAlignment="0" applyProtection="0">
      <alignment vertical="center"/>
    </xf>
    <xf numFmtId="0" fontId="22" fillId="16" borderId="0" applyNumberFormat="0" applyBorder="0" applyAlignment="0" applyProtection="0">
      <alignment vertical="center"/>
    </xf>
    <xf numFmtId="0" fontId="0" fillId="0" borderId="0">
      <alignment vertical="center"/>
    </xf>
    <xf numFmtId="0" fontId="53" fillId="0" borderId="0" applyNumberFormat="0" applyFill="0" applyBorder="0" applyAlignment="0" applyProtection="0">
      <alignment vertical="center"/>
    </xf>
    <xf numFmtId="0" fontId="13" fillId="17" borderId="0" applyNumberFormat="0" applyBorder="0" applyAlignment="0" applyProtection="0">
      <alignment vertical="center"/>
    </xf>
    <xf numFmtId="0" fontId="43" fillId="0" borderId="31" applyNumberFormat="0" applyFill="0" applyAlignment="0" applyProtection="0">
      <alignment vertical="center"/>
    </xf>
    <xf numFmtId="0" fontId="25" fillId="0" borderId="0" applyNumberFormat="0" applyFill="0" applyBorder="0" applyAlignment="0" applyProtection="0">
      <alignment vertical="center"/>
    </xf>
    <xf numFmtId="0" fontId="73" fillId="44" borderId="39" applyNumberFormat="0" applyAlignment="0" applyProtection="0">
      <alignment vertical="center"/>
    </xf>
    <xf numFmtId="0" fontId="13" fillId="13" borderId="0" applyNumberFormat="0" applyBorder="0" applyAlignment="0" applyProtection="0">
      <alignment vertical="center"/>
    </xf>
    <xf numFmtId="0" fontId="43" fillId="0" borderId="31" applyNumberFormat="0" applyFill="0" applyAlignment="0" applyProtection="0">
      <alignment vertical="center"/>
    </xf>
    <xf numFmtId="0" fontId="20" fillId="21" borderId="0" applyNumberFormat="0" applyBorder="0" applyAlignment="0" applyProtection="0">
      <alignment vertical="center"/>
    </xf>
    <xf numFmtId="0" fontId="63" fillId="0" borderId="35" applyNumberFormat="0" applyFill="0" applyAlignment="0" applyProtection="0">
      <alignment vertical="center"/>
    </xf>
    <xf numFmtId="0" fontId="0" fillId="19" borderId="26" applyNumberFormat="0" applyFont="0" applyAlignment="0" applyProtection="0">
      <alignment vertical="center"/>
    </xf>
    <xf numFmtId="0" fontId="15" fillId="30" borderId="0" applyNumberFormat="0" applyBorder="0" applyAlignment="0" applyProtection="0">
      <alignment vertical="center"/>
    </xf>
    <xf numFmtId="0" fontId="74" fillId="0" borderId="0" applyNumberFormat="0" applyFill="0" applyBorder="0" applyAlignment="0" applyProtection="0">
      <alignment vertical="center"/>
    </xf>
    <xf numFmtId="0" fontId="56" fillId="17" borderId="25" applyNumberFormat="0" applyAlignment="0" applyProtection="0">
      <alignment vertical="center"/>
    </xf>
    <xf numFmtId="0" fontId="62" fillId="0" borderId="31" applyNumberFormat="0" applyFill="0" applyAlignment="0" applyProtection="0">
      <alignment vertical="center"/>
    </xf>
    <xf numFmtId="0" fontId="43" fillId="0" borderId="31" applyNumberFormat="0" applyFill="0" applyAlignment="0" applyProtection="0">
      <alignment vertical="center"/>
    </xf>
    <xf numFmtId="0" fontId="15" fillId="23" borderId="0" applyNumberFormat="0" applyBorder="0" applyAlignment="0" applyProtection="0">
      <alignment vertical="center"/>
    </xf>
    <xf numFmtId="0" fontId="29" fillId="6" borderId="29" applyNumberFormat="0" applyAlignment="0" applyProtection="0">
      <alignment vertical="center"/>
    </xf>
    <xf numFmtId="0" fontId="75" fillId="0" borderId="31" applyNumberFormat="0" applyFill="0" applyAlignment="0" applyProtection="0">
      <alignment vertical="center"/>
    </xf>
    <xf numFmtId="0" fontId="76" fillId="45" borderId="0" applyNumberFormat="0" applyBorder="0" applyAlignment="0" applyProtection="0">
      <alignment vertical="center"/>
    </xf>
    <xf numFmtId="0" fontId="15" fillId="22" borderId="0" applyNumberFormat="0" applyBorder="0" applyAlignment="0" applyProtection="0">
      <alignment vertical="center"/>
    </xf>
    <xf numFmtId="0" fontId="14" fillId="21" borderId="0" applyNumberFormat="0" applyBorder="0" applyAlignment="0" applyProtection="0">
      <alignment vertical="center"/>
    </xf>
    <xf numFmtId="0" fontId="14" fillId="24" borderId="0" applyNumberFormat="0" applyBorder="0" applyAlignment="0" applyProtection="0">
      <alignment vertical="center"/>
    </xf>
    <xf numFmtId="0" fontId="20" fillId="28" borderId="0" applyNumberFormat="0" applyBorder="0" applyAlignment="0" applyProtection="0">
      <alignment vertical="center"/>
    </xf>
    <xf numFmtId="0" fontId="77" fillId="0" borderId="40" applyNumberFormat="0" applyFill="0" applyAlignment="0" applyProtection="0">
      <alignment vertical="center"/>
    </xf>
    <xf numFmtId="0" fontId="13" fillId="6" borderId="0" applyNumberFormat="0" applyBorder="0" applyAlignment="0" applyProtection="0">
      <alignment vertical="center"/>
    </xf>
    <xf numFmtId="0" fontId="55" fillId="0" borderId="0" applyNumberFormat="0" applyFill="0" applyBorder="0" applyAlignment="0" applyProtection="0">
      <alignment vertical="center"/>
    </xf>
    <xf numFmtId="0" fontId="14" fillId="24" borderId="0" applyNumberFormat="0" applyBorder="0" applyAlignment="0" applyProtection="0">
      <alignment vertical="center"/>
    </xf>
    <xf numFmtId="0" fontId="70" fillId="0" borderId="37" applyNumberFormat="0" applyFill="0" applyAlignment="0" applyProtection="0">
      <alignment vertical="center"/>
    </xf>
    <xf numFmtId="0" fontId="60" fillId="46" borderId="41" applyNumberFormat="0" applyFont="0" applyAlignment="0" applyProtection="0">
      <alignment vertical="center"/>
    </xf>
    <xf numFmtId="0" fontId="14" fillId="12" borderId="0" applyNumberFormat="0" applyBorder="0" applyAlignment="0" applyProtection="0">
      <alignment vertical="center"/>
    </xf>
    <xf numFmtId="0" fontId="39" fillId="26" borderId="0" applyNumberFormat="0" applyBorder="0" applyAlignment="0" applyProtection="0">
      <alignment vertical="center"/>
    </xf>
    <xf numFmtId="0" fontId="78" fillId="0" borderId="0" applyNumberFormat="0" applyFill="0" applyBorder="0" applyAlignment="0" applyProtection="0">
      <alignment vertical="center"/>
    </xf>
    <xf numFmtId="0" fontId="41" fillId="42" borderId="0" applyNumberFormat="0" applyBorder="0" applyAlignment="0" applyProtection="0">
      <alignment vertical="center"/>
    </xf>
    <xf numFmtId="0" fontId="20" fillId="33" borderId="0" applyNumberFormat="0" applyBorder="0" applyAlignment="0" applyProtection="0">
      <alignment vertical="center"/>
    </xf>
    <xf numFmtId="0" fontId="48" fillId="47" borderId="0" applyNumberFormat="0" applyBorder="0" applyAlignment="0" applyProtection="0">
      <alignment vertical="center"/>
    </xf>
    <xf numFmtId="0" fontId="15" fillId="22" borderId="0" applyNumberFormat="0" applyBorder="0" applyAlignment="0" applyProtection="0">
      <alignment vertical="center"/>
    </xf>
    <xf numFmtId="0" fontId="15" fillId="30" borderId="0" applyNumberFormat="0" applyBorder="0" applyAlignment="0" applyProtection="0">
      <alignment vertical="center"/>
    </xf>
    <xf numFmtId="0" fontId="48" fillId="59" borderId="0" applyNumberFormat="0" applyBorder="0" applyAlignment="0" applyProtection="0">
      <alignment vertical="center"/>
    </xf>
    <xf numFmtId="0" fontId="20" fillId="28" borderId="0" applyNumberFormat="0" applyBorder="0" applyAlignment="0" applyProtection="0">
      <alignment vertical="center"/>
    </xf>
    <xf numFmtId="0" fontId="45" fillId="16" borderId="0" applyNumberFormat="0" applyBorder="0" applyAlignment="0" applyProtection="0">
      <alignment vertical="center"/>
    </xf>
    <xf numFmtId="0" fontId="14" fillId="18" borderId="0" applyNumberFormat="0" applyBorder="0" applyAlignment="0" applyProtection="0">
      <alignment vertical="center"/>
    </xf>
    <xf numFmtId="0" fontId="15" fillId="27" borderId="0" applyNumberFormat="0" applyBorder="0" applyAlignment="0" applyProtection="0">
      <alignment vertical="center"/>
    </xf>
    <xf numFmtId="0" fontId="14" fillId="32" borderId="0" applyNumberFormat="0" applyBorder="0" applyAlignment="0" applyProtection="0">
      <alignment vertical="center"/>
    </xf>
    <xf numFmtId="0" fontId="41" fillId="60" borderId="0" applyNumberFormat="0" applyBorder="0" applyAlignment="0" applyProtection="0">
      <alignment vertical="center"/>
    </xf>
    <xf numFmtId="0" fontId="42" fillId="5" borderId="25" applyNumberFormat="0" applyAlignment="0" applyProtection="0">
      <alignment vertical="center"/>
    </xf>
    <xf numFmtId="0" fontId="48" fillId="49" borderId="0" applyNumberFormat="0" applyBorder="0" applyAlignment="0" applyProtection="0">
      <alignment vertical="center"/>
    </xf>
    <xf numFmtId="0" fontId="79" fillId="0" borderId="0" applyNumberFormat="0" applyFill="0" applyBorder="0" applyAlignment="0" applyProtection="0">
      <alignment vertical="center"/>
    </xf>
    <xf numFmtId="0" fontId="15" fillId="13" borderId="0" applyNumberFormat="0" applyBorder="0" applyAlignment="0" applyProtection="0">
      <alignment vertical="center"/>
    </xf>
    <xf numFmtId="0" fontId="5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9" fillId="26" borderId="0" applyNumberFormat="0" applyBorder="0" applyAlignment="0" applyProtection="0">
      <alignment vertical="center"/>
    </xf>
    <xf numFmtId="0" fontId="15" fillId="18" borderId="0" applyNumberFormat="0" applyBorder="0" applyAlignment="0" applyProtection="0">
      <alignment vertical="center"/>
    </xf>
    <xf numFmtId="0" fontId="77" fillId="0" borderId="0" applyNumberFormat="0" applyFill="0" applyBorder="0" applyAlignment="0" applyProtection="0">
      <alignment vertical="center"/>
    </xf>
    <xf numFmtId="0" fontId="13" fillId="6" borderId="0" applyNumberFormat="0" applyBorder="0" applyAlignment="0" applyProtection="0">
      <alignment vertical="center"/>
    </xf>
    <xf numFmtId="0" fontId="55" fillId="0" borderId="0" applyNumberFormat="0" applyFill="0" applyBorder="0" applyAlignment="0" applyProtection="0">
      <alignment vertical="center"/>
    </xf>
    <xf numFmtId="0" fontId="20" fillId="33" borderId="0" applyNumberFormat="0" applyBorder="0" applyAlignment="0" applyProtection="0">
      <alignment vertical="center"/>
    </xf>
    <xf numFmtId="0" fontId="37" fillId="13" borderId="0" applyNumberFormat="0" applyBorder="0" applyAlignment="0" applyProtection="0">
      <alignment vertical="center"/>
    </xf>
    <xf numFmtId="0" fontId="25" fillId="0" borderId="0" applyNumberFormat="0" applyFill="0" applyBorder="0" applyAlignment="0" applyProtection="0">
      <alignment vertical="center"/>
    </xf>
    <xf numFmtId="0" fontId="56" fillId="17" borderId="25" applyNumberFormat="0" applyAlignment="0" applyProtection="0">
      <alignment vertical="center"/>
    </xf>
    <xf numFmtId="0" fontId="43" fillId="0" borderId="31" applyNumberFormat="0" applyFill="0" applyAlignment="0" applyProtection="0">
      <alignment vertical="center"/>
    </xf>
    <xf numFmtId="0" fontId="13" fillId="17" borderId="0" applyNumberFormat="0" applyBorder="0" applyAlignment="0" applyProtection="0">
      <alignment vertical="center"/>
    </xf>
    <xf numFmtId="0" fontId="80" fillId="50" borderId="0" applyNumberFormat="0" applyBorder="0" applyAlignment="0" applyProtection="0">
      <alignment vertical="center"/>
    </xf>
    <xf numFmtId="0" fontId="41" fillId="51" borderId="0" applyNumberFormat="0" applyBorder="0" applyAlignment="0" applyProtection="0">
      <alignment vertical="center"/>
    </xf>
    <xf numFmtId="0" fontId="20" fillId="33" borderId="0" applyNumberFormat="0" applyBorder="0" applyAlignment="0" applyProtection="0">
      <alignment vertical="center"/>
    </xf>
    <xf numFmtId="0" fontId="14" fillId="21" borderId="0" applyNumberFormat="0" applyBorder="0" applyAlignment="0" applyProtection="0">
      <alignment vertical="center"/>
    </xf>
    <xf numFmtId="0" fontId="39" fillId="26" borderId="0" applyNumberFormat="0" applyBorder="0" applyAlignment="0" applyProtection="0">
      <alignment vertical="center"/>
    </xf>
    <xf numFmtId="0" fontId="36" fillId="0" borderId="0" applyNumberFormat="0" applyFill="0" applyBorder="0" applyAlignment="0" applyProtection="0">
      <alignment vertical="center"/>
    </xf>
    <xf numFmtId="0" fontId="13" fillId="17" borderId="0" applyNumberFormat="0" applyBorder="0" applyAlignment="0" applyProtection="0">
      <alignment vertical="center"/>
    </xf>
    <xf numFmtId="0" fontId="42" fillId="5" borderId="25" applyNumberFormat="0" applyAlignment="0" applyProtection="0">
      <alignment vertical="center"/>
    </xf>
    <xf numFmtId="0" fontId="41" fillId="56" borderId="0" applyNumberFormat="0" applyBorder="0" applyAlignment="0" applyProtection="0">
      <alignment vertical="center"/>
    </xf>
    <xf numFmtId="0" fontId="20" fillId="33" borderId="0" applyNumberFormat="0" applyBorder="0" applyAlignment="0" applyProtection="0">
      <alignment vertical="center"/>
    </xf>
    <xf numFmtId="0" fontId="56" fillId="17" borderId="25" applyNumberFormat="0" applyAlignment="0" applyProtection="0">
      <alignment vertical="center"/>
    </xf>
    <xf numFmtId="0" fontId="25" fillId="0" borderId="0" applyNumberFormat="0" applyFill="0" applyBorder="0" applyAlignment="0" applyProtection="0">
      <alignment vertical="center"/>
    </xf>
    <xf numFmtId="0" fontId="43" fillId="0" borderId="31" applyNumberFormat="0" applyFill="0" applyAlignment="0" applyProtection="0">
      <alignment vertical="center"/>
    </xf>
    <xf numFmtId="0" fontId="23" fillId="11" borderId="27" applyNumberFormat="0" applyAlignment="0" applyProtection="0">
      <alignment vertical="center"/>
    </xf>
    <xf numFmtId="0" fontId="39" fillId="26" borderId="0" applyNumberFormat="0" applyBorder="0" applyAlignment="0" applyProtection="0">
      <alignment vertical="center"/>
    </xf>
    <xf numFmtId="0" fontId="14" fillId="28" borderId="0" applyNumberFormat="0" applyBorder="0" applyAlignment="0" applyProtection="0">
      <alignment vertical="center"/>
    </xf>
    <xf numFmtId="0" fontId="15" fillId="26" borderId="0" applyNumberFormat="0" applyBorder="0" applyAlignment="0" applyProtection="0">
      <alignment vertical="center"/>
    </xf>
    <xf numFmtId="0" fontId="13" fillId="13" borderId="0" applyNumberFormat="0" applyBorder="0" applyAlignment="0" applyProtection="0">
      <alignment vertical="center"/>
    </xf>
    <xf numFmtId="0" fontId="14" fillId="13" borderId="0" applyNumberFormat="0" applyBorder="0" applyAlignment="0" applyProtection="0">
      <alignment vertical="center"/>
    </xf>
    <xf numFmtId="0" fontId="26" fillId="0" borderId="0" applyNumberFormat="0" applyFill="0" applyBorder="0" applyAlignment="0" applyProtection="0">
      <alignment vertical="center"/>
    </xf>
    <xf numFmtId="0" fontId="34" fillId="0" borderId="30" applyNumberFormat="0" applyFill="0" applyAlignment="0" applyProtection="0">
      <alignment vertical="center"/>
    </xf>
    <xf numFmtId="0" fontId="15" fillId="27" borderId="0" applyNumberFormat="0" applyBorder="0" applyAlignment="0" applyProtection="0">
      <alignment vertical="center"/>
    </xf>
    <xf numFmtId="0" fontId="20" fillId="17" borderId="0" applyNumberFormat="0" applyBorder="0" applyAlignment="0" applyProtection="0">
      <alignment vertical="center"/>
    </xf>
    <xf numFmtId="0" fontId="41" fillId="40" borderId="0" applyNumberFormat="0" applyBorder="0" applyAlignment="0" applyProtection="0">
      <alignment vertical="center"/>
    </xf>
    <xf numFmtId="0" fontId="25" fillId="0" borderId="0" applyNumberFormat="0" applyFill="0" applyBorder="0" applyAlignment="0" applyProtection="0">
      <alignment vertical="center"/>
    </xf>
    <xf numFmtId="0" fontId="19" fillId="17" borderId="25" applyNumberFormat="0" applyAlignment="0" applyProtection="0">
      <alignment vertical="center"/>
    </xf>
    <xf numFmtId="0" fontId="13" fillId="20" borderId="0" applyNumberFormat="0" applyBorder="0" applyAlignment="0" applyProtection="0">
      <alignment vertical="center"/>
    </xf>
    <xf numFmtId="0" fontId="15" fillId="26" borderId="0" applyNumberFormat="0" applyBorder="0" applyAlignment="0" applyProtection="0">
      <alignment vertical="center"/>
    </xf>
    <xf numFmtId="0" fontId="48" fillId="53" borderId="0" applyNumberFormat="0" applyBorder="0" applyAlignment="0" applyProtection="0">
      <alignment vertical="center"/>
    </xf>
    <xf numFmtId="0" fontId="20" fillId="28" borderId="0" applyNumberFormat="0" applyBorder="0" applyAlignment="0" applyProtection="0">
      <alignment vertical="center"/>
    </xf>
    <xf numFmtId="0" fontId="15" fillId="18" borderId="0" applyNumberFormat="0" applyBorder="0" applyAlignment="0" applyProtection="0">
      <alignment vertical="center"/>
    </xf>
    <xf numFmtId="0" fontId="15" fillId="27" borderId="0" applyNumberFormat="0" applyBorder="0" applyAlignment="0" applyProtection="0">
      <alignment vertical="center"/>
    </xf>
    <xf numFmtId="0" fontId="20" fillId="17" borderId="0" applyNumberFormat="0" applyBorder="0" applyAlignment="0" applyProtection="0">
      <alignment vertical="center"/>
    </xf>
    <xf numFmtId="0" fontId="28" fillId="0" borderId="0" applyNumberFormat="0" applyFill="0" applyBorder="0" applyAlignment="0" applyProtection="0">
      <alignment vertical="center"/>
    </xf>
    <xf numFmtId="0" fontId="14" fillId="28" borderId="0" applyNumberFormat="0" applyBorder="0" applyAlignment="0" applyProtection="0">
      <alignment vertical="center"/>
    </xf>
    <xf numFmtId="0" fontId="32" fillId="11" borderId="27" applyNumberFormat="0" applyAlignment="0" applyProtection="0">
      <alignment vertical="center"/>
    </xf>
    <xf numFmtId="0" fontId="0" fillId="0" borderId="0">
      <alignment vertical="center"/>
    </xf>
    <xf numFmtId="0" fontId="14" fillId="29" borderId="0" applyNumberFormat="0" applyBorder="0" applyAlignment="0" applyProtection="0">
      <alignment vertical="center"/>
    </xf>
    <xf numFmtId="0" fontId="15" fillId="22" borderId="0" applyNumberFormat="0" applyBorder="0" applyAlignment="0" applyProtection="0">
      <alignment vertical="center"/>
    </xf>
    <xf numFmtId="0" fontId="14" fillId="28" borderId="0" applyNumberFormat="0" applyBorder="0" applyAlignment="0" applyProtection="0">
      <alignment vertical="center"/>
    </xf>
    <xf numFmtId="0" fontId="81" fillId="54" borderId="42" applyNumberFormat="0" applyAlignment="0" applyProtection="0">
      <alignment vertical="center"/>
    </xf>
    <xf numFmtId="0" fontId="14" fillId="29" borderId="0" applyNumberFormat="0" applyBorder="0" applyAlignment="0" applyProtection="0">
      <alignment vertical="center"/>
    </xf>
    <xf numFmtId="0" fontId="15" fillId="23" borderId="0" applyNumberFormat="0" applyBorder="0" applyAlignment="0" applyProtection="0">
      <alignment vertical="center"/>
    </xf>
    <xf numFmtId="0" fontId="55" fillId="0" borderId="0" applyNumberFormat="0" applyFill="0" applyBorder="0" applyAlignment="0" applyProtection="0">
      <alignment vertical="center"/>
    </xf>
    <xf numFmtId="0" fontId="22" fillId="16" borderId="0" applyNumberFormat="0" applyBorder="0" applyAlignment="0" applyProtection="0">
      <alignment vertical="center"/>
    </xf>
    <xf numFmtId="0" fontId="23" fillId="11" borderId="27" applyNumberFormat="0" applyAlignment="0" applyProtection="0">
      <alignment vertical="center"/>
    </xf>
    <xf numFmtId="0" fontId="15" fillId="22" borderId="0" applyNumberFormat="0" applyBorder="0" applyAlignment="0" applyProtection="0">
      <alignment vertical="center"/>
    </xf>
    <xf numFmtId="0" fontId="19" fillId="17" borderId="25" applyNumberFormat="0" applyAlignment="0" applyProtection="0">
      <alignment vertical="center"/>
    </xf>
    <xf numFmtId="0" fontId="34" fillId="0" borderId="30" applyNumberFormat="0" applyFill="0" applyAlignment="0" applyProtection="0">
      <alignment vertical="center"/>
    </xf>
    <xf numFmtId="0" fontId="42" fillId="5" borderId="25" applyNumberFormat="0" applyAlignment="0" applyProtection="0">
      <alignment vertical="center"/>
    </xf>
    <xf numFmtId="0" fontId="57" fillId="0" borderId="34" applyNumberFormat="0" applyFill="0" applyAlignment="0" applyProtection="0">
      <alignment vertical="center"/>
    </xf>
    <xf numFmtId="0" fontId="20" fillId="13" borderId="0" applyNumberFormat="0" applyBorder="0" applyAlignment="0" applyProtection="0">
      <alignment vertical="center"/>
    </xf>
    <xf numFmtId="0" fontId="14" fillId="25" borderId="0" applyNumberFormat="0" applyBorder="0" applyAlignment="0" applyProtection="0">
      <alignment vertical="center"/>
    </xf>
    <xf numFmtId="0" fontId="16" fillId="0" borderId="24" applyNumberFormat="0" applyFill="0" applyAlignment="0" applyProtection="0">
      <alignment vertical="center"/>
    </xf>
    <xf numFmtId="0" fontId="35" fillId="6" borderId="25" applyNumberFormat="0" applyAlignment="0" applyProtection="0">
      <alignment vertical="center"/>
    </xf>
    <xf numFmtId="0" fontId="35" fillId="6" borderId="25" applyNumberFormat="0" applyAlignment="0" applyProtection="0">
      <alignment vertical="center"/>
    </xf>
    <xf numFmtId="0" fontId="39" fillId="26" borderId="0" applyNumberFormat="0" applyBorder="0" applyAlignment="0" applyProtection="0">
      <alignment vertical="center"/>
    </xf>
    <xf numFmtId="0" fontId="52" fillId="20" borderId="0" applyNumberFormat="0" applyBorder="0" applyAlignment="0" applyProtection="0">
      <alignment vertical="center"/>
    </xf>
    <xf numFmtId="0" fontId="15" fillId="18" borderId="0" applyNumberFormat="0" applyBorder="0" applyAlignment="0" applyProtection="0">
      <alignment vertical="center"/>
    </xf>
    <xf numFmtId="0" fontId="39" fillId="26" borderId="0" applyNumberFormat="0" applyBorder="0" applyAlignment="0" applyProtection="0">
      <alignment vertical="center"/>
    </xf>
    <xf numFmtId="0" fontId="55" fillId="0" borderId="0" applyNumberFormat="0" applyFill="0" applyBorder="0" applyAlignment="0" applyProtection="0">
      <alignment vertical="center"/>
    </xf>
    <xf numFmtId="0" fontId="15" fillId="18" borderId="0" applyNumberFormat="0" applyBorder="0" applyAlignment="0" applyProtection="0">
      <alignment vertical="center"/>
    </xf>
    <xf numFmtId="0" fontId="19" fillId="17" borderId="25" applyNumberFormat="0" applyAlignment="0" applyProtection="0">
      <alignment vertical="center"/>
    </xf>
    <xf numFmtId="0" fontId="70" fillId="0" borderId="37" applyNumberFormat="0" applyFill="0" applyAlignment="0" applyProtection="0">
      <alignment vertical="center"/>
    </xf>
    <xf numFmtId="0" fontId="19" fillId="17" borderId="25" applyNumberFormat="0" applyAlignment="0" applyProtection="0">
      <alignment vertical="center"/>
    </xf>
    <xf numFmtId="0" fontId="14" fillId="24" borderId="0" applyNumberFormat="0" applyBorder="0" applyAlignment="0" applyProtection="0">
      <alignment vertical="center"/>
    </xf>
    <xf numFmtId="0" fontId="19" fillId="17" borderId="25" applyNumberFormat="0" applyAlignment="0" applyProtection="0">
      <alignment vertical="center"/>
    </xf>
    <xf numFmtId="0" fontId="70" fillId="0" borderId="37" applyNumberFormat="0" applyFill="0" applyAlignment="0" applyProtection="0">
      <alignment vertical="center"/>
    </xf>
    <xf numFmtId="0" fontId="19" fillId="17" borderId="25" applyNumberFormat="0" applyAlignment="0" applyProtection="0">
      <alignment vertical="center"/>
    </xf>
    <xf numFmtId="0" fontId="14" fillId="28" borderId="0" applyNumberFormat="0" applyBorder="0" applyAlignment="0" applyProtection="0">
      <alignment vertical="center"/>
    </xf>
    <xf numFmtId="0" fontId="32" fillId="11" borderId="27" applyNumberFormat="0" applyAlignment="0" applyProtection="0">
      <alignment vertical="center"/>
    </xf>
    <xf numFmtId="0" fontId="15" fillId="18" borderId="0" applyNumberFormat="0" applyBorder="0" applyAlignment="0" applyProtection="0">
      <alignment vertical="center"/>
    </xf>
    <xf numFmtId="0" fontId="55" fillId="0" borderId="0" applyNumberFormat="0" applyFill="0" applyBorder="0" applyAlignment="0" applyProtection="0">
      <alignment vertical="center"/>
    </xf>
    <xf numFmtId="0" fontId="15" fillId="26" borderId="0" applyNumberFormat="0" applyBorder="0" applyAlignment="0" applyProtection="0">
      <alignment vertical="center"/>
    </xf>
    <xf numFmtId="0" fontId="23" fillId="11" borderId="27" applyNumberFormat="0" applyAlignment="0" applyProtection="0">
      <alignment vertical="center"/>
    </xf>
    <xf numFmtId="0" fontId="14" fillId="28" borderId="0" applyNumberFormat="0" applyBorder="0" applyAlignment="0" applyProtection="0">
      <alignment vertical="center"/>
    </xf>
    <xf numFmtId="0" fontId="82" fillId="55" borderId="39" applyNumberFormat="0" applyAlignment="0" applyProtection="0">
      <alignment vertical="center"/>
    </xf>
    <xf numFmtId="0" fontId="35" fillId="6" borderId="25" applyNumberFormat="0" applyAlignment="0" applyProtection="0">
      <alignment vertical="center"/>
    </xf>
    <xf numFmtId="0" fontId="61" fillId="5" borderId="29" applyNumberFormat="0" applyAlignment="0" applyProtection="0">
      <alignment vertical="center"/>
    </xf>
    <xf numFmtId="0" fontId="68" fillId="20" borderId="0" applyNumberFormat="0" applyBorder="0" applyAlignment="0" applyProtection="0">
      <alignment vertical="center"/>
    </xf>
    <xf numFmtId="0" fontId="23" fillId="11" borderId="27" applyNumberFormat="0" applyAlignment="0" applyProtection="0">
      <alignment vertical="center"/>
    </xf>
    <xf numFmtId="0" fontId="40" fillId="0" borderId="24" applyNumberFormat="0" applyFill="0" applyAlignment="0" applyProtection="0">
      <alignment vertical="center"/>
    </xf>
    <xf numFmtId="0" fontId="44" fillId="0" borderId="0" applyNumberFormat="0" applyFill="0" applyBorder="0" applyAlignment="0" applyProtection="0">
      <alignment vertical="center"/>
    </xf>
    <xf numFmtId="0" fontId="13" fillId="6" borderId="0" applyNumberFormat="0" applyBorder="0" applyAlignment="0" applyProtection="0">
      <alignment vertical="center"/>
    </xf>
    <xf numFmtId="0" fontId="51" fillId="16" borderId="0" applyNumberFormat="0" applyBorder="0" applyAlignment="0" applyProtection="0">
      <alignment vertical="center"/>
    </xf>
    <xf numFmtId="0" fontId="39" fillId="26" borderId="0" applyNumberFormat="0" applyBorder="0" applyAlignment="0" applyProtection="0">
      <alignment vertical="center"/>
    </xf>
    <xf numFmtId="0" fontId="47" fillId="0" borderId="0" applyNumberFormat="0" applyFill="0" applyBorder="0" applyAlignment="0" applyProtection="0">
      <alignment vertical="center"/>
    </xf>
    <xf numFmtId="0" fontId="15" fillId="23" borderId="0" applyNumberFormat="0" applyBorder="0" applyAlignment="0" applyProtection="0">
      <alignment vertical="center"/>
    </xf>
    <xf numFmtId="0" fontId="51" fillId="16" borderId="0" applyNumberFormat="0" applyBorder="0" applyAlignment="0" applyProtection="0">
      <alignment vertical="center"/>
    </xf>
    <xf numFmtId="0" fontId="52" fillId="20" borderId="0" applyNumberFormat="0" applyBorder="0" applyAlignment="0" applyProtection="0">
      <alignment vertical="center"/>
    </xf>
    <xf numFmtId="0" fontId="61" fillId="5" borderId="29" applyNumberFormat="0" applyAlignment="0" applyProtection="0">
      <alignment vertical="center"/>
    </xf>
    <xf numFmtId="0" fontId="15" fillId="23" borderId="0" applyNumberFormat="0" applyBorder="0" applyAlignment="0" applyProtection="0">
      <alignment vertical="center"/>
    </xf>
    <xf numFmtId="0" fontId="13" fillId="30" borderId="0" applyNumberFormat="0" applyBorder="0" applyAlignment="0" applyProtection="0">
      <alignment vertical="center"/>
    </xf>
    <xf numFmtId="0" fontId="33" fillId="26" borderId="0" applyNumberFormat="0" applyBorder="0" applyAlignment="0" applyProtection="0">
      <alignment vertical="center"/>
    </xf>
    <xf numFmtId="0" fontId="14" fillId="12" borderId="0" applyNumberFormat="0" applyBorder="0" applyAlignment="0" applyProtection="0">
      <alignment vertical="center"/>
    </xf>
    <xf numFmtId="0" fontId="15" fillId="2" borderId="0" applyNumberFormat="0" applyBorder="0" applyAlignment="0" applyProtection="0">
      <alignment vertical="center"/>
    </xf>
    <xf numFmtId="0" fontId="55" fillId="0" borderId="0" applyNumberFormat="0" applyFill="0" applyBorder="0" applyAlignment="0" applyProtection="0">
      <alignment vertical="center"/>
    </xf>
    <xf numFmtId="0" fontId="33" fillId="26" borderId="0" applyNumberFormat="0" applyBorder="0" applyAlignment="0" applyProtection="0">
      <alignment vertical="center"/>
    </xf>
    <xf numFmtId="0" fontId="38" fillId="26" borderId="0" applyNumberFormat="0" applyBorder="0" applyAlignment="0" applyProtection="0">
      <alignment vertical="center"/>
    </xf>
    <xf numFmtId="0" fontId="52" fillId="20" borderId="0" applyNumberFormat="0" applyBorder="0" applyAlignment="0" applyProtection="0">
      <alignment vertical="center"/>
    </xf>
    <xf numFmtId="0" fontId="15" fillId="18" borderId="0" applyNumberFormat="0" applyBorder="0" applyAlignment="0" applyProtection="0">
      <alignment vertical="center"/>
    </xf>
    <xf numFmtId="0" fontId="39" fillId="26" borderId="0" applyNumberFormat="0" applyBorder="0" applyAlignment="0" applyProtection="0">
      <alignment vertical="center"/>
    </xf>
    <xf numFmtId="41" fontId="60" fillId="0" borderId="0" applyFont="0" applyFill="0" applyBorder="0" applyAlignment="0" applyProtection="0">
      <alignment vertical="center"/>
    </xf>
    <xf numFmtId="0" fontId="25" fillId="0" borderId="0" applyNumberFormat="0" applyFill="0" applyBorder="0" applyAlignment="0" applyProtection="0">
      <alignment vertical="center"/>
    </xf>
    <xf numFmtId="0" fontId="0" fillId="0" borderId="0">
      <alignment vertical="center"/>
    </xf>
    <xf numFmtId="0" fontId="38" fillId="26" borderId="0" applyNumberFormat="0" applyBorder="0" applyAlignment="0" applyProtection="0">
      <alignment vertical="center"/>
    </xf>
    <xf numFmtId="0" fontId="45" fillId="16" borderId="0" applyNumberFormat="0" applyBorder="0" applyAlignment="0" applyProtection="0">
      <alignment vertical="center"/>
    </xf>
    <xf numFmtId="0" fontId="0" fillId="0" borderId="0">
      <alignment vertical="center"/>
    </xf>
    <xf numFmtId="0" fontId="43" fillId="0" borderId="31" applyNumberFormat="0" applyFill="0" applyAlignment="0" applyProtection="0">
      <alignment vertical="center"/>
    </xf>
    <xf numFmtId="0" fontId="45" fillId="16" borderId="0" applyNumberFormat="0" applyBorder="0" applyAlignment="0" applyProtection="0">
      <alignment vertical="center"/>
    </xf>
    <xf numFmtId="0" fontId="15" fillId="23" borderId="0" applyNumberFormat="0" applyBorder="0" applyAlignment="0" applyProtection="0">
      <alignment vertical="center"/>
    </xf>
    <xf numFmtId="0" fontId="14" fillId="25" borderId="0" applyNumberFormat="0" applyBorder="0" applyAlignment="0" applyProtection="0">
      <alignment vertical="center"/>
    </xf>
    <xf numFmtId="0" fontId="13" fillId="19" borderId="26" applyNumberFormat="0" applyFont="0" applyAlignment="0" applyProtection="0">
      <alignment vertical="center"/>
    </xf>
    <xf numFmtId="0" fontId="14" fillId="14" borderId="0" applyNumberFormat="0" applyBorder="0" applyAlignment="0" applyProtection="0">
      <alignment vertical="center"/>
    </xf>
    <xf numFmtId="0" fontId="14" fillId="21" borderId="0" applyNumberFormat="0" applyBorder="0" applyAlignment="0" applyProtection="0">
      <alignment vertical="center"/>
    </xf>
    <xf numFmtId="0" fontId="15" fillId="27" borderId="0" applyNumberFormat="0" applyBorder="0" applyAlignment="0" applyProtection="0">
      <alignment vertical="center"/>
    </xf>
    <xf numFmtId="0" fontId="24" fillId="13" borderId="0" applyNumberFormat="0" applyBorder="0" applyAlignment="0" applyProtection="0">
      <alignment vertical="center"/>
    </xf>
    <xf numFmtId="0" fontId="20" fillId="14" borderId="0" applyNumberFormat="0" applyBorder="0" applyAlignment="0" applyProtection="0">
      <alignment vertical="center"/>
    </xf>
    <xf numFmtId="0" fontId="36" fillId="0" borderId="0" applyNumberFormat="0" applyFill="0" applyBorder="0" applyAlignment="0" applyProtection="0">
      <alignment vertical="center"/>
    </xf>
    <xf numFmtId="0" fontId="24" fillId="23" borderId="0" applyNumberFormat="0" applyBorder="0" applyAlignment="0" applyProtection="0">
      <alignment vertical="center"/>
    </xf>
    <xf numFmtId="0" fontId="15" fillId="27" borderId="0" applyNumberFormat="0" applyBorder="0" applyAlignment="0" applyProtection="0">
      <alignment vertical="center"/>
    </xf>
    <xf numFmtId="0" fontId="39" fillId="26" borderId="0" applyNumberFormat="0" applyBorder="0" applyAlignment="0" applyProtection="0">
      <alignment vertical="center"/>
    </xf>
    <xf numFmtId="0" fontId="52" fillId="20" borderId="0" applyNumberFormat="0" applyBorder="0" applyAlignment="0" applyProtection="0">
      <alignment vertical="center"/>
    </xf>
    <xf numFmtId="0" fontId="29" fillId="6" borderId="29" applyNumberFormat="0" applyAlignment="0" applyProtection="0">
      <alignment vertical="center"/>
    </xf>
    <xf numFmtId="0" fontId="14" fillId="14" borderId="0" applyNumberFormat="0" applyBorder="0" applyAlignment="0" applyProtection="0">
      <alignment vertical="center"/>
    </xf>
    <xf numFmtId="0" fontId="36" fillId="0" borderId="0" applyNumberFormat="0" applyFill="0" applyBorder="0" applyAlignment="0" applyProtection="0">
      <alignment vertical="center"/>
    </xf>
    <xf numFmtId="0" fontId="19" fillId="17" borderId="25" applyNumberFormat="0" applyAlignment="0" applyProtection="0">
      <alignment vertical="center"/>
    </xf>
    <xf numFmtId="0" fontId="15" fillId="26" borderId="0" applyNumberFormat="0" applyBorder="0" applyAlignment="0" applyProtection="0">
      <alignment vertical="center"/>
    </xf>
    <xf numFmtId="0" fontId="15" fillId="23" borderId="0" applyNumberFormat="0" applyBorder="0" applyAlignment="0" applyProtection="0">
      <alignment vertical="center"/>
    </xf>
    <xf numFmtId="43" fontId="0" fillId="0" borderId="0" applyFont="0" applyFill="0" applyBorder="0" applyAlignment="0" applyProtection="0">
      <alignment vertical="center"/>
    </xf>
    <xf numFmtId="0" fontId="13" fillId="5" borderId="0" applyNumberFormat="0" applyBorder="0" applyAlignment="0" applyProtection="0">
      <alignment vertical="center"/>
    </xf>
    <xf numFmtId="0" fontId="24" fillId="27" borderId="0" applyNumberFormat="0" applyBorder="0" applyAlignment="0" applyProtection="0">
      <alignment vertical="center"/>
    </xf>
    <xf numFmtId="0" fontId="0" fillId="19" borderId="26" applyNumberFormat="0" applyFont="0" applyAlignment="0" applyProtection="0">
      <alignment vertical="center"/>
    </xf>
    <xf numFmtId="0" fontId="29" fillId="6" borderId="29" applyNumberFormat="0" applyAlignment="0" applyProtection="0">
      <alignment vertical="center"/>
    </xf>
    <xf numFmtId="0" fontId="14" fillId="24" borderId="0" applyNumberFormat="0" applyBorder="0" applyAlignment="0" applyProtection="0">
      <alignment vertical="center"/>
    </xf>
    <xf numFmtId="0" fontId="53" fillId="0" borderId="0" applyNumberFormat="0" applyFill="0" applyBorder="0" applyAlignment="0" applyProtection="0">
      <alignment vertical="center"/>
    </xf>
    <xf numFmtId="0" fontId="15" fillId="17" borderId="0" applyNumberFormat="0" applyBorder="0" applyAlignment="0" applyProtection="0">
      <alignment vertical="center"/>
    </xf>
    <xf numFmtId="0" fontId="0" fillId="19" borderId="26" applyNumberFormat="0" applyFont="0" applyAlignment="0" applyProtection="0">
      <alignment vertical="center"/>
    </xf>
    <xf numFmtId="0" fontId="14" fillId="12" borderId="0" applyNumberFormat="0" applyBorder="0" applyAlignment="0" applyProtection="0">
      <alignment vertical="center"/>
    </xf>
    <xf numFmtId="0" fontId="20" fillId="21" borderId="0" applyNumberFormat="0" applyBorder="0" applyAlignment="0" applyProtection="0">
      <alignment vertical="center"/>
    </xf>
    <xf numFmtId="0" fontId="0" fillId="19" borderId="26" applyNumberFormat="0" applyFont="0" applyAlignment="0" applyProtection="0">
      <alignment vertical="center"/>
    </xf>
    <xf numFmtId="0" fontId="13" fillId="17" borderId="0" applyNumberFormat="0" applyBorder="0" applyAlignment="0" applyProtection="0">
      <alignment vertical="center"/>
    </xf>
    <xf numFmtId="0" fontId="20" fillId="20" borderId="0" applyNumberFormat="0" applyBorder="0" applyAlignment="0" applyProtection="0">
      <alignment vertical="center"/>
    </xf>
    <xf numFmtId="0" fontId="25" fillId="0" borderId="28" applyNumberFormat="0" applyFill="0" applyAlignment="0" applyProtection="0">
      <alignment vertical="center"/>
    </xf>
    <xf numFmtId="0" fontId="18" fillId="0" borderId="0"/>
    <xf numFmtId="0" fontId="29" fillId="6" borderId="29" applyNumberFormat="0" applyAlignment="0" applyProtection="0">
      <alignment vertical="center"/>
    </xf>
    <xf numFmtId="0" fontId="20" fillId="14" borderId="0" applyNumberFormat="0" applyBorder="0" applyAlignment="0" applyProtection="0">
      <alignment vertical="center"/>
    </xf>
    <xf numFmtId="0" fontId="0" fillId="19" borderId="26" applyNumberFormat="0" applyFont="0" applyAlignment="0" applyProtection="0">
      <alignment vertical="center"/>
    </xf>
    <xf numFmtId="0" fontId="20" fillId="21" borderId="0" applyNumberFormat="0" applyBorder="0" applyAlignment="0" applyProtection="0">
      <alignment vertical="center"/>
    </xf>
    <xf numFmtId="0" fontId="20" fillId="21" borderId="0" applyNumberFormat="0" applyBorder="0" applyAlignment="0" applyProtection="0">
      <alignment vertical="center"/>
    </xf>
    <xf numFmtId="0" fontId="23" fillId="11" borderId="27" applyNumberFormat="0" applyAlignment="0" applyProtection="0">
      <alignment vertical="center"/>
    </xf>
    <xf numFmtId="0" fontId="13" fillId="23" borderId="0" applyNumberFormat="0" applyBorder="0" applyAlignment="0" applyProtection="0">
      <alignment vertical="center"/>
    </xf>
    <xf numFmtId="0" fontId="48" fillId="57" borderId="0" applyNumberFormat="0" applyBorder="0" applyAlignment="0" applyProtection="0">
      <alignment vertical="center"/>
    </xf>
    <xf numFmtId="0" fontId="15" fillId="26" borderId="0" applyNumberFormat="0" applyBorder="0" applyAlignment="0" applyProtection="0">
      <alignment vertical="center"/>
    </xf>
    <xf numFmtId="0" fontId="15" fillId="23" borderId="0" applyNumberFormat="0" applyBorder="0" applyAlignment="0" applyProtection="0">
      <alignment vertical="center"/>
    </xf>
    <xf numFmtId="0" fontId="0" fillId="19" borderId="26" applyNumberFormat="0" applyFont="0" applyAlignment="0" applyProtection="0">
      <alignment vertical="center"/>
    </xf>
    <xf numFmtId="0" fontId="20" fillId="20" borderId="0" applyNumberFormat="0" applyBorder="0" applyAlignment="0" applyProtection="0">
      <alignment vertical="center"/>
    </xf>
    <xf numFmtId="0" fontId="43" fillId="0" borderId="31" applyNumberFormat="0" applyFill="0" applyAlignment="0" applyProtection="0">
      <alignment vertical="center"/>
    </xf>
    <xf numFmtId="0" fontId="48" fillId="43" borderId="0" applyNumberFormat="0" applyBorder="0" applyAlignment="0" applyProtection="0">
      <alignment vertical="center"/>
    </xf>
    <xf numFmtId="0" fontId="83" fillId="0" borderId="0" applyNumberFormat="0" applyFill="0" applyBorder="0" applyAlignment="0" applyProtection="0">
      <alignment vertical="center"/>
    </xf>
    <xf numFmtId="0" fontId="15" fillId="26" borderId="0" applyNumberFormat="0" applyBorder="0" applyAlignment="0" applyProtection="0">
      <alignment vertical="center"/>
    </xf>
    <xf numFmtId="0" fontId="15" fillId="23" borderId="0" applyNumberFormat="0" applyBorder="0" applyAlignment="0" applyProtection="0">
      <alignment vertical="center"/>
    </xf>
    <xf numFmtId="0" fontId="13" fillId="23" borderId="0" applyNumberFormat="0" applyBorder="0" applyAlignment="0" applyProtection="0">
      <alignment vertical="center"/>
    </xf>
    <xf numFmtId="0" fontId="84" fillId="55" borderId="43" applyNumberFormat="0" applyAlignment="0" applyProtection="0">
      <alignment vertical="center"/>
    </xf>
    <xf numFmtId="0" fontId="13" fillId="23" borderId="0" applyNumberFormat="0" applyBorder="0" applyAlignment="0" applyProtection="0">
      <alignment vertical="center"/>
    </xf>
    <xf numFmtId="0" fontId="15" fillId="23" borderId="0" applyNumberFormat="0" applyBorder="0" applyAlignment="0" applyProtection="0">
      <alignment vertical="center"/>
    </xf>
    <xf numFmtId="0" fontId="0" fillId="0" borderId="0">
      <alignment vertical="center"/>
    </xf>
    <xf numFmtId="0" fontId="0" fillId="19" borderId="26" applyNumberFormat="0" applyFont="0" applyAlignment="0" applyProtection="0">
      <alignment vertical="center"/>
    </xf>
    <xf numFmtId="0" fontId="16" fillId="0" borderId="24" applyNumberFormat="0" applyFill="0" applyAlignment="0" applyProtection="0">
      <alignment vertical="center"/>
    </xf>
    <xf numFmtId="0" fontId="14" fillId="13" borderId="0" applyNumberFormat="0" applyBorder="0" applyAlignment="0" applyProtection="0">
      <alignment vertical="center"/>
    </xf>
    <xf numFmtId="0" fontId="25" fillId="0" borderId="0" applyNumberFormat="0" applyFill="0" applyBorder="0" applyAlignment="0" applyProtection="0">
      <alignment vertical="center"/>
    </xf>
    <xf numFmtId="0" fontId="29" fillId="6" borderId="29" applyNumberFormat="0" applyAlignment="0" applyProtection="0">
      <alignment vertical="center"/>
    </xf>
    <xf numFmtId="0" fontId="0" fillId="19" borderId="26" applyNumberFormat="0" applyFont="0" applyAlignment="0" applyProtection="0">
      <alignment vertical="center"/>
    </xf>
    <xf numFmtId="0" fontId="14" fillId="21" borderId="0" applyNumberFormat="0" applyBorder="0" applyAlignment="0" applyProtection="0">
      <alignment vertical="center"/>
    </xf>
    <xf numFmtId="0" fontId="18" fillId="0" borderId="0"/>
    <xf numFmtId="0" fontId="25" fillId="0" borderId="28" applyNumberFormat="0" applyFill="0" applyAlignment="0" applyProtection="0">
      <alignment vertical="center"/>
    </xf>
    <xf numFmtId="0" fontId="15" fillId="13" borderId="0" applyNumberFormat="0" applyBorder="0" applyAlignment="0" applyProtection="0">
      <alignment vertical="center"/>
    </xf>
    <xf numFmtId="0" fontId="14" fillId="21" borderId="0" applyNumberFormat="0" applyBorder="0" applyAlignment="0" applyProtection="0">
      <alignment vertical="center"/>
    </xf>
    <xf numFmtId="0" fontId="20" fillId="14" borderId="0" applyNumberFormat="0" applyBorder="0" applyAlignment="0" applyProtection="0">
      <alignment vertical="center"/>
    </xf>
    <xf numFmtId="0" fontId="38" fillId="26" borderId="0" applyNumberFormat="0" applyBorder="0" applyAlignment="0" applyProtection="0">
      <alignment vertical="center"/>
    </xf>
    <xf numFmtId="0" fontId="39" fillId="26" borderId="0" applyNumberFormat="0" applyBorder="0" applyAlignment="0" applyProtection="0">
      <alignment vertical="center"/>
    </xf>
    <xf numFmtId="0" fontId="14" fillId="28" borderId="0" applyNumberFormat="0" applyBorder="0" applyAlignment="0" applyProtection="0">
      <alignment vertical="center"/>
    </xf>
    <xf numFmtId="0" fontId="13" fillId="5" borderId="0" applyNumberFormat="0" applyBorder="0" applyAlignment="0" applyProtection="0">
      <alignment vertical="center"/>
    </xf>
    <xf numFmtId="44" fontId="60" fillId="0" borderId="0" applyFont="0" applyFill="0" applyBorder="0" applyAlignment="0" applyProtection="0">
      <alignment vertical="center"/>
    </xf>
    <xf numFmtId="0" fontId="15" fillId="23" borderId="0" applyNumberFormat="0" applyBorder="0" applyAlignment="0" applyProtection="0">
      <alignment vertical="center"/>
    </xf>
    <xf numFmtId="0" fontId="13" fillId="6" borderId="0" applyNumberFormat="0" applyBorder="0" applyAlignment="0" applyProtection="0">
      <alignment vertical="center"/>
    </xf>
    <xf numFmtId="9" fontId="0" fillId="0" borderId="0" applyFont="0" applyFill="0" applyBorder="0" applyAlignment="0" applyProtection="0">
      <alignment vertical="center"/>
    </xf>
    <xf numFmtId="0" fontId="22" fillId="16" borderId="0" applyNumberFormat="0" applyBorder="0" applyAlignment="0" applyProtection="0">
      <alignment vertical="center"/>
    </xf>
    <xf numFmtId="0" fontId="24" fillId="23" borderId="0" applyNumberFormat="0" applyBorder="0" applyAlignment="0" applyProtection="0">
      <alignment vertical="center"/>
    </xf>
    <xf numFmtId="0" fontId="20" fillId="28" borderId="0" applyNumberFormat="0" applyBorder="0" applyAlignment="0" applyProtection="0">
      <alignment vertical="center"/>
    </xf>
    <xf numFmtId="0" fontId="25" fillId="0" borderId="28" applyNumberFormat="0" applyFill="0" applyAlignment="0" applyProtection="0">
      <alignment vertical="center"/>
    </xf>
    <xf numFmtId="0" fontId="14" fillId="13" borderId="0" applyNumberFormat="0" applyBorder="0" applyAlignment="0" applyProtection="0">
      <alignment vertical="center"/>
    </xf>
    <xf numFmtId="0" fontId="14" fillId="21" borderId="0" applyNumberFormat="0" applyBorder="0" applyAlignment="0" applyProtection="0">
      <alignment vertical="center"/>
    </xf>
    <xf numFmtId="0" fontId="15" fillId="17" borderId="0" applyNumberFormat="0" applyBorder="0" applyAlignment="0" applyProtection="0">
      <alignment vertical="center"/>
    </xf>
    <xf numFmtId="0" fontId="33" fillId="26" borderId="0" applyNumberFormat="0" applyBorder="0" applyAlignment="0" applyProtection="0">
      <alignment vertical="center"/>
    </xf>
    <xf numFmtId="0" fontId="14" fillId="18" borderId="0" applyNumberFormat="0" applyBorder="0" applyAlignment="0" applyProtection="0">
      <alignment vertical="center"/>
    </xf>
    <xf numFmtId="0" fontId="85" fillId="0" borderId="0" applyNumberFormat="0" applyFill="0" applyBorder="0" applyAlignment="0" applyProtection="0">
      <alignment vertical="center"/>
    </xf>
    <xf numFmtId="0" fontId="15" fillId="22" borderId="0" applyNumberFormat="0" applyBorder="0" applyAlignment="0" applyProtection="0">
      <alignment vertical="center"/>
    </xf>
    <xf numFmtId="0" fontId="14" fillId="13" borderId="0" applyNumberFormat="0" applyBorder="0" applyAlignment="0" applyProtection="0">
      <alignment vertical="center"/>
    </xf>
    <xf numFmtId="0" fontId="15" fillId="30" borderId="0" applyNumberFormat="0" applyBorder="0" applyAlignment="0" applyProtection="0">
      <alignment vertical="center"/>
    </xf>
    <xf numFmtId="0" fontId="14" fillId="21" borderId="0" applyNumberFormat="0" applyBorder="0" applyAlignment="0" applyProtection="0">
      <alignment vertical="center"/>
    </xf>
    <xf numFmtId="0" fontId="52" fillId="20" borderId="0" applyNumberFormat="0" applyBorder="0" applyAlignment="0" applyProtection="0">
      <alignment vertical="center"/>
    </xf>
    <xf numFmtId="0" fontId="33" fillId="26" borderId="0" applyNumberFormat="0" applyBorder="0" applyAlignment="0" applyProtection="0">
      <alignment vertical="center"/>
    </xf>
    <xf numFmtId="0" fontId="15" fillId="16" borderId="0" applyNumberFormat="0" applyBorder="0" applyAlignment="0" applyProtection="0">
      <alignment vertical="center"/>
    </xf>
    <xf numFmtId="0" fontId="14" fillId="18" borderId="0" applyNumberFormat="0" applyBorder="0" applyAlignment="0" applyProtection="0">
      <alignment vertical="center"/>
    </xf>
    <xf numFmtId="0" fontId="14" fillId="25" borderId="0" applyNumberFormat="0" applyBorder="0" applyAlignment="0" applyProtection="0">
      <alignment vertical="center"/>
    </xf>
    <xf numFmtId="0" fontId="25" fillId="0" borderId="28" applyNumberFormat="0" applyFill="0" applyAlignment="0" applyProtection="0">
      <alignment vertical="center"/>
    </xf>
    <xf numFmtId="0" fontId="14" fillId="14" borderId="0" applyNumberFormat="0" applyBorder="0" applyAlignment="0" applyProtection="0">
      <alignment vertical="center"/>
    </xf>
    <xf numFmtId="0" fontId="20" fillId="25" borderId="0" applyNumberFormat="0" applyBorder="0" applyAlignment="0" applyProtection="0">
      <alignment vertical="center"/>
    </xf>
    <xf numFmtId="0" fontId="45" fillId="16" borderId="0" applyNumberFormat="0" applyBorder="0" applyAlignment="0" applyProtection="0">
      <alignment vertical="center"/>
    </xf>
    <xf numFmtId="0" fontId="15" fillId="23" borderId="0" applyNumberFormat="0" applyBorder="0" applyAlignment="0" applyProtection="0">
      <alignment vertical="center"/>
    </xf>
    <xf numFmtId="0" fontId="15" fillId="17" borderId="0" applyNumberFormat="0" applyBorder="0" applyAlignment="0" applyProtection="0">
      <alignment vertical="center"/>
    </xf>
    <xf numFmtId="0" fontId="14" fillId="12" borderId="0" applyNumberFormat="0" applyBorder="0" applyAlignment="0" applyProtection="0">
      <alignment vertical="center"/>
    </xf>
    <xf numFmtId="0" fontId="14" fillId="29" borderId="0" applyNumberFormat="0" applyBorder="0" applyAlignment="0" applyProtection="0">
      <alignment vertical="center"/>
    </xf>
    <xf numFmtId="0" fontId="14" fillId="29" borderId="0" applyNumberFormat="0" applyBorder="0" applyAlignment="0" applyProtection="0">
      <alignment vertical="center"/>
    </xf>
    <xf numFmtId="0" fontId="13" fillId="30" borderId="0" applyNumberFormat="0" applyBorder="0" applyAlignment="0" applyProtection="0">
      <alignment vertical="center"/>
    </xf>
    <xf numFmtId="0" fontId="19" fillId="17" borderId="25" applyNumberFormat="0" applyAlignment="0" applyProtection="0">
      <alignment vertical="center"/>
    </xf>
    <xf numFmtId="0" fontId="70" fillId="0" borderId="37" applyNumberFormat="0" applyFill="0" applyAlignment="0" applyProtection="0">
      <alignment vertical="center"/>
    </xf>
    <xf numFmtId="0" fontId="41" fillId="52" borderId="0" applyNumberFormat="0" applyBorder="0" applyAlignment="0" applyProtection="0">
      <alignment vertical="center"/>
    </xf>
    <xf numFmtId="0" fontId="15" fillId="22" borderId="0" applyNumberFormat="0" applyBorder="0" applyAlignment="0" applyProtection="0">
      <alignment vertical="center"/>
    </xf>
    <xf numFmtId="0" fontId="14" fillId="21" borderId="0" applyNumberFormat="0" applyBorder="0" applyAlignment="0" applyProtection="0">
      <alignment vertical="center"/>
    </xf>
    <xf numFmtId="0" fontId="13" fillId="17" borderId="0" applyNumberFormat="0" applyBorder="0" applyAlignment="0" applyProtection="0">
      <alignment vertical="center"/>
    </xf>
    <xf numFmtId="0" fontId="13" fillId="6" borderId="0" applyNumberFormat="0" applyBorder="0" applyAlignment="0" applyProtection="0">
      <alignment vertical="center"/>
    </xf>
    <xf numFmtId="0" fontId="68" fillId="20" borderId="0" applyNumberFormat="0" applyBorder="0" applyAlignment="0" applyProtection="0">
      <alignment vertical="center"/>
    </xf>
    <xf numFmtId="0" fontId="15" fillId="23" borderId="0" applyNumberFormat="0" applyBorder="0" applyAlignment="0" applyProtection="0">
      <alignment vertical="center"/>
    </xf>
    <xf numFmtId="0" fontId="61" fillId="5" borderId="29" applyNumberFormat="0" applyAlignment="0" applyProtection="0">
      <alignment vertical="center"/>
    </xf>
    <xf numFmtId="0" fontId="23" fillId="11" borderId="27" applyNumberFormat="0" applyAlignment="0" applyProtection="0">
      <alignment vertical="center"/>
    </xf>
    <xf numFmtId="0" fontId="24" fillId="2" borderId="0" applyNumberFormat="0" applyBorder="0" applyAlignment="0" applyProtection="0">
      <alignment vertical="center"/>
    </xf>
    <xf numFmtId="0" fontId="25" fillId="0" borderId="28" applyNumberFormat="0" applyFill="0" applyAlignment="0" applyProtection="0">
      <alignment vertical="center"/>
    </xf>
    <xf numFmtId="0" fontId="26" fillId="0" borderId="0" applyNumberFormat="0" applyFill="0" applyBorder="0" applyAlignment="0" applyProtection="0">
      <alignment vertical="center"/>
    </xf>
    <xf numFmtId="0" fontId="15" fillId="18" borderId="0" applyNumberFormat="0" applyBorder="0" applyAlignment="0" applyProtection="0">
      <alignment vertical="center"/>
    </xf>
    <xf numFmtId="0" fontId="53" fillId="0" borderId="0" applyNumberFormat="0" applyFill="0" applyBorder="0" applyAlignment="0" applyProtection="0">
      <alignment vertical="center"/>
    </xf>
    <xf numFmtId="0" fontId="15" fillId="17" borderId="0" applyNumberFormat="0" applyBorder="0" applyAlignment="0" applyProtection="0">
      <alignment vertical="center"/>
    </xf>
    <xf numFmtId="0" fontId="14" fillId="24" borderId="0" applyNumberFormat="0" applyBorder="0" applyAlignment="0" applyProtection="0">
      <alignment vertical="center"/>
    </xf>
    <xf numFmtId="0" fontId="24" fillId="30" borderId="0" applyNumberFormat="0" applyBorder="0" applyAlignment="0" applyProtection="0">
      <alignment vertical="center"/>
    </xf>
    <xf numFmtId="0" fontId="0" fillId="0" borderId="0">
      <alignment vertical="center"/>
    </xf>
    <xf numFmtId="0" fontId="14" fillId="29" borderId="0" applyNumberFormat="0" applyBorder="0" applyAlignment="0" applyProtection="0">
      <alignment vertical="center"/>
    </xf>
    <xf numFmtId="0" fontId="14" fillId="14" borderId="0" applyNumberFormat="0" applyBorder="0" applyAlignment="0" applyProtection="0">
      <alignment vertical="center"/>
    </xf>
    <xf numFmtId="0" fontId="14" fillId="25" borderId="0" applyNumberFormat="0" applyBorder="0" applyAlignment="0" applyProtection="0">
      <alignment vertical="center"/>
    </xf>
    <xf numFmtId="0" fontId="15" fillId="18" borderId="0" applyNumberFormat="0" applyBorder="0" applyAlignment="0" applyProtection="0">
      <alignment vertical="center"/>
    </xf>
    <xf numFmtId="0" fontId="33" fillId="26" borderId="0" applyNumberFormat="0" applyBorder="0" applyAlignment="0" applyProtection="0">
      <alignment vertical="center"/>
    </xf>
    <xf numFmtId="0" fontId="52" fillId="20" borderId="0" applyNumberFormat="0" applyBorder="0" applyAlignment="0" applyProtection="0">
      <alignment vertical="center"/>
    </xf>
    <xf numFmtId="0" fontId="52" fillId="20" borderId="0" applyNumberFormat="0" applyBorder="0" applyAlignment="0" applyProtection="0">
      <alignment vertical="center"/>
    </xf>
    <xf numFmtId="0" fontId="29" fillId="6" borderId="29" applyNumberFormat="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25" borderId="0" applyNumberFormat="0" applyBorder="0" applyAlignment="0" applyProtection="0">
      <alignment vertical="center"/>
    </xf>
    <xf numFmtId="0" fontId="14" fillId="14" borderId="0" applyNumberFormat="0" applyBorder="0" applyAlignment="0" applyProtection="0">
      <alignment vertical="center"/>
    </xf>
    <xf numFmtId="0" fontId="13" fillId="19" borderId="0" applyNumberFormat="0" applyBorder="0" applyAlignment="0" applyProtection="0">
      <alignment vertical="center"/>
    </xf>
    <xf numFmtId="0" fontId="15" fillId="23" borderId="0" applyNumberFormat="0" applyBorder="0" applyAlignment="0" applyProtection="0">
      <alignment vertical="center"/>
    </xf>
    <xf numFmtId="0" fontId="15" fillId="16" borderId="0" applyNumberFormat="0" applyBorder="0" applyAlignment="0" applyProtection="0">
      <alignment vertical="center"/>
    </xf>
    <xf numFmtId="0" fontId="18" fillId="0" borderId="0"/>
    <xf numFmtId="0" fontId="15" fillId="13" borderId="0" applyNumberFormat="0" applyBorder="0" applyAlignment="0" applyProtection="0">
      <alignment vertical="center"/>
    </xf>
    <xf numFmtId="0" fontId="14" fillId="18" borderId="0" applyNumberFormat="0" applyBorder="0" applyAlignment="0" applyProtection="0">
      <alignment vertical="center"/>
    </xf>
    <xf numFmtId="0" fontId="14" fillId="25" borderId="0" applyNumberFormat="0" applyBorder="0" applyAlignment="0" applyProtection="0">
      <alignment vertical="center"/>
    </xf>
    <xf numFmtId="0" fontId="37" fillId="29" borderId="0" applyNumberFormat="0" applyBorder="0" applyAlignment="0" applyProtection="0">
      <alignment vertical="center"/>
    </xf>
    <xf numFmtId="0" fontId="14" fillId="25" borderId="0" applyNumberFormat="0" applyBorder="0" applyAlignment="0" applyProtection="0">
      <alignment vertical="center"/>
    </xf>
    <xf numFmtId="0" fontId="13" fillId="20" borderId="0" applyNumberFormat="0" applyBorder="0" applyAlignment="0" applyProtection="0">
      <alignment vertical="center"/>
    </xf>
    <xf numFmtId="0" fontId="14" fillId="21" borderId="0" applyNumberFormat="0" applyBorder="0" applyAlignment="0" applyProtection="0">
      <alignment vertical="center"/>
    </xf>
    <xf numFmtId="0" fontId="34" fillId="0" borderId="30" applyNumberFormat="0" applyFill="0" applyAlignment="0" applyProtection="0">
      <alignment vertical="center"/>
    </xf>
    <xf numFmtId="0" fontId="0" fillId="0" borderId="0">
      <alignment vertical="center"/>
    </xf>
    <xf numFmtId="0" fontId="14" fillId="12" borderId="0" applyNumberFormat="0" applyBorder="0" applyAlignment="0" applyProtection="0">
      <alignment vertical="center"/>
    </xf>
    <xf numFmtId="0" fontId="15" fillId="23" borderId="0" applyNumberFormat="0" applyBorder="0" applyAlignment="0" applyProtection="0">
      <alignment vertical="center"/>
    </xf>
    <xf numFmtId="0" fontId="14" fillId="28" borderId="0" applyNumberFormat="0" applyBorder="0" applyAlignment="0" applyProtection="0">
      <alignment vertical="center"/>
    </xf>
    <xf numFmtId="0" fontId="68" fillId="20" borderId="0" applyNumberFormat="0" applyBorder="0" applyAlignment="0" applyProtection="0">
      <alignment vertical="center"/>
    </xf>
    <xf numFmtId="0" fontId="22" fillId="16" borderId="0" applyNumberFormat="0" applyBorder="0" applyAlignment="0" applyProtection="0">
      <alignment vertical="center"/>
    </xf>
    <xf numFmtId="9" fontId="0" fillId="0" borderId="0" applyFont="0" applyFill="0" applyBorder="0" applyAlignment="0" applyProtection="0">
      <alignment vertical="center"/>
    </xf>
    <xf numFmtId="0" fontId="23" fillId="11" borderId="27" applyNumberFormat="0" applyAlignment="0" applyProtection="0">
      <alignment vertical="center"/>
    </xf>
    <xf numFmtId="0" fontId="61" fillId="5" borderId="29" applyNumberFormat="0" applyAlignment="0" applyProtection="0">
      <alignment vertical="center"/>
    </xf>
    <xf numFmtId="0" fontId="14" fillId="29" borderId="0" applyNumberFormat="0" applyBorder="0" applyAlignment="0" applyProtection="0">
      <alignment vertical="center"/>
    </xf>
    <xf numFmtId="0" fontId="52" fillId="20" borderId="0" applyNumberFormat="0" applyBorder="0" applyAlignment="0" applyProtection="0">
      <alignment vertical="center"/>
    </xf>
    <xf numFmtId="0" fontId="29" fillId="6" borderId="29" applyNumberFormat="0" applyAlignment="0" applyProtection="0">
      <alignment vertical="center"/>
    </xf>
    <xf numFmtId="0" fontId="49" fillId="0" borderId="33" applyNumberFormat="0" applyFill="0" applyAlignment="0" applyProtection="0">
      <alignment vertical="center"/>
    </xf>
    <xf numFmtId="0" fontId="24" fillId="17" borderId="0" applyNumberFormat="0" applyBorder="0" applyAlignment="0" applyProtection="0">
      <alignment vertical="center"/>
    </xf>
    <xf numFmtId="0" fontId="15" fillId="17" borderId="0" applyNumberFormat="0" applyBorder="0" applyAlignment="0" applyProtection="0">
      <alignment vertical="center"/>
    </xf>
    <xf numFmtId="0" fontId="53" fillId="0" borderId="0" applyNumberFormat="0" applyFill="0" applyBorder="0" applyAlignment="0" applyProtection="0">
      <alignment vertical="center"/>
    </xf>
    <xf numFmtId="0" fontId="14" fillId="24" borderId="0" applyNumberFormat="0" applyBorder="0" applyAlignment="0" applyProtection="0">
      <alignment vertical="center"/>
    </xf>
    <xf numFmtId="43" fontId="0" fillId="0" borderId="0" applyFont="0" applyFill="0" applyBorder="0" applyAlignment="0" applyProtection="0">
      <alignment vertical="center"/>
    </xf>
    <xf numFmtId="0" fontId="13" fillId="5" borderId="0" applyNumberFormat="0" applyBorder="0" applyAlignment="0" applyProtection="0">
      <alignment vertical="center"/>
    </xf>
    <xf numFmtId="0" fontId="20" fillId="21" borderId="0" applyNumberFormat="0" applyBorder="0" applyAlignment="0" applyProtection="0">
      <alignment vertical="center"/>
    </xf>
    <xf numFmtId="0" fontId="20" fillId="21" borderId="0" applyNumberFormat="0" applyBorder="0" applyAlignment="0" applyProtection="0">
      <alignment vertical="center"/>
    </xf>
    <xf numFmtId="0" fontId="13" fillId="23" borderId="0" applyNumberFormat="0" applyBorder="0" applyAlignment="0" applyProtection="0">
      <alignment vertical="center"/>
    </xf>
    <xf numFmtId="0" fontId="48" fillId="62" borderId="0" applyNumberFormat="0" applyBorder="0" applyAlignment="0" applyProtection="0">
      <alignment vertical="center"/>
    </xf>
    <xf numFmtId="0" fontId="15" fillId="26" borderId="0" applyNumberFormat="0" applyBorder="0" applyAlignment="0" applyProtection="0">
      <alignment vertical="center"/>
    </xf>
    <xf numFmtId="0" fontId="25" fillId="0" borderId="0" applyNumberFormat="0" applyFill="0" applyBorder="0" applyAlignment="0" applyProtection="0">
      <alignment vertical="center"/>
    </xf>
    <xf numFmtId="0" fontId="14" fillId="29" borderId="0" applyNumberFormat="0" applyBorder="0" applyAlignment="0" applyProtection="0">
      <alignment vertical="center"/>
    </xf>
    <xf numFmtId="0" fontId="20" fillId="21" borderId="0" applyNumberFormat="0" applyBorder="0" applyAlignment="0" applyProtection="0">
      <alignment vertical="center"/>
    </xf>
    <xf numFmtId="0" fontId="14" fillId="21" borderId="0" applyNumberFormat="0" applyBorder="0" applyAlignment="0" applyProtection="0">
      <alignment vertical="center"/>
    </xf>
    <xf numFmtId="0" fontId="18" fillId="0" borderId="0"/>
    <xf numFmtId="0" fontId="15" fillId="2" borderId="0" applyNumberFormat="0" applyBorder="0" applyAlignment="0" applyProtection="0">
      <alignment vertical="center"/>
    </xf>
    <xf numFmtId="0" fontId="34" fillId="0" borderId="30" applyNumberFormat="0" applyFill="0" applyAlignment="0" applyProtection="0">
      <alignment vertical="center"/>
    </xf>
    <xf numFmtId="0" fontId="15" fillId="17" borderId="0" applyNumberFormat="0" applyBorder="0" applyAlignment="0" applyProtection="0">
      <alignment vertical="center"/>
    </xf>
    <xf numFmtId="0" fontId="20" fillId="25" borderId="0" applyNumberFormat="0" applyBorder="0" applyAlignment="0" applyProtection="0">
      <alignment vertical="center"/>
    </xf>
    <xf numFmtId="0" fontId="13" fillId="19"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4" fillId="32" borderId="0" applyNumberFormat="0" applyBorder="0" applyAlignment="0" applyProtection="0">
      <alignment vertical="center"/>
    </xf>
    <xf numFmtId="0" fontId="34" fillId="0" borderId="30" applyNumberFormat="0" applyFill="0" applyAlignment="0" applyProtection="0">
      <alignment vertical="center"/>
    </xf>
    <xf numFmtId="0" fontId="41" fillId="31" borderId="0" applyNumberFormat="0" applyBorder="0" applyAlignment="0" applyProtection="0">
      <alignment vertical="center"/>
    </xf>
    <xf numFmtId="0" fontId="20" fillId="6" borderId="0" applyNumberFormat="0" applyBorder="0" applyAlignment="0" applyProtection="0">
      <alignment vertical="center"/>
    </xf>
    <xf numFmtId="0" fontId="14" fillId="12" borderId="0" applyNumberFormat="0" applyBorder="0" applyAlignment="0" applyProtection="0">
      <alignment vertical="center"/>
    </xf>
    <xf numFmtId="0" fontId="15" fillId="2" borderId="0" applyNumberFormat="0" applyBorder="0" applyAlignment="0" applyProtection="0">
      <alignment vertical="center"/>
    </xf>
    <xf numFmtId="0" fontId="44" fillId="0" borderId="28" applyNumberFormat="0" applyFill="0" applyAlignment="0" applyProtection="0">
      <alignment vertical="center"/>
    </xf>
    <xf numFmtId="0" fontId="40" fillId="0" borderId="24" applyNumberFormat="0" applyFill="0" applyAlignment="0" applyProtection="0">
      <alignment vertical="center"/>
    </xf>
    <xf numFmtId="0" fontId="25" fillId="0" borderId="28" applyNumberFormat="0" applyFill="0" applyAlignment="0" applyProtection="0">
      <alignment vertical="center"/>
    </xf>
    <xf numFmtId="0" fontId="15" fillId="27" borderId="0" applyNumberFormat="0" applyBorder="0" applyAlignment="0" applyProtection="0">
      <alignment vertical="center"/>
    </xf>
    <xf numFmtId="0" fontId="0" fillId="0" borderId="0">
      <alignment vertical="center"/>
    </xf>
    <xf numFmtId="0" fontId="15" fillId="16" borderId="0" applyNumberFormat="0" applyBorder="0" applyAlignment="0" applyProtection="0">
      <alignment vertical="center"/>
    </xf>
    <xf numFmtId="0" fontId="20" fillId="25" borderId="0" applyNumberFormat="0" applyBorder="0" applyAlignment="0" applyProtection="0">
      <alignment vertical="center"/>
    </xf>
    <xf numFmtId="0" fontId="39" fillId="26" borderId="0" applyNumberFormat="0" applyBorder="0" applyAlignment="0" applyProtection="0">
      <alignment vertical="center"/>
    </xf>
    <xf numFmtId="0" fontId="18" fillId="19" borderId="26" applyNumberFormat="0" applyFont="0" applyAlignment="0" applyProtection="0">
      <alignment vertical="center"/>
    </xf>
    <xf numFmtId="0" fontId="15" fillId="22" borderId="0" applyNumberFormat="0" applyBorder="0" applyAlignment="0" applyProtection="0">
      <alignment vertical="center"/>
    </xf>
    <xf numFmtId="0" fontId="19" fillId="17" borderId="25" applyNumberFormat="0" applyAlignment="0" applyProtection="0">
      <alignment vertical="center"/>
    </xf>
    <xf numFmtId="0" fontId="15" fillId="23" borderId="0" applyNumberFormat="0" applyBorder="0" applyAlignment="0" applyProtection="0">
      <alignment vertical="center"/>
    </xf>
    <xf numFmtId="0" fontId="38" fillId="26" borderId="0" applyNumberFormat="0" applyBorder="0" applyAlignment="0" applyProtection="0">
      <alignment vertical="center"/>
    </xf>
    <xf numFmtId="0" fontId="18" fillId="0" borderId="0"/>
    <xf numFmtId="0" fontId="14" fillId="24" borderId="0" applyNumberFormat="0" applyBorder="0" applyAlignment="0" applyProtection="0">
      <alignment vertical="center"/>
    </xf>
    <xf numFmtId="0" fontId="15" fillId="17" borderId="0" applyNumberFormat="0" applyBorder="0" applyAlignment="0" applyProtection="0">
      <alignment vertical="center"/>
    </xf>
    <xf numFmtId="0" fontId="15" fillId="16" borderId="0" applyNumberFormat="0" applyBorder="0" applyAlignment="0" applyProtection="0">
      <alignment vertical="center"/>
    </xf>
    <xf numFmtId="0" fontId="15" fillId="27" borderId="0" applyNumberFormat="0" applyBorder="0" applyAlignment="0" applyProtection="0">
      <alignment vertical="center"/>
    </xf>
    <xf numFmtId="0" fontId="0" fillId="0" borderId="0">
      <alignment vertical="center"/>
    </xf>
    <xf numFmtId="0" fontId="15" fillId="2" borderId="0" applyNumberFormat="0" applyBorder="0" applyAlignment="0" applyProtection="0">
      <alignment vertical="center"/>
    </xf>
    <xf numFmtId="0" fontId="24" fillId="16" borderId="0" applyNumberFormat="0" applyBorder="0" applyAlignment="0" applyProtection="0">
      <alignment vertical="center"/>
    </xf>
    <xf numFmtId="0" fontId="15" fillId="23" borderId="0" applyNumberFormat="0" applyBorder="0" applyAlignment="0" applyProtection="0">
      <alignment vertical="center"/>
    </xf>
    <xf numFmtId="0" fontId="0" fillId="0" borderId="0">
      <alignment vertical="center"/>
    </xf>
    <xf numFmtId="0" fontId="21" fillId="0" borderId="0" applyNumberFormat="0" applyFill="0" applyBorder="0" applyAlignment="0" applyProtection="0">
      <alignment vertical="center"/>
    </xf>
    <xf numFmtId="0" fontId="25" fillId="0" borderId="28" applyNumberFormat="0" applyFill="0" applyAlignment="0" applyProtection="0">
      <alignment vertical="center"/>
    </xf>
    <xf numFmtId="0" fontId="15" fillId="13" borderId="0" applyNumberFormat="0" applyBorder="0" applyAlignment="0" applyProtection="0">
      <alignment vertical="center"/>
    </xf>
    <xf numFmtId="0" fontId="14" fillId="14" borderId="0" applyNumberFormat="0" applyBorder="0" applyAlignment="0" applyProtection="0">
      <alignment vertical="center"/>
    </xf>
    <xf numFmtId="0" fontId="14" fillId="12" borderId="0" applyNumberFormat="0" applyBorder="0" applyAlignment="0" applyProtection="0">
      <alignment vertical="center"/>
    </xf>
    <xf numFmtId="0" fontId="38" fillId="26" borderId="0" applyNumberFormat="0" applyBorder="0" applyAlignment="0" applyProtection="0">
      <alignment vertical="center"/>
    </xf>
    <xf numFmtId="0" fontId="13" fillId="19" borderId="0" applyNumberFormat="0" applyBorder="0" applyAlignment="0" applyProtection="0">
      <alignment vertical="center"/>
    </xf>
    <xf numFmtId="0" fontId="14" fillId="13" borderId="0" applyNumberFormat="0" applyBorder="0" applyAlignment="0" applyProtection="0">
      <alignment vertical="center"/>
    </xf>
    <xf numFmtId="0" fontId="16" fillId="0" borderId="24" applyNumberFormat="0" applyFill="0" applyAlignment="0" applyProtection="0">
      <alignment vertical="center"/>
    </xf>
    <xf numFmtId="0" fontId="15" fillId="2" borderId="0" applyNumberFormat="0" applyBorder="0" applyAlignment="0" applyProtection="0">
      <alignment vertical="center"/>
    </xf>
    <xf numFmtId="0" fontId="15" fillId="2" borderId="0" applyNumberFormat="0" applyBorder="0" applyAlignment="0" applyProtection="0">
      <alignment vertical="center"/>
    </xf>
    <xf numFmtId="0" fontId="15" fillId="23" borderId="0" applyNumberFormat="0" applyBorder="0" applyAlignment="0" applyProtection="0">
      <alignment vertical="center"/>
    </xf>
    <xf numFmtId="0" fontId="26" fillId="0" borderId="0" applyNumberFormat="0" applyFill="0" applyBorder="0" applyAlignment="0" applyProtection="0">
      <alignment vertical="center"/>
    </xf>
    <xf numFmtId="0" fontId="25" fillId="0" borderId="28" applyNumberFormat="0" applyFill="0" applyAlignment="0" applyProtection="0">
      <alignment vertical="center"/>
    </xf>
    <xf numFmtId="0" fontId="37" fillId="14" borderId="0" applyNumberFormat="0" applyBorder="0" applyAlignment="0" applyProtection="0">
      <alignment vertical="center"/>
    </xf>
    <xf numFmtId="0" fontId="13" fillId="30" borderId="0" applyNumberFormat="0" applyBorder="0" applyAlignment="0" applyProtection="0">
      <alignment vertical="center"/>
    </xf>
    <xf numFmtId="0" fontId="20" fillId="13" borderId="0" applyNumberFormat="0" applyBorder="0" applyAlignment="0" applyProtection="0">
      <alignment vertical="center"/>
    </xf>
    <xf numFmtId="0" fontId="26" fillId="0" borderId="0" applyNumberFormat="0" applyFill="0" applyBorder="0" applyAlignment="0" applyProtection="0">
      <alignment vertical="center"/>
    </xf>
    <xf numFmtId="0" fontId="14" fillId="13" borderId="0" applyNumberFormat="0" applyBorder="0" applyAlignment="0" applyProtection="0">
      <alignment vertical="center"/>
    </xf>
    <xf numFmtId="0" fontId="14" fillId="29" borderId="0" applyNumberFormat="0" applyBorder="0" applyAlignment="0" applyProtection="0">
      <alignment vertical="center"/>
    </xf>
    <xf numFmtId="0" fontId="36" fillId="0" borderId="0" applyNumberFormat="0" applyFill="0" applyBorder="0" applyAlignment="0" applyProtection="0">
      <alignment vertical="center"/>
    </xf>
    <xf numFmtId="0" fontId="15" fillId="27" borderId="0" applyNumberFormat="0" applyBorder="0" applyAlignment="0" applyProtection="0">
      <alignment vertical="center"/>
    </xf>
    <xf numFmtId="0" fontId="14" fillId="28" borderId="0" applyNumberFormat="0" applyBorder="0" applyAlignment="0" applyProtection="0">
      <alignment vertical="center"/>
    </xf>
    <xf numFmtId="0" fontId="35" fillId="6" borderId="25" applyNumberFormat="0" applyAlignment="0" applyProtection="0">
      <alignment vertical="center"/>
    </xf>
    <xf numFmtId="0" fontId="14" fillId="21" borderId="0" applyNumberFormat="0" applyBorder="0" applyAlignment="0" applyProtection="0">
      <alignment vertical="center"/>
    </xf>
    <xf numFmtId="0" fontId="34" fillId="0" borderId="30" applyNumberFormat="0" applyFill="0" applyAlignment="0" applyProtection="0">
      <alignment vertical="center"/>
    </xf>
    <xf numFmtId="0" fontId="15" fillId="27" borderId="0" applyNumberFormat="0" applyBorder="0" applyAlignment="0" applyProtection="0">
      <alignment vertical="center"/>
    </xf>
    <xf numFmtId="0" fontId="20" fillId="17" borderId="0" applyNumberFormat="0" applyBorder="0" applyAlignment="0" applyProtection="0">
      <alignment vertical="center"/>
    </xf>
    <xf numFmtId="0" fontId="33" fillId="26" borderId="0" applyNumberFormat="0" applyBorder="0" applyAlignment="0" applyProtection="0">
      <alignment vertical="center"/>
    </xf>
    <xf numFmtId="0" fontId="13" fillId="17" borderId="0" applyNumberFormat="0" applyBorder="0" applyAlignment="0" applyProtection="0">
      <alignment vertical="center"/>
    </xf>
    <xf numFmtId="0" fontId="35" fillId="6" borderId="25" applyNumberFormat="0" applyAlignment="0" applyProtection="0">
      <alignment vertical="center"/>
    </xf>
    <xf numFmtId="0" fontId="14" fillId="14" borderId="0" applyNumberFormat="0" applyBorder="0" applyAlignment="0" applyProtection="0">
      <alignment vertical="center"/>
    </xf>
    <xf numFmtId="0" fontId="15" fillId="16" borderId="0" applyNumberFormat="0" applyBorder="0" applyAlignment="0" applyProtection="0">
      <alignment vertical="center"/>
    </xf>
    <xf numFmtId="0" fontId="0" fillId="19" borderId="26" applyNumberFormat="0" applyFont="0" applyAlignment="0" applyProtection="0">
      <alignment vertical="center"/>
    </xf>
    <xf numFmtId="0" fontId="32" fillId="11" borderId="27" applyNumberFormat="0" applyAlignment="0" applyProtection="0">
      <alignment vertical="center"/>
    </xf>
    <xf numFmtId="0" fontId="31" fillId="0" borderId="0" applyNumberFormat="0" applyFill="0" applyBorder="0" applyAlignment="0" applyProtection="0">
      <alignment vertical="center"/>
    </xf>
    <xf numFmtId="0" fontId="23" fillId="11" borderId="27" applyNumberFormat="0" applyAlignment="0" applyProtection="0">
      <alignment vertical="center"/>
    </xf>
    <xf numFmtId="0" fontId="22" fillId="16" borderId="0" applyNumberFormat="0" applyBorder="0" applyAlignment="0" applyProtection="0">
      <alignment vertical="center"/>
    </xf>
    <xf numFmtId="9" fontId="0" fillId="0" borderId="0" applyFont="0" applyFill="0" applyBorder="0" applyAlignment="0" applyProtection="0">
      <alignment vertical="center"/>
    </xf>
    <xf numFmtId="0" fontId="15" fillId="26" borderId="0" applyNumberFormat="0" applyBorder="0" applyAlignment="0" applyProtection="0">
      <alignment vertical="center"/>
    </xf>
    <xf numFmtId="9" fontId="0" fillId="0" borderId="0" applyFont="0" applyFill="0" applyBorder="0" applyAlignment="0" applyProtection="0"/>
    <xf numFmtId="0" fontId="22" fillId="16" borderId="0" applyNumberFormat="0" applyBorder="0" applyAlignment="0" applyProtection="0">
      <alignment vertical="center"/>
    </xf>
    <xf numFmtId="0" fontId="20" fillId="6" borderId="0" applyNumberFormat="0" applyBorder="0" applyAlignment="0" applyProtection="0">
      <alignment vertical="center"/>
    </xf>
    <xf numFmtId="0" fontId="30" fillId="0" borderId="30" applyNumberFormat="0" applyFill="0" applyAlignment="0" applyProtection="0">
      <alignment vertical="center"/>
    </xf>
    <xf numFmtId="0" fontId="14" fillId="13" borderId="0" applyNumberFormat="0" applyBorder="0" applyAlignment="0" applyProtection="0">
      <alignment vertical="center"/>
    </xf>
    <xf numFmtId="0" fontId="14" fillId="25" borderId="0" applyNumberFormat="0" applyBorder="0" applyAlignment="0" applyProtection="0">
      <alignment vertical="center"/>
    </xf>
    <xf numFmtId="0" fontId="29" fillId="6" borderId="29" applyNumberFormat="0" applyAlignment="0" applyProtection="0">
      <alignment vertical="center"/>
    </xf>
    <xf numFmtId="0" fontId="14" fillId="12" borderId="0" applyNumberFormat="0" applyBorder="0" applyAlignment="0" applyProtection="0">
      <alignment vertical="center"/>
    </xf>
    <xf numFmtId="0" fontId="13" fillId="19" borderId="26" applyNumberFormat="0" applyFont="0" applyAlignment="0" applyProtection="0">
      <alignment vertical="center"/>
    </xf>
    <xf numFmtId="177" fontId="0" fillId="0" borderId="0" applyFont="0" applyFill="0" applyBorder="0" applyAlignment="0" applyProtection="0"/>
    <xf numFmtId="0" fontId="15" fillId="2" borderId="0" applyNumberFormat="0" applyBorder="0" applyAlignment="0" applyProtection="0">
      <alignment vertical="center"/>
    </xf>
    <xf numFmtId="0" fontId="26" fillId="0" borderId="0" applyNumberFormat="0" applyFill="0" applyBorder="0" applyAlignment="0" applyProtection="0">
      <alignment vertical="center"/>
    </xf>
    <xf numFmtId="0" fontId="14" fillId="13" borderId="0" applyNumberFormat="0" applyBorder="0" applyAlignment="0" applyProtection="0">
      <alignment vertical="center"/>
    </xf>
    <xf numFmtId="0" fontId="14" fillId="18" borderId="0" applyNumberFormat="0" applyBorder="0" applyAlignment="0" applyProtection="0">
      <alignment vertical="center"/>
    </xf>
    <xf numFmtId="0" fontId="15" fillId="13" borderId="0" applyNumberFormat="0" applyBorder="0" applyAlignment="0" applyProtection="0">
      <alignment vertical="center"/>
    </xf>
    <xf numFmtId="0" fontId="13" fillId="5" borderId="0" applyNumberFormat="0" applyBorder="0" applyAlignment="0" applyProtection="0">
      <alignment vertical="center"/>
    </xf>
    <xf numFmtId="0" fontId="28" fillId="0" borderId="0" applyNumberFormat="0" applyFill="0" applyBorder="0" applyAlignment="0" applyProtection="0">
      <alignment vertical="center"/>
    </xf>
    <xf numFmtId="0" fontId="14" fillId="21" borderId="0" applyNumberFormat="0" applyBorder="0" applyAlignment="0" applyProtection="0">
      <alignment vertical="center"/>
    </xf>
    <xf numFmtId="0" fontId="41" fillId="36" borderId="0" applyNumberFormat="0" applyBorder="0" applyAlignment="0" applyProtection="0">
      <alignment vertical="center"/>
    </xf>
    <xf numFmtId="0" fontId="27" fillId="17" borderId="25" applyNumberFormat="0" applyAlignment="0" applyProtection="0">
      <alignment vertical="center"/>
    </xf>
    <xf numFmtId="0" fontId="20" fillId="13" borderId="0" applyNumberFormat="0" applyBorder="0" applyAlignment="0" applyProtection="0">
      <alignment vertical="center"/>
    </xf>
    <xf numFmtId="0" fontId="45" fillId="16" borderId="0" applyNumberFormat="0" applyBorder="0" applyAlignment="0" applyProtection="0">
      <alignment vertical="center"/>
    </xf>
    <xf numFmtId="0" fontId="26" fillId="0" borderId="0" applyNumberFormat="0" applyFill="0" applyBorder="0" applyAlignment="0" applyProtection="0">
      <alignment vertical="center"/>
    </xf>
    <xf numFmtId="0" fontId="25" fillId="0" borderId="28" applyNumberFormat="0" applyFill="0" applyAlignment="0" applyProtection="0">
      <alignment vertical="center"/>
    </xf>
    <xf numFmtId="0" fontId="15" fillId="23" borderId="0" applyNumberFormat="0" applyBorder="0" applyAlignment="0" applyProtection="0">
      <alignment vertical="center"/>
    </xf>
    <xf numFmtId="0" fontId="14" fillId="24" borderId="0" applyNumberFormat="0" applyBorder="0" applyAlignment="0" applyProtection="0">
      <alignment vertical="center"/>
    </xf>
    <xf numFmtId="0" fontId="15" fillId="17" borderId="0" applyNumberFormat="0" applyBorder="0" applyAlignment="0" applyProtection="0">
      <alignment vertical="center"/>
    </xf>
    <xf numFmtId="0" fontId="15" fillId="23" borderId="0" applyNumberFormat="0" applyBorder="0" applyAlignment="0" applyProtection="0">
      <alignment vertical="center"/>
    </xf>
    <xf numFmtId="0" fontId="15" fillId="23" borderId="0" applyNumberFormat="0" applyBorder="0" applyAlignment="0" applyProtection="0">
      <alignment vertical="center"/>
    </xf>
    <xf numFmtId="0" fontId="15" fillId="2" borderId="0" applyNumberFormat="0" applyBorder="0" applyAlignment="0" applyProtection="0">
      <alignment vertical="center"/>
    </xf>
    <xf numFmtId="0" fontId="15" fillId="22" borderId="0" applyNumberFormat="0" applyBorder="0" applyAlignment="0" applyProtection="0">
      <alignment vertical="center"/>
    </xf>
    <xf numFmtId="0" fontId="24" fillId="2" borderId="0" applyNumberFormat="0" applyBorder="0" applyAlignment="0" applyProtection="0">
      <alignment vertical="center"/>
    </xf>
    <xf numFmtId="0" fontId="26" fillId="0" borderId="0" applyNumberFormat="0" applyFill="0" applyBorder="0" applyAlignment="0" applyProtection="0">
      <alignment vertical="center"/>
    </xf>
    <xf numFmtId="0" fontId="23" fillId="11" borderId="27" applyNumberFormat="0" applyAlignment="0" applyProtection="0">
      <alignment vertical="center"/>
    </xf>
    <xf numFmtId="0" fontId="22" fillId="16" borderId="0" applyNumberFormat="0" applyBorder="0" applyAlignment="0" applyProtection="0">
      <alignment vertical="center"/>
    </xf>
    <xf numFmtId="0" fontId="15" fillId="23" borderId="0" applyNumberFormat="0" applyBorder="0" applyAlignment="0" applyProtection="0">
      <alignment vertical="center"/>
    </xf>
    <xf numFmtId="0" fontId="21" fillId="0" borderId="0" applyNumberFormat="0" applyFill="0" applyBorder="0" applyAlignment="0" applyProtection="0">
      <alignment vertical="center"/>
    </xf>
    <xf numFmtId="0" fontId="20" fillId="21" borderId="0" applyNumberFormat="0" applyBorder="0" applyAlignment="0" applyProtection="0">
      <alignment vertical="center"/>
    </xf>
    <xf numFmtId="0" fontId="13" fillId="19" borderId="26" applyNumberFormat="0" applyFont="0" applyAlignment="0" applyProtection="0">
      <alignment vertical="center"/>
    </xf>
    <xf numFmtId="0" fontId="20" fillId="20" borderId="0" applyNumberFormat="0" applyBorder="0" applyAlignment="0" applyProtection="0">
      <alignment vertical="center"/>
    </xf>
    <xf numFmtId="0" fontId="13" fillId="17" borderId="0" applyNumberFormat="0" applyBorder="0" applyAlignment="0" applyProtection="0">
      <alignment vertical="center"/>
    </xf>
    <xf numFmtId="0" fontId="13" fillId="17" borderId="0" applyNumberFormat="0" applyBorder="0" applyAlignment="0" applyProtection="0">
      <alignment vertical="center"/>
    </xf>
    <xf numFmtId="0" fontId="15" fillId="13" borderId="0" applyNumberFormat="0" applyBorder="0" applyAlignment="0" applyProtection="0">
      <alignment vertical="center"/>
    </xf>
    <xf numFmtId="0" fontId="13" fillId="13" borderId="0" applyNumberFormat="0" applyBorder="0" applyAlignment="0" applyProtection="0">
      <alignment vertical="center"/>
    </xf>
    <xf numFmtId="0" fontId="13" fillId="19" borderId="0" applyNumberFormat="0" applyBorder="0" applyAlignment="0" applyProtection="0">
      <alignment vertical="center"/>
    </xf>
    <xf numFmtId="0" fontId="19" fillId="17" borderId="25" applyNumberFormat="0" applyAlignment="0" applyProtection="0">
      <alignment vertical="center"/>
    </xf>
    <xf numFmtId="0" fontId="14" fillId="13" borderId="0" applyNumberFormat="0" applyBorder="0" applyAlignment="0" applyProtection="0">
      <alignment vertical="center"/>
    </xf>
    <xf numFmtId="0" fontId="15" fillId="13" borderId="0" applyNumberFormat="0" applyBorder="0" applyAlignment="0" applyProtection="0">
      <alignment vertical="center"/>
    </xf>
    <xf numFmtId="0" fontId="15" fillId="13" borderId="0" applyNumberFormat="0" applyBorder="0" applyAlignment="0" applyProtection="0">
      <alignment vertical="center"/>
    </xf>
    <xf numFmtId="0" fontId="13" fillId="13" borderId="0" applyNumberFormat="0" applyBorder="0" applyAlignment="0" applyProtection="0">
      <alignment vertical="center"/>
    </xf>
    <xf numFmtId="0" fontId="57" fillId="0" borderId="34" applyNumberFormat="0" applyFill="0" applyAlignment="0" applyProtection="0">
      <alignment vertical="center"/>
    </xf>
    <xf numFmtId="0" fontId="18" fillId="0" borderId="0">
      <alignment vertical="center"/>
    </xf>
    <xf numFmtId="0" fontId="20" fillId="33" borderId="0" applyNumberFormat="0" applyBorder="0" applyAlignment="0" applyProtection="0">
      <alignment vertical="center"/>
    </xf>
    <xf numFmtId="0" fontId="43" fillId="0" borderId="31" applyNumberFormat="0" applyFill="0" applyAlignment="0" applyProtection="0">
      <alignment vertical="center"/>
    </xf>
    <xf numFmtId="0" fontId="15" fillId="18" borderId="0" applyNumberFormat="0" applyBorder="0" applyAlignment="0" applyProtection="0">
      <alignment vertical="center"/>
    </xf>
    <xf numFmtId="0" fontId="13" fillId="17" borderId="0" applyNumberFormat="0" applyBorder="0" applyAlignment="0" applyProtection="0">
      <alignment vertical="center"/>
    </xf>
    <xf numFmtId="0" fontId="15" fillId="16" borderId="0" applyNumberFormat="0" applyBorder="0" applyAlignment="0" applyProtection="0">
      <alignment vertical="center"/>
    </xf>
    <xf numFmtId="0" fontId="14" fillId="24" borderId="0" applyNumberFormat="0" applyBorder="0" applyAlignment="0" applyProtection="0">
      <alignment vertical="center"/>
    </xf>
    <xf numFmtId="0" fontId="53" fillId="0" borderId="0" applyNumberFormat="0" applyFill="0" applyBorder="0" applyAlignment="0" applyProtection="0">
      <alignment vertical="center"/>
    </xf>
    <xf numFmtId="0" fontId="15" fillId="17" borderId="0" applyNumberFormat="0" applyBorder="0" applyAlignment="0" applyProtection="0">
      <alignment vertical="center"/>
    </xf>
    <xf numFmtId="0" fontId="17" fillId="15" borderId="0" applyNumberFormat="0" applyBorder="0" applyAlignment="0" applyProtection="0">
      <alignment vertical="center"/>
    </xf>
    <xf numFmtId="0" fontId="14" fillId="18" borderId="0" applyNumberFormat="0" applyBorder="0" applyAlignment="0" applyProtection="0">
      <alignment vertical="center"/>
    </xf>
    <xf numFmtId="0" fontId="13" fillId="17" borderId="0" applyNumberFormat="0" applyBorder="0" applyAlignment="0" applyProtection="0">
      <alignment vertical="center"/>
    </xf>
    <xf numFmtId="0" fontId="14" fillId="21" borderId="0" applyNumberFormat="0" applyBorder="0" applyAlignment="0" applyProtection="0">
      <alignment vertical="center"/>
    </xf>
    <xf numFmtId="0" fontId="13" fillId="5" borderId="0" applyNumberFormat="0" applyBorder="0" applyAlignment="0" applyProtection="0">
      <alignment vertical="center"/>
    </xf>
    <xf numFmtId="0" fontId="14" fillId="14" borderId="0" applyNumberFormat="0" applyBorder="0" applyAlignment="0" applyProtection="0">
      <alignment vertical="center"/>
    </xf>
    <xf numFmtId="0" fontId="20" fillId="6" borderId="0" applyNumberFormat="0" applyBorder="0" applyAlignment="0" applyProtection="0">
      <alignment vertical="center"/>
    </xf>
    <xf numFmtId="0" fontId="15" fillId="16" borderId="0" applyNumberFormat="0" applyBorder="0" applyAlignment="0" applyProtection="0">
      <alignment vertical="center"/>
    </xf>
    <xf numFmtId="0" fontId="14" fillId="12" borderId="0" applyNumberFormat="0" applyBorder="0" applyAlignment="0" applyProtection="0">
      <alignment vertical="center"/>
    </xf>
    <xf numFmtId="0" fontId="13" fillId="19" borderId="26" applyNumberFormat="0" applyFont="0" applyAlignment="0" applyProtection="0">
      <alignment vertical="center"/>
    </xf>
    <xf numFmtId="0" fontId="41" fillId="48"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5" fillId="2" borderId="0" applyNumberFormat="0" applyBorder="0" applyAlignment="0" applyProtection="0">
      <alignment vertical="center"/>
    </xf>
    <xf numFmtId="0" fontId="14" fillId="12" borderId="0" applyNumberFormat="0" applyBorder="0" applyAlignment="0" applyProtection="0">
      <alignment vertical="center"/>
    </xf>
    <xf numFmtId="0" fontId="16" fillId="0" borderId="24" applyNumberFormat="0" applyFill="0" applyAlignment="0" applyProtection="0">
      <alignment vertical="center"/>
    </xf>
    <xf numFmtId="0" fontId="15" fillId="16" borderId="0" applyNumberFormat="0" applyBorder="0" applyAlignment="0" applyProtection="0">
      <alignment vertical="center"/>
    </xf>
    <xf numFmtId="0" fontId="13" fillId="17" borderId="0" applyNumberFormat="0" applyBorder="0" applyAlignment="0" applyProtection="0">
      <alignment vertical="center"/>
    </xf>
    <xf numFmtId="0" fontId="15" fillId="13" borderId="0" applyNumberFormat="0" applyBorder="0" applyAlignment="0" applyProtection="0">
      <alignment vertical="center"/>
    </xf>
    <xf numFmtId="0" fontId="14" fillId="25" borderId="0" applyNumberFormat="0" applyBorder="0" applyAlignment="0" applyProtection="0">
      <alignment vertical="center"/>
    </xf>
    <xf numFmtId="0" fontId="41" fillId="58" borderId="0" applyNumberFormat="0" applyBorder="0" applyAlignment="0" applyProtection="0">
      <alignment vertical="center"/>
    </xf>
    <xf numFmtId="0" fontId="57" fillId="0" borderId="34" applyNumberFormat="0" applyFill="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5" fillId="23" borderId="0" applyNumberFormat="0" applyBorder="0" applyAlignment="0" applyProtection="0">
      <alignment vertical="center"/>
    </xf>
    <xf numFmtId="0" fontId="57" fillId="0" borderId="34" applyNumberFormat="0" applyFill="0" applyAlignment="0" applyProtection="0">
      <alignment vertical="center"/>
    </xf>
    <xf numFmtId="0" fontId="0" fillId="0" borderId="0">
      <alignment vertical="center"/>
    </xf>
    <xf numFmtId="0" fontId="13" fillId="6" borderId="0" applyNumberFormat="0" applyBorder="0" applyAlignment="0" applyProtection="0">
      <alignment vertical="center"/>
    </xf>
    <xf numFmtId="0" fontId="35" fillId="6" borderId="25" applyNumberFormat="0" applyAlignment="0" applyProtection="0">
      <alignment vertical="center"/>
    </xf>
    <xf numFmtId="0" fontId="36" fillId="0" borderId="0" applyNumberFormat="0" applyFill="0" applyBorder="0" applyAlignment="0" applyProtection="0">
      <alignment vertical="center"/>
    </xf>
  </cellStyleXfs>
  <cellXfs count="127">
    <xf numFmtId="0" fontId="0" fillId="0" borderId="0" xfId="0"/>
    <xf numFmtId="0" fontId="1" fillId="0" borderId="0" xfId="33" applyFont="1" applyAlignment="1" applyProtection="1">
      <alignment vertical="center"/>
      <protection locked="0"/>
    </xf>
    <xf numFmtId="0" fontId="2" fillId="0" borderId="0" xfId="33" applyFont="1" applyAlignment="1" applyProtection="1">
      <alignment vertical="center"/>
      <protection locked="0"/>
    </xf>
    <xf numFmtId="0" fontId="3" fillId="0" borderId="0" xfId="33" applyFont="1" applyAlignment="1" applyProtection="1">
      <alignment vertical="center"/>
      <protection locked="0"/>
    </xf>
    <xf numFmtId="0" fontId="4" fillId="0" borderId="0" xfId="33" applyFont="1" applyAlignment="1" applyProtection="1">
      <alignment vertical="center"/>
      <protection locked="0"/>
    </xf>
    <xf numFmtId="0" fontId="2" fillId="0" borderId="0" xfId="130" applyFont="1" applyProtection="1">
      <protection locked="0"/>
    </xf>
    <xf numFmtId="0" fontId="5" fillId="0" borderId="0" xfId="33" applyFont="1" applyFill="1" applyAlignment="1" applyProtection="1">
      <alignment horizontal="center" vertical="center"/>
      <protection locked="0"/>
    </xf>
    <xf numFmtId="0" fontId="5" fillId="0" borderId="0" xfId="33" applyFont="1" applyProtection="1">
      <protection locked="0"/>
    </xf>
    <xf numFmtId="0" fontId="6" fillId="0" borderId="0" xfId="33" applyFont="1" applyProtection="1">
      <protection locked="0"/>
    </xf>
    <xf numFmtId="0" fontId="5" fillId="0" borderId="0" xfId="33" applyFont="1" applyAlignment="1" applyProtection="1">
      <alignment horizontal="center"/>
      <protection locked="0"/>
    </xf>
    <xf numFmtId="0" fontId="7" fillId="0" borderId="0" xfId="33" applyFont="1" applyAlignment="1" applyProtection="1">
      <alignment horizontal="center" vertical="center"/>
      <protection locked="0"/>
    </xf>
    <xf numFmtId="0" fontId="2" fillId="0" borderId="0" xfId="58" applyFont="1" applyFill="1" applyAlignment="1" applyProtection="1">
      <alignment vertical="center"/>
      <protection locked="0"/>
    </xf>
    <xf numFmtId="0" fontId="2" fillId="0" borderId="0" xfId="58" applyFont="1" applyAlignment="1" applyProtection="1">
      <alignment vertical="center"/>
      <protection locked="0"/>
    </xf>
    <xf numFmtId="0" fontId="2" fillId="0" borderId="1" xfId="33" applyFont="1" applyBorder="1" applyAlignment="1" applyProtection="1">
      <alignment horizontal="center" vertical="center" wrapText="1"/>
      <protection locked="0"/>
    </xf>
    <xf numFmtId="0" fontId="2" fillId="0" borderId="2" xfId="58" applyFont="1" applyBorder="1" applyAlignment="1" applyProtection="1">
      <alignment vertical="center"/>
      <protection locked="0"/>
    </xf>
    <xf numFmtId="0" fontId="2" fillId="0" borderId="3" xfId="33" applyFont="1" applyBorder="1" applyAlignment="1" applyProtection="1">
      <alignment horizontal="center" vertical="center"/>
      <protection locked="0"/>
    </xf>
    <xf numFmtId="0" fontId="2" fillId="0" borderId="4" xfId="58" applyFont="1" applyBorder="1" applyAlignment="1" applyProtection="1">
      <alignment vertical="center"/>
      <protection locked="0"/>
    </xf>
    <xf numFmtId="0" fontId="2" fillId="0" borderId="5" xfId="58" applyFont="1" applyBorder="1" applyAlignment="1" applyProtection="1">
      <alignment vertical="center"/>
      <protection locked="0"/>
    </xf>
    <xf numFmtId="0" fontId="2" fillId="0" borderId="6" xfId="33" applyFont="1" applyBorder="1" applyAlignment="1" applyProtection="1">
      <alignment horizontal="center" vertical="center" wrapText="1"/>
      <protection locked="0"/>
    </xf>
    <xf numFmtId="0" fontId="2" fillId="0" borderId="7" xfId="33" applyFont="1" applyBorder="1" applyAlignment="1" applyProtection="1">
      <alignment horizontal="center" vertical="center" wrapText="1"/>
      <protection locked="0"/>
    </xf>
    <xf numFmtId="0" fontId="2" fillId="0" borderId="8" xfId="58" applyFont="1" applyBorder="1" applyAlignment="1" applyProtection="1">
      <alignment vertical="center"/>
      <protection locked="0"/>
    </xf>
    <xf numFmtId="0" fontId="2" fillId="0" borderId="9" xfId="58" applyFont="1" applyBorder="1" applyAlignment="1" applyProtection="1">
      <alignment vertical="center"/>
      <protection locked="0"/>
    </xf>
    <xf numFmtId="0" fontId="2" fillId="0" borderId="10" xfId="33" applyFont="1" applyBorder="1" applyAlignment="1" applyProtection="1">
      <alignment horizontal="center" vertical="center" wrapText="1"/>
      <protection locked="0"/>
    </xf>
    <xf numFmtId="0" fontId="2" fillId="0" borderId="10" xfId="33" applyFont="1" applyBorder="1" applyAlignment="1" applyProtection="1">
      <alignment vertical="center"/>
      <protection locked="0"/>
    </xf>
    <xf numFmtId="0" fontId="2" fillId="0" borderId="11" xfId="33" applyFont="1" applyFill="1" applyBorder="1" applyAlignment="1" applyProtection="1">
      <alignment horizontal="center" vertical="center"/>
      <protection locked="0"/>
    </xf>
    <xf numFmtId="0" fontId="3" fillId="0" borderId="12" xfId="33" applyFont="1" applyBorder="1" applyAlignment="1" applyProtection="1">
      <alignment vertical="center" wrapText="1"/>
      <protection locked="0"/>
    </xf>
    <xf numFmtId="2" fontId="2" fillId="2" borderId="12" xfId="33" applyNumberFormat="1" applyFont="1" applyFill="1" applyBorder="1" applyAlignment="1" applyProtection="1">
      <alignment horizontal="right" vertical="center"/>
    </xf>
    <xf numFmtId="0" fontId="2" fillId="0" borderId="10" xfId="33" applyFont="1" applyBorder="1" applyAlignment="1" applyProtection="1">
      <alignment horizontal="left" vertical="center" wrapText="1" indent="1"/>
      <protection locked="0"/>
    </xf>
    <xf numFmtId="2" fontId="2" fillId="3" borderId="12" xfId="33" applyNumberFormat="1" applyFont="1" applyFill="1" applyBorder="1" applyAlignment="1" applyProtection="1">
      <alignment horizontal="right" vertical="center"/>
      <protection locked="0"/>
    </xf>
    <xf numFmtId="0" fontId="3" fillId="0" borderId="10" xfId="33" applyFont="1" applyBorder="1" applyAlignment="1" applyProtection="1">
      <alignment vertical="center" wrapText="1"/>
      <protection locked="0"/>
    </xf>
    <xf numFmtId="0" fontId="3" fillId="0" borderId="10" xfId="0" applyFont="1" applyBorder="1" applyAlignment="1" applyProtection="1">
      <alignment vertical="center" wrapText="1"/>
      <protection locked="0"/>
    </xf>
    <xf numFmtId="2" fontId="2" fillId="4" borderId="12" xfId="33" applyNumberFormat="1" applyFont="1" applyFill="1" applyBorder="1" applyAlignment="1" applyProtection="1">
      <alignment horizontal="right" vertical="center"/>
    </xf>
    <xf numFmtId="0" fontId="2" fillId="0" borderId="10" xfId="33" applyFont="1" applyBorder="1" applyAlignment="1" applyProtection="1">
      <alignment horizontal="left" vertical="center" wrapText="1" indent="2"/>
      <protection locked="0"/>
    </xf>
    <xf numFmtId="2" fontId="4" fillId="2" borderId="12" xfId="33" applyNumberFormat="1" applyFont="1" applyFill="1" applyBorder="1" applyAlignment="1" applyProtection="1">
      <alignment horizontal="right" vertical="center"/>
    </xf>
    <xf numFmtId="0" fontId="4" fillId="0" borderId="11" xfId="33" applyFont="1" applyFill="1" applyBorder="1" applyAlignment="1" applyProtection="1">
      <alignment horizontal="center" vertical="center"/>
      <protection locked="0"/>
    </xf>
    <xf numFmtId="0" fontId="4" fillId="0" borderId="10" xfId="33" applyFont="1" applyBorder="1" applyAlignment="1" applyProtection="1">
      <alignment horizontal="left" vertical="center" wrapText="1" indent="1"/>
      <protection locked="0"/>
    </xf>
    <xf numFmtId="2" fontId="4" fillId="3" borderId="12" xfId="33" applyNumberFormat="1" applyFont="1" applyFill="1" applyBorder="1" applyAlignment="1" applyProtection="1">
      <alignment horizontal="right" vertical="center"/>
      <protection locked="0"/>
    </xf>
    <xf numFmtId="0" fontId="8" fillId="5" borderId="10" xfId="33" applyFont="1" applyFill="1" applyBorder="1" applyAlignment="1" applyProtection="1">
      <alignment vertical="center" wrapText="1"/>
      <protection locked="0"/>
    </xf>
    <xf numFmtId="2" fontId="4" fillId="4" borderId="12" xfId="33" applyNumberFormat="1" applyFont="1" applyFill="1" applyBorder="1" applyAlignment="1" applyProtection="1">
      <alignment horizontal="right" vertical="center"/>
    </xf>
    <xf numFmtId="2" fontId="2" fillId="3" borderId="13" xfId="33" applyNumberFormat="1" applyFont="1" applyFill="1" applyBorder="1" applyAlignment="1" applyProtection="1">
      <alignment horizontal="right" vertical="center"/>
      <protection locked="0"/>
    </xf>
    <xf numFmtId="0" fontId="3" fillId="5" borderId="10" xfId="33" applyFont="1" applyFill="1" applyBorder="1" applyAlignment="1" applyProtection="1">
      <alignment vertical="center" wrapText="1"/>
      <protection locked="0"/>
    </xf>
    <xf numFmtId="2" fontId="2" fillId="2" borderId="13" xfId="33" applyNumberFormat="1" applyFont="1" applyFill="1" applyBorder="1" applyAlignment="1" applyProtection="1">
      <alignment horizontal="right" vertical="center"/>
    </xf>
    <xf numFmtId="2" fontId="2" fillId="6" borderId="13" xfId="33" applyNumberFormat="1" applyFont="1" applyFill="1" applyBorder="1" applyAlignment="1" applyProtection="1">
      <alignment horizontal="right" vertical="center"/>
      <protection locked="0"/>
    </xf>
    <xf numFmtId="2" fontId="2" fillId="6" borderId="14" xfId="33" applyNumberFormat="1" applyFont="1" applyFill="1" applyBorder="1" applyAlignment="1" applyProtection="1">
      <alignment horizontal="right" vertical="center"/>
      <protection locked="0"/>
    </xf>
    <xf numFmtId="0" fontId="3" fillId="5" borderId="15" xfId="33" applyFont="1" applyFill="1" applyBorder="1" applyAlignment="1" applyProtection="1">
      <alignment vertical="center" wrapText="1"/>
      <protection locked="0"/>
    </xf>
    <xf numFmtId="2" fontId="2" fillId="6" borderId="15" xfId="33" applyNumberFormat="1" applyFont="1" applyFill="1" applyBorder="1" applyAlignment="1" applyProtection="1">
      <alignment horizontal="right" vertical="center"/>
      <protection locked="0"/>
    </xf>
    <xf numFmtId="0" fontId="2" fillId="0" borderId="0" xfId="33" applyFont="1" applyFill="1" applyBorder="1" applyAlignment="1" applyProtection="1">
      <alignment horizontal="left" vertical="center"/>
      <protection locked="0"/>
    </xf>
    <xf numFmtId="0" fontId="3" fillId="5" borderId="0" xfId="33" applyFont="1" applyFill="1" applyBorder="1" applyAlignment="1" applyProtection="1">
      <alignment vertical="center" wrapText="1"/>
      <protection locked="0"/>
    </xf>
    <xf numFmtId="2" fontId="2" fillId="0" borderId="0" xfId="33" applyNumberFormat="1" applyFont="1" applyFill="1" applyBorder="1" applyAlignment="1" applyProtection="1">
      <alignment horizontal="right" vertical="center"/>
      <protection locked="0"/>
    </xf>
    <xf numFmtId="0" fontId="2" fillId="0" borderId="12" xfId="33" applyFont="1" applyBorder="1" applyAlignment="1" applyProtection="1">
      <alignment vertical="center"/>
      <protection locked="0"/>
    </xf>
    <xf numFmtId="0" fontId="2" fillId="0" borderId="12" xfId="33" applyFont="1" applyFill="1" applyBorder="1" applyAlignment="1" applyProtection="1">
      <alignment horizontal="left" vertical="center"/>
      <protection locked="0"/>
    </xf>
    <xf numFmtId="2" fontId="2" fillId="0" borderId="12" xfId="33" applyNumberFormat="1" applyFont="1" applyFill="1" applyBorder="1" applyAlignment="1" applyProtection="1">
      <alignment horizontal="right" vertical="center"/>
      <protection locked="0"/>
    </xf>
    <xf numFmtId="0" fontId="2" fillId="0" borderId="0" xfId="0" applyFont="1" applyProtection="1">
      <protection locked="0"/>
    </xf>
    <xf numFmtId="0" fontId="2" fillId="0" borderId="0" xfId="33" applyFont="1" applyProtection="1">
      <protection locked="0"/>
    </xf>
    <xf numFmtId="0" fontId="9" fillId="0" borderId="0" xfId="58" applyFont="1" applyFill="1" applyAlignment="1" applyProtection="1">
      <alignment horizontal="left" vertical="center"/>
      <protection locked="0"/>
    </xf>
    <xf numFmtId="0" fontId="2" fillId="0" borderId="12" xfId="33" applyFont="1" applyBorder="1" applyAlignment="1" applyProtection="1">
      <alignment horizontal="left" vertical="center"/>
      <protection locked="0"/>
    </xf>
    <xf numFmtId="0" fontId="2" fillId="0" borderId="7" xfId="33" applyFont="1" applyBorder="1" applyAlignment="1" applyProtection="1">
      <alignment vertical="center"/>
      <protection locked="0"/>
    </xf>
    <xf numFmtId="0" fontId="2" fillId="0" borderId="12" xfId="33" applyFont="1" applyBorder="1" applyAlignment="1" applyProtection="1">
      <alignment horizontal="center" vertical="center" wrapText="1"/>
      <protection locked="0"/>
    </xf>
    <xf numFmtId="0" fontId="2" fillId="0" borderId="14" xfId="33" applyFont="1" applyBorder="1" applyAlignment="1" applyProtection="1">
      <alignment vertical="center"/>
      <protection locked="0"/>
    </xf>
    <xf numFmtId="9" fontId="2" fillId="0" borderId="6" xfId="33" applyNumberFormat="1" applyFont="1" applyBorder="1" applyAlignment="1" applyProtection="1">
      <alignment horizontal="center" vertical="center" wrapText="1"/>
      <protection locked="0"/>
    </xf>
    <xf numFmtId="0" fontId="2" fillId="0" borderId="13" xfId="33" applyFont="1" applyBorder="1" applyAlignment="1" applyProtection="1">
      <alignment vertical="center"/>
      <protection locked="0"/>
    </xf>
    <xf numFmtId="9" fontId="2" fillId="0" borderId="10" xfId="33" applyNumberFormat="1" applyFont="1" applyBorder="1" applyAlignment="1" applyProtection="1">
      <alignment horizontal="center" vertical="center" wrapText="1"/>
      <protection locked="0"/>
    </xf>
    <xf numFmtId="2" fontId="2" fillId="6" borderId="12" xfId="33" applyNumberFormat="1" applyFont="1" applyFill="1" applyBorder="1" applyAlignment="1" applyProtection="1">
      <alignment horizontal="right" vertical="center"/>
      <protection locked="0"/>
    </xf>
    <xf numFmtId="0" fontId="2" fillId="0" borderId="16" xfId="33" applyFont="1" applyBorder="1" applyAlignment="1" applyProtection="1">
      <alignment horizontal="left" vertical="center"/>
      <protection locked="0"/>
    </xf>
    <xf numFmtId="0" fontId="2" fillId="7" borderId="12" xfId="33" applyFont="1" applyFill="1" applyBorder="1" applyAlignment="1" applyProtection="1">
      <alignment horizontal="center" vertical="center" wrapText="1"/>
      <protection locked="0"/>
    </xf>
    <xf numFmtId="0" fontId="2" fillId="0" borderId="10" xfId="58" applyFont="1" applyBorder="1" applyAlignment="1" applyProtection="1">
      <alignment horizontal="center" vertical="center"/>
      <protection locked="0"/>
    </xf>
    <xf numFmtId="2" fontId="2" fillId="8" borderId="12" xfId="33" applyNumberFormat="1" applyFont="1" applyFill="1" applyBorder="1" applyAlignment="1" applyProtection="1">
      <alignment horizontal="right" vertical="center"/>
      <protection locked="0"/>
    </xf>
    <xf numFmtId="2" fontId="2" fillId="6" borderId="12" xfId="33" applyNumberFormat="1" applyFont="1" applyFill="1" applyBorder="1" applyAlignment="1" applyProtection="1">
      <alignment horizontal="center" vertical="center"/>
      <protection locked="0"/>
    </xf>
    <xf numFmtId="2" fontId="2" fillId="9" borderId="12" xfId="33" applyNumberFormat="1" applyFont="1" applyFill="1" applyBorder="1" applyAlignment="1" applyProtection="1">
      <alignment horizontal="right" vertical="center"/>
      <protection locked="0"/>
    </xf>
    <xf numFmtId="0" fontId="10" fillId="0" borderId="0" xfId="33" applyFont="1" applyAlignment="1" applyProtection="1">
      <alignment horizontal="center" vertical="center"/>
      <protection locked="0"/>
    </xf>
    <xf numFmtId="0" fontId="4" fillId="0" borderId="16" xfId="33" applyFont="1" applyBorder="1" applyAlignment="1" applyProtection="1">
      <alignment horizontal="left" vertical="center"/>
      <protection locked="0"/>
    </xf>
    <xf numFmtId="0" fontId="4" fillId="0" borderId="3" xfId="33" applyFont="1" applyBorder="1" applyAlignment="1" applyProtection="1">
      <alignment horizontal="center" vertical="center"/>
      <protection locked="0"/>
    </xf>
    <xf numFmtId="0" fontId="4" fillId="0" borderId="3" xfId="33" applyFont="1" applyFill="1" applyBorder="1" applyAlignment="1" applyProtection="1">
      <alignment horizontal="center" vertical="center"/>
      <protection locked="0"/>
    </xf>
    <xf numFmtId="0" fontId="4" fillId="0" borderId="12" xfId="33" applyFont="1" applyBorder="1" applyAlignment="1" applyProtection="1">
      <alignment horizontal="left" vertical="center"/>
      <protection locked="0"/>
    </xf>
    <xf numFmtId="0" fontId="4" fillId="0" borderId="6" xfId="33" applyFont="1" applyBorder="1" applyAlignment="1" applyProtection="1">
      <alignment horizontal="center" vertical="center" wrapText="1"/>
      <protection locked="0"/>
    </xf>
    <xf numFmtId="0" fontId="4" fillId="0" borderId="10" xfId="33" applyFont="1" applyBorder="1" applyAlignment="1" applyProtection="1">
      <alignment horizontal="center" vertical="center" wrapText="1"/>
      <protection locked="0"/>
    </xf>
    <xf numFmtId="9" fontId="4" fillId="0" borderId="6" xfId="33" applyNumberFormat="1" applyFont="1" applyBorder="1" applyAlignment="1" applyProtection="1">
      <alignment horizontal="center" vertical="center" wrapText="1"/>
      <protection locked="0"/>
    </xf>
    <xf numFmtId="9" fontId="4" fillId="0" borderId="10" xfId="33" applyNumberFormat="1" applyFont="1" applyBorder="1" applyAlignment="1" applyProtection="1">
      <alignment horizontal="center" vertical="center" wrapText="1"/>
      <protection locked="0"/>
    </xf>
    <xf numFmtId="9" fontId="2" fillId="6" borderId="12" xfId="778" applyNumberFormat="1" applyFont="1" applyFill="1" applyBorder="1" applyAlignment="1" applyProtection="1">
      <alignment horizontal="right" vertical="center"/>
      <protection locked="0"/>
    </xf>
    <xf numFmtId="2" fontId="4" fillId="6" borderId="12" xfId="33" applyNumberFormat="1" applyFont="1" applyFill="1" applyBorder="1" applyAlignment="1" applyProtection="1">
      <alignment horizontal="right" vertical="center"/>
      <protection locked="0"/>
    </xf>
    <xf numFmtId="9" fontId="2" fillId="0" borderId="12" xfId="778" applyNumberFormat="1" applyFont="1" applyBorder="1" applyAlignment="1" applyProtection="1">
      <alignment horizontal="right" vertical="center"/>
      <protection locked="0"/>
    </xf>
    <xf numFmtId="2" fontId="4" fillId="8" borderId="12" xfId="33" applyNumberFormat="1" applyFont="1" applyFill="1" applyBorder="1" applyAlignment="1" applyProtection="1">
      <alignment horizontal="right" vertical="center"/>
      <protection locked="0"/>
    </xf>
    <xf numFmtId="2" fontId="4" fillId="9" borderId="12" xfId="33" applyNumberFormat="1" applyFont="1" applyFill="1" applyBorder="1" applyAlignment="1" applyProtection="1">
      <alignment horizontal="right" vertical="center"/>
      <protection locked="0"/>
    </xf>
    <xf numFmtId="2" fontId="4" fillId="8" borderId="12" xfId="33" applyNumberFormat="1" applyFont="1" applyFill="1" applyBorder="1" applyAlignment="1" applyProtection="1">
      <alignment horizontal="center" vertical="center"/>
      <protection locked="0"/>
    </xf>
    <xf numFmtId="9" fontId="2" fillId="9" borderId="12" xfId="778" applyNumberFormat="1" applyFont="1" applyFill="1" applyBorder="1" applyAlignment="1" applyProtection="1">
      <alignment horizontal="right" vertical="center"/>
      <protection locked="0"/>
    </xf>
    <xf numFmtId="9" fontId="4" fillId="0" borderId="12" xfId="778" applyNumberFormat="1" applyFont="1" applyBorder="1" applyAlignment="1" applyProtection="1">
      <alignment horizontal="right" vertical="center"/>
      <protection locked="0"/>
    </xf>
    <xf numFmtId="9" fontId="2" fillId="10" borderId="12" xfId="778" applyNumberFormat="1" applyFont="1" applyFill="1" applyBorder="1" applyAlignment="1" applyProtection="1">
      <alignment horizontal="right" vertical="center"/>
      <protection locked="0"/>
    </xf>
    <xf numFmtId="2" fontId="4" fillId="3" borderId="13" xfId="33" applyNumberFormat="1" applyFont="1" applyFill="1" applyBorder="1" applyAlignment="1" applyProtection="1">
      <alignment horizontal="right" vertical="center"/>
      <protection locked="0"/>
    </xf>
    <xf numFmtId="9" fontId="2" fillId="0" borderId="10" xfId="778" applyNumberFormat="1" applyFont="1" applyBorder="1" applyAlignment="1" applyProtection="1">
      <alignment horizontal="right" vertical="center"/>
      <protection locked="0"/>
    </xf>
    <xf numFmtId="2" fontId="4" fillId="2" borderId="13" xfId="33" applyNumberFormat="1" applyFont="1" applyFill="1" applyBorder="1" applyAlignment="1" applyProtection="1">
      <alignment horizontal="right" vertical="center"/>
    </xf>
    <xf numFmtId="9" fontId="2" fillId="6" borderId="10" xfId="778" applyNumberFormat="1" applyFont="1" applyFill="1" applyBorder="1" applyAlignment="1" applyProtection="1">
      <alignment horizontal="right" vertical="center"/>
      <protection locked="0"/>
    </xf>
    <xf numFmtId="2" fontId="4" fillId="6" borderId="13" xfId="33" applyNumberFormat="1" applyFont="1" applyFill="1" applyBorder="1" applyAlignment="1" applyProtection="1">
      <alignment horizontal="right" vertical="center"/>
      <protection locked="0"/>
    </xf>
    <xf numFmtId="2" fontId="2" fillId="6" borderId="13" xfId="33" applyNumberFormat="1" applyFont="1" applyFill="1" applyBorder="1" applyAlignment="1" applyProtection="1">
      <alignment horizontal="center" vertical="center"/>
      <protection locked="0"/>
    </xf>
    <xf numFmtId="2" fontId="4" fillId="6" borderId="14" xfId="33" applyNumberFormat="1" applyFont="1" applyFill="1" applyBorder="1" applyAlignment="1" applyProtection="1">
      <alignment horizontal="right" vertical="center"/>
      <protection locked="0"/>
    </xf>
    <xf numFmtId="2" fontId="2" fillId="6" borderId="14" xfId="33" applyNumberFormat="1" applyFont="1" applyFill="1" applyBorder="1" applyAlignment="1" applyProtection="1">
      <alignment horizontal="center" vertical="center"/>
      <protection locked="0"/>
    </xf>
    <xf numFmtId="2" fontId="2" fillId="6" borderId="6" xfId="33" applyNumberFormat="1" applyFont="1" applyFill="1" applyBorder="1" applyAlignment="1" applyProtection="1">
      <alignment horizontal="right" vertical="center"/>
      <protection locked="0"/>
    </xf>
    <xf numFmtId="9" fontId="2" fillId="6" borderId="7" xfId="778" applyNumberFormat="1" applyFont="1" applyFill="1" applyBorder="1" applyAlignment="1" applyProtection="1">
      <alignment horizontal="right" vertical="center"/>
      <protection locked="0"/>
    </xf>
    <xf numFmtId="2" fontId="4" fillId="6" borderId="15" xfId="33" applyNumberFormat="1" applyFont="1" applyFill="1" applyBorder="1" applyAlignment="1" applyProtection="1">
      <alignment horizontal="right" vertical="center"/>
      <protection locked="0"/>
    </xf>
    <xf numFmtId="2" fontId="2" fillId="6" borderId="15" xfId="33" applyNumberFormat="1" applyFont="1" applyFill="1" applyBorder="1" applyAlignment="1" applyProtection="1">
      <alignment horizontal="center" vertical="center"/>
      <protection locked="0"/>
    </xf>
    <xf numFmtId="9" fontId="2" fillId="6" borderId="15" xfId="778" applyNumberFormat="1" applyFont="1" applyFill="1" applyBorder="1" applyAlignment="1" applyProtection="1">
      <alignment horizontal="right" vertical="center"/>
      <protection locked="0"/>
    </xf>
    <xf numFmtId="2" fontId="4" fillId="0" borderId="0" xfId="33" applyNumberFormat="1" applyFont="1" applyFill="1" applyBorder="1" applyAlignment="1" applyProtection="1">
      <alignment horizontal="right" vertical="center"/>
      <protection locked="0"/>
    </xf>
    <xf numFmtId="2" fontId="2" fillId="0" borderId="0" xfId="33" applyNumberFormat="1" applyFont="1" applyFill="1" applyBorder="1" applyAlignment="1" applyProtection="1">
      <alignment horizontal="center" vertical="center"/>
      <protection locked="0"/>
    </xf>
    <xf numFmtId="9" fontId="2" fillId="0" borderId="0" xfId="778" applyNumberFormat="1" applyFont="1" applyFill="1" applyBorder="1" applyAlignment="1" applyProtection="1">
      <alignment horizontal="right" vertical="center"/>
      <protection locked="0"/>
    </xf>
    <xf numFmtId="0" fontId="2" fillId="0" borderId="0" xfId="33" applyFont="1" applyAlignment="1" applyProtection="1">
      <alignment horizontal="right" vertical="center"/>
      <protection locked="0"/>
    </xf>
    <xf numFmtId="0" fontId="4" fillId="0" borderId="17" xfId="33" applyFont="1" applyFill="1" applyBorder="1" applyAlignment="1" applyProtection="1">
      <alignment horizontal="center" vertical="center"/>
      <protection locked="0"/>
    </xf>
    <xf numFmtId="0" fontId="2" fillId="0" borderId="18" xfId="33" applyFont="1" applyBorder="1" applyAlignment="1" applyProtection="1">
      <alignment horizontal="center" vertical="center" wrapText="1"/>
      <protection locked="0"/>
    </xf>
    <xf numFmtId="0" fontId="2" fillId="0" borderId="19" xfId="33" applyFont="1" applyBorder="1" applyAlignment="1" applyProtection="1">
      <alignment horizontal="center" vertical="center" wrapText="1"/>
      <protection locked="0"/>
    </xf>
    <xf numFmtId="0" fontId="2" fillId="0" borderId="14" xfId="33" applyFont="1" applyBorder="1" applyAlignment="1" applyProtection="1">
      <alignment horizontal="center" vertical="center" wrapText="1"/>
      <protection locked="0"/>
    </xf>
    <xf numFmtId="0" fontId="2" fillId="0" borderId="20" xfId="33" applyFont="1" applyBorder="1" applyAlignment="1" applyProtection="1">
      <alignment horizontal="center" vertical="center" wrapText="1"/>
      <protection locked="0"/>
    </xf>
    <xf numFmtId="0" fontId="2" fillId="0" borderId="13" xfId="33" applyFont="1" applyBorder="1" applyAlignment="1" applyProtection="1">
      <alignment horizontal="center" vertical="center" wrapText="1"/>
      <protection locked="0"/>
    </xf>
    <xf numFmtId="0" fontId="2" fillId="0" borderId="21" xfId="33" applyFont="1" applyBorder="1" applyAlignment="1" applyProtection="1">
      <alignment horizontal="center" vertical="center" wrapText="1"/>
      <protection locked="0"/>
    </xf>
    <xf numFmtId="10" fontId="2" fillId="2" borderId="21" xfId="33" applyNumberFormat="1" applyFont="1" applyFill="1" applyBorder="1" applyAlignment="1" applyProtection="1">
      <alignment horizontal="right" vertical="center"/>
    </xf>
    <xf numFmtId="2" fontId="4" fillId="2" borderId="22" xfId="33" applyNumberFormat="1" applyFont="1" applyFill="1" applyBorder="1" applyAlignment="1" applyProtection="1">
      <alignment horizontal="right" vertical="center"/>
    </xf>
    <xf numFmtId="2" fontId="2" fillId="2" borderId="22" xfId="33" applyNumberFormat="1" applyFont="1" applyFill="1" applyBorder="1" applyAlignment="1" applyProtection="1">
      <alignment horizontal="right" vertical="center"/>
    </xf>
    <xf numFmtId="10" fontId="4" fillId="2" borderId="21" xfId="33" applyNumberFormat="1" applyFont="1" applyFill="1" applyBorder="1" applyAlignment="1" applyProtection="1">
      <alignment horizontal="right" vertical="center"/>
    </xf>
    <xf numFmtId="10" fontId="2" fillId="6" borderId="21" xfId="33" applyNumberFormat="1" applyFont="1" applyFill="1" applyBorder="1" applyAlignment="1" applyProtection="1">
      <alignment horizontal="right" vertical="center"/>
      <protection locked="0"/>
    </xf>
    <xf numFmtId="2" fontId="2" fillId="3" borderId="6" xfId="33" applyNumberFormat="1" applyFont="1" applyFill="1" applyBorder="1" applyAlignment="1" applyProtection="1">
      <alignment horizontal="right" vertical="center"/>
      <protection locked="0"/>
    </xf>
    <xf numFmtId="10" fontId="2" fillId="6" borderId="20" xfId="33" applyNumberFormat="1" applyFont="1" applyFill="1" applyBorder="1" applyAlignment="1" applyProtection="1">
      <alignment horizontal="right" vertical="center"/>
      <protection locked="0"/>
    </xf>
    <xf numFmtId="2" fontId="2" fillId="2" borderId="15" xfId="33" applyNumberFormat="1" applyFont="1" applyFill="1" applyBorder="1" applyAlignment="1" applyProtection="1">
      <alignment horizontal="right" vertical="center"/>
    </xf>
    <xf numFmtId="2" fontId="2" fillId="6" borderId="23" xfId="33" applyNumberFormat="1" applyFont="1" applyFill="1" applyBorder="1" applyAlignment="1" applyProtection="1">
      <alignment horizontal="right" vertical="center"/>
      <protection locked="0"/>
    </xf>
    <xf numFmtId="0" fontId="11" fillId="4" borderId="0" xfId="0" applyFont="1" applyFill="1" applyAlignment="1" applyProtection="1">
      <alignment horizontal="center" vertical="center" wrapText="1"/>
      <protection locked="0"/>
    </xf>
    <xf numFmtId="0" fontId="2" fillId="0" borderId="0" xfId="0" applyFont="1" applyAlignment="1" applyProtection="1">
      <alignment vertical="center" wrapText="1"/>
      <protection locked="0"/>
    </xf>
    <xf numFmtId="0" fontId="11" fillId="11" borderId="0" xfId="0" applyFont="1" applyFill="1" applyAlignment="1" applyProtection="1">
      <alignment horizontal="center" vertical="center" wrapText="1"/>
      <protection locked="0"/>
    </xf>
    <xf numFmtId="176" fontId="12" fillId="0" borderId="0" xfId="579" applyNumberFormat="1" applyFont="1" applyProtection="1">
      <alignment vertical="center"/>
      <protection locked="0"/>
    </xf>
    <xf numFmtId="176" fontId="12" fillId="0" borderId="0" xfId="579" applyNumberFormat="1" applyFont="1" applyAlignment="1" applyProtection="1">
      <alignment horizontal="left" vertical="center"/>
      <protection locked="0"/>
    </xf>
    <xf numFmtId="0" fontId="2" fillId="0" borderId="0" xfId="130" applyFont="1" applyBorder="1" applyProtection="1">
      <protection locked="0"/>
    </xf>
    <xf numFmtId="0" fontId="4" fillId="0" borderId="0" xfId="130" applyFont="1" applyProtection="1">
      <protection locked="0"/>
    </xf>
  </cellXfs>
  <cellStyles count="868">
    <cellStyle name="常规" xfId="0" builtinId="0"/>
    <cellStyle name="常规_G01" xfId="1"/>
    <cellStyle name="輔色4" xfId="2"/>
    <cellStyle name="20% - 强调文字颜色 2 2 5" xfId="3"/>
    <cellStyle name="强调文字颜色 5 5" xfId="4"/>
    <cellStyle name="輔色3" xfId="5"/>
    <cellStyle name="20% - 强调文字颜色 2 2 4" xfId="6"/>
    <cellStyle name="计算 2 3" xfId="7"/>
    <cellStyle name="常规 2_G4B-3（a）场外衍生工具交易对手信用风险计算表(权重法)" xfId="8"/>
    <cellStyle name="40% - 强调文字颜色 3 6" xfId="9"/>
    <cellStyle name="60% - 强调文字颜色 1_G4B-3（a）场外衍生工具交易对手信用风险计算表(权重法)" xfId="10"/>
    <cellStyle name="标题 5 4" xfId="11"/>
    <cellStyle name="40% - 强调文字颜色 3 3 5" xfId="12"/>
    <cellStyle name="20% - 强调文字颜色 5 2 6" xfId="13"/>
    <cellStyle name="好 5" xfId="14"/>
    <cellStyle name="强调文字颜色 3 4" xfId="15"/>
    <cellStyle name="千位_股东贷款" xfId="16"/>
    <cellStyle name="链接单元格 3 5" xfId="17"/>
    <cellStyle name="标题 1 3" xfId="18"/>
    <cellStyle name="60% - 强调文字颜色 5 6" xfId="19"/>
    <cellStyle name="汇总 2 6" xfId="20"/>
    <cellStyle name="常规 6" xfId="21"/>
    <cellStyle name="标题 1 2 4" xfId="22"/>
    <cellStyle name="標題" xfId="23"/>
    <cellStyle name="标题 2 2" xfId="24"/>
    <cellStyle name="链接单元格 6" xfId="25"/>
    <cellStyle name="40% - 强调文字颜色 2_G4B-3（a）场外衍生工具交易对手信用风险计算表(权重法)" xfId="26"/>
    <cellStyle name="注释 2 3" xfId="27"/>
    <cellStyle name="20% - 强调文字颜色 5 3_G4B-3（b）证券融资交易对手信用风险计算表(0621)" xfId="28"/>
    <cellStyle name="标题 8" xfId="29"/>
    <cellStyle name="检查单元格 2_G4B-3（b）证券融资交易对手信用风险计算表(0621)" xfId="30"/>
    <cellStyle name="60% - 强调文字颜色 1 4" xfId="31"/>
    <cellStyle name="20% - 强调文字颜色 4 3" xfId="32"/>
    <cellStyle name="常规_表内风险资产" xfId="33"/>
    <cellStyle name="60% - 强调文字颜色 5 3 5" xfId="34"/>
    <cellStyle name="60% - 强调文字颜色 6 6" xfId="35"/>
    <cellStyle name="20% - 强调文字颜色 1 2 5" xfId="36"/>
    <cellStyle name="20% - 强调文字颜色 4 3 2" xfId="37"/>
    <cellStyle name="标题 4 7" xfId="38"/>
    <cellStyle name="60% - 强调文字颜色 5 3 4" xfId="39"/>
    <cellStyle name="解释性文本 7" xfId="40"/>
    <cellStyle name="60% - 强调文字颜色 4 6" xfId="41"/>
    <cellStyle name="60% - 强调文字颜色 4 2 6" xfId="42"/>
    <cellStyle name="好 3" xfId="43"/>
    <cellStyle name="40% - 强调文字颜色 3_G4B-3（a）场外衍生工具交易对手信用风险计算表(权重法)" xfId="44"/>
    <cellStyle name="强调文字颜色 4 3_G4B-3（b）证券融资交易对手信用风险计算表(0621)" xfId="45"/>
    <cellStyle name="20% - 强调文字颜色 2 2 3" xfId="46"/>
    <cellStyle name="輔色2" xfId="47"/>
    <cellStyle name="60% - 强调文字颜色 5 2 6" xfId="48"/>
    <cellStyle name="40% - 强调文字颜色 6 5" xfId="49"/>
    <cellStyle name="标题 4 4" xfId="50"/>
    <cellStyle name="60% - 强调文字颜色 6 3 2" xfId="51"/>
    <cellStyle name="标题 3 7" xfId="52"/>
    <cellStyle name="20% - 强调文字颜色 4 2 2" xfId="53"/>
    <cellStyle name="60% - 强调文字颜色 6 2 5" xfId="54"/>
    <cellStyle name="标题 3 2 5" xfId="55"/>
    <cellStyle name="标题 1 4" xfId="56"/>
    <cellStyle name="60% - 强调文字颜色 6 2 6" xfId="57"/>
    <cellStyle name="常规_G4B-1 表内信用风险加权资产计算表（权重法）" xfId="58"/>
    <cellStyle name="输出 3 4" xfId="59"/>
    <cellStyle name="强调文字颜色 2 3_G4B-3（b）证券融资交易对手信用风险计算表(0621)" xfId="60"/>
    <cellStyle name="計算方式" xfId="61"/>
    <cellStyle name="适中 2 4" xfId="62"/>
    <cellStyle name="60% - 强调文字颜色 3 4" xfId="63"/>
    <cellStyle name="20% - 强调文字颜色 5 2_G4B-3（b）证券融资交易对手信用风险计算表(0621)" xfId="64"/>
    <cellStyle name="汇总 2 4" xfId="65"/>
    <cellStyle name="20% - 强调文字颜色 6 3" xfId="66"/>
    <cellStyle name="60% - 强调文字颜色 6 3 3" xfId="67"/>
    <cellStyle name="标题 4 5" xfId="68"/>
    <cellStyle name="60% - 强调文字颜色 4 2 5" xfId="69"/>
    <cellStyle name="60% - 强调文字颜色 4 5" xfId="70"/>
    <cellStyle name="20% - 强调文字颜色 1_G4B-3（a）场外衍生工具交易对手信用风险计算表(权重法)" xfId="71"/>
    <cellStyle name="60% - 强调文字颜色 6 2 3" xfId="72"/>
    <cellStyle name="标题 5" xfId="73"/>
    <cellStyle name="标题 6 5" xfId="74"/>
    <cellStyle name="40% - 强调文字颜色 1 7" xfId="75"/>
    <cellStyle name="好 2 3" xfId="76"/>
    <cellStyle name="强调文字颜色 6_G4B-3（a）场外衍生工具交易对手信用风险计算表(权重法)" xfId="77"/>
    <cellStyle name="适中 7" xfId="78"/>
    <cellStyle name="百分比 3" xfId="79"/>
    <cellStyle name="检查单元格 2 5" xfId="80"/>
    <cellStyle name="警告文本 2 4" xfId="81"/>
    <cellStyle name="40% - 輔色3" xfId="82"/>
    <cellStyle name="20% - 强调文字颜色 1 3 5" xfId="83"/>
    <cellStyle name="标题 2 5" xfId="84"/>
    <cellStyle name="標題 2" xfId="85"/>
    <cellStyle name="60% - 强调文字颜色 4 3 5" xfId="86"/>
    <cellStyle name="60% - 强调文字颜色 5 5" xfId="87"/>
    <cellStyle name="汇总 2 3" xfId="88"/>
    <cellStyle name="60% - 强调文字颜色 5 3" xfId="89"/>
    <cellStyle name="60% - 强调文字颜色 4 3 3" xfId="90"/>
    <cellStyle name="_ET_STYLE_NoName_00_" xfId="91"/>
    <cellStyle name="标题 1 2" xfId="92"/>
    <cellStyle name="60% - 强调文字颜色 5 3_G4B-3（b）证券融资交易对手信用风险计算表(0621)" xfId="93"/>
    <cellStyle name="解释性文本 5" xfId="94"/>
    <cellStyle name="60% - 强调文字颜色 5 3 2" xfId="95"/>
    <cellStyle name="标题 1 2 2" xfId="96"/>
    <cellStyle name="60% - 輔色5" xfId="97"/>
    <cellStyle name="常规 4" xfId="98"/>
    <cellStyle name="常规 2" xfId="99"/>
    <cellStyle name="标题 2 4" xfId="100"/>
    <cellStyle name="標題 1" xfId="101"/>
    <cellStyle name="标题 2 3" xfId="102"/>
    <cellStyle name="60% - 强调文字颜色 3 2" xfId="103"/>
    <cellStyle name="强调文字颜色 3 3 4" xfId="104"/>
    <cellStyle name="40% - 强调文字颜色 2 3 5" xfId="105"/>
    <cellStyle name="输出 2 2" xfId="106"/>
    <cellStyle name="解释性文本 2 2" xfId="107"/>
    <cellStyle name="60% - 强调文字颜色 6 3 5" xfId="108"/>
    <cellStyle name="20% - 强调文字颜色 4 2 6" xfId="109"/>
    <cellStyle name="汇总 2 2" xfId="110"/>
    <cellStyle name="计算 3_G4B-3（b）证券融资交易对手信用风险计算表(0621)" xfId="111"/>
    <cellStyle name="60% - 强调文字颜色 5 2" xfId="112"/>
    <cellStyle name="60% - 强调文字颜色 4 3 2" xfId="113"/>
    <cellStyle name="40% - 强调文字颜色 2 3_G4B-3（b）证券融资交易对手信用风险计算表(0621)" xfId="114"/>
    <cellStyle name="60% - 强调文字颜色 4 3 4" xfId="115"/>
    <cellStyle name="60% - 强调文字颜色 5 4" xfId="116"/>
    <cellStyle name="标题 3 6" xfId="117"/>
    <cellStyle name="60% - 强调文字颜色 6 2 4" xfId="118"/>
    <cellStyle name="强调文字颜色 1 3" xfId="119"/>
    <cellStyle name="標題_G4B-3（a）场外衍生工具交易对手信用风险计算表(权重法)" xfId="120"/>
    <cellStyle name="好 2_G4B-3（b）证券融资交易对手信用风险计算表(0621)" xfId="121"/>
    <cellStyle name="差_G4B-3（a）场外衍生工具交易对手信用风险计算表(权重法)" xfId="122"/>
    <cellStyle name="链接单元格 2 4" xfId="123"/>
    <cellStyle name="标题 7" xfId="124"/>
    <cellStyle name="标题 3 4" xfId="125"/>
    <cellStyle name="60% - 强调文字颜色 6 2 2" xfId="126"/>
    <cellStyle name="计算 2 4" xfId="127"/>
    <cellStyle name="60% - 强调文字颜色 4 2_G4B-3（b）证券融资交易对手信用风险计算表(0621)" xfId="128"/>
    <cellStyle name="强调文字颜色 6 4" xfId="129"/>
    <cellStyle name="Normal_G10revised-20050118" xfId="130"/>
    <cellStyle name="标题 3 5" xfId="131"/>
    <cellStyle name="汇总 3 3" xfId="132"/>
    <cellStyle name="输出 3" xfId="133"/>
    <cellStyle name="40% - 强调文字颜色 5 3 3" xfId="134"/>
    <cellStyle name="适中 2" xfId="135"/>
    <cellStyle name="链接单元格 2 3" xfId="136"/>
    <cellStyle name="40% - 强调文字颜色 4 4" xfId="137"/>
    <cellStyle name="20% - 强调文字颜色 2 2 2" xfId="138"/>
    <cellStyle name="輔色1" xfId="139"/>
    <cellStyle name="常规 5" xfId="140"/>
    <cellStyle name="标题 1 2 3" xfId="141"/>
    <cellStyle name="60% - 輔色6" xfId="142"/>
    <cellStyle name="20% - 强调文字颜色 5 6" xfId="143"/>
    <cellStyle name="60% - 强调文字颜色 2 7" xfId="144"/>
    <cellStyle name="40% - 强调文字颜色 4 2 6" xfId="145"/>
    <cellStyle name="40% - 强调文字颜色 6 6" xfId="146"/>
    <cellStyle name="警告文本 3 4" xfId="147"/>
    <cellStyle name="40% - 强调文字颜色 1 4" xfId="148"/>
    <cellStyle name="标题 6 2" xfId="149"/>
    <cellStyle name="解释性文本 4" xfId="150"/>
    <cellStyle name="60% - 强调文字颜色 6 3 4" xfId="151"/>
    <cellStyle name="标题 4 6" xfId="152"/>
    <cellStyle name="60% - 强调文字颜色 5 2 4" xfId="153"/>
    <cellStyle name="40% - 强调文字颜色 6 3" xfId="154"/>
    <cellStyle name="60% - 强调文字颜色 3 3 2" xfId="155"/>
    <cellStyle name="强调文字颜色 4 2_G4B-3（b）证券融资交易对手信用风险计算表(0621)" xfId="156"/>
    <cellStyle name="20% - 强调文字颜色 6 2_G4B-3（b）证券融资交易对手信用风险计算表(0621)" xfId="157"/>
    <cellStyle name="强调文字颜色 5 2 2" xfId="158"/>
    <cellStyle name="标题 1 2 6" xfId="159"/>
    <cellStyle name="标题 2 2 6" xfId="160"/>
    <cellStyle name="60% - 强调文字颜色 2 3 3" xfId="161"/>
    <cellStyle name="20% - 强调文字颜色 5 2 3" xfId="162"/>
    <cellStyle name="40% - 强调文字颜色 6 2 3" xfId="163"/>
    <cellStyle name="60% - 强调文字颜色 5 2_G4B-3（b）证券融资交易对手信用风险计算表(0621)" xfId="164"/>
    <cellStyle name="强调文字颜色 5 3_G4B-3（b）证券融资交易对手信用风险计算表(0621)" xfId="165"/>
    <cellStyle name="好 3 5" xfId="166"/>
    <cellStyle name="常规 2 2 3" xfId="167"/>
    <cellStyle name="强调文字颜色 6 2" xfId="168"/>
    <cellStyle name="强调文字颜色 3 3" xfId="169"/>
    <cellStyle name="链接单元格 3 4" xfId="170"/>
    <cellStyle name="輸出" xfId="171"/>
    <cellStyle name="60% - 强调文字颜色 1 2 6" xfId="172"/>
    <cellStyle name="60% - 强调文字颜色 3 2 2" xfId="173"/>
    <cellStyle name="标题 3 3 4" xfId="174"/>
    <cellStyle name="标题 1 2_G4B-2" xfId="175"/>
    <cellStyle name="适中 2_G4B-3（b）证券融资交易对手信用风险计算表(0621)" xfId="176"/>
    <cellStyle name="标题 4 3 2" xfId="177"/>
    <cellStyle name="强调文字颜色 6 2 5" xfId="178"/>
    <cellStyle name="20% - 强调文字颜色 4 3 3" xfId="179"/>
    <cellStyle name="中等" xfId="180"/>
    <cellStyle name="40% - 强调文字颜色 1" xfId="181" builtinId="31"/>
    <cellStyle name="20% - 强调文字颜色 6 2 2" xfId="182"/>
    <cellStyle name="警告文本 3" xfId="183"/>
    <cellStyle name="强调文字颜色 5 3" xfId="184"/>
    <cellStyle name="檢查儲存格" xfId="185"/>
    <cellStyle name="解释性文本 3 5" xfId="186"/>
    <cellStyle name="标题 2 2 3" xfId="187"/>
    <cellStyle name="20% - 强调文字颜色 5 3 5" xfId="188"/>
    <cellStyle name="60% - 强调文字颜色 6 2_G4B-3（b）证券融资交易对手信用风险计算表(0621)" xfId="189"/>
    <cellStyle name="解释性文本 3 4" xfId="190"/>
    <cellStyle name="标题 2 2 2" xfId="191"/>
    <cellStyle name="20% - 强调文字颜色 5 3 4" xfId="192"/>
    <cellStyle name="20% - 强调文字颜色 5 3 3" xfId="193"/>
    <cellStyle name="60% - 强调文字颜色 3 2_G4B-3（b）证券融资交易对手信用风险计算表(0621)" xfId="194"/>
    <cellStyle name="60% - 强调文字颜色 1 3 4" xfId="195"/>
    <cellStyle name="解释性文本" xfId="196" builtinId="53"/>
    <cellStyle name="20% - 强调文字颜色 4 2 4" xfId="197"/>
    <cellStyle name="20% - 强调文字颜色 4 2 3" xfId="198"/>
    <cellStyle name="60% - 輔色4" xfId="199"/>
    <cellStyle name="标题 1 3 2" xfId="200"/>
    <cellStyle name="强调文字颜色 3 2 5" xfId="201"/>
    <cellStyle name="60% - 强调文字颜色 2 3" xfId="202"/>
    <cellStyle name="20% - 强调文字颜色 5 2" xfId="203"/>
    <cellStyle name="千位分隔 6" xfId="204"/>
    <cellStyle name="40% - 强调文字颜色 4 2 5" xfId="205"/>
    <cellStyle name="60% - 强调文字颜色 6_G4B-3（a）场外衍生工具交易对手信用风险计算表(权重法)" xfId="206"/>
    <cellStyle name="常规 2 2 6" xfId="207"/>
    <cellStyle name="40% - 强调文字颜色 6 3_G4B-3（b）证券融资交易对手信用风险计算表(0621)" xfId="208"/>
    <cellStyle name="40% - 强调文字颜色 6 2 4" xfId="209"/>
    <cellStyle name="好_资产证券化监管报表_G4B-3（a）场外衍生工具交易对手信用风险计算表(权重法)" xfId="210"/>
    <cellStyle name="强调文字颜色 5 6" xfId="211"/>
    <cellStyle name="20% - 强调文字颜色 1 3_G4B-3（b）证券融资交易对手信用风险计算表(0621)" xfId="212"/>
    <cellStyle name="40% - 强调文字颜色 4 2 2" xfId="213"/>
    <cellStyle name="标题 1 6" xfId="214"/>
    <cellStyle name="千位分隔 3" xfId="215"/>
    <cellStyle name="20% - 强调文字颜色 4 5" xfId="216"/>
    <cellStyle name="60% - 强调文字颜色 1 6" xfId="217"/>
    <cellStyle name="40% - 强调文字颜色 5 2 2" xfId="218"/>
    <cellStyle name="40% - 强调文字颜色 5 5" xfId="219"/>
    <cellStyle name="检查单元格 3 2" xfId="220"/>
    <cellStyle name="20% - 强调文字颜色 4 2 5" xfId="221"/>
    <cellStyle name="60% - 强调文字颜色 1 3 5" xfId="222"/>
    <cellStyle name="标题 2 3 2" xfId="223"/>
    <cellStyle name="40% - 强调文字颜色 5 2 5" xfId="224"/>
    <cellStyle name="20% - 輔色2" xfId="225"/>
    <cellStyle name="好_资产证券化监管报表" xfId="226"/>
    <cellStyle name="差_G4B-3（b）证券融资交易对手信用风险计算表(0621)" xfId="227"/>
    <cellStyle name="40% - 强调文字颜色 3 2 6" xfId="228"/>
    <cellStyle name="计算 3 5" xfId="229"/>
    <cellStyle name="20% - 强调文字颜色 1 4" xfId="230"/>
    <cellStyle name="强调文字颜色 2 2 4" xfId="231"/>
    <cellStyle name="标题 1 7" xfId="232"/>
    <cellStyle name="40% - 强调文字颜色 4 2 3" xfId="233"/>
    <cellStyle name="好 3 4" xfId="234"/>
    <cellStyle name="常规 2 2 2" xfId="235"/>
    <cellStyle name="40% - 强调文字颜色 4_G4B-3（a）场外衍生工具交易对手信用风险计算表(权重法)" xfId="236"/>
    <cellStyle name="40% - 强调文字颜色 4 2 4" xfId="237"/>
    <cellStyle name="40% - 强调文字颜色 4 3 3" xfId="238"/>
    <cellStyle name="强调文字颜色 2 2 5" xfId="239"/>
    <cellStyle name="20% - 强调文字颜色 1 5" xfId="240"/>
    <cellStyle name="强调文字颜色 2 2 3" xfId="241"/>
    <cellStyle name="计算 3 4" xfId="242"/>
    <cellStyle name="20% - 强调文字颜色 1 3" xfId="243"/>
    <cellStyle name="强调文字颜色 4 3 4" xfId="244"/>
    <cellStyle name="40% - 强调文字颜色 5 2 3" xfId="245"/>
    <cellStyle name="千位分隔 4" xfId="246"/>
    <cellStyle name="20% - 强调文字颜色 4 6" xfId="247"/>
    <cellStyle name="60% - 强调文字颜色 1 7" xfId="248"/>
    <cellStyle name="输出 2_G4B-3（b）证券融资交易对手信用风险计算表(0621)" xfId="249"/>
    <cellStyle name="标题 2 2_G4B-4 资产证券化业务风险加权资产表" xfId="250"/>
    <cellStyle name="40% - 强调文字颜色 3 5" xfId="251"/>
    <cellStyle name="40% - 强调文字颜色 3 3" xfId="252"/>
    <cellStyle name="强调文字颜色 3 3_G4B-3（b）证券融资交易对手信用风险计算表(0621)" xfId="253"/>
    <cellStyle name="强调文字颜色 1 2 6" xfId="254"/>
    <cellStyle name="40% - 强调文字颜色 2 2 5" xfId="255"/>
    <cellStyle name="?鹎%U龡&amp;H?_x0008__x001c__x001c_?_x0007__x0001__x0001_" xfId="256"/>
    <cellStyle name="常规 2 2 4" xfId="257"/>
    <cellStyle name="好 2 6" xfId="258"/>
    <cellStyle name="百分比 6" xfId="259"/>
    <cellStyle name="适中 2 6" xfId="260"/>
    <cellStyle name="40% - 輔色6" xfId="261"/>
    <cellStyle name="差 2 2" xfId="262"/>
    <cellStyle name="链接单元格 7" xfId="263"/>
    <cellStyle name="60% - 强调文字颜色 1 3 2" xfId="264"/>
    <cellStyle name="60% - 輔色3" xfId="265"/>
    <cellStyle name="强调文字颜色 4 2 4" xfId="266"/>
    <cellStyle name="40% - 强调文字颜色 6 3 2" xfId="267"/>
    <cellStyle name="60% - 强调文字颜色 1 2 3" xfId="268"/>
    <cellStyle name="标题 1 3 5" xfId="269"/>
    <cellStyle name="解释性文本 2 5" xfId="270"/>
    <cellStyle name="标题 2 3 5" xfId="271"/>
    <cellStyle name="60% - 强调文字颜色 2 2 3" xfId="272"/>
    <cellStyle name="强调文字颜色 1 4" xfId="273"/>
    <cellStyle name="解释性文本 2" xfId="274"/>
    <cellStyle name="输入 2 5" xfId="275"/>
    <cellStyle name="强调文字颜色 3 5" xfId="276"/>
    <cellStyle name="40% - 强调文字颜色 3 2" xfId="277"/>
    <cellStyle name="20% - 强调文字颜色 3 3 2" xfId="278"/>
    <cellStyle name="20% - 强调文字颜色 3 4" xfId="279"/>
    <cellStyle name="计算 2 2" xfId="280"/>
    <cellStyle name="20% - 强调文字颜色 4 3 5" xfId="281"/>
    <cellStyle name="好_G4B-3交易对手信用风险汇总表" xfId="282"/>
    <cellStyle name="标题 3 2 6" xfId="283"/>
    <cellStyle name="60% - 强调文字颜色 6 3_G4B-3（b）证券融资交易对手信用风险计算表(0621)" xfId="284"/>
    <cellStyle name="60% - 强调文字颜色 3 3 4" xfId="285"/>
    <cellStyle name="20% - 强调文字颜色 2 2 6" xfId="286"/>
    <cellStyle name="輔色5" xfId="287"/>
    <cellStyle name="40% - 强调文字颜色 2 3 4" xfId="288"/>
    <cellStyle name="标题 4 2 6" xfId="289"/>
    <cellStyle name="输入 6" xfId="290"/>
    <cellStyle name="链接单元格 4" xfId="291"/>
    <cellStyle name="汇总 3_G4B-2" xfId="292"/>
    <cellStyle name="计算 2 6" xfId="293"/>
    <cellStyle name="60% - 强调文字颜色 3 5" xfId="294"/>
    <cellStyle name="注释 2" xfId="295"/>
    <cellStyle name="好_G4B-3（b）证券融资交易对手信用风险计算表(0621)" xfId="296"/>
    <cellStyle name="20% - 强调文字颜色 6 4" xfId="297"/>
    <cellStyle name="警告文本 2" xfId="298"/>
    <cellStyle name="差 2_G4B-3（b）证券融资交易对手信用风险计算表(0621)" xfId="299"/>
    <cellStyle name="好_资产证券化监管报表_G4B-3交易对手信用风险汇总表" xfId="300"/>
    <cellStyle name="计算 4" xfId="301"/>
    <cellStyle name="链接单元格" xfId="302" builtinId="24"/>
    <cellStyle name="检查单元格 6" xfId="303"/>
    <cellStyle name="60% - 强调文字颜色 2 6" xfId="304"/>
    <cellStyle name="20% - 强调文字颜色 5 5" xfId="305"/>
    <cellStyle name="强调文字颜色 6 2 6" xfId="306"/>
    <cellStyle name="标题 4 3 3" xfId="307"/>
    <cellStyle name="60% - 强调文字颜色 3 2 5" xfId="308"/>
    <cellStyle name="标题 5_G4B-4 资产证券化业务风险加权资产表" xfId="309"/>
    <cellStyle name="20% - 强调文字颜色 3 2" xfId="310"/>
    <cellStyle name="60% - 强调文字颜色 3 2 4" xfId="311"/>
    <cellStyle name="检查单元格 3_G4B-3（b）证券融资交易对手信用风险计算表(0621)" xfId="312"/>
    <cellStyle name="40% - 强调文字颜色 2" xfId="313" builtinId="35"/>
    <cellStyle name="40% - 强调文字颜色 6" xfId="314" builtinId="51"/>
    <cellStyle name="强调文字颜色 4 2 5" xfId="315"/>
    <cellStyle name="40% - 强调文字颜色 4 2" xfId="316"/>
    <cellStyle name="强调文字颜色 1 3 5" xfId="317"/>
    <cellStyle name="强调文字颜色 1 7" xfId="318"/>
    <cellStyle name="20% - 强调文字颜色 5 3" xfId="319"/>
    <cellStyle name="链接单元格 2 6" xfId="320"/>
    <cellStyle name="强调文字颜色 6" xfId="321" builtinId="49"/>
    <cellStyle name="40% - 强调文字颜色 5" xfId="322" builtinId="47"/>
    <cellStyle name="40% - 强调文字颜色 4 3 5" xfId="323"/>
    <cellStyle name="货币[0]" xfId="324" builtinId="7"/>
    <cellStyle name="输出 2 6" xfId="325"/>
    <cellStyle name="注释 3 3" xfId="326"/>
    <cellStyle name="强调文字颜色 2 6" xfId="327"/>
    <cellStyle name="注释 3 4" xfId="328"/>
    <cellStyle name="强调文字颜色 5" xfId="329" builtinId="45"/>
    <cellStyle name="汇总 2" xfId="330"/>
    <cellStyle name="输入 3 2" xfId="331"/>
    <cellStyle name="常规 2 6" xfId="332"/>
    <cellStyle name="强调文字颜色 1_G4B-3（a）场外衍生工具交易对手信用风险计算表(权重法)" xfId="333"/>
    <cellStyle name="20% - 强调文字颜色 3 2 2" xfId="334"/>
    <cellStyle name="20% - 强调文字颜色 2 7" xfId="335"/>
    <cellStyle name="标题 4 2 3" xfId="336"/>
    <cellStyle name="输入 3" xfId="337"/>
    <cellStyle name="汇总" xfId="338" builtinId="25"/>
    <cellStyle name="强调文字颜色 1 3 4" xfId="339"/>
    <cellStyle name="20% - 强调文字颜色 6 3 5" xfId="340"/>
    <cellStyle name="20% - 强调文字颜色 1" xfId="341" builtinId="30"/>
    <cellStyle name="强调文字颜色 2 2" xfId="342"/>
    <cellStyle name="千位分隔" xfId="343" builtinId="3"/>
    <cellStyle name="标题 2" xfId="344" builtinId="17"/>
    <cellStyle name="适中 3_G4B-3（b）证券融资交易对手信用风险计算表(0621)" xfId="345"/>
    <cellStyle name="20% - 强调文字颜色 5 2 2" xfId="346"/>
    <cellStyle name="60% - 强调文字颜色 2 3 2" xfId="347"/>
    <cellStyle name="标题 3 2 4" xfId="348"/>
    <cellStyle name="强调文字颜色 5 3 4" xfId="349"/>
    <cellStyle name="好 3_G4B-3（b）证券融资交易对手信用风险计算表(0621)" xfId="350"/>
    <cellStyle name="常规 2 5" xfId="351"/>
    <cellStyle name="警告文本 2_G4B-4 资产证券化业务风险加权资产表" xfId="352"/>
    <cellStyle name="20% - 强调文字颜色 2_G4B-3（a）场外衍生工具交易对手信用风险计算表(权重法)" xfId="353"/>
    <cellStyle name="链接单元格 3_G4B-2" xfId="354"/>
    <cellStyle name="标题 4 2" xfId="355"/>
    <cellStyle name="输入" xfId="356" builtinId="20"/>
    <cellStyle name="40% - 强调文字颜色 2 6" xfId="357"/>
    <cellStyle name="链接单元格 2_G4B-2" xfId="358"/>
    <cellStyle name="60% - 强调文字颜色 5_G4B-3（a）场外衍生工具交易对手信用风险计算表(权重法)" xfId="359"/>
    <cellStyle name="标题 1" xfId="360" builtinId="16"/>
    <cellStyle name="注释 2 4" xfId="361"/>
    <cellStyle name="20% - 强调文字颜色 5 3 2" xfId="362"/>
    <cellStyle name="超链接" xfId="363" builtinId="8"/>
    <cellStyle name="输入 7" xfId="364"/>
    <cellStyle name="链接单元格 5" xfId="365"/>
    <cellStyle name="链接单元格 2 2" xfId="366"/>
    <cellStyle name="40% - 强调文字颜色 5 3 2" xfId="367"/>
    <cellStyle name="输出 2" xfId="368"/>
    <cellStyle name="連結的儲存格" xfId="369"/>
    <cellStyle name="差" xfId="370" builtinId="27"/>
    <cellStyle name="40% - 强调文字颜色 6 2" xfId="371"/>
    <cellStyle name="60% - 强调文字颜色 5 2 3" xfId="372"/>
    <cellStyle name="强调文字颜色 1 2" xfId="373"/>
    <cellStyle name="强调文字颜色 2 5" xfId="374"/>
    <cellStyle name="标题 3" xfId="375" builtinId="18"/>
    <cellStyle name="40% - 强调文字颜色 1 5" xfId="376"/>
    <cellStyle name="标题 6 3" xfId="377"/>
    <cellStyle name="强调文字颜色 1 2_G4B-3（b）证券融资交易对手信用风险计算表(0621)" xfId="378"/>
    <cellStyle name="汇总 7" xfId="379"/>
    <cellStyle name="注释" xfId="380" builtinId="10"/>
    <cellStyle name="60% - 强调文字颜色 4 3_G4B-3（b）证券融资交易对手信用风险计算表(0621)" xfId="381"/>
    <cellStyle name="差 2 4" xfId="382"/>
    <cellStyle name="警告文字" xfId="383"/>
    <cellStyle name="强调文字颜色 4" xfId="384" builtinId="41"/>
    <cellStyle name="强调文字颜色 4 7" xfId="385"/>
    <cellStyle name="40% - 强调文字颜色 3" xfId="386" builtinId="39"/>
    <cellStyle name="40% - 强调文字颜色 6 2 5" xfId="387"/>
    <cellStyle name="20% - 强调文字颜色 5 2 5" xfId="388"/>
    <cellStyle name="20% - 强调文字颜色 6" xfId="389" builtinId="50"/>
    <cellStyle name="强调文字颜色 2 7" xfId="390"/>
    <cellStyle name="好 4" xfId="391"/>
    <cellStyle name="60% - 强调文字颜色 3 3_G4B-3（b）证券融资交易对手信用风险计算表(0621)" xfId="392"/>
    <cellStyle name="20% - 强调文字颜色 1 2 2" xfId="393"/>
    <cellStyle name="60% - 强调文字颜色 6 3" xfId="394"/>
    <cellStyle name="60% - 强调文字颜色 1" xfId="395" builtinId="32"/>
    <cellStyle name="计算 6" xfId="396"/>
    <cellStyle name="40% - 强调文字颜色 4" xfId="397" builtinId="43"/>
    <cellStyle name="标题" xfId="398" builtinId="15"/>
    <cellStyle name="40% - 强调文字颜色 2 2_G4B-3（b）证券融资交易对手信用风险计算表(0621)" xfId="399"/>
    <cellStyle name="标题 6" xfId="400"/>
    <cellStyle name="解释性文本 3 2" xfId="401"/>
    <cellStyle name="差 3 4" xfId="402"/>
    <cellStyle name="40% - 强调文字颜色 3 2 3" xfId="403"/>
    <cellStyle name="标题 4" xfId="404" builtinId="19"/>
    <cellStyle name="40% - 强调文字颜色 1 6" xfId="405"/>
    <cellStyle name="标题 6 4" xfId="406"/>
    <cellStyle name="强调文字颜色 4 4" xfId="407"/>
    <cellStyle name="60% - 輔色2" xfId="408"/>
    <cellStyle name="标题 4 2 5" xfId="409"/>
    <cellStyle name="输入 5" xfId="410"/>
    <cellStyle name="链接单元格 3" xfId="411"/>
    <cellStyle name="20% - 强调文字颜色 2 5" xfId="412"/>
    <cellStyle name="适中" xfId="413" builtinId="28"/>
    <cellStyle name="强调文字颜色 2" xfId="414" builtinId="33"/>
    <cellStyle name="强调文字颜色 4 5" xfId="415"/>
    <cellStyle name="强调文字颜色 5 3 3" xfId="416"/>
    <cellStyle name="差 2" xfId="417"/>
    <cellStyle name="解释性文本 3 3" xfId="418"/>
    <cellStyle name="20% - 强调文字颜色 2 4" xfId="419"/>
    <cellStyle name="计算 7" xfId="420"/>
    <cellStyle name="强调文字颜色 3" xfId="421" builtinId="37"/>
    <cellStyle name="强调文字颜色 4 6" xfId="422"/>
    <cellStyle name="输入 4" xfId="423"/>
    <cellStyle name="标题 4 2 4" xfId="424"/>
    <cellStyle name="链接单元格 2" xfId="425"/>
    <cellStyle name="检查单元格 2" xfId="426"/>
    <cellStyle name="差 3_G4B-3（b）证券融资交易对手信用风险计算表(0621)" xfId="427"/>
    <cellStyle name="强调文字颜色 2 3 2" xfId="428"/>
    <cellStyle name="20% - 强调文字颜色 2 2" xfId="429"/>
    <cellStyle name="40% - 强调文字颜色 2 5" xfId="430"/>
    <cellStyle name="60% - 强调文字颜色 2 3 5" xfId="431"/>
    <cellStyle name="警告文本 3 2" xfId="432"/>
    <cellStyle name="汇总 3 5" xfId="433"/>
    <cellStyle name="20% - 强调文字颜色 1 2 4" xfId="434"/>
    <cellStyle name="60% - 强调文字颜色 6 5" xfId="435"/>
    <cellStyle name="60% - 强调文字颜色 3" xfId="436" builtinId="40"/>
    <cellStyle name="标题 4 2 2" xfId="437"/>
    <cellStyle name="输入 2" xfId="438"/>
    <cellStyle name="40% - 强调文字颜色 3 4" xfId="439"/>
    <cellStyle name="20% - 强调文字颜色 2 3 3" xfId="440"/>
    <cellStyle name="20% - 强调文字颜色 3" xfId="441" builtinId="38"/>
    <cellStyle name="强调文字颜色 2 4" xfId="442"/>
    <cellStyle name="40% - 强调文字颜色 3 2_G4B-3（b）证券融资交易对手信用风险计算表(0621)" xfId="443"/>
    <cellStyle name="20% - 强调文字颜色 1 2 6" xfId="444"/>
    <cellStyle name="60% - 强调文字颜色 6 7" xfId="445"/>
    <cellStyle name="解释性文本 2_G4B-4 资产证券化业务风险加权资产表" xfId="446"/>
    <cellStyle name="强调文字颜色 2 3 4" xfId="447"/>
    <cellStyle name="检查单元格 4" xfId="448"/>
    <cellStyle name="常规 2 7" xfId="449"/>
    <cellStyle name="60% - 强调文字颜色 1 2 5" xfId="450"/>
    <cellStyle name="40% - 强调文字颜色 6 3 4" xfId="451"/>
    <cellStyle name="强调文字颜色 2 3" xfId="452"/>
    <cellStyle name="检查单元格" xfId="453" builtinId="23"/>
    <cellStyle name="60% - 强调文字颜色 1 3 3" xfId="454"/>
    <cellStyle name="40% - 强调文字颜色 1 3_G4B-3（b）证券融资交易对手信用风险计算表(0621)" xfId="455"/>
    <cellStyle name="标题 5 6" xfId="456"/>
    <cellStyle name="好 3 3" xfId="457"/>
    <cellStyle name="检查单元格 3 5" xfId="458"/>
    <cellStyle name="40% - 强调文字颜色 6 2 6" xfId="459"/>
    <cellStyle name="输入 3 3" xfId="460"/>
    <cellStyle name="汇总 3" xfId="461"/>
    <cellStyle name="计算 5" xfId="462"/>
    <cellStyle name="标题 1 3 3" xfId="463"/>
    <cellStyle name="60% - 强调文字颜色 2 4" xfId="464"/>
    <cellStyle name="强调文字颜色 3 2 6" xfId="465"/>
    <cellStyle name="标题 2 2 5" xfId="466"/>
    <cellStyle name="计算 3" xfId="467"/>
    <cellStyle name="计算 2 5" xfId="468"/>
    <cellStyle name="差 3" xfId="469"/>
    <cellStyle name="适中 3 2" xfId="470"/>
    <cellStyle name="40% - 强调文字颜色 3 2 2" xfId="471"/>
    <cellStyle name="差 3 3" xfId="472"/>
    <cellStyle name="标题 5 3" xfId="473"/>
    <cellStyle name="40% - 强调文字颜色 3 3 4" xfId="474"/>
    <cellStyle name="输入 3 5" xfId="475"/>
    <cellStyle name="汇总 5" xfId="476"/>
    <cellStyle name="输入 2 3" xfId="477"/>
    <cellStyle name="强调文字颜色 1 3_G4B-3（b）证券融资交易对手信用风险计算表(0621)" xfId="478"/>
    <cellStyle name="输入 2 2" xfId="479"/>
    <cellStyle name="汇总 4" xfId="480"/>
    <cellStyle name="输入 3 4" xfId="481"/>
    <cellStyle name="强调文字颜色 2 3 5" xfId="482"/>
    <cellStyle name="检查单元格 5" xfId="483"/>
    <cellStyle name="40% - 强调文字颜色 3 3 3" xfId="484"/>
    <cellStyle name="标题 5 2" xfId="485"/>
    <cellStyle name="20% - 强调文字颜色 2 3" xfId="486"/>
    <cellStyle name="检查单元格 3" xfId="487"/>
    <cellStyle name="强调文字颜色 2 3 3" xfId="488"/>
    <cellStyle name="计算" xfId="489" builtinId="22"/>
    <cellStyle name="计算 3 2" xfId="490"/>
    <cellStyle name="输出 6" xfId="491"/>
    <cellStyle name="适中 5" xfId="492"/>
    <cellStyle name="检查单元格 2 3" xfId="493"/>
    <cellStyle name="标题 2 7" xfId="494"/>
    <cellStyle name="標題 4" xfId="495"/>
    <cellStyle name="40% - 强调文字颜色 4 6" xfId="496"/>
    <cellStyle name="好_资产证券化监管报表_G4B-3（b）证券融资交易对手信用风险计算表(0621)" xfId="497"/>
    <cellStyle name="差 3 2" xfId="498"/>
    <cellStyle name="标题 4 2_G4B-4 资产证券化业务风险加权资产表" xfId="499"/>
    <cellStyle name="40% - 强调文字颜色 1 3 4" xfId="500"/>
    <cellStyle name="好_资产证券化监管报表_G4B-4 资产证券化业务风险加权资产表" xfId="501"/>
    <cellStyle name="适中 3" xfId="502"/>
    <cellStyle name="输出 4" xfId="503"/>
    <cellStyle name="40% - 强调文字颜色 5 3 4" xfId="504"/>
    <cellStyle name="20% - 强调文字颜色 5 7" xfId="505"/>
    <cellStyle name="差_G4B-4 资产证券化业务风险加权资产表" xfId="506"/>
    <cellStyle name="强调文字颜色 4 3 2" xfId="507"/>
    <cellStyle name="40% - 强调文字颜色 4 3_G4B-3（b）证券融资交易对手信用风险计算表(0621)" xfId="508"/>
    <cellStyle name="标题 5 5" xfId="509"/>
    <cellStyle name="差 5" xfId="510"/>
    <cellStyle name="壞_G4B-4 资产证券化业务风险加权资产表" xfId="511"/>
    <cellStyle name="适中 3 4" xfId="512"/>
    <cellStyle name="40% - 强调文字颜色 3 2 4" xfId="513"/>
    <cellStyle name="差 3 5" xfId="514"/>
    <cellStyle name="千位分隔[0]" xfId="515" builtinId="6"/>
    <cellStyle name="标题 4 3" xfId="516"/>
    <cellStyle name="常规 3 4" xfId="517"/>
    <cellStyle name="壞_G4B-3（a）场外衍生工具交易对手信用风险计算表(权重法)" xfId="518"/>
    <cellStyle name="好 7" xfId="519"/>
    <cellStyle name="常规 3 2" xfId="520"/>
    <cellStyle name="链接单元格 3 3" xfId="521"/>
    <cellStyle name="好_G4B-3（a）场外衍生工具交易对手信用风险计算表(权重法)" xfId="522"/>
    <cellStyle name="40% - 强调文字颜色 5 2_G4B-3（b）证券融资交易对手信用风险计算表(0621)" xfId="523"/>
    <cellStyle name="强调文字颜色 3 2" xfId="524"/>
    <cellStyle name="注释 5" xfId="525"/>
    <cellStyle name="强调文字颜色 6 2 2" xfId="526"/>
    <cellStyle name="强调文字颜色 5 2" xfId="527"/>
    <cellStyle name="20% - 强调文字颜色 1 3 4" xfId="528"/>
    <cellStyle name="40% - 輔色2" xfId="529"/>
    <cellStyle name="强调文字颜色 6 7" xfId="530"/>
    <cellStyle name="解释性文本 2 4" xfId="531"/>
    <cellStyle name="40% - 輔色1" xfId="532"/>
    <cellStyle name="20% - 强调文字颜色 1 3 3" xfId="533"/>
    <cellStyle name="差 2 6" xfId="534"/>
    <cellStyle name="适中 2 5" xfId="535"/>
    <cellStyle name="输出 3 5" xfId="536"/>
    <cellStyle name="强调文字颜色 6 3 3" xfId="537"/>
    <cellStyle name="解释性文本 3" xfId="538"/>
    <cellStyle name="输入 2 6" xfId="539"/>
    <cellStyle name="20% - 强调文字颜色 2 3_G4B-3（b）证券融资交易对手信用风险计算表(0621)" xfId="540"/>
    <cellStyle name="40% - 强调文字颜色 5 2 4" xfId="541"/>
    <cellStyle name="千位分隔 5" xfId="542"/>
    <cellStyle name="20% - 强调文字颜色 4 7" xfId="543"/>
    <cellStyle name="20% - 輔色1" xfId="544"/>
    <cellStyle name="注释 2 5" xfId="545"/>
    <cellStyle name="输出 2 3" xfId="546"/>
    <cellStyle name="强调文字颜色 1 2 5" xfId="547"/>
    <cellStyle name="警告文本 7" xfId="548"/>
    <cellStyle name="20% - 强调文字颜色 6 2 6" xfId="549"/>
    <cellStyle name="注释 2 6" xfId="550"/>
    <cellStyle name="强调文字颜色 4 2 2" xfId="551"/>
    <cellStyle name="强调文字颜色 1 5" xfId="552"/>
    <cellStyle name="注释 3" xfId="553"/>
    <cellStyle name="20% - 强调文字颜色 6 5" xfId="554"/>
    <cellStyle name="60% - 强调文字颜色 3 6" xfId="555"/>
    <cellStyle name="标题 3 3_G4B-2" xfId="556"/>
    <cellStyle name="常规 2 3" xfId="557"/>
    <cellStyle name="输出 3_G4B-3（b）证券融资交易对手信用风险计算表(0621)" xfId="558"/>
    <cellStyle name="强调文字颜色 6 5" xfId="559"/>
    <cellStyle name="注释 2_G4B-3（b）证券融资交易对手信用风险计算表(0621)" xfId="560"/>
    <cellStyle name="60% - 强调文字颜色 5 7" xfId="561"/>
    <cellStyle name="强调文字颜色 5_G4B-3（a）场外衍生工具交易对手信用风险计算表(权重法)" xfId="562"/>
    <cellStyle name="检查单元格 3 3" xfId="563"/>
    <cellStyle name="40% - 强调文字颜色 5 6" xfId="564"/>
    <cellStyle name="20% - 强调文字颜色 4" xfId="565" builtinId="42"/>
    <cellStyle name="20% - 强调文字颜色 2 3 4" xfId="566"/>
    <cellStyle name="40% - 强调文字颜色 1 2" xfId="567"/>
    <cellStyle name="注释 3 5" xfId="568"/>
    <cellStyle name="60% - 强调文字颜色 3_G4B-3（a）场外衍生工具交易对手信用风险计算表(权重法)" xfId="569"/>
    <cellStyle name="链接单元格 2 5" xfId="570"/>
    <cellStyle name="20% - 强调文字颜色 5" xfId="571" builtinId="46"/>
    <cellStyle name="說明文字" xfId="572"/>
    <cellStyle name="20% - 强调文字颜色 2 3 5" xfId="573"/>
    <cellStyle name="40% - 强调文字颜色 1 3 2" xfId="574"/>
    <cellStyle name="40% - 强调文字颜色 5 7" xfId="575"/>
    <cellStyle name="输出" xfId="576" builtinId="21"/>
    <cellStyle name="40% - 强调文字颜色 5_G4B-3（a）场外衍生工具交易对手信用风险计算表(权重法)" xfId="577"/>
    <cellStyle name="40% - 强调文字颜色 5 3" xfId="578"/>
    <cellStyle name="常规_资本充足率汇总表-0223" xfId="579"/>
    <cellStyle name="注释 2 2" xfId="580"/>
    <cellStyle name="标题 2 3 4" xfId="581"/>
    <cellStyle name="60% - 强调文字颜色 2 2 2" xfId="582"/>
    <cellStyle name="标题 4 3 5" xfId="583"/>
    <cellStyle name="输出 2 5" xfId="584"/>
    <cellStyle name="注释 3 2" xfId="585"/>
    <cellStyle name="强调文字颜色 5 2 5" xfId="586"/>
    <cellStyle name="常规 2 2" xfId="587"/>
    <cellStyle name="标题 3 2_G4B-2" xfId="588"/>
    <cellStyle name="40% - 强调文字颜色 2 2 6" xfId="589"/>
    <cellStyle name="强调文字颜色 5 2_G4B-3（b）证券融资交易对手信用风险计算表(0621)" xfId="590"/>
    <cellStyle name="强调文字颜色 6 6" xfId="591"/>
    <cellStyle name="壞_G4B-3交易对手信用风险汇总表" xfId="592"/>
    <cellStyle name="差 2 3" xfId="593"/>
    <cellStyle name="强调文字颜色 2 2 6" xfId="594"/>
    <cellStyle name="20% - 强调文字颜色 1 6" xfId="595"/>
    <cellStyle name="货币" xfId="596" builtinId="4"/>
    <cellStyle name="40% - 强调文字颜色 1 2 2" xfId="597"/>
    <cellStyle name="40% - 强调文字颜色 4 7" xfId="598"/>
    <cellStyle name="百分比 5" xfId="599"/>
    <cellStyle name="好 2 5" xfId="600"/>
    <cellStyle name="40% - 輔色5" xfId="601"/>
    <cellStyle name="强调文字颜色 2_G4B-3（a）场外衍生工具交易对手信用风险计算表(权重法)" xfId="602"/>
    <cellStyle name="标题 3 3 3" xfId="603"/>
    <cellStyle name="60% - 强调文字颜色 2 2_G4B-3（b）证券融资交易对手信用风险计算表(0621)" xfId="604"/>
    <cellStyle name="强调文字颜色 5 2 6" xfId="605"/>
    <cellStyle name="20% - 强调文字颜色 6 2" xfId="606"/>
    <cellStyle name="差 7" xfId="607"/>
    <cellStyle name="60% - 强调文字颜色 3 3 3" xfId="608"/>
    <cellStyle name="已访问的超链接" xfId="609" builtinId="9"/>
    <cellStyle name="40% - 强调文字颜色 6 3 3" xfId="610"/>
    <cellStyle name="60% - 强调文字颜色 2 3 4" xfId="611"/>
    <cellStyle name="20% - 强调文字颜色 5 2 4" xfId="612"/>
    <cellStyle name="强调文字颜色 5 3 5" xfId="613"/>
    <cellStyle name="适中 3 3" xfId="614"/>
    <cellStyle name="差 4" xfId="615"/>
    <cellStyle name="20% - 强调文字颜色 3 2_G4B-3（b）证券融资交易对手信用风险计算表(0621)" xfId="616"/>
    <cellStyle name="60% - 强调文字颜色 3 2 3" xfId="617"/>
    <cellStyle name="强调文字颜色 3 2_G4B-3（b）证券融资交易对手信用风险计算表(0621)" xfId="618"/>
    <cellStyle name="标题 3 3 5" xfId="619"/>
    <cellStyle name="强调文字颜色 6 2 4" xfId="620"/>
    <cellStyle name="强调文字颜色 3 6" xfId="621"/>
    <cellStyle name="好_G4B-4 资产证券化业务风险加权资产表" xfId="622"/>
    <cellStyle name="40% - 强调文字颜色 1 2 3" xfId="623"/>
    <cellStyle name="20% - 强调文字颜色 6 3 2" xfId="624"/>
    <cellStyle name="强调文字颜色 4 2 3" xfId="625"/>
    <cellStyle name="60% - 强调文字颜色 1 2 2" xfId="626"/>
    <cellStyle name="60% - 强调文字颜色 1 3" xfId="627"/>
    <cellStyle name="20% - 强调文字颜色 5_G4B-3（a）场外衍生工具交易对手信用风险计算表(权重法)" xfId="628"/>
    <cellStyle name="输入 2 4" xfId="629"/>
    <cellStyle name="汇总 6" xfId="630"/>
    <cellStyle name="强调文字颜色 1" xfId="631" builtinId="29"/>
    <cellStyle name="40% - 强调文字颜色 6 3 5" xfId="632"/>
    <cellStyle name="强调文字颜色 5 3 2" xfId="633"/>
    <cellStyle name="40% - 强调文字颜色 6_G4B-3（a）场外衍生工具交易对手信用风险计算表(权重法)" xfId="634"/>
    <cellStyle name="40% - 强调文字颜色 4 5" xfId="635"/>
    <cellStyle name="适中 4" xfId="636"/>
    <cellStyle name="40% - 强调文字颜色 5 3 5" xfId="637"/>
    <cellStyle name="输出 5" xfId="638"/>
    <cellStyle name="检查单元格 2 2" xfId="639"/>
    <cellStyle name="40% - 輔色4" xfId="640"/>
    <cellStyle name="标题 3 2 2" xfId="641"/>
    <cellStyle name="警告文本 2 5" xfId="642"/>
    <cellStyle name="40% - 强调文字颜色 3 3_G4B-3（b）证券融资交易对手信用风险计算表(0621)" xfId="643"/>
    <cellStyle name="警告文本 4" xfId="644"/>
    <cellStyle name="20% - 强调文字颜色 6 2 3" xfId="645"/>
    <cellStyle name="强调文字颜色 1 2 2" xfId="646"/>
    <cellStyle name="20% - 輔色5" xfId="647"/>
    <cellStyle name="常规 3 5" xfId="648"/>
    <cellStyle name="60% - 强调文字颜色 1 2_G4B-3（b）证券融资交易对手信用风险计算表(0621)" xfId="649"/>
    <cellStyle name="强调文字颜色 6 3 5" xfId="650"/>
    <cellStyle name="强调文字颜色 3 3 3" xfId="651"/>
    <cellStyle name="40% - 强调文字颜色 3 2 5" xfId="652"/>
    <cellStyle name="差 6" xfId="653"/>
    <cellStyle name="适中 3 5" xfId="654"/>
    <cellStyle name="适中 2 3" xfId="655"/>
    <cellStyle name="输出 3 3" xfId="656"/>
    <cellStyle name="强调文字颜色 6 3_G4B-3（b）证券融资交易对手信用风险计算表(0621)" xfId="657"/>
    <cellStyle name="强调文字颜色 6 3" xfId="658"/>
    <cellStyle name="强调文字颜色 3 2 2" xfId="659"/>
    <cellStyle name="强调文字颜色 6 3 4" xfId="660"/>
    <cellStyle name="20% - 强调文字颜色 3_G4B-3（a）场外衍生工具交易对手信用风险计算表(权重法)" xfId="661"/>
    <cellStyle name="40% - 强调文字颜色 1 2 6" xfId="662"/>
    <cellStyle name="20% - 强调文字颜色 3 3 3" xfId="663"/>
    <cellStyle name="样式 1" xfId="664"/>
    <cellStyle name="40% - 强调文字颜色 2 3 3" xfId="665"/>
    <cellStyle name="60% - 强调文字颜色 3 3" xfId="666"/>
    <cellStyle name="强调文字颜色 3 3 5" xfId="667"/>
    <cellStyle name="60% - 輔色1" xfId="668"/>
    <cellStyle name="强调文字颜色 3 3 2" xfId="669"/>
    <cellStyle name="40% - 强调文字颜色 3 7" xfId="670"/>
    <cellStyle name="强调文字颜色 5 2 4" xfId="671"/>
    <cellStyle name="汇总 2 5" xfId="672"/>
    <cellStyle name="常规 3 3" xfId="673"/>
    <cellStyle name="强调文字颜色 4 3 5" xfId="674"/>
    <cellStyle name="40% - 强调文字颜色 5 2" xfId="675"/>
    <cellStyle name="强调文字颜色 2 2_G4B-3（b）证券融资交易对手信用风险计算表(0621)" xfId="676"/>
    <cellStyle name="适中 6" xfId="677"/>
    <cellStyle name="好 2 2" xfId="678"/>
    <cellStyle name="百分比 2" xfId="679"/>
    <cellStyle name="检查单元格 2 4" xfId="680"/>
    <cellStyle name="输出 7" xfId="681"/>
    <cellStyle name="60% - 强调文字颜色 1 3_G4B-3（b）证券融资交易对手信用风险计算表(0621)" xfId="682"/>
    <cellStyle name="适中 2 2" xfId="683"/>
    <cellStyle name="输出 3 2" xfId="684"/>
    <cellStyle name="标题 1 5" xfId="685"/>
    <cellStyle name="20% - 輔色6" xfId="686"/>
    <cellStyle name="20% - 强调文字颜色 6 2 4" xfId="687"/>
    <cellStyle name="警告文本 5" xfId="688"/>
    <cellStyle name="强调文字颜色 1 2 3" xfId="689"/>
    <cellStyle name="千位分隔 2" xfId="690"/>
    <cellStyle name="20% - 强调文字颜色 4 4" xfId="691"/>
    <cellStyle name="60% - 强调文字颜色 1 5" xfId="692"/>
    <cellStyle name="强调文字颜色 5 7" xfId="693"/>
    <cellStyle name="40% - 强调文字颜色 5 4" xfId="694"/>
    <cellStyle name="20% - 强调文字颜色 2" xfId="695" builtinId="34"/>
    <cellStyle name="20% - 强调文字颜色 2 3 2" xfId="696"/>
    <cellStyle name="标题 4 3 4" xfId="697"/>
    <cellStyle name="60% - 强调文字颜色 1 2" xfId="698"/>
    <cellStyle name="强调文字颜色 5 4" xfId="699"/>
    <cellStyle name="强调文字颜色 5 2 3" xfId="700"/>
    <cellStyle name="常规 2 2 5" xfId="701"/>
    <cellStyle name="20% - 强调文字颜色 4 2_G4B-3（b）证券融资交易对手信用风险计算表(0621)" xfId="702"/>
    <cellStyle name="汇总 2_G4B-2" xfId="703"/>
    <cellStyle name="20% - 强调文字颜色 6 3_G4B-3（b）证券融资交易对手信用风险计算表(0621)" xfId="704"/>
    <cellStyle name="强调文字颜色 3 7" xfId="705"/>
    <cellStyle name="20% - 强调文字颜色 3 5" xfId="706"/>
    <cellStyle name="20% - 强调文字颜色 3 3 5" xfId="707"/>
    <cellStyle name="20% - 强调文字颜色 3 2 5" xfId="708"/>
    <cellStyle name="60% - 强调文字颜色 6 2" xfId="709"/>
    <cellStyle name="汇总 3 2" xfId="710"/>
    <cellStyle name="60% - 强调文字颜色 6" xfId="711" builtinId="52"/>
    <cellStyle name="60% - 强调文字颜色 4 4" xfId="712"/>
    <cellStyle name="60% - 强调文字颜色 4 2 4" xfId="713"/>
    <cellStyle name="40% - 强调文字颜色 4 3 2" xfId="714"/>
    <cellStyle name="標題 3" xfId="715"/>
    <cellStyle name="标题 2 6" xfId="716"/>
    <cellStyle name="标题 3 2" xfId="717"/>
    <cellStyle name="20% - 强调文字颜色 1 3 2" xfId="718"/>
    <cellStyle name="常规 2 4" xfId="719"/>
    <cellStyle name="20% - 强调文字颜色 3 3_G4B-3（b）证券融资交易对手信用风险计算表(0621)" xfId="720"/>
    <cellStyle name="强调文字颜色 3_G4B-3（a）场外衍生工具交易对手信用风险计算表(权重法)" xfId="721"/>
    <cellStyle name="差 2 5" xfId="722"/>
    <cellStyle name="備註" xfId="723"/>
    <cellStyle name="40% - 强调文字颜色 6 2 2" xfId="724"/>
    <cellStyle name="输入 2_G4B-3（b）证券融资交易对手信用风险计算表(0621)" xfId="725"/>
    <cellStyle name="40% - 强调文字颜色 1 2 5" xfId="726"/>
    <cellStyle name="壞" xfId="727"/>
    <cellStyle name="Style 1" xfId="728"/>
    <cellStyle name="强调文字颜色 1 3 3" xfId="729"/>
    <cellStyle name="20% - 强调文字颜色 6 3 4" xfId="730"/>
    <cellStyle name="20% - 强调文字颜色 3 2 3" xfId="731"/>
    <cellStyle name="20% - 强调文字颜色 1 2_G4B-3（b）证券融资交易对手信用风险计算表(0621)" xfId="732"/>
    <cellStyle name="常规 2 2_G4B-4 资产证券化业务风险加权资产表" xfId="733"/>
    <cellStyle name="40% - 强调文字颜色 4 2_G4B-3（b）证券融资交易对手信用风险计算表(0621)" xfId="734"/>
    <cellStyle name="20% - 輔色3" xfId="735"/>
    <cellStyle name="40% - 强调文字颜色 5 2 6" xfId="736"/>
    <cellStyle name="常规 3" xfId="737"/>
    <cellStyle name="标题 9" xfId="738"/>
    <cellStyle name="标题 3 3" xfId="739"/>
    <cellStyle name="40% - 强调文字颜色 2 3 2" xfId="740"/>
    <cellStyle name="强调文字颜色 6 2_G4B-3（b）证券融资交易对手信用风险计算表(0621)" xfId="741"/>
    <cellStyle name="强调文字颜色 4 3 3" xfId="742"/>
    <cellStyle name="壞_G4B-3（b）证券融资交易对手信用风险计算表(0621)" xfId="743"/>
    <cellStyle name="20% - 强调文字颜色 3 6" xfId="744"/>
    <cellStyle name="60% - 强调文字颜色 2 2 4" xfId="745"/>
    <cellStyle name="标题 2 2 4" xfId="746"/>
    <cellStyle name="20% - 强调文字颜色 4 3 4" xfId="747"/>
    <cellStyle name="20% - 强调文字颜色 4 3_G4B-3（b）证券融资交易对手信用风险计算表(0621)" xfId="748"/>
    <cellStyle name="40% - 强调文字颜色 1 2_G4B-3（b）证券融资交易对手信用风险计算表(0621)" xfId="749"/>
    <cellStyle name="警告文本 2 6" xfId="750"/>
    <cellStyle name="标题 3 2 3" xfId="751"/>
    <cellStyle name="輔色6" xfId="752"/>
    <cellStyle name="20% - 强调文字颜色 5 4" xfId="753"/>
    <cellStyle name="60% - 强调文字颜色 2 5" xfId="754"/>
    <cellStyle name="警告文本 2 2" xfId="755"/>
    <cellStyle name="60% - 强调文字颜色 2 2 5" xfId="756"/>
    <cellStyle name="60% - 强调文字颜色 1 2 4" xfId="757"/>
    <cellStyle name="解释性文本 2 3" xfId="758"/>
    <cellStyle name="20% - 强调文字颜色 1 2" xfId="759"/>
    <cellStyle name="强调文字颜色 2 2 2" xfId="760"/>
    <cellStyle name="计算 3 3" xfId="761"/>
    <cellStyle name="60% - 强调文字颜色 5 2 2" xfId="762"/>
    <cellStyle name="汇总 3 4" xfId="763"/>
    <cellStyle name="20% - 强调文字颜色 1 2 3" xfId="764"/>
    <cellStyle name="60% - 强调文字颜色 6 4" xfId="765"/>
    <cellStyle name="差_G4B-3交易对手信用风险汇总表" xfId="766"/>
    <cellStyle name="20% - 强调文字颜色 6_G4B-3（a）场外衍生工具交易对手信用风险计算表(权重法)" xfId="767"/>
    <cellStyle name="计算 2_G4B-3（b）证券融资交易对手信用风险计算表(0621)" xfId="768"/>
    <cellStyle name="强调文字颜色 6 3 2" xfId="769"/>
    <cellStyle name="20% - 强调文字颜色 3 3 4" xfId="770"/>
    <cellStyle name="注释 3_G4B-3（b）证券融资交易对手信用风险计算表(0621)" xfId="771"/>
    <cellStyle name="检查单元格 7" xfId="772"/>
    <cellStyle name="警告文本" xfId="773" builtinId="11"/>
    <cellStyle name="检查单元格 2 6" xfId="774"/>
    <cellStyle name="好 2 4" xfId="775"/>
    <cellStyle name="百分比 4" xfId="776"/>
    <cellStyle name="20% - 强调文字颜色 2 2_G4B-3（b）证券融资交易对手信用风险计算表(0621)" xfId="777"/>
    <cellStyle name="百分比" xfId="778" builtinId="5"/>
    <cellStyle name="好 2" xfId="779"/>
    <cellStyle name="60% - 强调文字颜色 4 7" xfId="780"/>
    <cellStyle name="合計" xfId="781"/>
    <cellStyle name="60% - 强调文字颜色 2 2" xfId="782"/>
    <cellStyle name="强调文字颜色 3 2 4" xfId="783"/>
    <cellStyle name="输出 2 4" xfId="784"/>
    <cellStyle name="强调文字颜色 4 3" xfId="785"/>
    <cellStyle name="注释 7" xfId="786"/>
    <cellStyle name="千位[0]_股东贷款" xfId="787"/>
    <cellStyle name="40% - 强调文字颜色 4 3 4" xfId="788"/>
    <cellStyle name="警告文本 2 3" xfId="789"/>
    <cellStyle name="60% - 强调文字颜色 2 2 6" xfId="790"/>
    <cellStyle name="60% - 强调文字颜色 3 2 6" xfId="791"/>
    <cellStyle name="40% - 强调文字颜色 2 2" xfId="792"/>
    <cellStyle name="20% - 强调文字颜色 1 7" xfId="793"/>
    <cellStyle name="解释性文本 6" xfId="794"/>
    <cellStyle name="60% - 强调文字颜色 5 3 3" xfId="795"/>
    <cellStyle name="60% - 强调文字颜色 2" xfId="796" builtinId="36"/>
    <cellStyle name="輸入" xfId="797"/>
    <cellStyle name="60% - 强调文字颜色 2_G4B-3（a）场外衍生工具交易对手信用风险计算表(权重法)" xfId="798"/>
    <cellStyle name="好 6" xfId="799"/>
    <cellStyle name="警告文本 3 5" xfId="800"/>
    <cellStyle name="标题 3 3 2" xfId="801"/>
    <cellStyle name="40% - 强调文字颜色 5 3_G4B-3（b）证券融资交易对手信用风险计算表(0621)" xfId="802"/>
    <cellStyle name="强调文字颜色 1 3 2" xfId="803"/>
    <cellStyle name="20% - 强调文字颜色 6 3 3" xfId="804"/>
    <cellStyle name="40% - 强调文字颜色 1 2 4" xfId="805"/>
    <cellStyle name="40% - 强调文字颜色 1 3 5" xfId="806"/>
    <cellStyle name="20% - 强调文字颜色 4 2" xfId="807"/>
    <cellStyle name="40% - 强调文字颜色 6 2_G4B-3（b）证券融资交易对手信用风险计算表(0621)" xfId="808"/>
    <cellStyle name="20% - 輔色4" xfId="809"/>
    <cellStyle name="警告文本 3 3" xfId="810"/>
    <cellStyle name="检查单元格 3 4" xfId="811"/>
    <cellStyle name="好 3 2" xfId="812"/>
    <cellStyle name="40% - 强调文字颜色 1 3" xfId="813"/>
    <cellStyle name="标题 10" xfId="814"/>
    <cellStyle name="强调文字颜色 1 6" xfId="815"/>
    <cellStyle name="注释 4" xfId="816"/>
    <cellStyle name="60% - 强调文字颜色 3 7" xfId="817"/>
    <cellStyle name="20% - 强调文字颜色 2 6" xfId="818"/>
    <cellStyle name="20% - 强调文字颜色 6 6" xfId="819"/>
    <cellStyle name="40% - 强调文字颜色 2 2 2" xfId="820"/>
    <cellStyle name="40% - 强调文字颜色 2 7" xfId="821"/>
    <cellStyle name="20% - 强调文字颜色 3 7" xfId="822"/>
    <cellStyle name="输入 3_G4B-3（b）证券融资交易对手信用风险计算表(0621)" xfId="823"/>
    <cellStyle name="60% - 强调文字颜色 2 3_G4B-3（b）证券融资交易对手信用风险计算表(0621)" xfId="824"/>
    <cellStyle name="40% - 强调文字颜色 2 2 4" xfId="825"/>
    <cellStyle name="40% - 强调文字颜色 2 3" xfId="826"/>
    <cellStyle name="40% - 强调文字颜色 2 4" xfId="827"/>
    <cellStyle name="标题 1 3 4" xfId="828"/>
    <cellStyle name="" xfId="829"/>
    <cellStyle name="强调文字颜色 4_G4B-3（a）场外衍生工具交易对手信用风险计算表(权重法)" xfId="830"/>
    <cellStyle name="链接单元格 3 2" xfId="831"/>
    <cellStyle name="40% - 强调文字颜色 3 3 2" xfId="832"/>
    <cellStyle name="40% - 强调文字颜色 6 7" xfId="833"/>
    <cellStyle name="20% - 强调文字颜色 3 2 4" xfId="834"/>
    <cellStyle name="强调文字颜色 1 2 4" xfId="835"/>
    <cellStyle name="警告文本 6" xfId="836"/>
    <cellStyle name="20% - 强调文字颜色 6 2 5" xfId="837"/>
    <cellStyle name="好" xfId="838" builtinId="26"/>
    <cellStyle name="60% - 强调文字颜色 3 3 5" xfId="839"/>
    <cellStyle name="40% - 强调文字颜色 6 4" xfId="840"/>
    <cellStyle name="60% - 强调文字颜色 5 2 5" xfId="841"/>
    <cellStyle name="20% - 强调文字颜色 4_G4B-3（a）场外衍生工具交易对手信用风险计算表(权重法)" xfId="842"/>
    <cellStyle name="强调文字颜色 6 2 3" xfId="843"/>
    <cellStyle name="60% - 强调文字颜色 4_G4B-3（a）场外衍生工具交易对手信用风险计算表(权重法)" xfId="844"/>
    <cellStyle name="20% - 强调文字颜色 3 3" xfId="845"/>
    <cellStyle name="强调文字颜色 4 2" xfId="846"/>
    <cellStyle name="注释 6" xfId="847"/>
    <cellStyle name="60% - 强调文字颜色 4" xfId="848" builtinId="44"/>
    <cellStyle name="60% - 强调文字颜色 4 2 2" xfId="849"/>
    <cellStyle name="60% - 强调文字颜色 4 2" xfId="850"/>
    <cellStyle name="40% - 强调文字颜色 4 3" xfId="851"/>
    <cellStyle name="强调文字颜色 4 2 6" xfId="852"/>
    <cellStyle name="标题 2 3 3" xfId="853"/>
    <cellStyle name="20% - 强调文字颜色 3 2 6" xfId="854"/>
    <cellStyle name="20% - 强调文字颜色 6 7" xfId="855"/>
    <cellStyle name="40% - 强调文字颜色 2 2 3" xfId="856"/>
    <cellStyle name="强调文字颜色 3 2 3" xfId="857"/>
    <cellStyle name="60% - 强调文字颜色 5" xfId="858" builtinId="48"/>
    <cellStyle name="标题 1 3_G4B-2" xfId="859"/>
    <cellStyle name="60% - 强调文字颜色 4 2 3" xfId="860"/>
    <cellStyle name="60% - 强调文字颜色 4 3" xfId="861"/>
    <cellStyle name="40% - 强调文字颜色 1 3 3" xfId="862"/>
    <cellStyle name="标题 1 2 5" xfId="863"/>
    <cellStyle name="常规 7" xfId="864"/>
    <cellStyle name="40% - 强调文字颜色 1_G4B-3（a）场外衍生工具交易对手信用风险计算表(权重法)" xfId="865"/>
    <cellStyle name="计算 2" xfId="866"/>
    <cellStyle name="解释性文本 2 6" xfId="867"/>
  </cellStyle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R67"/>
  <sheetViews>
    <sheetView showGridLines="0" tabSelected="1" topLeftCell="A46" workbookViewId="0">
      <selection activeCell="B71" sqref="B71"/>
    </sheetView>
  </sheetViews>
  <sheetFormatPr defaultColWidth="9" defaultRowHeight="14.25"/>
  <cols>
    <col min="1" max="1" width="7.25" style="6" customWidth="1"/>
    <col min="2" max="2" width="56.1666666666667" style="7" customWidth="1"/>
    <col min="3" max="5" width="9.66666666666667" style="7" customWidth="1"/>
    <col min="6" max="9" width="10" style="7" customWidth="1"/>
    <col min="10" max="12" width="10.1666666666667" style="7" customWidth="1"/>
    <col min="13" max="13" width="12.25" style="8" customWidth="1"/>
    <col min="14" max="14" width="10.8333333333333" style="9" customWidth="1"/>
    <col min="15" max="15" width="9.33333333333333" style="7" customWidth="1"/>
    <col min="16" max="16" width="8.16666666666667" style="9" customWidth="1"/>
    <col min="17" max="17" width="10.6666666666667" style="7" customWidth="1"/>
    <col min="18" max="18" width="11.5" style="7" customWidth="1"/>
    <col min="19" max="16384" width="9" style="7"/>
  </cols>
  <sheetData>
    <row r="1" s="1" customFormat="1" ht="20" customHeight="1" spans="1:18">
      <c r="A1" s="10" t="s">
        <v>0</v>
      </c>
      <c r="B1" s="10"/>
      <c r="C1" s="10"/>
      <c r="D1" s="10"/>
      <c r="E1" s="10"/>
      <c r="F1" s="10"/>
      <c r="G1" s="10"/>
      <c r="H1" s="10"/>
      <c r="I1" s="10"/>
      <c r="J1" s="10"/>
      <c r="K1" s="10"/>
      <c r="L1" s="10"/>
      <c r="M1" s="69"/>
      <c r="N1" s="10"/>
      <c r="O1" s="10"/>
      <c r="P1" s="10"/>
      <c r="Q1" s="10"/>
      <c r="R1" s="10"/>
    </row>
    <row r="2" s="2" customFormat="1" ht="21" customHeight="1" spans="1:18">
      <c r="A2" s="11" t="s">
        <v>1</v>
      </c>
      <c r="B2" s="12"/>
      <c r="F2" s="54"/>
      <c r="K2" s="63" t="s">
        <v>2</v>
      </c>
      <c r="L2" s="63"/>
      <c r="M2" s="70"/>
      <c r="N2" s="63"/>
      <c r="R2" s="103" t="s">
        <v>3</v>
      </c>
    </row>
    <row r="3" s="3" customFormat="1" ht="20.25" customHeight="1" spans="1:18">
      <c r="A3" s="13" t="s">
        <v>4</v>
      </c>
      <c r="B3" s="14"/>
      <c r="C3" s="15" t="s">
        <v>5</v>
      </c>
      <c r="D3" s="15" t="s">
        <v>6</v>
      </c>
      <c r="E3" s="15" t="s">
        <v>7</v>
      </c>
      <c r="F3" s="15" t="s">
        <v>8</v>
      </c>
      <c r="G3" s="15" t="s">
        <v>9</v>
      </c>
      <c r="H3" s="15" t="s">
        <v>10</v>
      </c>
      <c r="I3" s="15" t="s">
        <v>11</v>
      </c>
      <c r="J3" s="15" t="s">
        <v>12</v>
      </c>
      <c r="K3" s="15" t="s">
        <v>13</v>
      </c>
      <c r="L3" s="15" t="s">
        <v>14</v>
      </c>
      <c r="M3" s="71" t="s">
        <v>15</v>
      </c>
      <c r="N3" s="71" t="s">
        <v>16</v>
      </c>
      <c r="O3" s="71" t="s">
        <v>17</v>
      </c>
      <c r="P3" s="72" t="s">
        <v>18</v>
      </c>
      <c r="Q3" s="104" t="s">
        <v>19</v>
      </c>
      <c r="R3" s="104" t="s">
        <v>20</v>
      </c>
    </row>
    <row r="4" s="2" customFormat="1" ht="20.25" customHeight="1" spans="1:18">
      <c r="A4" s="16"/>
      <c r="B4" s="17"/>
      <c r="C4" s="18" t="s">
        <v>21</v>
      </c>
      <c r="D4" s="18" t="s">
        <v>22</v>
      </c>
      <c r="E4" s="18" t="s">
        <v>23</v>
      </c>
      <c r="F4" s="55" t="s">
        <v>24</v>
      </c>
      <c r="G4" s="55"/>
      <c r="H4" s="55"/>
      <c r="I4" s="55"/>
      <c r="J4" s="55"/>
      <c r="K4" s="55"/>
      <c r="L4" s="55"/>
      <c r="M4" s="73"/>
      <c r="N4" s="55"/>
      <c r="O4" s="18" t="s">
        <v>25</v>
      </c>
      <c r="P4" s="18" t="s">
        <v>26</v>
      </c>
      <c r="Q4" s="105" t="s">
        <v>27</v>
      </c>
      <c r="R4" s="106" t="s">
        <v>28</v>
      </c>
    </row>
    <row r="5" s="2" customFormat="1" ht="20.25" customHeight="1" spans="1:18">
      <c r="A5" s="16"/>
      <c r="B5" s="17"/>
      <c r="C5" s="19"/>
      <c r="D5" s="19"/>
      <c r="E5" s="56"/>
      <c r="F5" s="57" t="s">
        <v>29</v>
      </c>
      <c r="G5" s="18" t="s">
        <v>30</v>
      </c>
      <c r="H5" s="57" t="s">
        <v>31</v>
      </c>
      <c r="I5" s="64" t="s">
        <v>32</v>
      </c>
      <c r="J5" s="18" t="s">
        <v>33</v>
      </c>
      <c r="K5" s="18" t="s">
        <v>34</v>
      </c>
      <c r="L5" s="18" t="s">
        <v>35</v>
      </c>
      <c r="M5" s="74" t="s">
        <v>36</v>
      </c>
      <c r="N5" s="18" t="s">
        <v>37</v>
      </c>
      <c r="O5" s="19"/>
      <c r="P5" s="19"/>
      <c r="Q5" s="107"/>
      <c r="R5" s="108"/>
    </row>
    <row r="6" s="2" customFormat="1" ht="41.25" customHeight="1" spans="1:18">
      <c r="A6" s="16"/>
      <c r="B6" s="17"/>
      <c r="C6" s="19"/>
      <c r="D6" s="19"/>
      <c r="E6" s="56"/>
      <c r="F6" s="18"/>
      <c r="G6" s="22"/>
      <c r="H6" s="57"/>
      <c r="I6" s="64"/>
      <c r="J6" s="22"/>
      <c r="K6" s="22"/>
      <c r="L6" s="65"/>
      <c r="M6" s="75"/>
      <c r="N6" s="22"/>
      <c r="O6" s="19"/>
      <c r="P6" s="19"/>
      <c r="Q6" s="107"/>
      <c r="R6" s="108"/>
    </row>
    <row r="7" s="2" customFormat="1" ht="20.25" customHeight="1" spans="1:18">
      <c r="A7" s="16"/>
      <c r="B7" s="17"/>
      <c r="C7" s="19"/>
      <c r="D7" s="19"/>
      <c r="E7" s="58"/>
      <c r="F7" s="59">
        <v>0</v>
      </c>
      <c r="G7" s="59">
        <v>0</v>
      </c>
      <c r="H7" s="59">
        <v>0</v>
      </c>
      <c r="I7" s="59">
        <v>0</v>
      </c>
      <c r="J7" s="59">
        <v>0.2</v>
      </c>
      <c r="K7" s="59">
        <v>0.5</v>
      </c>
      <c r="L7" s="59">
        <v>0.3</v>
      </c>
      <c r="M7" s="76">
        <v>0.2</v>
      </c>
      <c r="N7" s="59">
        <v>0</v>
      </c>
      <c r="O7" s="19"/>
      <c r="P7" s="19"/>
      <c r="Q7" s="107"/>
      <c r="R7" s="108"/>
    </row>
    <row r="8" s="2" customFormat="1" ht="20.25" customHeight="1" spans="1:18">
      <c r="A8" s="20"/>
      <c r="B8" s="21"/>
      <c r="C8" s="22"/>
      <c r="D8" s="23"/>
      <c r="E8" s="60"/>
      <c r="F8" s="61"/>
      <c r="G8" s="61"/>
      <c r="H8" s="61"/>
      <c r="I8" s="61"/>
      <c r="J8" s="61"/>
      <c r="K8" s="61"/>
      <c r="L8" s="61"/>
      <c r="M8" s="77"/>
      <c r="N8" s="61"/>
      <c r="O8" s="22"/>
      <c r="P8" s="22"/>
      <c r="Q8" s="109"/>
      <c r="R8" s="110"/>
    </row>
    <row r="9" s="2" customFormat="1" ht="20.25" customHeight="1" spans="1:18">
      <c r="A9" s="24">
        <v>1</v>
      </c>
      <c r="B9" s="25" t="s">
        <v>38</v>
      </c>
      <c r="C9" s="26">
        <f t="shared" ref="C9:O9" si="0">C10+C11+C12</f>
        <v>0</v>
      </c>
      <c r="D9" s="26">
        <f t="shared" si="0"/>
        <v>0</v>
      </c>
      <c r="E9" s="26">
        <f t="shared" si="0"/>
        <v>0</v>
      </c>
      <c r="F9" s="26">
        <f t="shared" si="0"/>
        <v>0</v>
      </c>
      <c r="G9" s="26">
        <f t="shared" si="0"/>
        <v>0</v>
      </c>
      <c r="H9" s="26">
        <f t="shared" si="0"/>
        <v>0</v>
      </c>
      <c r="I9" s="26">
        <f t="shared" si="0"/>
        <v>0</v>
      </c>
      <c r="J9" s="26">
        <f t="shared" si="0"/>
        <v>0</v>
      </c>
      <c r="K9" s="26">
        <f t="shared" si="0"/>
        <v>0</v>
      </c>
      <c r="L9" s="26">
        <f t="shared" si="0"/>
        <v>0</v>
      </c>
      <c r="M9" s="33">
        <f t="shared" si="0"/>
        <v>0</v>
      </c>
      <c r="N9" s="26">
        <f t="shared" si="0"/>
        <v>0</v>
      </c>
      <c r="O9" s="26">
        <f t="shared" si="0"/>
        <v>0</v>
      </c>
      <c r="P9" s="78"/>
      <c r="Q9" s="26">
        <f>Q10+Q11+Q12</f>
        <v>0</v>
      </c>
      <c r="R9" s="111">
        <f>IF(E9=0,0,Q9/E9)</f>
        <v>0</v>
      </c>
    </row>
    <row r="10" s="2" customFormat="1" ht="20.25" customHeight="1" spans="1:18">
      <c r="A10" s="24">
        <v>2</v>
      </c>
      <c r="B10" s="27" t="s">
        <v>39</v>
      </c>
      <c r="C10" s="28"/>
      <c r="D10" s="28"/>
      <c r="E10" s="26">
        <f t="shared" ref="E10:E26" si="1">C10-D10</f>
        <v>0</v>
      </c>
      <c r="F10" s="62"/>
      <c r="G10" s="62"/>
      <c r="H10" s="62"/>
      <c r="I10" s="62"/>
      <c r="J10" s="62"/>
      <c r="K10" s="62"/>
      <c r="L10" s="62"/>
      <c r="M10" s="79"/>
      <c r="N10" s="67"/>
      <c r="O10" s="33">
        <f>IF(E10-F10-G10-H10-I10-J10-K10-L10-M10-N10&lt;0,0,E10-F10-G10-H10-I10-J10-K10-L10-M10-N10)</f>
        <v>0</v>
      </c>
      <c r="P10" s="80">
        <v>0</v>
      </c>
      <c r="Q10" s="112">
        <f>F10*$F$7+G10*$G$7+H10*$H$7+I10*$I$7+J10*$J$7+K10*$K$7+L10*$L$7+M10*$M$7+N10*$N$7+O10*P10</f>
        <v>0</v>
      </c>
      <c r="R10" s="111">
        <f t="shared" ref="R10:R57" si="2">IF(E10=0,0,Q10/E10)</f>
        <v>0</v>
      </c>
    </row>
    <row r="11" s="2" customFormat="1" ht="20.25" customHeight="1" spans="1:18">
      <c r="A11" s="24">
        <v>3</v>
      </c>
      <c r="B11" s="27" t="s">
        <v>40</v>
      </c>
      <c r="C11" s="28"/>
      <c r="D11" s="28"/>
      <c r="E11" s="26">
        <f t="shared" si="1"/>
        <v>0</v>
      </c>
      <c r="F11" s="62"/>
      <c r="G11" s="62"/>
      <c r="H11" s="62"/>
      <c r="I11" s="62"/>
      <c r="J11" s="62"/>
      <c r="K11" s="62"/>
      <c r="L11" s="62"/>
      <c r="M11" s="79"/>
      <c r="N11" s="67"/>
      <c r="O11" s="33">
        <f t="shared" ref="O10:O15" si="3">IF(E11-F11-G11-H11-I11-J11-K11-L11-M11-N11&lt;0,0,E11-F11-G11-H11-I11-J11-K11-L11-M11-N11)</f>
        <v>0</v>
      </c>
      <c r="P11" s="80">
        <v>0</v>
      </c>
      <c r="Q11" s="112">
        <f t="shared" ref="Q10:Q12" si="4">F11*$F$7+G11*$G$7+H11*$H$7+I11*$I$7+J11*$J$7+K11*$K$7+L11*$L$7+M11*$M$7+N11*$N$7+O11*P11</f>
        <v>0</v>
      </c>
      <c r="R11" s="111">
        <f t="shared" si="2"/>
        <v>0</v>
      </c>
    </row>
    <row r="12" s="2" customFormat="1" ht="20.25" customHeight="1" spans="1:18">
      <c r="A12" s="24">
        <v>4</v>
      </c>
      <c r="B12" s="27" t="s">
        <v>41</v>
      </c>
      <c r="C12" s="28"/>
      <c r="D12" s="28"/>
      <c r="E12" s="26">
        <f t="shared" si="1"/>
        <v>0</v>
      </c>
      <c r="F12" s="62"/>
      <c r="G12" s="62"/>
      <c r="H12" s="62"/>
      <c r="I12" s="62"/>
      <c r="J12" s="62"/>
      <c r="K12" s="62"/>
      <c r="L12" s="62"/>
      <c r="M12" s="79"/>
      <c r="N12" s="67"/>
      <c r="O12" s="33">
        <f t="shared" si="3"/>
        <v>0</v>
      </c>
      <c r="P12" s="80">
        <v>0</v>
      </c>
      <c r="Q12" s="112">
        <f t="shared" si="4"/>
        <v>0</v>
      </c>
      <c r="R12" s="111">
        <f t="shared" si="2"/>
        <v>0</v>
      </c>
    </row>
    <row r="13" s="2" customFormat="1" ht="20.25" customHeight="1" spans="1:18">
      <c r="A13" s="24">
        <v>5</v>
      </c>
      <c r="B13" s="29" t="s">
        <v>42</v>
      </c>
      <c r="C13" s="26">
        <f t="shared" ref="C13:O13" si="5">C14+C15</f>
        <v>0</v>
      </c>
      <c r="D13" s="26">
        <f t="shared" si="5"/>
        <v>0</v>
      </c>
      <c r="E13" s="26">
        <f t="shared" si="5"/>
        <v>0</v>
      </c>
      <c r="F13" s="26">
        <f t="shared" si="5"/>
        <v>0</v>
      </c>
      <c r="G13" s="26">
        <f t="shared" si="5"/>
        <v>0</v>
      </c>
      <c r="H13" s="26">
        <f t="shared" si="5"/>
        <v>0</v>
      </c>
      <c r="I13" s="26">
        <f t="shared" si="5"/>
        <v>0</v>
      </c>
      <c r="J13" s="26">
        <f t="shared" si="5"/>
        <v>0</v>
      </c>
      <c r="K13" s="26">
        <f t="shared" si="5"/>
        <v>0</v>
      </c>
      <c r="L13" s="26">
        <f t="shared" si="5"/>
        <v>0</v>
      </c>
      <c r="M13" s="33">
        <f t="shared" si="5"/>
        <v>0</v>
      </c>
      <c r="N13" s="26">
        <f t="shared" si="5"/>
        <v>0</v>
      </c>
      <c r="O13" s="26">
        <f t="shared" si="5"/>
        <v>0</v>
      </c>
      <c r="P13" s="78"/>
      <c r="Q13" s="26">
        <f>Q14+Q15</f>
        <v>0</v>
      </c>
      <c r="R13" s="111">
        <f t="shared" si="2"/>
        <v>0</v>
      </c>
    </row>
    <row r="14" s="2" customFormat="1" ht="20.25" customHeight="1" spans="1:18">
      <c r="A14" s="24">
        <v>6</v>
      </c>
      <c r="B14" s="27" t="s">
        <v>43</v>
      </c>
      <c r="C14" s="28"/>
      <c r="D14" s="28"/>
      <c r="E14" s="26">
        <f t="shared" si="1"/>
        <v>0</v>
      </c>
      <c r="F14" s="62"/>
      <c r="G14" s="62"/>
      <c r="H14" s="62"/>
      <c r="I14" s="62"/>
      <c r="J14" s="62"/>
      <c r="K14" s="62"/>
      <c r="L14" s="62"/>
      <c r="M14" s="79"/>
      <c r="N14" s="67"/>
      <c r="O14" s="33">
        <f t="shared" si="3"/>
        <v>0</v>
      </c>
      <c r="P14" s="80">
        <v>0</v>
      </c>
      <c r="Q14" s="112">
        <f t="shared" ref="Q14:Q19" si="6">F14*$F$7+G14*$G$7+H14*$H$7+I14*$I$7+J14*$J$7+K14*$K$7+L14*$L$7+M14*$M$7+N14*$N$7+O14*P14</f>
        <v>0</v>
      </c>
      <c r="R14" s="111">
        <f t="shared" si="2"/>
        <v>0</v>
      </c>
    </row>
    <row r="15" s="2" customFormat="1" ht="20.25" customHeight="1" spans="1:18">
      <c r="A15" s="24">
        <v>7</v>
      </c>
      <c r="B15" s="27" t="s">
        <v>44</v>
      </c>
      <c r="C15" s="28"/>
      <c r="D15" s="28"/>
      <c r="E15" s="26">
        <f t="shared" si="1"/>
        <v>0</v>
      </c>
      <c r="F15" s="62"/>
      <c r="G15" s="62"/>
      <c r="H15" s="62"/>
      <c r="I15" s="62"/>
      <c r="J15" s="62"/>
      <c r="K15" s="62"/>
      <c r="L15" s="62"/>
      <c r="M15" s="79"/>
      <c r="N15" s="67"/>
      <c r="O15" s="33">
        <f t="shared" si="3"/>
        <v>0</v>
      </c>
      <c r="P15" s="80">
        <v>0</v>
      </c>
      <c r="Q15" s="112">
        <f t="shared" si="6"/>
        <v>0</v>
      </c>
      <c r="R15" s="111">
        <f t="shared" si="2"/>
        <v>0</v>
      </c>
    </row>
    <row r="16" s="2" customFormat="1" ht="20" customHeight="1" spans="1:18">
      <c r="A16" s="24">
        <v>8</v>
      </c>
      <c r="B16" s="29" t="s">
        <v>45</v>
      </c>
      <c r="C16" s="26">
        <f>C17+C18</f>
        <v>0</v>
      </c>
      <c r="D16" s="26">
        <f t="shared" ref="D16:O16" si="7">D17+D18</f>
        <v>0</v>
      </c>
      <c r="E16" s="26">
        <f t="shared" si="7"/>
        <v>0</v>
      </c>
      <c r="F16" s="26">
        <f t="shared" si="7"/>
        <v>0</v>
      </c>
      <c r="G16" s="26">
        <f t="shared" si="7"/>
        <v>0</v>
      </c>
      <c r="H16" s="26">
        <f t="shared" si="7"/>
        <v>0</v>
      </c>
      <c r="I16" s="26">
        <f t="shared" si="7"/>
        <v>0</v>
      </c>
      <c r="J16" s="26">
        <f t="shared" si="7"/>
        <v>0</v>
      </c>
      <c r="K16" s="26">
        <f t="shared" si="7"/>
        <v>0</v>
      </c>
      <c r="L16" s="26">
        <f t="shared" si="7"/>
        <v>0</v>
      </c>
      <c r="M16" s="33">
        <f t="shared" si="7"/>
        <v>0</v>
      </c>
      <c r="N16" s="26">
        <f t="shared" si="7"/>
        <v>0</v>
      </c>
      <c r="O16" s="26">
        <f t="shared" si="7"/>
        <v>0</v>
      </c>
      <c r="P16" s="78"/>
      <c r="Q16" s="26">
        <f>Q17+Q18</f>
        <v>0</v>
      </c>
      <c r="R16" s="111">
        <f t="shared" si="2"/>
        <v>0</v>
      </c>
    </row>
    <row r="17" s="2" customFormat="1" ht="20.25" customHeight="1" spans="1:18">
      <c r="A17" s="24">
        <v>9</v>
      </c>
      <c r="B17" s="27" t="s">
        <v>46</v>
      </c>
      <c r="C17" s="28"/>
      <c r="D17" s="28"/>
      <c r="E17" s="26">
        <f t="shared" si="1"/>
        <v>0</v>
      </c>
      <c r="F17" s="62"/>
      <c r="G17" s="62"/>
      <c r="H17" s="62"/>
      <c r="I17" s="62"/>
      <c r="J17" s="62"/>
      <c r="K17" s="62"/>
      <c r="L17" s="62"/>
      <c r="M17" s="79"/>
      <c r="N17" s="67"/>
      <c r="O17" s="33">
        <f t="shared" ref="O17:O19" si="8">IF(E17-F17-G17-H17-I17-J17-K17-L17-M17-N17&lt;0,0,E17-F17-G17-H17-I17-J17-K17-L17-M17-N17)</f>
        <v>0</v>
      </c>
      <c r="P17" s="80">
        <v>0</v>
      </c>
      <c r="Q17" s="112">
        <f t="shared" si="6"/>
        <v>0</v>
      </c>
      <c r="R17" s="111">
        <f t="shared" si="2"/>
        <v>0</v>
      </c>
    </row>
    <row r="18" s="2" customFormat="1" ht="20.25" customHeight="1" spans="1:18">
      <c r="A18" s="24">
        <v>10</v>
      </c>
      <c r="B18" s="27" t="s">
        <v>47</v>
      </c>
      <c r="C18" s="28"/>
      <c r="D18" s="28"/>
      <c r="E18" s="26">
        <f t="shared" si="1"/>
        <v>0</v>
      </c>
      <c r="F18" s="62"/>
      <c r="G18" s="62"/>
      <c r="H18" s="62"/>
      <c r="I18" s="62"/>
      <c r="J18" s="62"/>
      <c r="K18" s="62"/>
      <c r="L18" s="62"/>
      <c r="M18" s="79"/>
      <c r="N18" s="67"/>
      <c r="O18" s="33">
        <f t="shared" si="8"/>
        <v>0</v>
      </c>
      <c r="P18" s="80">
        <v>0</v>
      </c>
      <c r="Q18" s="112">
        <f t="shared" si="6"/>
        <v>0</v>
      </c>
      <c r="R18" s="111">
        <f t="shared" si="2"/>
        <v>0</v>
      </c>
    </row>
    <row r="19" s="2" customFormat="1" ht="24" spans="1:18">
      <c r="A19" s="24">
        <v>11</v>
      </c>
      <c r="B19" s="30" t="s">
        <v>48</v>
      </c>
      <c r="C19" s="28"/>
      <c r="D19" s="28"/>
      <c r="E19" s="26">
        <f t="shared" si="1"/>
        <v>0</v>
      </c>
      <c r="F19" s="62"/>
      <c r="G19" s="62"/>
      <c r="H19" s="62"/>
      <c r="I19" s="62"/>
      <c r="J19" s="62"/>
      <c r="K19" s="62"/>
      <c r="L19" s="62"/>
      <c r="M19" s="79"/>
      <c r="N19" s="67"/>
      <c r="O19" s="33">
        <f t="shared" si="8"/>
        <v>0</v>
      </c>
      <c r="P19" s="80">
        <v>0</v>
      </c>
      <c r="Q19" s="112">
        <f t="shared" si="6"/>
        <v>0</v>
      </c>
      <c r="R19" s="111">
        <f t="shared" si="2"/>
        <v>0</v>
      </c>
    </row>
    <row r="20" s="2" customFormat="1" ht="18.75" customHeight="1" spans="1:18">
      <c r="A20" s="24">
        <v>12</v>
      </c>
      <c r="B20" s="29" t="s">
        <v>49</v>
      </c>
      <c r="C20" s="26">
        <f>C22+C21</f>
        <v>0</v>
      </c>
      <c r="D20" s="26">
        <f t="shared" ref="D20:O20" si="9">D22+D21</f>
        <v>0</v>
      </c>
      <c r="E20" s="26">
        <f t="shared" si="9"/>
        <v>0</v>
      </c>
      <c r="F20" s="26">
        <f t="shared" si="9"/>
        <v>0</v>
      </c>
      <c r="G20" s="26">
        <f t="shared" si="9"/>
        <v>0</v>
      </c>
      <c r="H20" s="26">
        <f t="shared" si="9"/>
        <v>0</v>
      </c>
      <c r="I20" s="26">
        <f t="shared" si="9"/>
        <v>0</v>
      </c>
      <c r="J20" s="26">
        <f t="shared" si="9"/>
        <v>0</v>
      </c>
      <c r="K20" s="26">
        <f t="shared" si="9"/>
        <v>0</v>
      </c>
      <c r="L20" s="26">
        <f t="shared" si="9"/>
        <v>0</v>
      </c>
      <c r="M20" s="33">
        <f t="shared" si="9"/>
        <v>0</v>
      </c>
      <c r="N20" s="26">
        <f t="shared" si="9"/>
        <v>0</v>
      </c>
      <c r="O20" s="26">
        <f t="shared" si="9"/>
        <v>0</v>
      </c>
      <c r="P20" s="78"/>
      <c r="Q20" s="26">
        <f>Q21+Q22</f>
        <v>0</v>
      </c>
      <c r="R20" s="111">
        <f t="shared" si="2"/>
        <v>0</v>
      </c>
    </row>
    <row r="21" s="2" customFormat="1" ht="23" customHeight="1" spans="1:18">
      <c r="A21" s="24">
        <v>13</v>
      </c>
      <c r="B21" s="27" t="s">
        <v>50</v>
      </c>
      <c r="C21" s="28"/>
      <c r="D21" s="28"/>
      <c r="E21" s="26">
        <f t="shared" si="1"/>
        <v>0</v>
      </c>
      <c r="F21" s="28"/>
      <c r="G21" s="28"/>
      <c r="H21" s="28"/>
      <c r="I21" s="28"/>
      <c r="J21" s="62"/>
      <c r="K21" s="62"/>
      <c r="L21" s="62"/>
      <c r="M21" s="79"/>
      <c r="N21" s="28"/>
      <c r="O21" s="33">
        <f t="shared" ref="O21:O23" si="10">IF(E21-F21-G21-H21-I21-J21-K21-L21-M21-N21&lt;0,0,E21-F21-G21-H21-I21-J21-K21-L21-M21-N21)</f>
        <v>0</v>
      </c>
      <c r="P21" s="80">
        <v>0.2</v>
      </c>
      <c r="Q21" s="112">
        <f t="shared" ref="Q21:Q23" si="11">F21*$F$7+G21*$G$7+H21*$H$7+I21*$I$7+J21*$J$7+K21*$K$7+L21*$L$7+M21*$M$7+N21*$N$7+O21*P21</f>
        <v>0</v>
      </c>
      <c r="R21" s="111">
        <f t="shared" si="2"/>
        <v>0</v>
      </c>
    </row>
    <row r="22" s="2" customFormat="1" ht="28" customHeight="1" spans="1:18">
      <c r="A22" s="24">
        <v>14</v>
      </c>
      <c r="B22" s="27" t="s">
        <v>51</v>
      </c>
      <c r="C22" s="28"/>
      <c r="D22" s="28"/>
      <c r="E22" s="26">
        <f t="shared" si="1"/>
        <v>0</v>
      </c>
      <c r="F22" s="28"/>
      <c r="G22" s="28"/>
      <c r="H22" s="28"/>
      <c r="I22" s="28"/>
      <c r="J22" s="62"/>
      <c r="K22" s="62"/>
      <c r="L22" s="62"/>
      <c r="M22" s="79"/>
      <c r="N22" s="28"/>
      <c r="O22" s="33">
        <f t="shared" si="10"/>
        <v>0</v>
      </c>
      <c r="P22" s="80">
        <v>0.2</v>
      </c>
      <c r="Q22" s="112">
        <f t="shared" si="11"/>
        <v>0</v>
      </c>
      <c r="R22" s="111">
        <f t="shared" si="2"/>
        <v>0</v>
      </c>
    </row>
    <row r="23" s="2" customFormat="1" ht="20" customHeight="1" spans="1:18">
      <c r="A23" s="24">
        <v>15</v>
      </c>
      <c r="B23" s="29" t="s">
        <v>52</v>
      </c>
      <c r="C23" s="28"/>
      <c r="D23" s="28"/>
      <c r="E23" s="26">
        <f t="shared" si="1"/>
        <v>0</v>
      </c>
      <c r="F23" s="28"/>
      <c r="G23" s="28"/>
      <c r="H23" s="28"/>
      <c r="I23" s="28"/>
      <c r="J23" s="66"/>
      <c r="K23" s="66"/>
      <c r="L23" s="66"/>
      <c r="M23" s="81"/>
      <c r="N23" s="28"/>
      <c r="O23" s="33">
        <f t="shared" si="10"/>
        <v>0</v>
      </c>
      <c r="P23" s="80">
        <v>0.5</v>
      </c>
      <c r="Q23" s="112">
        <f t="shared" si="11"/>
        <v>0</v>
      </c>
      <c r="R23" s="111">
        <f t="shared" si="2"/>
        <v>0</v>
      </c>
    </row>
    <row r="24" s="2" customFormat="1" ht="20.25" customHeight="1" spans="1:18">
      <c r="A24" s="24">
        <v>16</v>
      </c>
      <c r="B24" s="29" t="s">
        <v>53</v>
      </c>
      <c r="C24" s="26">
        <f>C25+C28</f>
        <v>0</v>
      </c>
      <c r="D24" s="26">
        <f t="shared" ref="D24:O24" si="12">D25+D28</f>
        <v>0</v>
      </c>
      <c r="E24" s="26">
        <f t="shared" si="12"/>
        <v>0</v>
      </c>
      <c r="F24" s="26">
        <f t="shared" si="12"/>
        <v>0</v>
      </c>
      <c r="G24" s="26">
        <f t="shared" si="12"/>
        <v>0</v>
      </c>
      <c r="H24" s="26">
        <f t="shared" si="12"/>
        <v>0</v>
      </c>
      <c r="I24" s="26">
        <f t="shared" si="12"/>
        <v>0</v>
      </c>
      <c r="J24" s="26">
        <f t="shared" si="12"/>
        <v>0</v>
      </c>
      <c r="K24" s="26">
        <f t="shared" si="12"/>
        <v>0</v>
      </c>
      <c r="L24" s="26">
        <f t="shared" si="12"/>
        <v>0</v>
      </c>
      <c r="M24" s="33">
        <f t="shared" si="12"/>
        <v>0</v>
      </c>
      <c r="N24" s="26">
        <f t="shared" si="12"/>
        <v>0</v>
      </c>
      <c r="O24" s="26">
        <f t="shared" si="12"/>
        <v>0</v>
      </c>
      <c r="P24" s="78"/>
      <c r="Q24" s="26">
        <f>Q25+Q28</f>
        <v>0</v>
      </c>
      <c r="R24" s="111">
        <f t="shared" si="2"/>
        <v>0</v>
      </c>
    </row>
    <row r="25" s="2" customFormat="1" ht="22" customHeight="1" spans="1:18">
      <c r="A25" s="24">
        <v>17</v>
      </c>
      <c r="B25" s="27" t="s">
        <v>54</v>
      </c>
      <c r="C25" s="31">
        <f>SUM(C26:C27)</f>
        <v>0</v>
      </c>
      <c r="D25" s="31">
        <f t="shared" ref="C25:O25" si="13">SUM(D26:D27)</f>
        <v>0</v>
      </c>
      <c r="E25" s="31">
        <f>E26+E27</f>
        <v>0</v>
      </c>
      <c r="F25" s="31">
        <f t="shared" si="13"/>
        <v>0</v>
      </c>
      <c r="G25" s="31">
        <f t="shared" si="13"/>
        <v>0</v>
      </c>
      <c r="H25" s="31">
        <f t="shared" si="13"/>
        <v>0</v>
      </c>
      <c r="I25" s="31">
        <f t="shared" si="13"/>
        <v>0</v>
      </c>
      <c r="J25" s="31">
        <f t="shared" si="13"/>
        <v>0</v>
      </c>
      <c r="K25" s="31">
        <f t="shared" si="13"/>
        <v>0</v>
      </c>
      <c r="L25" s="31">
        <f t="shared" si="13"/>
        <v>0</v>
      </c>
      <c r="M25" s="38">
        <f t="shared" si="13"/>
        <v>0</v>
      </c>
      <c r="N25" s="31">
        <f t="shared" si="13"/>
        <v>0</v>
      </c>
      <c r="O25" s="31">
        <f t="shared" si="13"/>
        <v>0</v>
      </c>
      <c r="P25" s="78"/>
      <c r="Q25" s="31">
        <f>SUM(Q26:Q27)</f>
        <v>0</v>
      </c>
      <c r="R25" s="111">
        <f t="shared" si="2"/>
        <v>0</v>
      </c>
    </row>
    <row r="26" s="2" customFormat="1" ht="24" spans="1:18">
      <c r="A26" s="24">
        <v>18</v>
      </c>
      <c r="B26" s="27" t="s">
        <v>55</v>
      </c>
      <c r="C26" s="28"/>
      <c r="D26" s="28"/>
      <c r="E26" s="26">
        <f t="shared" si="1"/>
        <v>0</v>
      </c>
      <c r="F26" s="28"/>
      <c r="G26" s="28"/>
      <c r="H26" s="28"/>
      <c r="I26" s="28"/>
      <c r="J26" s="67"/>
      <c r="K26" s="67"/>
      <c r="L26" s="68"/>
      <c r="M26" s="82"/>
      <c r="N26" s="28"/>
      <c r="O26" s="33">
        <f t="shared" ref="O26:O29" si="14">IF(E26-F26-G26-H26-I26-J26-K26-L26-M26-N26&lt;0,0,E26-F26-G26-H26-I26-J26-K26-L26-M26-N26)</f>
        <v>0</v>
      </c>
      <c r="P26" s="80">
        <v>0.2</v>
      </c>
      <c r="Q26" s="112">
        <f t="shared" ref="Q26:Q29" si="15">F26*$F$7+G26*$G$7+H26*$H$7+I26*$I$7+J26*$J$7+K26*$K$7+L26*$L$7+M26*$M$7+N26*$N$7+O26*P26</f>
        <v>0</v>
      </c>
      <c r="R26" s="111">
        <f t="shared" si="2"/>
        <v>0</v>
      </c>
    </row>
    <row r="27" s="2" customFormat="1" ht="20.25" customHeight="1" spans="1:18">
      <c r="A27" s="24">
        <v>19</v>
      </c>
      <c r="B27" s="27" t="s">
        <v>56</v>
      </c>
      <c r="C27" s="28"/>
      <c r="D27" s="28"/>
      <c r="E27" s="26">
        <f t="shared" ref="E27:E39" si="16">C27-D27</f>
        <v>0</v>
      </c>
      <c r="F27" s="28"/>
      <c r="G27" s="28"/>
      <c r="H27" s="28"/>
      <c r="I27" s="28"/>
      <c r="J27" s="66"/>
      <c r="K27" s="67"/>
      <c r="L27" s="67"/>
      <c r="M27" s="83"/>
      <c r="N27" s="28"/>
      <c r="O27" s="33">
        <f t="shared" si="14"/>
        <v>0</v>
      </c>
      <c r="P27" s="80">
        <v>0.3</v>
      </c>
      <c r="Q27" s="112">
        <f t="shared" si="15"/>
        <v>0</v>
      </c>
      <c r="R27" s="111">
        <f t="shared" si="2"/>
        <v>0</v>
      </c>
    </row>
    <row r="28" s="2" customFormat="1" ht="23" customHeight="1" spans="1:18">
      <c r="A28" s="24">
        <v>20</v>
      </c>
      <c r="B28" s="27" t="s">
        <v>57</v>
      </c>
      <c r="C28" s="28"/>
      <c r="D28" s="28"/>
      <c r="E28" s="26">
        <f t="shared" si="16"/>
        <v>0</v>
      </c>
      <c r="F28" s="28"/>
      <c r="G28" s="28"/>
      <c r="H28" s="28"/>
      <c r="I28" s="28"/>
      <c r="J28" s="28"/>
      <c r="K28" s="28"/>
      <c r="L28" s="28"/>
      <c r="M28" s="36"/>
      <c r="N28" s="28"/>
      <c r="O28" s="33">
        <f t="shared" si="14"/>
        <v>0</v>
      </c>
      <c r="P28" s="80">
        <v>1</v>
      </c>
      <c r="Q28" s="112">
        <f t="shared" si="15"/>
        <v>0</v>
      </c>
      <c r="R28" s="111">
        <f t="shared" si="2"/>
        <v>0</v>
      </c>
    </row>
    <row r="29" s="2" customFormat="1" ht="20.25" customHeight="1" spans="1:18">
      <c r="A29" s="24">
        <v>21</v>
      </c>
      <c r="B29" s="29" t="s">
        <v>58</v>
      </c>
      <c r="C29" s="28"/>
      <c r="D29" s="28"/>
      <c r="E29" s="26">
        <f t="shared" si="16"/>
        <v>0</v>
      </c>
      <c r="F29" s="28"/>
      <c r="G29" s="28"/>
      <c r="H29" s="28"/>
      <c r="I29" s="28"/>
      <c r="J29" s="28"/>
      <c r="K29" s="28"/>
      <c r="L29" s="28"/>
      <c r="M29" s="36"/>
      <c r="N29" s="28"/>
      <c r="O29" s="33">
        <f t="shared" si="14"/>
        <v>0</v>
      </c>
      <c r="P29" s="80">
        <v>1</v>
      </c>
      <c r="Q29" s="112">
        <f t="shared" si="15"/>
        <v>0</v>
      </c>
      <c r="R29" s="111">
        <f t="shared" si="2"/>
        <v>0</v>
      </c>
    </row>
    <row r="30" s="2" customFormat="1" ht="20.25" customHeight="1" spans="1:18">
      <c r="A30" s="24">
        <v>22</v>
      </c>
      <c r="B30" s="29" t="s">
        <v>59</v>
      </c>
      <c r="C30" s="26">
        <f>SUM(C31,C32,C33,C37)</f>
        <v>0</v>
      </c>
      <c r="D30" s="26">
        <f t="shared" ref="D30:O30" si="17">SUM(D31,D32,D33,D37)</f>
        <v>0</v>
      </c>
      <c r="E30" s="26">
        <f t="shared" si="17"/>
        <v>0</v>
      </c>
      <c r="F30" s="26">
        <f t="shared" si="17"/>
        <v>0</v>
      </c>
      <c r="G30" s="26">
        <f t="shared" si="17"/>
        <v>0</v>
      </c>
      <c r="H30" s="26">
        <f t="shared" si="17"/>
        <v>0</v>
      </c>
      <c r="I30" s="26">
        <f t="shared" si="17"/>
        <v>0</v>
      </c>
      <c r="J30" s="26">
        <f t="shared" si="17"/>
        <v>0</v>
      </c>
      <c r="K30" s="26">
        <f t="shared" si="17"/>
        <v>0</v>
      </c>
      <c r="L30" s="26">
        <f t="shared" si="17"/>
        <v>0</v>
      </c>
      <c r="M30" s="33">
        <f t="shared" si="17"/>
        <v>0</v>
      </c>
      <c r="N30" s="26">
        <f t="shared" si="17"/>
        <v>0</v>
      </c>
      <c r="O30" s="26">
        <f t="shared" si="17"/>
        <v>0</v>
      </c>
      <c r="P30" s="78"/>
      <c r="Q30" s="26">
        <f>SUM(Q31,Q32,Q33,Q37)</f>
        <v>0</v>
      </c>
      <c r="R30" s="111">
        <f t="shared" si="2"/>
        <v>0</v>
      </c>
    </row>
    <row r="31" s="2" customFormat="1" ht="20.25" customHeight="1" spans="1:18">
      <c r="A31" s="24">
        <v>23</v>
      </c>
      <c r="B31" s="27" t="s">
        <v>60</v>
      </c>
      <c r="C31" s="28"/>
      <c r="D31" s="28"/>
      <c r="E31" s="26">
        <f t="shared" si="16"/>
        <v>0</v>
      </c>
      <c r="F31" s="28"/>
      <c r="G31" s="28"/>
      <c r="H31" s="28"/>
      <c r="I31" s="28"/>
      <c r="J31" s="28"/>
      <c r="K31" s="67"/>
      <c r="L31" s="28"/>
      <c r="M31" s="36"/>
      <c r="N31" s="28"/>
      <c r="O31" s="33">
        <f t="shared" ref="O31:O36" si="18">IF(E31-F31-G31-H31-I31-J31-K31-L31-M31-N31&lt;0,0,E31-F31-G31-H31-I31-J31-K31-L31-M31-N31)</f>
        <v>0</v>
      </c>
      <c r="P31" s="80">
        <v>0.5</v>
      </c>
      <c r="Q31" s="112">
        <f t="shared" ref="Q31:Q36" si="19">F31*$F$7+G31*$G$7+H31*$H$7+I31*$I$7+J31*$J$7+K31*$K$7+L31*$L$7+M31*$M$7+N31*$N$7+O31*P31</f>
        <v>0</v>
      </c>
      <c r="R31" s="111">
        <f t="shared" si="2"/>
        <v>0</v>
      </c>
    </row>
    <row r="32" s="2" customFormat="1" ht="20.25" customHeight="1" spans="1:18">
      <c r="A32" s="24">
        <v>24</v>
      </c>
      <c r="B32" s="27" t="s">
        <v>61</v>
      </c>
      <c r="C32" s="28"/>
      <c r="D32" s="28"/>
      <c r="E32" s="26">
        <f t="shared" si="16"/>
        <v>0</v>
      </c>
      <c r="F32" s="28"/>
      <c r="G32" s="28"/>
      <c r="H32" s="28"/>
      <c r="I32" s="28"/>
      <c r="J32" s="28"/>
      <c r="K32" s="28"/>
      <c r="L32" s="28"/>
      <c r="M32" s="36"/>
      <c r="N32" s="28"/>
      <c r="O32" s="33">
        <f t="shared" si="18"/>
        <v>0</v>
      </c>
      <c r="P32" s="80">
        <v>1.5</v>
      </c>
      <c r="Q32" s="112">
        <f t="shared" si="19"/>
        <v>0</v>
      </c>
      <c r="R32" s="111">
        <f t="shared" si="2"/>
        <v>0</v>
      </c>
    </row>
    <row r="33" s="2" customFormat="1" ht="20.25" customHeight="1" spans="1:18">
      <c r="A33" s="24">
        <v>25</v>
      </c>
      <c r="B33" s="27" t="s">
        <v>62</v>
      </c>
      <c r="C33" s="31">
        <f>SUM(C34:C36)</f>
        <v>0</v>
      </c>
      <c r="D33" s="31">
        <f t="shared" ref="D33:O33" si="20">SUM(D34:D36)</f>
        <v>0</v>
      </c>
      <c r="E33" s="31">
        <f>E34+E35+E36</f>
        <v>0</v>
      </c>
      <c r="F33" s="31">
        <f t="shared" si="20"/>
        <v>0</v>
      </c>
      <c r="G33" s="31">
        <f t="shared" si="20"/>
        <v>0</v>
      </c>
      <c r="H33" s="31">
        <f t="shared" si="20"/>
        <v>0</v>
      </c>
      <c r="I33" s="31">
        <f t="shared" si="20"/>
        <v>0</v>
      </c>
      <c r="J33" s="31">
        <f t="shared" si="20"/>
        <v>0</v>
      </c>
      <c r="K33" s="31">
        <f t="shared" si="20"/>
        <v>0</v>
      </c>
      <c r="L33" s="31">
        <f t="shared" si="20"/>
        <v>0</v>
      </c>
      <c r="M33" s="38">
        <f t="shared" si="20"/>
        <v>0</v>
      </c>
      <c r="N33" s="31">
        <f t="shared" si="20"/>
        <v>0</v>
      </c>
      <c r="O33" s="31">
        <f t="shared" si="20"/>
        <v>0</v>
      </c>
      <c r="P33" s="78"/>
      <c r="Q33" s="31">
        <f>SUM(Q34:Q36)</f>
        <v>0</v>
      </c>
      <c r="R33" s="111">
        <f t="shared" si="2"/>
        <v>0</v>
      </c>
    </row>
    <row r="34" s="2" customFormat="1" ht="17.25" customHeight="1" spans="1:18">
      <c r="A34" s="24">
        <v>26</v>
      </c>
      <c r="B34" s="32" t="s">
        <v>63</v>
      </c>
      <c r="C34" s="28"/>
      <c r="D34" s="28"/>
      <c r="E34" s="26">
        <f t="shared" si="16"/>
        <v>0</v>
      </c>
      <c r="F34" s="28"/>
      <c r="G34" s="28"/>
      <c r="H34" s="28"/>
      <c r="I34" s="28"/>
      <c r="J34" s="28"/>
      <c r="K34" s="28"/>
      <c r="L34" s="28"/>
      <c r="M34" s="36"/>
      <c r="N34" s="28"/>
      <c r="O34" s="33">
        <f t="shared" si="18"/>
        <v>0</v>
      </c>
      <c r="P34" s="80">
        <v>0.85</v>
      </c>
      <c r="Q34" s="112">
        <f t="shared" si="19"/>
        <v>0</v>
      </c>
      <c r="R34" s="111">
        <f t="shared" si="2"/>
        <v>0</v>
      </c>
    </row>
    <row r="35" s="2" customFormat="1" ht="17.25" customHeight="1" spans="1:18">
      <c r="A35" s="24">
        <v>27</v>
      </c>
      <c r="B35" s="32" t="s">
        <v>64</v>
      </c>
      <c r="C35" s="28"/>
      <c r="D35" s="28"/>
      <c r="E35" s="26">
        <f t="shared" si="16"/>
        <v>0</v>
      </c>
      <c r="F35" s="28"/>
      <c r="G35" s="28"/>
      <c r="H35" s="28"/>
      <c r="I35" s="28"/>
      <c r="J35" s="28"/>
      <c r="K35" s="28"/>
      <c r="L35" s="28"/>
      <c r="M35" s="36"/>
      <c r="N35" s="28"/>
      <c r="O35" s="33">
        <f t="shared" si="18"/>
        <v>0</v>
      </c>
      <c r="P35" s="80">
        <v>0.6</v>
      </c>
      <c r="Q35" s="112">
        <f t="shared" si="19"/>
        <v>0</v>
      </c>
      <c r="R35" s="111">
        <f t="shared" si="2"/>
        <v>0</v>
      </c>
    </row>
    <row r="36" s="2" customFormat="1" ht="17.25" customHeight="1" spans="1:18">
      <c r="A36" s="24">
        <v>28</v>
      </c>
      <c r="B36" s="32" t="s">
        <v>65</v>
      </c>
      <c r="C36" s="28"/>
      <c r="D36" s="28"/>
      <c r="E36" s="26">
        <f t="shared" si="16"/>
        <v>0</v>
      </c>
      <c r="F36" s="28"/>
      <c r="G36" s="28"/>
      <c r="H36" s="28"/>
      <c r="I36" s="28"/>
      <c r="J36" s="28"/>
      <c r="K36" s="28"/>
      <c r="L36" s="28"/>
      <c r="M36" s="36"/>
      <c r="N36" s="28"/>
      <c r="O36" s="33">
        <f t="shared" si="18"/>
        <v>0</v>
      </c>
      <c r="P36" s="80">
        <v>0.75</v>
      </c>
      <c r="Q36" s="112">
        <f t="shared" si="19"/>
        <v>0</v>
      </c>
      <c r="R36" s="111">
        <f t="shared" si="2"/>
        <v>0</v>
      </c>
    </row>
    <row r="37" s="2" customFormat="1" ht="20.25" customHeight="1" spans="1:18">
      <c r="A37" s="24">
        <v>29</v>
      </c>
      <c r="B37" s="27" t="s">
        <v>66</v>
      </c>
      <c r="C37" s="26">
        <f>C38+C39</f>
        <v>0</v>
      </c>
      <c r="D37" s="26">
        <f t="shared" ref="D37:O37" si="21">D38+D39</f>
        <v>0</v>
      </c>
      <c r="E37" s="26">
        <f t="shared" si="21"/>
        <v>0</v>
      </c>
      <c r="F37" s="26">
        <f t="shared" si="21"/>
        <v>0</v>
      </c>
      <c r="G37" s="26">
        <f t="shared" si="21"/>
        <v>0</v>
      </c>
      <c r="H37" s="26">
        <f t="shared" si="21"/>
        <v>0</v>
      </c>
      <c r="I37" s="26">
        <f t="shared" si="21"/>
        <v>0</v>
      </c>
      <c r="J37" s="26">
        <f t="shared" si="21"/>
        <v>0</v>
      </c>
      <c r="K37" s="26">
        <f t="shared" si="21"/>
        <v>0</v>
      </c>
      <c r="L37" s="26">
        <f t="shared" si="21"/>
        <v>0</v>
      </c>
      <c r="M37" s="33">
        <f t="shared" si="21"/>
        <v>0</v>
      </c>
      <c r="N37" s="26">
        <f t="shared" si="21"/>
        <v>0</v>
      </c>
      <c r="O37" s="26">
        <f t="shared" si="21"/>
        <v>0</v>
      </c>
      <c r="P37" s="84"/>
      <c r="Q37" s="113">
        <f>Q38+Q39</f>
        <v>0</v>
      </c>
      <c r="R37" s="111">
        <f t="shared" si="2"/>
        <v>0</v>
      </c>
    </row>
    <row r="38" s="2" customFormat="1" ht="20.25" customHeight="1" spans="1:18">
      <c r="A38" s="24">
        <v>30</v>
      </c>
      <c r="B38" s="32" t="s">
        <v>67</v>
      </c>
      <c r="C38" s="28"/>
      <c r="D38" s="28"/>
      <c r="E38" s="26">
        <f t="shared" si="16"/>
        <v>0</v>
      </c>
      <c r="F38" s="28"/>
      <c r="G38" s="28"/>
      <c r="H38" s="28"/>
      <c r="I38" s="28"/>
      <c r="J38" s="28"/>
      <c r="K38" s="28"/>
      <c r="L38" s="28"/>
      <c r="M38" s="36"/>
      <c r="N38" s="28"/>
      <c r="O38" s="33">
        <f t="shared" ref="O38:O40" si="22">IF(E38-F38-G38-H38-I38-J38-K38-L38-M38-N38&lt;0,0,E38-F38-G38-H38-I38-J38-K38-L38-M38-N38)</f>
        <v>0</v>
      </c>
      <c r="P38" s="80">
        <v>1.2</v>
      </c>
      <c r="Q38" s="112">
        <f t="shared" ref="Q38:Q40" si="23">F38*$F$7+G38*$G$7+H38*$H$7+I38*$I$7+J38*$J$7+K38*$K$7+L38*$L$7+M38*$M$7+N38*$N$7+O38*P38</f>
        <v>0</v>
      </c>
      <c r="R38" s="111">
        <f t="shared" si="2"/>
        <v>0</v>
      </c>
    </row>
    <row r="39" s="2" customFormat="1" ht="20.25" customHeight="1" spans="1:18">
      <c r="A39" s="24">
        <v>31</v>
      </c>
      <c r="B39" s="32" t="s">
        <v>68</v>
      </c>
      <c r="C39" s="28"/>
      <c r="D39" s="28"/>
      <c r="E39" s="26">
        <f t="shared" si="16"/>
        <v>0</v>
      </c>
      <c r="F39" s="28"/>
      <c r="G39" s="28"/>
      <c r="H39" s="28"/>
      <c r="I39" s="28"/>
      <c r="J39" s="28"/>
      <c r="K39" s="28"/>
      <c r="L39" s="28"/>
      <c r="M39" s="36"/>
      <c r="N39" s="28"/>
      <c r="O39" s="33">
        <f t="shared" si="22"/>
        <v>0</v>
      </c>
      <c r="P39" s="80">
        <v>1</v>
      </c>
      <c r="Q39" s="112">
        <f t="shared" si="23"/>
        <v>0</v>
      </c>
      <c r="R39" s="111">
        <f t="shared" si="2"/>
        <v>0</v>
      </c>
    </row>
    <row r="40" s="2" customFormat="1" ht="20.25" customHeight="1" spans="1:18">
      <c r="A40" s="24">
        <v>32</v>
      </c>
      <c r="B40" s="29" t="s">
        <v>69</v>
      </c>
      <c r="C40" s="28"/>
      <c r="D40" s="28"/>
      <c r="E40" s="26">
        <f t="shared" ref="E40:E53" si="24">C40-D40</f>
        <v>0</v>
      </c>
      <c r="F40" s="28"/>
      <c r="G40" s="28"/>
      <c r="H40" s="28"/>
      <c r="I40" s="28"/>
      <c r="J40" s="28"/>
      <c r="K40" s="28"/>
      <c r="L40" s="28"/>
      <c r="M40" s="36"/>
      <c r="N40" s="28"/>
      <c r="O40" s="33">
        <f t="shared" si="22"/>
        <v>0</v>
      </c>
      <c r="P40" s="80">
        <v>1.5</v>
      </c>
      <c r="Q40" s="112">
        <f t="shared" si="23"/>
        <v>0</v>
      </c>
      <c r="R40" s="111">
        <f t="shared" si="2"/>
        <v>0</v>
      </c>
    </row>
    <row r="41" s="2" customFormat="1" ht="20.25" customHeight="1" spans="1:18">
      <c r="A41" s="24">
        <v>33</v>
      </c>
      <c r="B41" s="29" t="s">
        <v>70</v>
      </c>
      <c r="C41" s="33">
        <f>SUM(C42,C46,C49)</f>
        <v>0</v>
      </c>
      <c r="D41" s="33">
        <f>SUM(D42,D46,D49)</f>
        <v>0</v>
      </c>
      <c r="E41" s="33">
        <f t="shared" ref="E41:O41" si="25">SUM(E42,E46,E49)</f>
        <v>0</v>
      </c>
      <c r="F41" s="33">
        <f t="shared" si="25"/>
        <v>0</v>
      </c>
      <c r="G41" s="33">
        <f t="shared" si="25"/>
        <v>0</v>
      </c>
      <c r="H41" s="33">
        <f t="shared" si="25"/>
        <v>0</v>
      </c>
      <c r="I41" s="33">
        <f t="shared" si="25"/>
        <v>0</v>
      </c>
      <c r="J41" s="33">
        <f t="shared" si="25"/>
        <v>0</v>
      </c>
      <c r="K41" s="33">
        <f t="shared" si="25"/>
        <v>0</v>
      </c>
      <c r="L41" s="33">
        <f t="shared" si="25"/>
        <v>0</v>
      </c>
      <c r="M41" s="33">
        <f t="shared" si="25"/>
        <v>0</v>
      </c>
      <c r="N41" s="33">
        <f t="shared" si="25"/>
        <v>0</v>
      </c>
      <c r="O41" s="33">
        <f t="shared" si="25"/>
        <v>0</v>
      </c>
      <c r="P41" s="78"/>
      <c r="Q41" s="33">
        <f>SUM(Q42,Q46,Q49)</f>
        <v>0</v>
      </c>
      <c r="R41" s="111">
        <f t="shared" si="2"/>
        <v>0</v>
      </c>
    </row>
    <row r="42" s="2" customFormat="1" ht="20.25" customHeight="1" spans="1:18">
      <c r="A42" s="24">
        <v>34</v>
      </c>
      <c r="B42" s="27" t="s">
        <v>71</v>
      </c>
      <c r="C42" s="31">
        <f>SUM(C43:C45)</f>
        <v>0</v>
      </c>
      <c r="D42" s="31">
        <f t="shared" ref="C42:O42" si="26">SUM(D43:D45)</f>
        <v>0</v>
      </c>
      <c r="E42" s="31">
        <f>E43+E44+E45</f>
        <v>0</v>
      </c>
      <c r="F42" s="31">
        <f t="shared" si="26"/>
        <v>0</v>
      </c>
      <c r="G42" s="31">
        <f t="shared" si="26"/>
        <v>0</v>
      </c>
      <c r="H42" s="31">
        <f t="shared" si="26"/>
        <v>0</v>
      </c>
      <c r="I42" s="31">
        <f t="shared" si="26"/>
        <v>0</v>
      </c>
      <c r="J42" s="31">
        <f t="shared" si="26"/>
        <v>0</v>
      </c>
      <c r="K42" s="31">
        <f t="shared" si="26"/>
        <v>0</v>
      </c>
      <c r="L42" s="31">
        <f t="shared" si="26"/>
        <v>0</v>
      </c>
      <c r="M42" s="38">
        <f t="shared" si="26"/>
        <v>0</v>
      </c>
      <c r="N42" s="31">
        <f t="shared" si="26"/>
        <v>0</v>
      </c>
      <c r="O42" s="31">
        <f t="shared" si="26"/>
        <v>0</v>
      </c>
      <c r="P42" s="78"/>
      <c r="Q42" s="31">
        <f>SUM(Q43:Q45)</f>
        <v>0</v>
      </c>
      <c r="R42" s="111">
        <f t="shared" si="2"/>
        <v>0</v>
      </c>
    </row>
    <row r="43" s="2" customFormat="1" ht="20.25" customHeight="1" spans="1:18">
      <c r="A43" s="24">
        <v>35</v>
      </c>
      <c r="B43" s="32" t="s">
        <v>72</v>
      </c>
      <c r="C43" s="28"/>
      <c r="D43" s="28"/>
      <c r="E43" s="26">
        <f t="shared" si="24"/>
        <v>0</v>
      </c>
      <c r="F43" s="28"/>
      <c r="G43" s="28"/>
      <c r="H43" s="28"/>
      <c r="I43" s="28"/>
      <c r="J43" s="28"/>
      <c r="K43" s="28"/>
      <c r="L43" s="28"/>
      <c r="M43" s="36"/>
      <c r="N43" s="28"/>
      <c r="O43" s="33">
        <f t="shared" ref="O43:O45" si="27">IF(E43-F43-G43-H43-I43-J43-K43-L43-M43-N43&lt;0,0,E43-F43-G43-H43-I43-J43-K43-L43-M43-N43)</f>
        <v>0</v>
      </c>
      <c r="P43" s="80">
        <v>0.85</v>
      </c>
      <c r="Q43" s="112">
        <f t="shared" ref="Q43:Q45" si="28">F43*$F$7+G43*$G$7+H43*$H$7+I43*$I$7+J43*$J$7+K43*$K$7+L43*$L$7+M43*$M$7+N43*$N$7+O43*P43</f>
        <v>0</v>
      </c>
      <c r="R43" s="111">
        <f t="shared" si="2"/>
        <v>0</v>
      </c>
    </row>
    <row r="44" s="2" customFormat="1" ht="20.25" customHeight="1" spans="1:18">
      <c r="A44" s="24">
        <v>36</v>
      </c>
      <c r="B44" s="32" t="s">
        <v>73</v>
      </c>
      <c r="C44" s="28"/>
      <c r="D44" s="28"/>
      <c r="E44" s="26">
        <f t="shared" si="24"/>
        <v>0</v>
      </c>
      <c r="F44" s="28"/>
      <c r="G44" s="28"/>
      <c r="H44" s="28"/>
      <c r="I44" s="28"/>
      <c r="J44" s="28"/>
      <c r="K44" s="28"/>
      <c r="L44" s="28"/>
      <c r="M44" s="36"/>
      <c r="N44" s="28"/>
      <c r="O44" s="33">
        <f t="shared" si="27"/>
        <v>0</v>
      </c>
      <c r="P44" s="80">
        <v>0.6</v>
      </c>
      <c r="Q44" s="112">
        <f t="shared" si="28"/>
        <v>0</v>
      </c>
      <c r="R44" s="111">
        <f t="shared" si="2"/>
        <v>0</v>
      </c>
    </row>
    <row r="45" s="2" customFormat="1" ht="20.25" customHeight="1" spans="1:18">
      <c r="A45" s="24">
        <v>37</v>
      </c>
      <c r="B45" s="32" t="s">
        <v>74</v>
      </c>
      <c r="C45" s="28"/>
      <c r="D45" s="28"/>
      <c r="E45" s="26">
        <f t="shared" si="24"/>
        <v>0</v>
      </c>
      <c r="F45" s="28"/>
      <c r="G45" s="28"/>
      <c r="H45" s="28"/>
      <c r="I45" s="28"/>
      <c r="J45" s="28"/>
      <c r="K45" s="28"/>
      <c r="L45" s="28"/>
      <c r="M45" s="36"/>
      <c r="N45" s="28"/>
      <c r="O45" s="33">
        <f t="shared" si="27"/>
        <v>0</v>
      </c>
      <c r="P45" s="80">
        <v>0.75</v>
      </c>
      <c r="Q45" s="112">
        <f t="shared" si="28"/>
        <v>0</v>
      </c>
      <c r="R45" s="111">
        <f t="shared" si="2"/>
        <v>0</v>
      </c>
    </row>
    <row r="46" s="2" customFormat="1" ht="20.25" customHeight="1" spans="1:18">
      <c r="A46" s="24">
        <v>38</v>
      </c>
      <c r="B46" s="27" t="s">
        <v>75</v>
      </c>
      <c r="C46" s="31">
        <f t="shared" ref="C46:O46" si="29">SUM(C47:C48)</f>
        <v>0</v>
      </c>
      <c r="D46" s="31">
        <f t="shared" si="29"/>
        <v>0</v>
      </c>
      <c r="E46" s="31">
        <f>E47+E48</f>
        <v>0</v>
      </c>
      <c r="F46" s="31">
        <f t="shared" si="29"/>
        <v>0</v>
      </c>
      <c r="G46" s="31">
        <f t="shared" si="29"/>
        <v>0</v>
      </c>
      <c r="H46" s="31">
        <f t="shared" si="29"/>
        <v>0</v>
      </c>
      <c r="I46" s="31">
        <f t="shared" si="29"/>
        <v>0</v>
      </c>
      <c r="J46" s="31">
        <f t="shared" si="29"/>
        <v>0</v>
      </c>
      <c r="K46" s="31">
        <f t="shared" si="29"/>
        <v>0</v>
      </c>
      <c r="L46" s="31">
        <f t="shared" si="29"/>
        <v>0</v>
      </c>
      <c r="M46" s="38">
        <f t="shared" si="29"/>
        <v>0</v>
      </c>
      <c r="N46" s="31">
        <f t="shared" si="29"/>
        <v>0</v>
      </c>
      <c r="O46" s="31">
        <f t="shared" si="29"/>
        <v>0</v>
      </c>
      <c r="P46" s="78"/>
      <c r="Q46" s="31">
        <f>SUM(Q47:Q48)</f>
        <v>0</v>
      </c>
      <c r="R46" s="111">
        <f t="shared" si="2"/>
        <v>0</v>
      </c>
    </row>
    <row r="47" s="2" customFormat="1" ht="20.25" customHeight="1" spans="1:18">
      <c r="A47" s="24">
        <v>39</v>
      </c>
      <c r="B47" s="32" t="s">
        <v>76</v>
      </c>
      <c r="C47" s="28"/>
      <c r="D47" s="28"/>
      <c r="E47" s="26">
        <f t="shared" si="24"/>
        <v>0</v>
      </c>
      <c r="F47" s="28"/>
      <c r="G47" s="28"/>
      <c r="H47" s="28"/>
      <c r="I47" s="28"/>
      <c r="J47" s="28"/>
      <c r="K47" s="28"/>
      <c r="L47" s="28"/>
      <c r="M47" s="36"/>
      <c r="N47" s="28"/>
      <c r="O47" s="33">
        <f t="shared" ref="O47:O49" si="30">IF(E47-F47-G47-H47-I47-J47-K47-L47-M47-N47&lt;0,0,E47-F47-G47-H47-I47-J47-K47-L47-M47-N47)</f>
        <v>0</v>
      </c>
      <c r="P47" s="80">
        <v>1.2</v>
      </c>
      <c r="Q47" s="112">
        <f t="shared" ref="Q47:Q49" si="31">F47*$F$7+G47*$G$7+H47*$H$7+I47*$I$7+J47*$J$7+K47*$K$7+L47*$L$7+M47*$M$7+N47*$N$7+O47*P47</f>
        <v>0</v>
      </c>
      <c r="R47" s="111">
        <f t="shared" si="2"/>
        <v>0</v>
      </c>
    </row>
    <row r="48" s="2" customFormat="1" ht="20.25" customHeight="1" spans="1:18">
      <c r="A48" s="24">
        <v>40</v>
      </c>
      <c r="B48" s="32" t="s">
        <v>77</v>
      </c>
      <c r="C48" s="28"/>
      <c r="D48" s="28"/>
      <c r="E48" s="26">
        <f t="shared" si="24"/>
        <v>0</v>
      </c>
      <c r="F48" s="28"/>
      <c r="G48" s="28"/>
      <c r="H48" s="28"/>
      <c r="I48" s="28"/>
      <c r="J48" s="28"/>
      <c r="K48" s="28"/>
      <c r="L48" s="28"/>
      <c r="M48" s="36"/>
      <c r="N48" s="28"/>
      <c r="O48" s="33">
        <f t="shared" si="30"/>
        <v>0</v>
      </c>
      <c r="P48" s="80">
        <v>1</v>
      </c>
      <c r="Q48" s="112">
        <f t="shared" si="31"/>
        <v>0</v>
      </c>
      <c r="R48" s="111">
        <f t="shared" si="2"/>
        <v>0</v>
      </c>
    </row>
    <row r="49" s="4" customFormat="1" ht="20.25" customHeight="1" spans="1:18">
      <c r="A49" s="34">
        <v>41</v>
      </c>
      <c r="B49" s="35" t="s">
        <v>78</v>
      </c>
      <c r="C49" s="36"/>
      <c r="D49" s="36"/>
      <c r="E49" s="33">
        <f t="shared" si="24"/>
        <v>0</v>
      </c>
      <c r="F49" s="36"/>
      <c r="G49" s="36"/>
      <c r="H49" s="36"/>
      <c r="I49" s="36"/>
      <c r="J49" s="36"/>
      <c r="K49" s="36"/>
      <c r="L49" s="36"/>
      <c r="M49" s="36"/>
      <c r="N49" s="36"/>
      <c r="O49" s="33">
        <f t="shared" si="30"/>
        <v>0</v>
      </c>
      <c r="P49" s="85">
        <v>1.5</v>
      </c>
      <c r="Q49" s="112">
        <f t="shared" si="31"/>
        <v>0</v>
      </c>
      <c r="R49" s="114">
        <f t="shared" si="2"/>
        <v>0</v>
      </c>
    </row>
    <row r="50" s="2" customFormat="1" ht="20.25" customHeight="1" spans="1:18">
      <c r="A50" s="24">
        <v>42</v>
      </c>
      <c r="B50" s="29" t="s">
        <v>79</v>
      </c>
      <c r="C50" s="31">
        <f>C51+C52+C53</f>
        <v>0</v>
      </c>
      <c r="D50" s="31">
        <f t="shared" ref="D50:O50" si="32">D51+D52+D53</f>
        <v>0</v>
      </c>
      <c r="E50" s="31">
        <f t="shared" si="32"/>
        <v>0</v>
      </c>
      <c r="F50" s="31">
        <f t="shared" si="32"/>
        <v>0</v>
      </c>
      <c r="G50" s="31">
        <f t="shared" si="32"/>
        <v>0</v>
      </c>
      <c r="H50" s="31">
        <f t="shared" si="32"/>
        <v>0</v>
      </c>
      <c r="I50" s="31">
        <f t="shared" si="32"/>
        <v>0</v>
      </c>
      <c r="J50" s="31">
        <f t="shared" si="32"/>
        <v>0</v>
      </c>
      <c r="K50" s="31">
        <f t="shared" si="32"/>
        <v>0</v>
      </c>
      <c r="L50" s="31">
        <f t="shared" si="32"/>
        <v>0</v>
      </c>
      <c r="M50" s="38">
        <f t="shared" si="32"/>
        <v>0</v>
      </c>
      <c r="N50" s="31">
        <f t="shared" si="32"/>
        <v>0</v>
      </c>
      <c r="O50" s="31">
        <f t="shared" si="32"/>
        <v>0</v>
      </c>
      <c r="P50" s="78"/>
      <c r="Q50" s="113">
        <f>Q51+Q52+Q53</f>
        <v>0</v>
      </c>
      <c r="R50" s="111">
        <f t="shared" si="2"/>
        <v>0</v>
      </c>
    </row>
    <row r="51" s="2" customFormat="1" ht="20.25" customHeight="1" spans="1:18">
      <c r="A51" s="24">
        <v>43</v>
      </c>
      <c r="B51" s="27" t="s">
        <v>80</v>
      </c>
      <c r="C51" s="28"/>
      <c r="D51" s="28"/>
      <c r="E51" s="26">
        <f t="shared" ref="E51:E56" si="33">C51-D51</f>
        <v>0</v>
      </c>
      <c r="F51" s="28"/>
      <c r="G51" s="28"/>
      <c r="H51" s="28"/>
      <c r="I51" s="28"/>
      <c r="J51" s="28"/>
      <c r="K51" s="28"/>
      <c r="L51" s="28"/>
      <c r="M51" s="36"/>
      <c r="N51" s="28"/>
      <c r="O51" s="33">
        <f t="shared" ref="O51:O53" si="34">IF(E51-F51-G51-H51-I51-J51-K51-L51-M51-N51&lt;0,0,E51-F51-G51-H51-I51-J51-K51-L51-M51-N51)</f>
        <v>0</v>
      </c>
      <c r="P51" s="80">
        <v>2.5</v>
      </c>
      <c r="Q51" s="112">
        <f t="shared" ref="Q51:Q53" si="35">F51*$F$7+G51*$G$7+H51*$H$7+I51*$I$7+J51*$J$7+K51*$K$7+L51*$L$7+M51*$M$7+N51*$N$7+O51*P51</f>
        <v>0</v>
      </c>
      <c r="R51" s="111">
        <f t="shared" si="2"/>
        <v>0</v>
      </c>
    </row>
    <row r="52" s="2" customFormat="1" ht="20.25" customHeight="1" spans="1:18">
      <c r="A52" s="24">
        <v>44</v>
      </c>
      <c r="B52" s="27" t="s">
        <v>81</v>
      </c>
      <c r="C52" s="28"/>
      <c r="D52" s="28"/>
      <c r="E52" s="26">
        <f t="shared" si="33"/>
        <v>0</v>
      </c>
      <c r="F52" s="28"/>
      <c r="G52" s="28"/>
      <c r="H52" s="28"/>
      <c r="I52" s="28"/>
      <c r="J52" s="28"/>
      <c r="K52" s="28"/>
      <c r="L52" s="28"/>
      <c r="M52" s="36"/>
      <c r="N52" s="28"/>
      <c r="O52" s="33">
        <f t="shared" si="34"/>
        <v>0</v>
      </c>
      <c r="P52" s="80">
        <v>2.5</v>
      </c>
      <c r="Q52" s="112">
        <f t="shared" si="35"/>
        <v>0</v>
      </c>
      <c r="R52" s="111">
        <f t="shared" si="2"/>
        <v>0</v>
      </c>
    </row>
    <row r="53" s="2" customFormat="1" ht="20.25" customHeight="1" spans="1:18">
      <c r="A53" s="24">
        <v>45</v>
      </c>
      <c r="B53" s="27" t="s">
        <v>82</v>
      </c>
      <c r="C53" s="28"/>
      <c r="D53" s="28"/>
      <c r="E53" s="26">
        <f t="shared" si="33"/>
        <v>0</v>
      </c>
      <c r="F53" s="28"/>
      <c r="G53" s="28"/>
      <c r="H53" s="28"/>
      <c r="I53" s="28"/>
      <c r="J53" s="28"/>
      <c r="K53" s="28"/>
      <c r="L53" s="28"/>
      <c r="M53" s="36"/>
      <c r="N53" s="28"/>
      <c r="O53" s="33">
        <f t="shared" si="34"/>
        <v>0</v>
      </c>
      <c r="P53" s="80">
        <v>12.5</v>
      </c>
      <c r="Q53" s="112">
        <f t="shared" si="35"/>
        <v>0</v>
      </c>
      <c r="R53" s="111">
        <f t="shared" si="2"/>
        <v>0</v>
      </c>
    </row>
    <row r="54" s="2" customFormat="1" ht="20.25" customHeight="1" spans="1:18">
      <c r="A54" s="24">
        <v>46</v>
      </c>
      <c r="B54" s="37" t="s">
        <v>83</v>
      </c>
      <c r="C54" s="38">
        <f>SUM(C55,C56)</f>
        <v>0</v>
      </c>
      <c r="D54" s="38">
        <f t="shared" ref="D54:O54" si="36">SUM(D55,D56)</f>
        <v>0</v>
      </c>
      <c r="E54" s="38">
        <f t="shared" si="36"/>
        <v>0</v>
      </c>
      <c r="F54" s="38">
        <f t="shared" si="36"/>
        <v>0</v>
      </c>
      <c r="G54" s="38">
        <f t="shared" si="36"/>
        <v>0</v>
      </c>
      <c r="H54" s="38">
        <f t="shared" si="36"/>
        <v>0</v>
      </c>
      <c r="I54" s="38">
        <f t="shared" si="36"/>
        <v>0</v>
      </c>
      <c r="J54" s="38">
        <f t="shared" si="36"/>
        <v>0</v>
      </c>
      <c r="K54" s="38">
        <f t="shared" si="36"/>
        <v>0</v>
      </c>
      <c r="L54" s="38">
        <f t="shared" si="36"/>
        <v>0</v>
      </c>
      <c r="M54" s="38">
        <f t="shared" si="36"/>
        <v>0</v>
      </c>
      <c r="N54" s="38">
        <f t="shared" si="36"/>
        <v>0</v>
      </c>
      <c r="O54" s="38">
        <f t="shared" si="36"/>
        <v>0</v>
      </c>
      <c r="P54" s="86"/>
      <c r="Q54" s="38">
        <f>SUM(Q55,Q56)</f>
        <v>0</v>
      </c>
      <c r="R54" s="111">
        <f t="shared" si="2"/>
        <v>0</v>
      </c>
    </row>
    <row r="55" s="2" customFormat="1" ht="26" customHeight="1" spans="1:18">
      <c r="A55" s="24">
        <v>47</v>
      </c>
      <c r="B55" s="35" t="s">
        <v>84</v>
      </c>
      <c r="C55" s="39"/>
      <c r="D55" s="39"/>
      <c r="E55" s="33">
        <f t="shared" si="33"/>
        <v>0</v>
      </c>
      <c r="F55" s="39"/>
      <c r="G55" s="39"/>
      <c r="H55" s="39"/>
      <c r="I55" s="39"/>
      <c r="J55" s="39"/>
      <c r="K55" s="39"/>
      <c r="L55" s="39"/>
      <c r="M55" s="87"/>
      <c r="N55" s="39"/>
      <c r="O55" s="33">
        <f>IF(E55-F55-G55-H55-I55-J55-K55-L55-M55-N55&lt;0,0,E55-F55-G55-H55-I55-J55-K55-L55-M55-N55)</f>
        <v>0</v>
      </c>
      <c r="P55" s="88">
        <v>4</v>
      </c>
      <c r="Q55" s="112">
        <f>F55*$F$7+G55*$G$7+H55*$H$7+I55*$I$7+J55*$J$7+K55*$K$7+L55*$L$7+M55*$M$7+N55*$N$7+O55*P55</f>
        <v>0</v>
      </c>
      <c r="R55" s="114">
        <f t="shared" si="2"/>
        <v>0</v>
      </c>
    </row>
    <row r="56" s="2" customFormat="1" ht="20.25" customHeight="1" spans="1:18">
      <c r="A56" s="24">
        <v>48</v>
      </c>
      <c r="B56" s="35" t="s">
        <v>85</v>
      </c>
      <c r="C56" s="39"/>
      <c r="D56" s="39"/>
      <c r="E56" s="33">
        <f t="shared" si="33"/>
        <v>0</v>
      </c>
      <c r="F56" s="39"/>
      <c r="G56" s="39"/>
      <c r="H56" s="39"/>
      <c r="I56" s="39"/>
      <c r="J56" s="39"/>
      <c r="K56" s="39"/>
      <c r="L56" s="39"/>
      <c r="M56" s="87"/>
      <c r="N56" s="39"/>
      <c r="O56" s="33">
        <f>IF(E56-F56-G56-H56-I56-J56-K56-L56-M56-N56&lt;0,0,E56-F56-G56-H56-I56-J56-K56-L56-M56-N56)</f>
        <v>0</v>
      </c>
      <c r="P56" s="88">
        <v>1</v>
      </c>
      <c r="Q56" s="112">
        <f>F56*$F$7+G56*$G$7+H56*$H$7+I56*$I$7+J56*$J$7+K56*$K$7+L56*$L$7+M56*$M$7+N56*$N$7+O56*P56</f>
        <v>0</v>
      </c>
      <c r="R56" s="114">
        <f t="shared" si="2"/>
        <v>0</v>
      </c>
    </row>
    <row r="57" s="2" customFormat="1" ht="20.25" customHeight="1" spans="1:18">
      <c r="A57" s="24">
        <v>49</v>
      </c>
      <c r="B57" s="40" t="s">
        <v>86</v>
      </c>
      <c r="C57" s="41">
        <f>C9+C13+C16+C20+C24+C29+C30+C40+C41+C50+C54+C19+C23</f>
        <v>0</v>
      </c>
      <c r="D57" s="41">
        <f t="shared" ref="D57:O57" si="37">D9+D13+D16+D20+D24+D29+D30+D40+D41+D50+D54+D19+D23</f>
        <v>0</v>
      </c>
      <c r="E57" s="41">
        <f t="shared" si="37"/>
        <v>0</v>
      </c>
      <c r="F57" s="41">
        <f t="shared" si="37"/>
        <v>0</v>
      </c>
      <c r="G57" s="41">
        <f t="shared" si="37"/>
        <v>0</v>
      </c>
      <c r="H57" s="41">
        <f t="shared" si="37"/>
        <v>0</v>
      </c>
      <c r="I57" s="41">
        <f t="shared" si="37"/>
        <v>0</v>
      </c>
      <c r="J57" s="41">
        <f t="shared" si="37"/>
        <v>0</v>
      </c>
      <c r="K57" s="41">
        <f t="shared" si="37"/>
        <v>0</v>
      </c>
      <c r="L57" s="41">
        <f t="shared" si="37"/>
        <v>0</v>
      </c>
      <c r="M57" s="89">
        <f t="shared" si="37"/>
        <v>0</v>
      </c>
      <c r="N57" s="41">
        <f t="shared" si="37"/>
        <v>0</v>
      </c>
      <c r="O57" s="41">
        <f t="shared" si="37"/>
        <v>0</v>
      </c>
      <c r="P57" s="90"/>
      <c r="Q57" s="41">
        <f>Q9+Q13+Q16+Q20+Q24+Q29+Q30+Q40+Q41+Q50+Q54+Q19+Q23</f>
        <v>0</v>
      </c>
      <c r="R57" s="111">
        <f t="shared" si="2"/>
        <v>0</v>
      </c>
    </row>
    <row r="58" s="2" customFormat="1" ht="20.25" customHeight="1" spans="1:18">
      <c r="A58" s="24">
        <v>50</v>
      </c>
      <c r="B58" s="40" t="s">
        <v>87</v>
      </c>
      <c r="C58" s="42"/>
      <c r="D58" s="42"/>
      <c r="E58" s="42"/>
      <c r="F58" s="42"/>
      <c r="G58" s="42"/>
      <c r="H58" s="42"/>
      <c r="I58" s="42"/>
      <c r="J58" s="42"/>
      <c r="K58" s="42"/>
      <c r="L58" s="42"/>
      <c r="M58" s="91"/>
      <c r="N58" s="92"/>
      <c r="O58" s="62"/>
      <c r="P58" s="90"/>
      <c r="Q58" s="28"/>
      <c r="R58" s="115"/>
    </row>
    <row r="59" s="2" customFormat="1" ht="20.25" customHeight="1" spans="1:18">
      <c r="A59" s="24">
        <v>51</v>
      </c>
      <c r="B59" s="40" t="s">
        <v>88</v>
      </c>
      <c r="C59" s="43"/>
      <c r="D59" s="43"/>
      <c r="E59" s="43"/>
      <c r="F59" s="43"/>
      <c r="G59" s="43"/>
      <c r="H59" s="43"/>
      <c r="I59" s="43"/>
      <c r="J59" s="43"/>
      <c r="K59" s="43"/>
      <c r="L59" s="43"/>
      <c r="M59" s="93"/>
      <c r="N59" s="94"/>
      <c r="O59" s="95"/>
      <c r="P59" s="96"/>
      <c r="Q59" s="116"/>
      <c r="R59" s="117"/>
    </row>
    <row r="60" s="2" customFormat="1" ht="20.25" customHeight="1" spans="1:18">
      <c r="A60" s="24">
        <v>52</v>
      </c>
      <c r="B60" s="44" t="s">
        <v>89</v>
      </c>
      <c r="C60" s="45"/>
      <c r="D60" s="45"/>
      <c r="E60" s="45"/>
      <c r="F60" s="45"/>
      <c r="G60" s="45"/>
      <c r="H60" s="45"/>
      <c r="I60" s="45"/>
      <c r="J60" s="45"/>
      <c r="K60" s="45"/>
      <c r="L60" s="45"/>
      <c r="M60" s="97"/>
      <c r="N60" s="98"/>
      <c r="O60" s="45"/>
      <c r="P60" s="99"/>
      <c r="Q60" s="118">
        <f>Q57+Q58-Q59</f>
        <v>0</v>
      </c>
      <c r="R60" s="119"/>
    </row>
    <row r="61" s="2" customFormat="1" ht="20.25" customHeight="1" spans="1:18">
      <c r="A61" s="46" t="s">
        <v>90</v>
      </c>
      <c r="B61" s="47"/>
      <c r="C61" s="48"/>
      <c r="D61" s="48"/>
      <c r="E61" s="48"/>
      <c r="F61" s="48"/>
      <c r="G61" s="48"/>
      <c r="H61" s="48"/>
      <c r="I61" s="48"/>
      <c r="J61" s="48"/>
      <c r="K61" s="48"/>
      <c r="L61" s="48"/>
      <c r="M61" s="100"/>
      <c r="N61" s="101"/>
      <c r="O61" s="48"/>
      <c r="P61" s="102"/>
      <c r="Q61" s="48"/>
      <c r="R61" s="48"/>
    </row>
    <row r="62" s="2" customFormat="1" ht="20.25" customHeight="1" spans="1:18">
      <c r="A62" s="49">
        <v>1</v>
      </c>
      <c r="B62" s="50" t="s">
        <v>91</v>
      </c>
      <c r="C62" s="51"/>
      <c r="D62" s="48"/>
      <c r="E62" s="48"/>
      <c r="F62" s="48"/>
      <c r="G62" s="48"/>
      <c r="H62" s="48"/>
      <c r="I62" s="48"/>
      <c r="J62" s="48"/>
      <c r="K62" s="48"/>
      <c r="L62" s="48"/>
      <c r="M62" s="100"/>
      <c r="N62" s="101"/>
      <c r="O62" s="48"/>
      <c r="P62" s="102"/>
      <c r="Q62" s="48"/>
      <c r="R62" s="48"/>
    </row>
    <row r="63" s="2" customFormat="1" ht="20.25" customHeight="1" spans="1:18">
      <c r="A63" s="49">
        <v>2</v>
      </c>
      <c r="B63" s="50" t="s">
        <v>92</v>
      </c>
      <c r="C63" s="51"/>
      <c r="D63" s="48"/>
      <c r="E63" s="48"/>
      <c r="F63" s="48"/>
      <c r="G63" s="48"/>
      <c r="H63" s="48"/>
      <c r="I63" s="48"/>
      <c r="J63" s="48"/>
      <c r="K63" s="48"/>
      <c r="L63" s="48"/>
      <c r="M63" s="100"/>
      <c r="N63" s="101"/>
      <c r="O63" s="48"/>
      <c r="P63" s="102"/>
      <c r="Q63" s="48"/>
      <c r="R63" s="48"/>
    </row>
    <row r="64" spans="1:3">
      <c r="A64" s="52" t="s">
        <v>93</v>
      </c>
      <c r="B64" s="52"/>
      <c r="C64" s="53" t="s">
        <v>94</v>
      </c>
    </row>
    <row r="65" s="5" customFormat="1" ht="20.25" customHeight="1" spans="1:13">
      <c r="A65" s="120"/>
      <c r="B65" s="121" t="s">
        <v>95</v>
      </c>
      <c r="G65" s="125"/>
      <c r="M65" s="126"/>
    </row>
    <row r="66" s="5" customFormat="1" ht="20.25" customHeight="1" spans="1:13">
      <c r="A66" s="122"/>
      <c r="B66" s="121" t="s">
        <v>96</v>
      </c>
      <c r="G66" s="125"/>
      <c r="M66" s="126"/>
    </row>
    <row r="67" spans="1:2">
      <c r="A67" s="123" t="s">
        <v>97</v>
      </c>
      <c r="B67" s="124">
        <v>241</v>
      </c>
    </row>
  </sheetData>
  <sheetProtection sort="0" autoFilter="0" pivotTables="0"/>
  <protectedRanges>
    <protectedRange sqref="C31:D36 F33:N33 C38:D39 C37:O37" name="区域9"/>
    <protectedRange sqref="F42:N42 C42:D48 F46:O46 Q46 C51:D53 C50:O50" name="区域7"/>
    <protectedRange sqref="C28:D29 F29:N29 C40:D40 F40:N40 N31:N32" name="区域6"/>
    <protectedRange sqref="C10:D12" name="区域1"/>
    <protectedRange sqref="C14:D15 Q20 C17:D19 C21:D23 C20:O20" name="区域2"/>
    <protectedRange sqref="C58:D59 C57:O57 Q57" name="区域13"/>
    <protectedRange sqref="F21:L23" name="区域14"/>
    <protectedRange sqref="F28:J28" name="区域22"/>
    <protectedRange sqref="L28" name="区域23"/>
    <protectedRange sqref="N28" name="区域27"/>
    <protectedRange sqref="F43:N45 F47:N48 F51:N53" name="区域36"/>
    <protectedRange sqref="F31:J31 L31 F32:L32" name="区域38"/>
    <protectedRange sqref="F34:N36 F38:N39" name="区域40"/>
    <protectedRange sqref="F58:N59" name="区域43"/>
  </protectedRanges>
  <mergeCells count="20">
    <mergeCell ref="A1:R1"/>
    <mergeCell ref="K2:N2"/>
    <mergeCell ref="F4:N4"/>
    <mergeCell ref="C4:C8"/>
    <mergeCell ref="D4:D8"/>
    <mergeCell ref="E4:E8"/>
    <mergeCell ref="F5:F6"/>
    <mergeCell ref="G5:G6"/>
    <mergeCell ref="H5:H6"/>
    <mergeCell ref="I5:I6"/>
    <mergeCell ref="J5:J6"/>
    <mergeCell ref="K5:K6"/>
    <mergeCell ref="L5:L6"/>
    <mergeCell ref="M5:M6"/>
    <mergeCell ref="N5:N6"/>
    <mergeCell ref="O4:O8"/>
    <mergeCell ref="P4:P8"/>
    <mergeCell ref="Q4:Q8"/>
    <mergeCell ref="R4:R8"/>
    <mergeCell ref="A3:B8"/>
  </mergeCells>
  <dataValidations count="2">
    <dataValidation type="decimal" operator="greaterThanOrEqual" allowBlank="1" showInputMessage="1" showErrorMessage="1" sqref="C54:K54 L54:M54 N54:O54 Q54 C55:D55 F55:L55 M55 N55 C56:D56 F56:L56 M56 N56 C62:C63 M58:M60 N58:R60 C58:L60">
      <formula1>0</formula1>
    </dataValidation>
    <dataValidation type="decimal" operator="between" allowBlank="1" showInputMessage="1" showErrorMessage="1" sqref="D9:K9 L9:M9 N9:Q9 N10 P10:Q10 P11 Q11 P12 Q12 D13:K13 L13:M13 N13:Q13 N14 O14 P14 Q14 N15 O15 P15 Q15 D16:K16 L16:M16 N16:Q16 N17 O17 P17 Q17 N18 O18 P18 Q18 N19 O19 P19 Q19 D20:K20 L20:M20 N20:Q20 N21 O21 P21 Q21 N22 O22 P22 Q22 N23 O23 P23 Q23 D24:I24 L24:M24 N24:P24 F25:I25 L25:M25 N25:O25 F26:K26 N26 O26 Q26 N27 O27 Q27 N28 O28 Q28 N29 O29 Q29 L30:M30 N30:O30 Q30 N31 O31 Q31 N32 O32 Q32 L33:M33 N33:O33 Q33 N34 O34 Q34 N35 O35 Q35 N36 O36 Q36 L37:M37 N37:O37 Q37 N38 O38 Q38 N39 O39 Q39 N40 O40 Q40 C41 D41:K41 L41:M41 N41:O41 F42:I42 J42:K42 L42:M42 N42:O42 O43 Q43 O44 Q44 O45 Q45 F46:K46 L46:M46 O46 Q46 O47 Q47 D48 O48 Q48 C49 D49 F49:L49 M49 N49 O49 P49 Q49 F50:K50 L50:M50 O50 Q50 O51 Q51 O52 Q52 O53 Q53 O55 P55 Q55 O56 P56 Q56 R57 C61 C9:C24 C31:C40 C42:C48 C50:C53 D50:D53 E48:E49 E50:E53 E55:E56 L21:L23 L26:L29 L31:L32 L34:L36 L38:L40 M10:M12 M14:M15 M17:M19 M21:M23 M26:M29 M31:M32 M34:M36 M38:M40 M43:M45 M47:M48 M51:M53 M61:M63 N11:N12 N43:N48 N50:N53 O10:O12 P25:P48 P50:P54 Q24:Q25 Q41:Q42 R9:R47 R48:R49 R50:R53 R54:R56 N61:R63 D42:E47 D10:L12 D61:L63 F51:L53 C25:E26 J24:K25 D21:K23 F47:L48 F43:L45 D17:L19 C27:K30 D31:K40 D14:L15">
      <formula1>-9999999999</formula1>
      <formula2>9999999999</formula2>
    </dataValidation>
  </dataValidations>
  <printOptions horizontalCentered="1"/>
  <pageMargins left="0.15748031496063" right="0.196850393700787" top="0.15748031496063" bottom="0.393700787401575" header="0.196850393700787" footer="0.15748031496063"/>
  <pageSetup paperSize="8" scale="65" orientation="landscape"/>
  <headerFooter alignWithMargins="0"/>
  <rowBreaks count="1" manualBreakCount="1">
    <brk id="41"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区域9" rangeCreator="" othersAccessPermission="edit"/>
    <arrUserId title="区域7" rangeCreator="" othersAccessPermission="edit"/>
    <arrUserId title="区域6" rangeCreator="" othersAccessPermission="edit"/>
    <arrUserId title="区域1" rangeCreator="" othersAccessPermission="edit"/>
    <arrUserId title="区域2" rangeCreator="" othersAccessPermission="edit"/>
    <arrUserId title="区域13" rangeCreator="" othersAccessPermission="edit"/>
    <arrUserId title="区域14" rangeCreator="" othersAccessPermission="edit"/>
    <arrUserId title="区域22" rangeCreator="" othersAccessPermission="edit"/>
    <arrUserId title="区域23" rangeCreator="" othersAccessPermission="edit"/>
    <arrUserId title="区域27" rangeCreator="" othersAccessPermission="edit"/>
    <arrUserId title="区域36" rangeCreator="" othersAccessPermission="edit"/>
    <arrUserId title="区域38" rangeCreator="" othersAccessPermission="edit"/>
    <arrUserId title="区域40" rangeCreator="" othersAccessPermission="edit"/>
    <arrUserId title="区域43"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Lenovo (Beijing) Limited</Company>
  <Application>Microsoft Macintosh Excel</Application>
  <HeadingPairs>
    <vt:vector size="2" baseType="variant">
      <vt:variant>
        <vt:lpstr>工作表</vt:lpstr>
      </vt:variant>
      <vt:variant>
        <vt:i4>1</vt:i4>
      </vt:variant>
    </vt:vector>
  </HeadingPairs>
  <TitlesOfParts>
    <vt:vector size="1" baseType="lpstr">
      <vt:lpstr>G4B-1（第三档）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杨光</dc:creator>
  <cp:lastModifiedBy>陈静</cp:lastModifiedBy>
  <dcterms:created xsi:type="dcterms:W3CDTF">2013-10-03T17:14:00Z</dcterms:created>
  <dcterms:modified xsi:type="dcterms:W3CDTF">2024-12-13T14:56:50Z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35EC97AD2AB14361B63FA2ED05A8763F</vt:lpwstr>
  </property>
  <property fmtid="{D5CDD505-2E9C-101B-9397-08002B2CF9AE}" pid="3" name="KSOProductBuildVer">
    <vt:lpwstr>2052-11.8.2.11764</vt:lpwstr>
  </property>
  <property fmtid="{D5CDD505-2E9C-101B-9397-08002B2CF9AE}" pid="4" name="EM_Doc_Temp_ID">
    <vt:lpwstr>88b0f26a</vt:lpwstr>
  </property>
</Properties>
</file>