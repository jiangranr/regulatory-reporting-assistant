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B-2（第三档）" sheetId="1" r:id="rId1"/>
  </sheets>
  <calcPr calcId="144525"/>
</workbook>
</file>

<file path=xl/sharedStrings.xml><?xml version="1.0" encoding="utf-8"?>
<sst xmlns="http://schemas.openxmlformats.org/spreadsheetml/2006/main" count="161" uniqueCount="161">
  <si>
    <r>
      <rPr>
        <b/>
        <sz val="16"/>
        <rFont val="Times New Roman"/>
        <charset val="134"/>
      </rPr>
      <t xml:space="preserve">G4B_Ⅱ </t>
    </r>
    <r>
      <rPr>
        <b/>
        <sz val="16"/>
        <rFont val="宋体"/>
        <charset val="134"/>
      </rPr>
      <t>表外信用风险加权资产计算表</t>
    </r>
    <r>
      <rPr>
        <b/>
        <sz val="16"/>
        <rFont val="Times New Roman"/>
        <charset val="134"/>
      </rPr>
      <t>-</t>
    </r>
    <r>
      <rPr>
        <b/>
        <sz val="16"/>
        <rFont val="宋体"/>
        <charset val="134"/>
      </rPr>
      <t>权重法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第三档银行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</si>
  <si>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 xml:space="preserve">填报机构：                          </t>
  </si>
  <si>
    <t xml:space="preserve">              </t>
  </si>
  <si>
    <t xml:space="preserve">报表日期： 年  月   日       </t>
  </si>
  <si>
    <t>单位：万元</t>
  </si>
  <si>
    <t>项　　　　目</t>
  </si>
  <si>
    <t>A</t>
  </si>
  <si>
    <t>B</t>
  </si>
  <si>
    <t>C</t>
  </si>
  <si>
    <t>D</t>
  </si>
  <si>
    <t>E</t>
  </si>
  <si>
    <t>F</t>
  </si>
  <si>
    <t>G</t>
  </si>
  <si>
    <t>转换前资产</t>
  </si>
  <si>
    <t>转换系数</t>
  </si>
  <si>
    <t>转换后资产</t>
  </si>
  <si>
    <t>减值准备</t>
  </si>
  <si>
    <t>转换后风险暴露</t>
  </si>
  <si>
    <t>风险权重</t>
  </si>
  <si>
    <t>风险加权资产</t>
  </si>
  <si>
    <t>1.承诺</t>
  </si>
  <si>
    <t xml:space="preserve">  1.1可随时无条件撤销的贷款承诺</t>
  </si>
  <si>
    <t xml:space="preserve">    1.1.1风险权重为0%</t>
  </si>
  <si>
    <t xml:space="preserve">    1.1.2风险权重为20%</t>
  </si>
  <si>
    <t xml:space="preserve">    1.1.3风险权重为30%</t>
  </si>
  <si>
    <t xml:space="preserve">    1.1.4风险权重为50%</t>
  </si>
  <si>
    <t xml:space="preserve">    1.1.5风险权重为60%</t>
  </si>
  <si>
    <t xml:space="preserve">    1.1.6风险权重为75%</t>
  </si>
  <si>
    <t xml:space="preserve">    1.1.7风险权重为85%</t>
  </si>
  <si>
    <t xml:space="preserve">    1.1.8风险权重为100%</t>
  </si>
  <si>
    <t xml:space="preserve">    1.1.9风险权重为120%</t>
  </si>
  <si>
    <t xml:space="preserve">    1.1.10风险权重为150%</t>
  </si>
  <si>
    <t xml:space="preserve">  1.2未使用的信用卡授信额度</t>
  </si>
  <si>
    <t xml:space="preserve">    1.2.1符合标准的未使用额度</t>
  </si>
  <si>
    <t xml:space="preserve">      1.2.1.1风险权重为0%</t>
  </si>
  <si>
    <t xml:space="preserve">      1.2.1.2风险权重为20%</t>
  </si>
  <si>
    <t xml:space="preserve">      1.2.1.3风险权重为30%</t>
  </si>
  <si>
    <t xml:space="preserve">      1.2.1.4风险权重为50%</t>
  </si>
  <si>
    <t xml:space="preserve">      1.2.1.5风险权重为60%</t>
  </si>
  <si>
    <t xml:space="preserve">      1.2.1.6风险权重为75%</t>
  </si>
  <si>
    <t xml:space="preserve">      1.2.1.7风险权重为85%</t>
  </si>
  <si>
    <t xml:space="preserve">      1.2.1.8风险权重为100%</t>
  </si>
  <si>
    <t xml:space="preserve">      1.2.1.9风险权重为120%</t>
  </si>
  <si>
    <t xml:space="preserve">      1.2.1.10风险权重为150%</t>
  </si>
  <si>
    <t xml:space="preserve">   1.2.2一般未使用额度</t>
  </si>
  <si>
    <t xml:space="preserve">     1.2.2.1风险权重为0%</t>
  </si>
  <si>
    <t xml:space="preserve">     1.2.2.2风险权重为20%</t>
  </si>
  <si>
    <t xml:space="preserve">     1.2.2.3风险权重为30%</t>
  </si>
  <si>
    <t xml:space="preserve">     1.2.2.4风险权重为50%</t>
  </si>
  <si>
    <t xml:space="preserve">     1.2.2.5风险权重为60%</t>
  </si>
  <si>
    <t xml:space="preserve">     1.2.2.6风险权重为75%</t>
  </si>
  <si>
    <t xml:space="preserve">     1.2.2.7风险权重为85%</t>
  </si>
  <si>
    <t xml:space="preserve">     1.2.2.8风险权重为100%</t>
  </si>
  <si>
    <t xml:space="preserve">     1.2.2.9风险权重为120%</t>
  </si>
  <si>
    <t xml:space="preserve">     1.2.2.10风险权重为150%</t>
  </si>
  <si>
    <t xml:space="preserve">  1.3其他承诺</t>
  </si>
  <si>
    <t xml:space="preserve">    1.3.1风险权重为0%</t>
  </si>
  <si>
    <t xml:space="preserve">    1.3.2风险权重为20%</t>
  </si>
  <si>
    <t xml:space="preserve">    1.3.3风险权重为30%</t>
  </si>
  <si>
    <t xml:space="preserve">    1.3.4风险权重为50%</t>
  </si>
  <si>
    <t xml:space="preserve">    1.3.5风险权重为60%</t>
  </si>
  <si>
    <t xml:space="preserve">    1.3.6风险权重为75%</t>
  </si>
  <si>
    <t xml:space="preserve">    1.3.7风险权重为85%</t>
  </si>
  <si>
    <t xml:space="preserve">    1.3.8风险权重为100%</t>
  </si>
  <si>
    <t xml:space="preserve">    1.3.9风险权重为120%</t>
  </si>
  <si>
    <t xml:space="preserve">    1.3.10风险权重为150%</t>
  </si>
  <si>
    <t>2.其他表外业务</t>
  </si>
  <si>
    <t xml:space="preserve">  2.1银行承兑汇票</t>
  </si>
  <si>
    <t xml:space="preserve">    2.1.1风险权重为0%</t>
  </si>
  <si>
    <t xml:space="preserve">    2.1.2风险权重为20%</t>
  </si>
  <si>
    <t xml:space="preserve">    2.1.3风险权重为30%</t>
  </si>
  <si>
    <t xml:space="preserve">    2.1.4风险权重为50%</t>
  </si>
  <si>
    <t xml:space="preserve">    2.1.5风险权重为60%</t>
  </si>
  <si>
    <t xml:space="preserve">    2.1.6风险权重为75%</t>
  </si>
  <si>
    <t xml:space="preserve">    2.1.7风险权重为85%</t>
  </si>
  <si>
    <t xml:space="preserve">    2.1.8风险权重为100%</t>
  </si>
  <si>
    <t xml:space="preserve">    2.1.9风险权重为120%</t>
  </si>
  <si>
    <t xml:space="preserve">    2.1.10风险权重为150%</t>
  </si>
  <si>
    <t xml:space="preserve">  2.2融资性保函</t>
  </si>
  <si>
    <t xml:space="preserve">    2.2.1风险权重为0%</t>
  </si>
  <si>
    <t xml:space="preserve">    2.2.2风险权重为20%</t>
  </si>
  <si>
    <t xml:space="preserve">    2.2.3风险权重为30%</t>
  </si>
  <si>
    <t xml:space="preserve">    2.2.4风险权重为50%</t>
  </si>
  <si>
    <t xml:space="preserve">    2.2.5风险权重为60%</t>
  </si>
  <si>
    <t xml:space="preserve">    2.2.6风险权重为75%</t>
  </si>
  <si>
    <t xml:space="preserve">    2.2.7风险权重为85%</t>
  </si>
  <si>
    <t xml:space="preserve">    2.2.8风险权重为100%</t>
  </si>
  <si>
    <t xml:space="preserve">    2.2.9风险权重为120%</t>
  </si>
  <si>
    <t xml:space="preserve">    2.2.10风险权重为150%</t>
  </si>
  <si>
    <t xml:space="preserve">  2.3非融资性保函</t>
  </si>
  <si>
    <t xml:space="preserve">    2.3.1风险权重为0%</t>
  </si>
  <si>
    <t xml:space="preserve">    2.3.2风险权重为20%</t>
  </si>
  <si>
    <t xml:space="preserve">    2.3.3风险权重为30%</t>
  </si>
  <si>
    <t xml:space="preserve">    2.3.4风险权重为50%</t>
  </si>
  <si>
    <t xml:space="preserve">    2.3.5风险权重为60%</t>
  </si>
  <si>
    <t xml:space="preserve">    2.3.6风险权重为75%</t>
  </si>
  <si>
    <t xml:space="preserve">    2.3.7风险权重为85%</t>
  </si>
  <si>
    <t xml:space="preserve">    2.3.8风险权重为100%</t>
  </si>
  <si>
    <t xml:space="preserve">    2.3.9风险权重为120%</t>
  </si>
  <si>
    <t xml:space="preserve">    2.3.10风险权重为150%</t>
  </si>
  <si>
    <t xml:space="preserve">  2.4信用证</t>
  </si>
  <si>
    <t xml:space="preserve">    2.4.1风险权重为0%</t>
  </si>
  <si>
    <t xml:space="preserve">    2.4.2风险权重为20%</t>
  </si>
  <si>
    <t xml:space="preserve">    2.4.3风险权重为30%</t>
  </si>
  <si>
    <t xml:space="preserve">    2.4.4风险权重为50%</t>
  </si>
  <si>
    <t xml:space="preserve">    2.4.5风险权重为60%</t>
  </si>
  <si>
    <t xml:space="preserve">    2.4.6风险权重为75%</t>
  </si>
  <si>
    <t xml:space="preserve">    2.4.7风险权重为85%</t>
  </si>
  <si>
    <t xml:space="preserve">    2.4.8风险权重为100%</t>
  </si>
  <si>
    <t xml:space="preserve">    2.4.9风险权重为120%</t>
  </si>
  <si>
    <t xml:space="preserve">    2.4.10风险权重为150%</t>
  </si>
  <si>
    <t xml:space="preserve">  2.5资产回购协议</t>
  </si>
  <si>
    <t xml:space="preserve">    2.5.1风险权重为0%</t>
  </si>
  <si>
    <t xml:space="preserve">    2.5.2风险权重为20%</t>
  </si>
  <si>
    <t xml:space="preserve">    2.5.3风险权重为30%</t>
  </si>
  <si>
    <t xml:space="preserve">    2.5.4风险权重为50%</t>
  </si>
  <si>
    <t xml:space="preserve">    2.5.5风险权重为60%</t>
  </si>
  <si>
    <t xml:space="preserve">    2.5.6风险权重为75%</t>
  </si>
  <si>
    <t xml:space="preserve">    2.5.7风险权重为85%</t>
  </si>
  <si>
    <t xml:space="preserve">    2.5.8风险权重为100%</t>
  </si>
  <si>
    <t xml:space="preserve">    2.5.9风险权重为120%</t>
  </si>
  <si>
    <t xml:space="preserve">    2.5.10风险权重为150%</t>
  </si>
  <si>
    <t xml:space="preserve">  2.6有追索权的资产销售</t>
  </si>
  <si>
    <t xml:space="preserve">    2.6.1风险权重为0%</t>
  </si>
  <si>
    <t xml:space="preserve">    2.6.2风险权重为20%</t>
  </si>
  <si>
    <t xml:space="preserve">    2.6.3风险权重为30%</t>
  </si>
  <si>
    <t xml:space="preserve">    2.6.4风险权重为50%</t>
  </si>
  <si>
    <t xml:space="preserve">    2.6.5风险权重为60%</t>
  </si>
  <si>
    <t xml:space="preserve">    2.6.6风险权重为75%</t>
  </si>
  <si>
    <t xml:space="preserve">    2.6.7风险权重为85%</t>
  </si>
  <si>
    <t xml:space="preserve">    2.6.8风险权重为100%</t>
  </si>
  <si>
    <t xml:space="preserve">    2.6.9风险权重为120%</t>
  </si>
  <si>
    <t xml:space="preserve">    2.6.10风险权重为150%</t>
  </si>
  <si>
    <t xml:space="preserve">  2.7银行借出的证券或用作抵押物的证券</t>
  </si>
  <si>
    <t xml:space="preserve">    2.7.1风险权重为0%</t>
  </si>
  <si>
    <t xml:space="preserve">    2.7.2风险权重为20%</t>
  </si>
  <si>
    <t xml:space="preserve">    2.7.3风险权重为30%</t>
  </si>
  <si>
    <t xml:space="preserve">    2.7.4风险权重为50%</t>
  </si>
  <si>
    <t xml:space="preserve">    2.7.5风险权重为60%</t>
  </si>
  <si>
    <t xml:space="preserve">    2.7.6风险权重为75%</t>
  </si>
  <si>
    <t xml:space="preserve">    2.7.7风险权重为85%</t>
  </si>
  <si>
    <t xml:space="preserve">    2.7.8风险权重为100%</t>
  </si>
  <si>
    <t xml:space="preserve">    2.7.9风险权重为120%</t>
  </si>
  <si>
    <t xml:space="preserve">    2.7.10风险权重为150%</t>
  </si>
  <si>
    <t xml:space="preserve">  2.8其他</t>
  </si>
  <si>
    <t xml:space="preserve">    2.8.1风险权重为0%</t>
  </si>
  <si>
    <t xml:space="preserve">    2.8.2风险权重为20%</t>
  </si>
  <si>
    <t xml:space="preserve">    2.8.3风险权重为30%</t>
  </si>
  <si>
    <t xml:space="preserve">    2.8.4风险权重为50%</t>
  </si>
  <si>
    <t xml:space="preserve">    2.8.5风险权重为60%</t>
  </si>
  <si>
    <t xml:space="preserve">    2.8.6风险权重为75%</t>
  </si>
  <si>
    <t xml:space="preserve">    2.8.7风险权重为85%</t>
  </si>
  <si>
    <t xml:space="preserve">    2.8.8风险权重为100%</t>
  </si>
  <si>
    <t xml:space="preserve">    2.8.9风险权重为120%</t>
  </si>
  <si>
    <t xml:space="preserve">    2.8.10风险权重为150%</t>
  </si>
  <si>
    <t>3.表外信用风险加权资产合计</t>
  </si>
  <si>
    <t>填表人：</t>
  </si>
  <si>
    <t>复核人：</t>
  </si>
  <si>
    <t>蓝色底为含公式区域</t>
  </si>
  <si>
    <t>无数据部分</t>
  </si>
  <si>
    <t>版本号：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</si>
</sst>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8" formatCode="0.00_);[Red]\(0.00\)"/>
    <numFmt numFmtId="41" formatCode="_ * #,##0_ ;_ * \-#,##0_ ;_ * &quot;-&quot;_ ;_ @_ "/>
  </numFmts>
  <fonts count="28">
    <font>
      <sz val="12"/>
      <name val="宋体"/>
      <charset val="134"/>
    </font>
    <font>
      <sz val="10"/>
      <name val="宋体"/>
      <charset val="134"/>
    </font>
    <font>
      <b/>
      <sz val="16"/>
      <name val="Times New Roman"/>
      <charset val="134"/>
    </font>
    <font>
      <sz val="10"/>
      <name val="Times New Roman"/>
      <charset val="134"/>
    </font>
    <font>
      <sz val="10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Times New Roman"/>
      <charset val="134"/>
    </font>
    <font>
      <b/>
      <sz val="11"/>
      <color theme="3"/>
      <name val="宋体"/>
      <charset val="134"/>
      <scheme val="minor"/>
    </font>
    <font>
      <sz val="10"/>
      <name val="Arial"/>
      <charset val="0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3"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16" fillId="0" borderId="0"/>
    <xf numFmtId="0" fontId="16" fillId="0" borderId="0"/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9" fillId="0" borderId="8" applyNumberFormat="0" applyFill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2" fillId="29" borderId="10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35" borderId="10" applyNumberFormat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4" applyFont="1" applyBorder="1" applyAlignment="1" applyProtection="1">
      <alignment horizontal="center" vertical="center" wrapText="1"/>
      <protection locked="0"/>
    </xf>
    <xf numFmtId="0" fontId="1" fillId="0" borderId="0" xfId="4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0" borderId="0" xfId="3" applyFont="1" applyBorder="1" applyAlignment="1" applyProtection="1">
      <alignment vertical="center"/>
      <protection locked="0"/>
    </xf>
    <xf numFmtId="0" fontId="1" fillId="0" borderId="0" xfId="4" applyFont="1" applyBorder="1" applyAlignment="1" applyProtection="1">
      <alignment vertical="center"/>
      <protection locked="0"/>
    </xf>
    <xf numFmtId="0" fontId="1" fillId="0" borderId="0" xfId="4" applyFont="1" applyBorder="1" applyAlignment="1" applyProtection="1">
      <alignment vertical="center" wrapText="1"/>
      <protection locked="0"/>
    </xf>
    <xf numFmtId="0" fontId="2" fillId="0" borderId="0" xfId="4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1" xfId="4" applyFont="1" applyBorder="1" applyAlignment="1" applyProtection="1">
      <alignment horizontal="center" vertical="center"/>
      <protection locked="0"/>
    </xf>
    <xf numFmtId="0" fontId="1" fillId="0" borderId="1" xfId="4" applyFont="1" applyBorder="1" applyAlignment="1" applyProtection="1">
      <alignment horizontal="centerContinuous" vertical="center"/>
      <protection locked="0"/>
    </xf>
    <xf numFmtId="0" fontId="1" fillId="0" borderId="1" xfId="4" applyFont="1" applyBorder="1" applyAlignment="1" applyProtection="1">
      <alignment horizontal="center" vertical="center" wrapText="1"/>
      <protection locked="0"/>
    </xf>
    <xf numFmtId="0" fontId="1" fillId="0" borderId="1" xfId="4" applyFont="1" applyBorder="1" applyAlignment="1" applyProtection="1">
      <alignment vertical="center" wrapText="1" shrinkToFit="1"/>
      <protection locked="0"/>
    </xf>
    <xf numFmtId="178" fontId="1" fillId="2" borderId="1" xfId="16" applyNumberFormat="1" applyFont="1" applyFill="1" applyBorder="1" applyAlignment="1" applyProtection="1">
      <alignment horizontal="right" vertical="center"/>
    </xf>
    <xf numFmtId="9" fontId="1" fillId="3" borderId="1" xfId="15" applyNumberFormat="1" applyFont="1" applyFill="1" applyBorder="1" applyAlignment="1" applyProtection="1">
      <alignment horizontal="center" vertical="center"/>
      <protection locked="0"/>
    </xf>
    <xf numFmtId="0" fontId="1" fillId="0" borderId="1" xfId="4" applyFont="1" applyBorder="1" applyAlignment="1" applyProtection="1">
      <alignment vertical="center" wrapText="1"/>
      <protection locked="0"/>
    </xf>
    <xf numFmtId="177" fontId="1" fillId="0" borderId="1" xfId="4" applyNumberFormat="1" applyFont="1" applyFill="1" applyBorder="1" applyAlignment="1" applyProtection="1">
      <alignment vertical="center" wrapText="1" shrinkToFit="1"/>
      <protection locked="0"/>
    </xf>
    <xf numFmtId="178" fontId="1" fillId="0" borderId="1" xfId="16" applyNumberFormat="1" applyFont="1" applyFill="1" applyBorder="1" applyAlignment="1" applyProtection="1">
      <alignment horizontal="right" vertical="center"/>
      <protection locked="0"/>
    </xf>
    <xf numFmtId="9" fontId="1" fillId="0" borderId="1" xfId="4" applyNumberFormat="1" applyFont="1" applyFill="1" applyBorder="1" applyAlignment="1" applyProtection="1">
      <alignment horizontal="center" vertical="center"/>
      <protection locked="0"/>
    </xf>
    <xf numFmtId="9" fontId="1" fillId="0" borderId="1" xfId="15" applyNumberFormat="1" applyFont="1" applyFill="1" applyBorder="1" applyAlignment="1" applyProtection="1">
      <alignment horizontal="center" vertical="center"/>
      <protection locked="0"/>
    </xf>
    <xf numFmtId="9" fontId="1" fillId="3" borderId="1" xfId="4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177" fontId="1" fillId="3" borderId="1" xfId="4" applyNumberFormat="1" applyFont="1" applyFill="1" applyBorder="1" applyAlignment="1" applyProtection="1">
      <alignment horizontal="center" vertical="center"/>
      <protection locked="0"/>
    </xf>
    <xf numFmtId="177" fontId="1" fillId="2" borderId="1" xfId="4" applyNumberFormat="1" applyFont="1" applyFill="1" applyBorder="1" applyAlignment="1" applyProtection="1">
      <alignment horizontal="right" vertical="center"/>
    </xf>
    <xf numFmtId="9" fontId="1" fillId="0" borderId="0" xfId="4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right" vertical="center" wrapText="1"/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wrapText="1"/>
      <protection locked="0"/>
    </xf>
    <xf numFmtId="178" fontId="1" fillId="0" borderId="1" xfId="16" applyNumberFormat="1" applyFont="1" applyFill="1" applyBorder="1" applyAlignment="1" applyProtection="1">
      <alignment horizontal="right" vertical="center"/>
    </xf>
    <xf numFmtId="0" fontId="1" fillId="0" borderId="2" xfId="3" applyFont="1" applyFill="1" applyBorder="1" applyAlignment="1" applyProtection="1">
      <alignment vertical="center"/>
      <protection locked="0"/>
    </xf>
    <xf numFmtId="0" fontId="1" fillId="0" borderId="2" xfId="3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176" fontId="4" fillId="0" borderId="0" xfId="1" applyNumberFormat="1" applyFont="1" applyProtection="1">
      <alignment vertical="center"/>
      <protection locked="0"/>
    </xf>
    <xf numFmtId="176" fontId="4" fillId="0" borderId="0" xfId="1" applyNumberFormat="1" applyFont="1" applyAlignment="1" applyProtection="1">
      <alignment horizontal="left" vertical="center"/>
      <protection locked="0"/>
    </xf>
    <xf numFmtId="0" fontId="0" fillId="0" borderId="0" xfId="0" applyFont="1" applyProtection="1">
      <protection locked="0"/>
    </xf>
  </cellXfs>
  <cellStyles count="53">
    <cellStyle name="常规" xfId="0" builtinId="0"/>
    <cellStyle name="常规_资本充足率汇总表-0223" xfId="1"/>
    <cellStyle name="常规_G01" xfId="2"/>
    <cellStyle name="常规_G43" xfId="3"/>
    <cellStyle name="常规_测算模板1" xfId="4"/>
    <cellStyle name="40% - 强调文字颜色 6" xfId="5" builtinId="51"/>
    <cellStyle name="20% - 强调文字颜色 6" xfId="6" builtinId="50"/>
    <cellStyle name="强调文字颜色 6" xfId="7" builtinId="49"/>
    <cellStyle name="40% - 强调文字颜色 5" xfId="8" builtinId="47"/>
    <cellStyle name="20% - 强调文字颜色 5" xfId="9" builtinId="46"/>
    <cellStyle name="强调文字颜色 5" xfId="10" builtinId="45"/>
    <cellStyle name="40% - 强调文字颜色 4" xfId="11" builtinId="43"/>
    <cellStyle name="标题 3" xfId="12" builtinId="18"/>
    <cellStyle name="解释性文本" xfId="13" builtinId="53"/>
    <cellStyle name="汇总" xfId="14" builtinId="25"/>
    <cellStyle name="百分比" xfId="15" builtinId="5"/>
    <cellStyle name="千位分隔" xfId="16" builtinId="3"/>
    <cellStyle name="标题 2" xfId="17" builtinId="17"/>
    <cellStyle name="货币[0]" xfId="18" builtinId="7"/>
    <cellStyle name="60% - 强调文字颜色 4" xfId="19" builtinId="44"/>
    <cellStyle name="警告文本" xfId="20" builtinId="11"/>
    <cellStyle name="20% - 强调文字颜色 2" xfId="21" builtinId="34"/>
    <cellStyle name="60% - 强调文字颜色 5" xfId="22" builtinId="48"/>
    <cellStyle name="标题 1" xfId="23" builtinId="16"/>
    <cellStyle name="超链接" xfId="24" builtinId="8"/>
    <cellStyle name="20% - 强调文字颜色 3" xfId="25" builtinId="38"/>
    <cellStyle name="货币" xfId="26" builtinId="4"/>
    <cellStyle name="20% - 强调文字颜色 4" xfId="27" builtinId="42"/>
    <cellStyle name="计算" xfId="28" builtinId="22"/>
    <cellStyle name="已访问的超链接" xfId="29" builtinId="9"/>
    <cellStyle name="千位分隔[0]" xfId="30" builtinId="6"/>
    <cellStyle name="强调文字颜色 4" xfId="31" builtinId="41"/>
    <cellStyle name="40% - 强调文字颜色 3" xfId="32" builtinId="39"/>
    <cellStyle name="60% - 强调文字颜色 6" xfId="33" builtinId="52"/>
    <cellStyle name="输入" xfId="34" builtinId="20"/>
    <cellStyle name="输出" xfId="35" builtinId="21"/>
    <cellStyle name="检查单元格" xfId="36" builtinId="23"/>
    <cellStyle name="链接单元格" xfId="37" builtinId="24"/>
    <cellStyle name="60% - 强调文字颜色 1" xfId="38" builtinId="32"/>
    <cellStyle name="60% - 强调文字颜色 3" xfId="39" builtinId="40"/>
    <cellStyle name="注释" xfId="40" builtinId="10"/>
    <cellStyle name="标题" xfId="41" builtinId="15"/>
    <cellStyle name="好" xfId="42" builtinId="26"/>
    <cellStyle name="标题 4" xfId="43" builtinId="19"/>
    <cellStyle name="强调文字颜色 1" xfId="44" builtinId="29"/>
    <cellStyle name="适中" xfId="45" builtinId="28"/>
    <cellStyle name="20% - 强调文字颜色 1" xfId="46" builtinId="30"/>
    <cellStyle name="差" xfId="47" builtinId="27"/>
    <cellStyle name="强调文字颜色 2" xfId="48" builtinId="33"/>
    <cellStyle name="40% - 强调文字颜色 1" xfId="49" builtinId="31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45"/>
  <sheetViews>
    <sheetView tabSelected="1" workbookViewId="0">
      <selection activeCell="I133" sqref="I133"/>
    </sheetView>
  </sheetViews>
  <sheetFormatPr defaultColWidth="9" defaultRowHeight="21" customHeight="1"/>
  <cols>
    <col min="1" max="1" width="7.125" style="6" customWidth="1"/>
    <col min="2" max="2" width="42.1666666666667" style="7" customWidth="1"/>
    <col min="3" max="9" width="10.6666666666667" style="6" customWidth="1"/>
    <col min="10" max="16384" width="9" style="6"/>
  </cols>
  <sheetData>
    <row r="1" customHeight="1" spans="1:9">
      <c r="A1" s="8" t="s">
        <v>0</v>
      </c>
      <c r="B1" s="8"/>
      <c r="C1" s="8"/>
      <c r="D1" s="8"/>
      <c r="E1" s="8"/>
      <c r="F1" s="8"/>
      <c r="G1" s="8"/>
      <c r="H1" s="8"/>
      <c r="I1" s="8"/>
    </row>
    <row r="2" s="1" customFormat="1" customHeight="1" spans="1:17">
      <c r="A2" s="9" t="s">
        <v>1</v>
      </c>
      <c r="B2" s="9"/>
      <c r="C2" s="10" t="s">
        <v>2</v>
      </c>
      <c r="D2" s="10"/>
      <c r="E2" s="10"/>
      <c r="F2" s="10"/>
      <c r="G2" s="23" t="s">
        <v>3</v>
      </c>
      <c r="H2" s="23"/>
      <c r="I2" s="27" t="s">
        <v>4</v>
      </c>
      <c r="J2" s="28"/>
      <c r="K2" s="28"/>
      <c r="L2" s="28"/>
      <c r="M2" s="28"/>
      <c r="N2" s="28"/>
      <c r="O2" s="29"/>
      <c r="P2" s="28"/>
      <c r="Q2" s="28"/>
    </row>
    <row r="3" customHeight="1" spans="1:9">
      <c r="A3" s="11" t="s">
        <v>5</v>
      </c>
      <c r="B3" s="11"/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</row>
    <row r="4" s="2" customFormat="1" customHeight="1" spans="1:9">
      <c r="A4" s="11"/>
      <c r="B4" s="11"/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</row>
    <row r="5" s="2" customFormat="1" customHeight="1" spans="1:9">
      <c r="A5" s="11"/>
      <c r="B5" s="11"/>
      <c r="C5" s="13"/>
      <c r="D5" s="13"/>
      <c r="E5" s="13"/>
      <c r="F5" s="13"/>
      <c r="G5" s="13"/>
      <c r="H5" s="13"/>
      <c r="I5" s="13"/>
    </row>
    <row r="6" customHeight="1" spans="1:9">
      <c r="A6" s="11">
        <v>1</v>
      </c>
      <c r="B6" s="14" t="s">
        <v>20</v>
      </c>
      <c r="C6" s="15">
        <f>SUM(C7,C18,C41)</f>
        <v>0</v>
      </c>
      <c r="D6" s="16"/>
      <c r="E6" s="15">
        <f>SUM(E7,E18,E41)</f>
        <v>0</v>
      </c>
      <c r="F6" s="15">
        <f>SUM(F7,F18,F41)</f>
        <v>0</v>
      </c>
      <c r="G6" s="15">
        <f>SUM(G7,G18,G41)</f>
        <v>0</v>
      </c>
      <c r="H6" s="24"/>
      <c r="I6" s="15">
        <f>SUM(I7,I18,I41)</f>
        <v>0</v>
      </c>
    </row>
    <row r="7" customHeight="1" spans="1:9">
      <c r="A7" s="11">
        <v>2</v>
      </c>
      <c r="B7" s="17" t="s">
        <v>21</v>
      </c>
      <c r="C7" s="15">
        <f>SUM(C8:C17)</f>
        <v>0</v>
      </c>
      <c r="D7" s="16"/>
      <c r="E7" s="15">
        <f>SUM(E8:E17)</f>
        <v>0</v>
      </c>
      <c r="F7" s="15">
        <f>SUM(F8:F17)</f>
        <v>0</v>
      </c>
      <c r="G7" s="15">
        <f>SUM(G8:G17)</f>
        <v>0</v>
      </c>
      <c r="H7" s="16"/>
      <c r="I7" s="15">
        <f>SUM(I8:I17)</f>
        <v>0</v>
      </c>
    </row>
    <row r="8" customHeight="1" spans="1:10">
      <c r="A8" s="11">
        <v>3</v>
      </c>
      <c r="B8" s="18" t="s">
        <v>22</v>
      </c>
      <c r="C8" s="19"/>
      <c r="D8" s="20">
        <v>0.1</v>
      </c>
      <c r="E8" s="25">
        <f>C8*D8</f>
        <v>0</v>
      </c>
      <c r="F8" s="19"/>
      <c r="G8" s="15">
        <f t="shared" ref="G8:G17" si="0">E8-F8</f>
        <v>0</v>
      </c>
      <c r="H8" s="20">
        <v>0</v>
      </c>
      <c r="I8" s="15">
        <f>G8*H8</f>
        <v>0</v>
      </c>
      <c r="J8"/>
    </row>
    <row r="9" customHeight="1" spans="1:10">
      <c r="A9" s="11">
        <v>4</v>
      </c>
      <c r="B9" s="18" t="s">
        <v>23</v>
      </c>
      <c r="C9" s="19"/>
      <c r="D9" s="20">
        <v>0.1</v>
      </c>
      <c r="E9" s="25">
        <f t="shared" ref="E9:E17" si="1">C9*D9</f>
        <v>0</v>
      </c>
      <c r="F9" s="19"/>
      <c r="G9" s="15">
        <f t="shared" si="0"/>
        <v>0</v>
      </c>
      <c r="H9" s="20">
        <v>0.2</v>
      </c>
      <c r="I9" s="15">
        <f t="shared" ref="I9:I17" si="2">G9*H9</f>
        <v>0</v>
      </c>
      <c r="J9"/>
    </row>
    <row r="10" customHeight="1" spans="1:10">
      <c r="A10" s="11">
        <v>5</v>
      </c>
      <c r="B10" s="18" t="s">
        <v>24</v>
      </c>
      <c r="C10" s="19"/>
      <c r="D10" s="20">
        <v>0.1</v>
      </c>
      <c r="E10" s="25">
        <f t="shared" si="1"/>
        <v>0</v>
      </c>
      <c r="F10" s="19"/>
      <c r="G10" s="15">
        <f t="shared" si="0"/>
        <v>0</v>
      </c>
      <c r="H10" s="20">
        <v>0.3</v>
      </c>
      <c r="I10" s="15">
        <f t="shared" si="2"/>
        <v>0</v>
      </c>
      <c r="J10"/>
    </row>
    <row r="11" customHeight="1" spans="1:10">
      <c r="A11" s="11">
        <v>6</v>
      </c>
      <c r="B11" s="18" t="s">
        <v>25</v>
      </c>
      <c r="C11" s="19"/>
      <c r="D11" s="20">
        <v>0.1</v>
      </c>
      <c r="E11" s="25">
        <f t="shared" si="1"/>
        <v>0</v>
      </c>
      <c r="F11" s="19"/>
      <c r="G11" s="15">
        <f t="shared" si="0"/>
        <v>0</v>
      </c>
      <c r="H11" s="20">
        <v>0.5</v>
      </c>
      <c r="I11" s="15">
        <f t="shared" si="2"/>
        <v>0</v>
      </c>
      <c r="J11"/>
    </row>
    <row r="12" customHeight="1" spans="1:10">
      <c r="A12" s="11">
        <v>7</v>
      </c>
      <c r="B12" s="18" t="s">
        <v>26</v>
      </c>
      <c r="C12" s="19"/>
      <c r="D12" s="20">
        <v>0.1</v>
      </c>
      <c r="E12" s="25">
        <f t="shared" si="1"/>
        <v>0</v>
      </c>
      <c r="F12" s="19"/>
      <c r="G12" s="15">
        <f t="shared" si="0"/>
        <v>0</v>
      </c>
      <c r="H12" s="20">
        <v>0.6</v>
      </c>
      <c r="I12" s="15">
        <f t="shared" si="2"/>
        <v>0</v>
      </c>
      <c r="J12"/>
    </row>
    <row r="13" customHeight="1" spans="1:10">
      <c r="A13" s="11">
        <v>8</v>
      </c>
      <c r="B13" s="18" t="s">
        <v>27</v>
      </c>
      <c r="C13" s="19"/>
      <c r="D13" s="20">
        <v>0.1</v>
      </c>
      <c r="E13" s="25">
        <f t="shared" si="1"/>
        <v>0</v>
      </c>
      <c r="F13" s="19"/>
      <c r="G13" s="15">
        <f t="shared" si="0"/>
        <v>0</v>
      </c>
      <c r="H13" s="20">
        <v>0.75</v>
      </c>
      <c r="I13" s="15">
        <f t="shared" si="2"/>
        <v>0</v>
      </c>
      <c r="J13"/>
    </row>
    <row r="14" customHeight="1" spans="1:10">
      <c r="A14" s="11">
        <v>9</v>
      </c>
      <c r="B14" s="18" t="s">
        <v>28</v>
      </c>
      <c r="C14" s="19"/>
      <c r="D14" s="20">
        <v>0.1</v>
      </c>
      <c r="E14" s="25">
        <f t="shared" si="1"/>
        <v>0</v>
      </c>
      <c r="F14" s="19"/>
      <c r="G14" s="15">
        <f t="shared" si="0"/>
        <v>0</v>
      </c>
      <c r="H14" s="20">
        <v>0.85</v>
      </c>
      <c r="I14" s="15">
        <f t="shared" si="2"/>
        <v>0</v>
      </c>
      <c r="J14"/>
    </row>
    <row r="15" customHeight="1" spans="1:10">
      <c r="A15" s="11">
        <v>10</v>
      </c>
      <c r="B15" s="18" t="s">
        <v>29</v>
      </c>
      <c r="C15" s="19"/>
      <c r="D15" s="20">
        <v>0.1</v>
      </c>
      <c r="E15" s="25">
        <f t="shared" si="1"/>
        <v>0</v>
      </c>
      <c r="F15" s="19"/>
      <c r="G15" s="15">
        <f t="shared" si="0"/>
        <v>0</v>
      </c>
      <c r="H15" s="20">
        <v>1</v>
      </c>
      <c r="I15" s="15">
        <f t="shared" si="2"/>
        <v>0</v>
      </c>
      <c r="J15"/>
    </row>
    <row r="16" customHeight="1" spans="1:10">
      <c r="A16" s="11">
        <v>11</v>
      </c>
      <c r="B16" s="18" t="s">
        <v>30</v>
      </c>
      <c r="C16" s="19"/>
      <c r="D16" s="20">
        <v>0.1</v>
      </c>
      <c r="E16" s="25">
        <f t="shared" si="1"/>
        <v>0</v>
      </c>
      <c r="F16" s="19"/>
      <c r="G16" s="15">
        <f t="shared" si="0"/>
        <v>0</v>
      </c>
      <c r="H16" s="20">
        <v>1.2</v>
      </c>
      <c r="I16" s="15">
        <f t="shared" si="2"/>
        <v>0</v>
      </c>
      <c r="J16"/>
    </row>
    <row r="17" customHeight="1" spans="1:10">
      <c r="A17" s="11">
        <v>12</v>
      </c>
      <c r="B17" s="18" t="s">
        <v>31</v>
      </c>
      <c r="C17" s="19"/>
      <c r="D17" s="20">
        <v>0.1</v>
      </c>
      <c r="E17" s="25">
        <f t="shared" si="1"/>
        <v>0</v>
      </c>
      <c r="F17" s="19"/>
      <c r="G17" s="15">
        <f t="shared" si="0"/>
        <v>0</v>
      </c>
      <c r="H17" s="20">
        <v>1.5</v>
      </c>
      <c r="I17" s="15">
        <f t="shared" si="2"/>
        <v>0</v>
      </c>
      <c r="J17"/>
    </row>
    <row r="18" ht="20" customHeight="1" spans="1:9">
      <c r="A18" s="11">
        <v>13</v>
      </c>
      <c r="B18" s="17" t="s">
        <v>32</v>
      </c>
      <c r="C18" s="15">
        <f>SUM(C19,C30)</f>
        <v>0</v>
      </c>
      <c r="D18" s="16"/>
      <c r="E18" s="15">
        <f>SUM(E19,E30)</f>
        <v>0</v>
      </c>
      <c r="F18" s="15">
        <f>SUM(F19,F30)</f>
        <v>0</v>
      </c>
      <c r="G18" s="15">
        <f>SUM(G19,G30)</f>
        <v>0</v>
      </c>
      <c r="H18" s="24"/>
      <c r="I18" s="15">
        <f>SUM(I19,I30)</f>
        <v>0</v>
      </c>
    </row>
    <row r="19" customHeight="1" spans="1:9">
      <c r="A19" s="11">
        <v>14</v>
      </c>
      <c r="B19" s="17" t="s">
        <v>33</v>
      </c>
      <c r="C19" s="15">
        <f>SUM(C20:C29)</f>
        <v>0</v>
      </c>
      <c r="D19" s="16"/>
      <c r="E19" s="15">
        <f>SUM(E20:E29)</f>
        <v>0</v>
      </c>
      <c r="F19" s="15">
        <f>SUM(F20:F29)</f>
        <v>0</v>
      </c>
      <c r="G19" s="15">
        <f>SUM(G20:G29)</f>
        <v>0</v>
      </c>
      <c r="H19" s="24"/>
      <c r="I19" s="15">
        <f>SUM(I20:I29)</f>
        <v>0</v>
      </c>
    </row>
    <row r="20" customHeight="1" spans="1:9">
      <c r="A20" s="11">
        <v>15</v>
      </c>
      <c r="B20" s="18" t="s">
        <v>34</v>
      </c>
      <c r="C20" s="19"/>
      <c r="D20" s="20">
        <v>0.2</v>
      </c>
      <c r="E20" s="25">
        <f>C20*D20</f>
        <v>0</v>
      </c>
      <c r="F20" s="19"/>
      <c r="G20" s="15">
        <f>E20-F20</f>
        <v>0</v>
      </c>
      <c r="H20" s="20">
        <v>0</v>
      </c>
      <c r="I20" s="15">
        <f t="shared" ref="I20:I29" si="3">G20*H20</f>
        <v>0</v>
      </c>
    </row>
    <row r="21" customHeight="1" spans="1:9">
      <c r="A21" s="11">
        <v>16</v>
      </c>
      <c r="B21" s="18" t="s">
        <v>35</v>
      </c>
      <c r="C21" s="19"/>
      <c r="D21" s="20">
        <v>0.2</v>
      </c>
      <c r="E21" s="25">
        <f t="shared" ref="E21:E29" si="4">C21*D21</f>
        <v>0</v>
      </c>
      <c r="F21" s="19"/>
      <c r="G21" s="15">
        <f t="shared" ref="G21:G29" si="5">E21-F21</f>
        <v>0</v>
      </c>
      <c r="H21" s="20">
        <v>0.2</v>
      </c>
      <c r="I21" s="15">
        <f t="shared" si="3"/>
        <v>0</v>
      </c>
    </row>
    <row r="22" customHeight="1" spans="1:9">
      <c r="A22" s="11">
        <v>17</v>
      </c>
      <c r="B22" s="18" t="s">
        <v>36</v>
      </c>
      <c r="C22" s="19"/>
      <c r="D22" s="20">
        <v>0.2</v>
      </c>
      <c r="E22" s="25">
        <f t="shared" si="4"/>
        <v>0</v>
      </c>
      <c r="F22" s="19"/>
      <c r="G22" s="15">
        <f t="shared" si="5"/>
        <v>0</v>
      </c>
      <c r="H22" s="20">
        <v>0.3</v>
      </c>
      <c r="I22" s="15">
        <f t="shared" si="3"/>
        <v>0</v>
      </c>
    </row>
    <row r="23" customHeight="1" spans="1:9">
      <c r="A23" s="11">
        <v>18</v>
      </c>
      <c r="B23" s="18" t="s">
        <v>37</v>
      </c>
      <c r="C23" s="19"/>
      <c r="D23" s="20">
        <v>0.2</v>
      </c>
      <c r="E23" s="25">
        <f t="shared" si="4"/>
        <v>0</v>
      </c>
      <c r="F23" s="19"/>
      <c r="G23" s="15">
        <f t="shared" si="5"/>
        <v>0</v>
      </c>
      <c r="H23" s="20">
        <v>0.5</v>
      </c>
      <c r="I23" s="15">
        <f t="shared" si="3"/>
        <v>0</v>
      </c>
    </row>
    <row r="24" customHeight="1" spans="1:9">
      <c r="A24" s="11">
        <v>19</v>
      </c>
      <c r="B24" s="18" t="s">
        <v>38</v>
      </c>
      <c r="C24" s="19"/>
      <c r="D24" s="20">
        <v>0.2</v>
      </c>
      <c r="E24" s="25">
        <f t="shared" si="4"/>
        <v>0</v>
      </c>
      <c r="F24" s="19"/>
      <c r="G24" s="15">
        <f t="shared" si="5"/>
        <v>0</v>
      </c>
      <c r="H24" s="20">
        <v>0.6</v>
      </c>
      <c r="I24" s="15">
        <f t="shared" si="3"/>
        <v>0</v>
      </c>
    </row>
    <row r="25" customHeight="1" spans="1:9">
      <c r="A25" s="11">
        <v>20</v>
      </c>
      <c r="B25" s="18" t="s">
        <v>39</v>
      </c>
      <c r="C25" s="19"/>
      <c r="D25" s="20">
        <v>0.2</v>
      </c>
      <c r="E25" s="25">
        <f t="shared" si="4"/>
        <v>0</v>
      </c>
      <c r="F25" s="19"/>
      <c r="G25" s="15">
        <f t="shared" si="5"/>
        <v>0</v>
      </c>
      <c r="H25" s="20">
        <v>0.75</v>
      </c>
      <c r="I25" s="15">
        <f t="shared" si="3"/>
        <v>0</v>
      </c>
    </row>
    <row r="26" customHeight="1" spans="1:9">
      <c r="A26" s="11">
        <v>21</v>
      </c>
      <c r="B26" s="18" t="s">
        <v>40</v>
      </c>
      <c r="C26" s="19"/>
      <c r="D26" s="20">
        <v>0.2</v>
      </c>
      <c r="E26" s="25">
        <f t="shared" si="4"/>
        <v>0</v>
      </c>
      <c r="F26" s="19"/>
      <c r="G26" s="15">
        <f t="shared" si="5"/>
        <v>0</v>
      </c>
      <c r="H26" s="20">
        <v>0.85</v>
      </c>
      <c r="I26" s="15">
        <f t="shared" si="3"/>
        <v>0</v>
      </c>
    </row>
    <row r="27" customHeight="1" spans="1:9">
      <c r="A27" s="11">
        <v>22</v>
      </c>
      <c r="B27" s="18" t="s">
        <v>41</v>
      </c>
      <c r="C27" s="19"/>
      <c r="D27" s="20">
        <v>0.2</v>
      </c>
      <c r="E27" s="25">
        <f t="shared" si="4"/>
        <v>0</v>
      </c>
      <c r="F27" s="19"/>
      <c r="G27" s="15">
        <f t="shared" si="5"/>
        <v>0</v>
      </c>
      <c r="H27" s="20">
        <v>1</v>
      </c>
      <c r="I27" s="15">
        <f t="shared" si="3"/>
        <v>0</v>
      </c>
    </row>
    <row r="28" customHeight="1" spans="1:9">
      <c r="A28" s="11">
        <v>23</v>
      </c>
      <c r="B28" s="18" t="s">
        <v>42</v>
      </c>
      <c r="C28" s="19"/>
      <c r="D28" s="20">
        <v>0.2</v>
      </c>
      <c r="E28" s="25">
        <f t="shared" si="4"/>
        <v>0</v>
      </c>
      <c r="F28" s="19"/>
      <c r="G28" s="15">
        <f t="shared" si="5"/>
        <v>0</v>
      </c>
      <c r="H28" s="20">
        <v>1.2</v>
      </c>
      <c r="I28" s="15">
        <f t="shared" si="3"/>
        <v>0</v>
      </c>
    </row>
    <row r="29" customHeight="1" spans="1:9">
      <c r="A29" s="11">
        <v>24</v>
      </c>
      <c r="B29" s="18" t="s">
        <v>43</v>
      </c>
      <c r="C29" s="19"/>
      <c r="D29" s="20">
        <v>0.2</v>
      </c>
      <c r="E29" s="25">
        <f t="shared" si="4"/>
        <v>0</v>
      </c>
      <c r="F29" s="19"/>
      <c r="G29" s="15">
        <f t="shared" si="5"/>
        <v>0</v>
      </c>
      <c r="H29" s="20">
        <v>1.5</v>
      </c>
      <c r="I29" s="15">
        <f t="shared" si="3"/>
        <v>0</v>
      </c>
    </row>
    <row r="30" customHeight="1" spans="1:9">
      <c r="A30" s="11">
        <v>25</v>
      </c>
      <c r="B30" s="17" t="s">
        <v>44</v>
      </c>
      <c r="C30" s="15">
        <f>SUM(C31:C40)</f>
        <v>0</v>
      </c>
      <c r="D30" s="16"/>
      <c r="E30" s="15">
        <f>SUM(E31:E40)</f>
        <v>0</v>
      </c>
      <c r="F30" s="15">
        <f>SUM(F31:F40)</f>
        <v>0</v>
      </c>
      <c r="G30" s="15">
        <f>SUM(G31:G40)</f>
        <v>0</v>
      </c>
      <c r="H30" s="24"/>
      <c r="I30" s="15">
        <f>SUM(I31:I40)</f>
        <v>0</v>
      </c>
    </row>
    <row r="31" customHeight="1" spans="1:9">
      <c r="A31" s="11">
        <v>26</v>
      </c>
      <c r="B31" s="18" t="s">
        <v>45</v>
      </c>
      <c r="C31" s="19"/>
      <c r="D31" s="20">
        <v>0.4</v>
      </c>
      <c r="E31" s="25">
        <f>C31*D31</f>
        <v>0</v>
      </c>
      <c r="F31" s="19"/>
      <c r="G31" s="15">
        <f>E31-F31</f>
        <v>0</v>
      </c>
      <c r="H31" s="20">
        <v>0</v>
      </c>
      <c r="I31" s="15">
        <f t="shared" ref="I31:I40" si="6">G31*H31</f>
        <v>0</v>
      </c>
    </row>
    <row r="32" customHeight="1" spans="1:9">
      <c r="A32" s="11">
        <v>27</v>
      </c>
      <c r="B32" s="18" t="s">
        <v>46</v>
      </c>
      <c r="C32" s="19"/>
      <c r="D32" s="20">
        <v>0.4</v>
      </c>
      <c r="E32" s="25">
        <f t="shared" ref="E32:E40" si="7">C32*D32</f>
        <v>0</v>
      </c>
      <c r="F32" s="19"/>
      <c r="G32" s="15">
        <f t="shared" ref="G32:G40" si="8">E32-F32</f>
        <v>0</v>
      </c>
      <c r="H32" s="20">
        <v>0.2</v>
      </c>
      <c r="I32" s="15">
        <f t="shared" si="6"/>
        <v>0</v>
      </c>
    </row>
    <row r="33" customHeight="1" spans="1:9">
      <c r="A33" s="11">
        <v>28</v>
      </c>
      <c r="B33" s="18" t="s">
        <v>47</v>
      </c>
      <c r="C33" s="19"/>
      <c r="D33" s="20">
        <v>0.4</v>
      </c>
      <c r="E33" s="25">
        <f t="shared" si="7"/>
        <v>0</v>
      </c>
      <c r="F33" s="19"/>
      <c r="G33" s="15">
        <f t="shared" si="8"/>
        <v>0</v>
      </c>
      <c r="H33" s="20">
        <v>0.3</v>
      </c>
      <c r="I33" s="15">
        <f t="shared" si="6"/>
        <v>0</v>
      </c>
    </row>
    <row r="34" customHeight="1" spans="1:9">
      <c r="A34" s="11">
        <v>29</v>
      </c>
      <c r="B34" s="18" t="s">
        <v>48</v>
      </c>
      <c r="C34" s="19"/>
      <c r="D34" s="20">
        <v>0.4</v>
      </c>
      <c r="E34" s="25">
        <f t="shared" si="7"/>
        <v>0</v>
      </c>
      <c r="F34" s="19"/>
      <c r="G34" s="15">
        <f t="shared" si="8"/>
        <v>0</v>
      </c>
      <c r="H34" s="20">
        <v>0.5</v>
      </c>
      <c r="I34" s="15">
        <f t="shared" si="6"/>
        <v>0</v>
      </c>
    </row>
    <row r="35" customHeight="1" spans="1:9">
      <c r="A35" s="11">
        <v>30</v>
      </c>
      <c r="B35" s="18" t="s">
        <v>49</v>
      </c>
      <c r="C35" s="19"/>
      <c r="D35" s="20">
        <v>0.4</v>
      </c>
      <c r="E35" s="25">
        <f t="shared" si="7"/>
        <v>0</v>
      </c>
      <c r="F35" s="19"/>
      <c r="G35" s="15">
        <f t="shared" si="8"/>
        <v>0</v>
      </c>
      <c r="H35" s="20">
        <v>0.6</v>
      </c>
      <c r="I35" s="15">
        <f t="shared" si="6"/>
        <v>0</v>
      </c>
    </row>
    <row r="36" customHeight="1" spans="1:9">
      <c r="A36" s="11">
        <v>31</v>
      </c>
      <c r="B36" s="18" t="s">
        <v>50</v>
      </c>
      <c r="C36" s="19"/>
      <c r="D36" s="20">
        <v>0.4</v>
      </c>
      <c r="E36" s="25">
        <f t="shared" si="7"/>
        <v>0</v>
      </c>
      <c r="F36" s="19"/>
      <c r="G36" s="15">
        <f t="shared" si="8"/>
        <v>0</v>
      </c>
      <c r="H36" s="20">
        <v>0.75</v>
      </c>
      <c r="I36" s="15">
        <f t="shared" si="6"/>
        <v>0</v>
      </c>
    </row>
    <row r="37" customHeight="1" spans="1:9">
      <c r="A37" s="11">
        <v>32</v>
      </c>
      <c r="B37" s="18" t="s">
        <v>51</v>
      </c>
      <c r="C37" s="19"/>
      <c r="D37" s="20">
        <v>0.4</v>
      </c>
      <c r="E37" s="25">
        <f t="shared" si="7"/>
        <v>0</v>
      </c>
      <c r="F37" s="19"/>
      <c r="G37" s="15">
        <f t="shared" si="8"/>
        <v>0</v>
      </c>
      <c r="H37" s="20">
        <v>0.85</v>
      </c>
      <c r="I37" s="15">
        <f t="shared" si="6"/>
        <v>0</v>
      </c>
    </row>
    <row r="38" customHeight="1" spans="1:9">
      <c r="A38" s="11">
        <v>33</v>
      </c>
      <c r="B38" s="18" t="s">
        <v>52</v>
      </c>
      <c r="C38" s="19"/>
      <c r="D38" s="20">
        <v>0.4</v>
      </c>
      <c r="E38" s="25">
        <f t="shared" si="7"/>
        <v>0</v>
      </c>
      <c r="F38" s="19"/>
      <c r="G38" s="15">
        <f t="shared" si="8"/>
        <v>0</v>
      </c>
      <c r="H38" s="20">
        <v>1</v>
      </c>
      <c r="I38" s="15">
        <f t="shared" si="6"/>
        <v>0</v>
      </c>
    </row>
    <row r="39" customHeight="1" spans="1:9">
      <c r="A39" s="11">
        <v>34</v>
      </c>
      <c r="B39" s="18" t="s">
        <v>53</v>
      </c>
      <c r="C39" s="19"/>
      <c r="D39" s="20">
        <v>0.4</v>
      </c>
      <c r="E39" s="25">
        <f t="shared" si="7"/>
        <v>0</v>
      </c>
      <c r="F39" s="19"/>
      <c r="G39" s="15">
        <f t="shared" si="8"/>
        <v>0</v>
      </c>
      <c r="H39" s="20">
        <v>1.2</v>
      </c>
      <c r="I39" s="15">
        <f t="shared" si="6"/>
        <v>0</v>
      </c>
    </row>
    <row r="40" customHeight="1" spans="1:9">
      <c r="A40" s="11">
        <v>35</v>
      </c>
      <c r="B40" s="18" t="s">
        <v>54</v>
      </c>
      <c r="C40" s="19"/>
      <c r="D40" s="20">
        <v>0.4</v>
      </c>
      <c r="E40" s="25">
        <f t="shared" si="7"/>
        <v>0</v>
      </c>
      <c r="F40" s="19"/>
      <c r="G40" s="15">
        <f t="shared" si="8"/>
        <v>0</v>
      </c>
      <c r="H40" s="20">
        <v>1.5</v>
      </c>
      <c r="I40" s="15">
        <f t="shared" si="6"/>
        <v>0</v>
      </c>
    </row>
    <row r="41" customHeight="1" spans="1:9">
      <c r="A41" s="11">
        <v>36</v>
      </c>
      <c r="B41" s="17" t="s">
        <v>55</v>
      </c>
      <c r="C41" s="15">
        <f>SUM(C42:C51)</f>
        <v>0</v>
      </c>
      <c r="D41" s="16"/>
      <c r="E41" s="15">
        <f>SUM(E42:E51)</f>
        <v>0</v>
      </c>
      <c r="F41" s="15">
        <f>SUM(F42:F51)</f>
        <v>0</v>
      </c>
      <c r="G41" s="15">
        <f>SUM(G42:G51)</f>
        <v>0</v>
      </c>
      <c r="H41" s="24"/>
      <c r="I41" s="15">
        <f>SUM(I42:I51)</f>
        <v>0</v>
      </c>
    </row>
    <row r="42" s="3" customFormat="1" customHeight="1" spans="1:9">
      <c r="A42" s="11">
        <v>37</v>
      </c>
      <c r="B42" s="18" t="s">
        <v>56</v>
      </c>
      <c r="C42" s="19"/>
      <c r="D42" s="21">
        <v>0.4</v>
      </c>
      <c r="E42" s="25">
        <f>C42*D42</f>
        <v>0</v>
      </c>
      <c r="F42" s="19"/>
      <c r="G42" s="15">
        <f>E42-F42</f>
        <v>0</v>
      </c>
      <c r="H42" s="20">
        <v>0</v>
      </c>
      <c r="I42" s="15">
        <f t="shared" ref="I42:I51" si="9">G42*H42</f>
        <v>0</v>
      </c>
    </row>
    <row r="43" s="3" customFormat="1" customHeight="1" spans="1:9">
      <c r="A43" s="11">
        <v>38</v>
      </c>
      <c r="B43" s="18" t="s">
        <v>57</v>
      </c>
      <c r="C43" s="19"/>
      <c r="D43" s="21">
        <v>0.4</v>
      </c>
      <c r="E43" s="25">
        <f t="shared" ref="E43:E51" si="10">C43*D43</f>
        <v>0</v>
      </c>
      <c r="F43" s="19"/>
      <c r="G43" s="15">
        <f t="shared" ref="G43:G51" si="11">E43-F43</f>
        <v>0</v>
      </c>
      <c r="H43" s="20">
        <v>0.2</v>
      </c>
      <c r="I43" s="15">
        <f t="shared" si="9"/>
        <v>0</v>
      </c>
    </row>
    <row r="44" s="3" customFormat="1" customHeight="1" spans="1:9">
      <c r="A44" s="11">
        <v>39</v>
      </c>
      <c r="B44" s="18" t="s">
        <v>58</v>
      </c>
      <c r="C44" s="19"/>
      <c r="D44" s="21">
        <v>0.4</v>
      </c>
      <c r="E44" s="25">
        <f t="shared" si="10"/>
        <v>0</v>
      </c>
      <c r="F44" s="19"/>
      <c r="G44" s="15">
        <f t="shared" si="11"/>
        <v>0</v>
      </c>
      <c r="H44" s="20">
        <v>0.3</v>
      </c>
      <c r="I44" s="15">
        <f t="shared" si="9"/>
        <v>0</v>
      </c>
    </row>
    <row r="45" s="3" customFormat="1" customHeight="1" spans="1:9">
      <c r="A45" s="11">
        <v>40</v>
      </c>
      <c r="B45" s="18" t="s">
        <v>59</v>
      </c>
      <c r="C45" s="19"/>
      <c r="D45" s="21">
        <v>0.4</v>
      </c>
      <c r="E45" s="25">
        <f t="shared" si="10"/>
        <v>0</v>
      </c>
      <c r="F45" s="19"/>
      <c r="G45" s="15">
        <f t="shared" si="11"/>
        <v>0</v>
      </c>
      <c r="H45" s="20">
        <v>0.5</v>
      </c>
      <c r="I45" s="15">
        <f t="shared" si="9"/>
        <v>0</v>
      </c>
    </row>
    <row r="46" s="3" customFormat="1" customHeight="1" spans="1:9">
      <c r="A46" s="11">
        <v>41</v>
      </c>
      <c r="B46" s="18" t="s">
        <v>60</v>
      </c>
      <c r="C46" s="19"/>
      <c r="D46" s="21">
        <v>0.4</v>
      </c>
      <c r="E46" s="25">
        <f t="shared" si="10"/>
        <v>0</v>
      </c>
      <c r="F46" s="19"/>
      <c r="G46" s="15">
        <f t="shared" si="11"/>
        <v>0</v>
      </c>
      <c r="H46" s="20">
        <v>0.6</v>
      </c>
      <c r="I46" s="15">
        <f t="shared" si="9"/>
        <v>0</v>
      </c>
    </row>
    <row r="47" s="3" customFormat="1" customHeight="1" spans="1:9">
      <c r="A47" s="11">
        <v>42</v>
      </c>
      <c r="B47" s="18" t="s">
        <v>61</v>
      </c>
      <c r="C47" s="19"/>
      <c r="D47" s="21">
        <v>0.4</v>
      </c>
      <c r="E47" s="25">
        <f t="shared" si="10"/>
        <v>0</v>
      </c>
      <c r="F47" s="19"/>
      <c r="G47" s="15">
        <f t="shared" si="11"/>
        <v>0</v>
      </c>
      <c r="H47" s="20">
        <v>0.75</v>
      </c>
      <c r="I47" s="15">
        <f t="shared" si="9"/>
        <v>0</v>
      </c>
    </row>
    <row r="48" s="3" customFormat="1" customHeight="1" spans="1:9">
      <c r="A48" s="11">
        <v>43</v>
      </c>
      <c r="B48" s="18" t="s">
        <v>62</v>
      </c>
      <c r="C48" s="19"/>
      <c r="D48" s="20">
        <v>0.4</v>
      </c>
      <c r="E48" s="25">
        <f t="shared" si="10"/>
        <v>0</v>
      </c>
      <c r="F48" s="19"/>
      <c r="G48" s="15">
        <f t="shared" si="11"/>
        <v>0</v>
      </c>
      <c r="H48" s="20">
        <v>0.85</v>
      </c>
      <c r="I48" s="15">
        <f t="shared" si="9"/>
        <v>0</v>
      </c>
    </row>
    <row r="49" s="3" customFormat="1" customHeight="1" spans="1:9">
      <c r="A49" s="11">
        <v>44</v>
      </c>
      <c r="B49" s="18" t="s">
        <v>63</v>
      </c>
      <c r="C49" s="19"/>
      <c r="D49" s="21">
        <v>0.4</v>
      </c>
      <c r="E49" s="25">
        <f t="shared" si="10"/>
        <v>0</v>
      </c>
      <c r="F49" s="19"/>
      <c r="G49" s="15">
        <f t="shared" si="11"/>
        <v>0</v>
      </c>
      <c r="H49" s="20">
        <v>1</v>
      </c>
      <c r="I49" s="15">
        <f t="shared" si="9"/>
        <v>0</v>
      </c>
    </row>
    <row r="50" s="3" customFormat="1" customHeight="1" spans="1:9">
      <c r="A50" s="11">
        <v>45</v>
      </c>
      <c r="B50" s="18" t="s">
        <v>64</v>
      </c>
      <c r="C50" s="19"/>
      <c r="D50" s="20">
        <v>0.4</v>
      </c>
      <c r="E50" s="25">
        <f t="shared" si="10"/>
        <v>0</v>
      </c>
      <c r="F50" s="19"/>
      <c r="G50" s="15">
        <f t="shared" si="11"/>
        <v>0</v>
      </c>
      <c r="H50" s="20">
        <v>1.2</v>
      </c>
      <c r="I50" s="15">
        <f t="shared" si="9"/>
        <v>0</v>
      </c>
    </row>
    <row r="51" s="3" customFormat="1" customHeight="1" spans="1:9">
      <c r="A51" s="11">
        <v>46</v>
      </c>
      <c r="B51" s="18" t="s">
        <v>65</v>
      </c>
      <c r="C51" s="19"/>
      <c r="D51" s="21">
        <v>0.4</v>
      </c>
      <c r="E51" s="25">
        <f t="shared" si="10"/>
        <v>0</v>
      </c>
      <c r="F51" s="19"/>
      <c r="G51" s="15">
        <f t="shared" si="11"/>
        <v>0</v>
      </c>
      <c r="H51" s="20">
        <v>1.5</v>
      </c>
      <c r="I51" s="15">
        <f t="shared" si="9"/>
        <v>0</v>
      </c>
    </row>
    <row r="52" customHeight="1" spans="1:9">
      <c r="A52" s="11">
        <v>47</v>
      </c>
      <c r="B52" s="14" t="s">
        <v>66</v>
      </c>
      <c r="C52" s="15">
        <f>SUM(C53,C64,C75,C86,C97,C108,C119,C130)</f>
        <v>0</v>
      </c>
      <c r="D52" s="22"/>
      <c r="E52" s="15">
        <f>SUM(E53,E64,E75,E86,E97,E108,E119,E130)</f>
        <v>0</v>
      </c>
      <c r="F52" s="15">
        <f>SUM(F53,F64,F75,F86,F97,F108,F119,F130)</f>
        <v>0</v>
      </c>
      <c r="G52" s="15">
        <f>SUM(G53,G64,G75,G86,G97,G108,G119,G130)</f>
        <v>0</v>
      </c>
      <c r="H52" s="24"/>
      <c r="I52" s="15">
        <f>SUM(I53,I64,I75,I86,I97,I108,I119,I130)</f>
        <v>0</v>
      </c>
    </row>
    <row r="53" customHeight="1" spans="1:9">
      <c r="A53" s="11">
        <v>48</v>
      </c>
      <c r="B53" s="14" t="s">
        <v>67</v>
      </c>
      <c r="C53" s="15">
        <f>SUM(C54:C63)</f>
        <v>0</v>
      </c>
      <c r="D53" s="22"/>
      <c r="E53" s="15">
        <f>SUM(E54:E63)</f>
        <v>0</v>
      </c>
      <c r="F53" s="15">
        <f>SUM(F54:F63)</f>
        <v>0</v>
      </c>
      <c r="G53" s="15">
        <f>SUM(G54:G63)</f>
        <v>0</v>
      </c>
      <c r="H53" s="24"/>
      <c r="I53" s="15">
        <f>SUM(I54:I63)</f>
        <v>0</v>
      </c>
    </row>
    <row r="54" customHeight="1" spans="1:12">
      <c r="A54" s="11">
        <v>49</v>
      </c>
      <c r="B54" s="18" t="s">
        <v>68</v>
      </c>
      <c r="C54" s="19"/>
      <c r="D54" s="20">
        <v>1</v>
      </c>
      <c r="E54" s="25">
        <f>C54*D54</f>
        <v>0</v>
      </c>
      <c r="F54" s="19"/>
      <c r="G54" s="15">
        <f>E54-F54</f>
        <v>0</v>
      </c>
      <c r="H54" s="20">
        <v>0</v>
      </c>
      <c r="I54" s="15">
        <f t="shared" ref="I54:I63" si="12">G54*H54</f>
        <v>0</v>
      </c>
      <c r="L54" s="3"/>
    </row>
    <row r="55" s="3" customFormat="1" customHeight="1" spans="1:9">
      <c r="A55" s="11">
        <v>50</v>
      </c>
      <c r="B55" s="18" t="s">
        <v>69</v>
      </c>
      <c r="C55" s="19"/>
      <c r="D55" s="20">
        <v>1</v>
      </c>
      <c r="E55" s="25">
        <f t="shared" ref="E55:E63" si="13">C55*D55</f>
        <v>0</v>
      </c>
      <c r="F55" s="19"/>
      <c r="G55" s="15">
        <f t="shared" ref="G55:G63" si="14">E55-F55</f>
        <v>0</v>
      </c>
      <c r="H55" s="20">
        <v>0.2</v>
      </c>
      <c r="I55" s="15">
        <f t="shared" si="12"/>
        <v>0</v>
      </c>
    </row>
    <row r="56" s="3" customFormat="1" customHeight="1" spans="1:9">
      <c r="A56" s="11">
        <v>51</v>
      </c>
      <c r="B56" s="18" t="s">
        <v>70</v>
      </c>
      <c r="C56" s="19"/>
      <c r="D56" s="20">
        <v>1</v>
      </c>
      <c r="E56" s="25">
        <f t="shared" si="13"/>
        <v>0</v>
      </c>
      <c r="F56" s="19"/>
      <c r="G56" s="15">
        <f t="shared" si="14"/>
        <v>0</v>
      </c>
      <c r="H56" s="20">
        <v>0.3</v>
      </c>
      <c r="I56" s="15">
        <f t="shared" si="12"/>
        <v>0</v>
      </c>
    </row>
    <row r="57" s="3" customFormat="1" customHeight="1" spans="1:9">
      <c r="A57" s="11">
        <v>52</v>
      </c>
      <c r="B57" s="18" t="s">
        <v>71</v>
      </c>
      <c r="C57" s="19"/>
      <c r="D57" s="20">
        <v>1</v>
      </c>
      <c r="E57" s="25">
        <f t="shared" si="13"/>
        <v>0</v>
      </c>
      <c r="F57" s="19"/>
      <c r="G57" s="15">
        <f t="shared" si="14"/>
        <v>0</v>
      </c>
      <c r="H57" s="20">
        <v>0.5</v>
      </c>
      <c r="I57" s="15">
        <f t="shared" si="12"/>
        <v>0</v>
      </c>
    </row>
    <row r="58" s="3" customFormat="1" customHeight="1" spans="1:9">
      <c r="A58" s="11">
        <v>53</v>
      </c>
      <c r="B58" s="18" t="s">
        <v>72</v>
      </c>
      <c r="C58" s="19"/>
      <c r="D58" s="20">
        <v>1</v>
      </c>
      <c r="E58" s="25">
        <f t="shared" si="13"/>
        <v>0</v>
      </c>
      <c r="F58" s="19"/>
      <c r="G58" s="15">
        <f t="shared" si="14"/>
        <v>0</v>
      </c>
      <c r="H58" s="20">
        <v>0.6</v>
      </c>
      <c r="I58" s="15">
        <f t="shared" si="12"/>
        <v>0</v>
      </c>
    </row>
    <row r="59" s="3" customFormat="1" customHeight="1" spans="1:9">
      <c r="A59" s="11">
        <v>54</v>
      </c>
      <c r="B59" s="18" t="s">
        <v>73</v>
      </c>
      <c r="C59" s="19"/>
      <c r="D59" s="20">
        <v>1</v>
      </c>
      <c r="E59" s="25">
        <f t="shared" si="13"/>
        <v>0</v>
      </c>
      <c r="F59" s="19"/>
      <c r="G59" s="15">
        <f t="shared" si="14"/>
        <v>0</v>
      </c>
      <c r="H59" s="20">
        <v>0.75</v>
      </c>
      <c r="I59" s="15">
        <f t="shared" si="12"/>
        <v>0</v>
      </c>
    </row>
    <row r="60" s="3" customFormat="1" customHeight="1" spans="1:9">
      <c r="A60" s="11">
        <v>55</v>
      </c>
      <c r="B60" s="18" t="s">
        <v>74</v>
      </c>
      <c r="C60" s="19"/>
      <c r="D60" s="20">
        <v>1</v>
      </c>
      <c r="E60" s="25">
        <f t="shared" si="13"/>
        <v>0</v>
      </c>
      <c r="F60" s="19"/>
      <c r="G60" s="15">
        <f t="shared" si="14"/>
        <v>0</v>
      </c>
      <c r="H60" s="20">
        <v>0.85</v>
      </c>
      <c r="I60" s="15">
        <f t="shared" si="12"/>
        <v>0</v>
      </c>
    </row>
    <row r="61" s="3" customFormat="1" customHeight="1" spans="1:9">
      <c r="A61" s="11">
        <v>56</v>
      </c>
      <c r="B61" s="18" t="s">
        <v>75</v>
      </c>
      <c r="C61" s="19"/>
      <c r="D61" s="20">
        <v>1</v>
      </c>
      <c r="E61" s="25">
        <f t="shared" si="13"/>
        <v>0</v>
      </c>
      <c r="F61" s="19"/>
      <c r="G61" s="15">
        <f t="shared" si="14"/>
        <v>0</v>
      </c>
      <c r="H61" s="20">
        <v>1</v>
      </c>
      <c r="I61" s="15">
        <f t="shared" si="12"/>
        <v>0</v>
      </c>
    </row>
    <row r="62" s="3" customFormat="1" customHeight="1" spans="1:9">
      <c r="A62" s="11">
        <v>57</v>
      </c>
      <c r="B62" s="18" t="s">
        <v>76</v>
      </c>
      <c r="C62" s="19"/>
      <c r="D62" s="20">
        <v>1</v>
      </c>
      <c r="E62" s="25">
        <f t="shared" si="13"/>
        <v>0</v>
      </c>
      <c r="F62" s="19"/>
      <c r="G62" s="15">
        <f t="shared" si="14"/>
        <v>0</v>
      </c>
      <c r="H62" s="26">
        <v>1.2</v>
      </c>
      <c r="I62" s="15">
        <f t="shared" si="12"/>
        <v>0</v>
      </c>
    </row>
    <row r="63" s="3" customFormat="1" customHeight="1" spans="1:9">
      <c r="A63" s="11">
        <v>58</v>
      </c>
      <c r="B63" s="18" t="s">
        <v>77</v>
      </c>
      <c r="C63" s="19"/>
      <c r="D63" s="20">
        <v>1</v>
      </c>
      <c r="E63" s="25">
        <f t="shared" si="13"/>
        <v>0</v>
      </c>
      <c r="F63" s="19"/>
      <c r="G63" s="15">
        <f t="shared" si="14"/>
        <v>0</v>
      </c>
      <c r="H63" s="26">
        <v>1.5</v>
      </c>
      <c r="I63" s="15">
        <f t="shared" si="12"/>
        <v>0</v>
      </c>
    </row>
    <row r="64" customHeight="1" spans="1:9">
      <c r="A64" s="11">
        <v>59</v>
      </c>
      <c r="B64" s="17" t="s">
        <v>78</v>
      </c>
      <c r="C64" s="15">
        <f>SUM(C65:C74)</f>
        <v>0</v>
      </c>
      <c r="D64" s="22"/>
      <c r="E64" s="15">
        <f>SUM(E65:E74)</f>
        <v>0</v>
      </c>
      <c r="F64" s="15">
        <f>SUM(F65:F74)</f>
        <v>0</v>
      </c>
      <c r="G64" s="15">
        <f>SUM(G65:G74)</f>
        <v>0</v>
      </c>
      <c r="H64" s="24"/>
      <c r="I64" s="15">
        <f>SUM(I65:I74)</f>
        <v>0</v>
      </c>
    </row>
    <row r="65" s="3" customFormat="1" customHeight="1" spans="1:9">
      <c r="A65" s="11">
        <v>60</v>
      </c>
      <c r="B65" s="18" t="s">
        <v>79</v>
      </c>
      <c r="C65" s="19"/>
      <c r="D65" s="20">
        <v>1</v>
      </c>
      <c r="E65" s="25">
        <f>C65*D65</f>
        <v>0</v>
      </c>
      <c r="F65" s="19"/>
      <c r="G65" s="15">
        <f>E65-F65</f>
        <v>0</v>
      </c>
      <c r="H65" s="20">
        <v>0</v>
      </c>
      <c r="I65" s="15">
        <f t="shared" ref="I65:I74" si="15">G65*H65</f>
        <v>0</v>
      </c>
    </row>
    <row r="66" s="3" customFormat="1" customHeight="1" spans="1:9">
      <c r="A66" s="11">
        <v>61</v>
      </c>
      <c r="B66" s="18" t="s">
        <v>80</v>
      </c>
      <c r="C66" s="19"/>
      <c r="D66" s="20">
        <v>1</v>
      </c>
      <c r="E66" s="25">
        <f t="shared" ref="E66:E74" si="16">C66*D66</f>
        <v>0</v>
      </c>
      <c r="F66" s="19"/>
      <c r="G66" s="15">
        <f t="shared" ref="G66:G74" si="17">E66-F66</f>
        <v>0</v>
      </c>
      <c r="H66" s="20">
        <v>0.2</v>
      </c>
      <c r="I66" s="15">
        <f t="shared" si="15"/>
        <v>0</v>
      </c>
    </row>
    <row r="67" s="3" customFormat="1" customHeight="1" spans="1:9">
      <c r="A67" s="11">
        <v>62</v>
      </c>
      <c r="B67" s="18" t="s">
        <v>81</v>
      </c>
      <c r="C67" s="19"/>
      <c r="D67" s="20">
        <v>1</v>
      </c>
      <c r="E67" s="25">
        <f t="shared" si="16"/>
        <v>0</v>
      </c>
      <c r="F67" s="19"/>
      <c r="G67" s="15">
        <f t="shared" si="17"/>
        <v>0</v>
      </c>
      <c r="H67" s="20">
        <v>0.3</v>
      </c>
      <c r="I67" s="15">
        <f t="shared" si="15"/>
        <v>0</v>
      </c>
    </row>
    <row r="68" s="3" customFormat="1" customHeight="1" spans="1:9">
      <c r="A68" s="11">
        <v>63</v>
      </c>
      <c r="B68" s="18" t="s">
        <v>82</v>
      </c>
      <c r="C68" s="19"/>
      <c r="D68" s="20">
        <v>1</v>
      </c>
      <c r="E68" s="25">
        <f t="shared" si="16"/>
        <v>0</v>
      </c>
      <c r="F68" s="19"/>
      <c r="G68" s="15">
        <f t="shared" si="17"/>
        <v>0</v>
      </c>
      <c r="H68" s="20">
        <v>0.5</v>
      </c>
      <c r="I68" s="15">
        <f t="shared" si="15"/>
        <v>0</v>
      </c>
    </row>
    <row r="69" s="3" customFormat="1" customHeight="1" spans="1:9">
      <c r="A69" s="11">
        <v>64</v>
      </c>
      <c r="B69" s="18" t="s">
        <v>83</v>
      </c>
      <c r="C69" s="19"/>
      <c r="D69" s="20">
        <v>1</v>
      </c>
      <c r="E69" s="25">
        <f t="shared" si="16"/>
        <v>0</v>
      </c>
      <c r="F69" s="19"/>
      <c r="G69" s="15">
        <f t="shared" si="17"/>
        <v>0</v>
      </c>
      <c r="H69" s="20">
        <v>0.6</v>
      </c>
      <c r="I69" s="15">
        <f t="shared" si="15"/>
        <v>0</v>
      </c>
    </row>
    <row r="70" s="3" customFormat="1" customHeight="1" spans="1:9">
      <c r="A70" s="11">
        <v>65</v>
      </c>
      <c r="B70" s="18" t="s">
        <v>84</v>
      </c>
      <c r="C70" s="19"/>
      <c r="D70" s="20">
        <v>1</v>
      </c>
      <c r="E70" s="25">
        <f t="shared" si="16"/>
        <v>0</v>
      </c>
      <c r="F70" s="19"/>
      <c r="G70" s="15">
        <f t="shared" si="17"/>
        <v>0</v>
      </c>
      <c r="H70" s="20">
        <v>0.75</v>
      </c>
      <c r="I70" s="15">
        <f t="shared" si="15"/>
        <v>0</v>
      </c>
    </row>
    <row r="71" s="3" customFormat="1" customHeight="1" spans="1:9">
      <c r="A71" s="11">
        <v>66</v>
      </c>
      <c r="B71" s="18" t="s">
        <v>85</v>
      </c>
      <c r="C71" s="19"/>
      <c r="D71" s="20">
        <v>1</v>
      </c>
      <c r="E71" s="25">
        <f t="shared" si="16"/>
        <v>0</v>
      </c>
      <c r="F71" s="19"/>
      <c r="G71" s="15">
        <f t="shared" si="17"/>
        <v>0</v>
      </c>
      <c r="H71" s="20">
        <v>0.85</v>
      </c>
      <c r="I71" s="15">
        <f t="shared" si="15"/>
        <v>0</v>
      </c>
    </row>
    <row r="72" s="3" customFormat="1" customHeight="1" spans="1:9">
      <c r="A72" s="11">
        <v>67</v>
      </c>
      <c r="B72" s="18" t="s">
        <v>86</v>
      </c>
      <c r="C72" s="19"/>
      <c r="D72" s="20">
        <v>1</v>
      </c>
      <c r="E72" s="25">
        <f t="shared" si="16"/>
        <v>0</v>
      </c>
      <c r="F72" s="19"/>
      <c r="G72" s="15">
        <f t="shared" si="17"/>
        <v>0</v>
      </c>
      <c r="H72" s="20">
        <v>1</v>
      </c>
      <c r="I72" s="15">
        <f t="shared" si="15"/>
        <v>0</v>
      </c>
    </row>
    <row r="73" s="3" customFormat="1" customHeight="1" spans="1:9">
      <c r="A73" s="11">
        <v>68</v>
      </c>
      <c r="B73" s="18" t="s">
        <v>87</v>
      </c>
      <c r="C73" s="19"/>
      <c r="D73" s="20">
        <v>1</v>
      </c>
      <c r="E73" s="25">
        <f t="shared" si="16"/>
        <v>0</v>
      </c>
      <c r="F73" s="19"/>
      <c r="G73" s="15">
        <f t="shared" si="17"/>
        <v>0</v>
      </c>
      <c r="H73" s="20">
        <v>1.2</v>
      </c>
      <c r="I73" s="15">
        <f t="shared" si="15"/>
        <v>0</v>
      </c>
    </row>
    <row r="74" s="3" customFormat="1" customHeight="1" spans="1:9">
      <c r="A74" s="11">
        <v>69</v>
      </c>
      <c r="B74" s="18" t="s">
        <v>88</v>
      </c>
      <c r="C74" s="19"/>
      <c r="D74" s="20">
        <v>1</v>
      </c>
      <c r="E74" s="25">
        <f t="shared" si="16"/>
        <v>0</v>
      </c>
      <c r="F74" s="19"/>
      <c r="G74" s="15">
        <f t="shared" si="17"/>
        <v>0</v>
      </c>
      <c r="H74" s="20">
        <v>1.5</v>
      </c>
      <c r="I74" s="15">
        <f t="shared" si="15"/>
        <v>0</v>
      </c>
    </row>
    <row r="75" customHeight="1" spans="1:9">
      <c r="A75" s="11">
        <v>70</v>
      </c>
      <c r="B75" s="14" t="s">
        <v>89</v>
      </c>
      <c r="C75" s="15">
        <f>SUM(C76:C85)</f>
        <v>0</v>
      </c>
      <c r="D75" s="22"/>
      <c r="E75" s="15">
        <f>SUM(E76:E85)</f>
        <v>0</v>
      </c>
      <c r="F75" s="15">
        <f>SUM(F76:F85)</f>
        <v>0</v>
      </c>
      <c r="G75" s="15">
        <f>SUM(G76:G85)</f>
        <v>0</v>
      </c>
      <c r="H75" s="24"/>
      <c r="I75" s="15">
        <f>SUM(I76:I85)</f>
        <v>0</v>
      </c>
    </row>
    <row r="76" s="3" customFormat="1" customHeight="1" spans="1:9">
      <c r="A76" s="11">
        <v>71</v>
      </c>
      <c r="B76" s="18" t="s">
        <v>90</v>
      </c>
      <c r="C76" s="19"/>
      <c r="D76" s="20">
        <v>1</v>
      </c>
      <c r="E76" s="25">
        <f>C76*D76</f>
        <v>0</v>
      </c>
      <c r="F76" s="19"/>
      <c r="G76" s="15">
        <f>E76-F76</f>
        <v>0</v>
      </c>
      <c r="H76" s="20">
        <v>0</v>
      </c>
      <c r="I76" s="15">
        <f t="shared" ref="I76:I85" si="18">G76*H76</f>
        <v>0</v>
      </c>
    </row>
    <row r="77" s="3" customFormat="1" customHeight="1" spans="1:9">
      <c r="A77" s="11">
        <v>72</v>
      </c>
      <c r="B77" s="18" t="s">
        <v>91</v>
      </c>
      <c r="C77" s="19"/>
      <c r="D77" s="20">
        <v>1</v>
      </c>
      <c r="E77" s="25">
        <f t="shared" ref="E77:E85" si="19">C77*D77</f>
        <v>0</v>
      </c>
      <c r="F77" s="19"/>
      <c r="G77" s="15">
        <f t="shared" ref="G77:G85" si="20">E77-F77</f>
        <v>0</v>
      </c>
      <c r="H77" s="20">
        <v>0.2</v>
      </c>
      <c r="I77" s="15">
        <f t="shared" si="18"/>
        <v>0</v>
      </c>
    </row>
    <row r="78" s="3" customFormat="1" customHeight="1" spans="1:9">
      <c r="A78" s="11">
        <v>73</v>
      </c>
      <c r="B78" s="18" t="s">
        <v>92</v>
      </c>
      <c r="C78" s="19"/>
      <c r="D78" s="20">
        <v>1</v>
      </c>
      <c r="E78" s="25">
        <f t="shared" si="19"/>
        <v>0</v>
      </c>
      <c r="F78" s="19"/>
      <c r="G78" s="15">
        <f t="shared" si="20"/>
        <v>0</v>
      </c>
      <c r="H78" s="20">
        <v>0.3</v>
      </c>
      <c r="I78" s="15">
        <f t="shared" si="18"/>
        <v>0</v>
      </c>
    </row>
    <row r="79" s="3" customFormat="1" customHeight="1" spans="1:9">
      <c r="A79" s="11">
        <v>74</v>
      </c>
      <c r="B79" s="18" t="s">
        <v>93</v>
      </c>
      <c r="C79" s="19"/>
      <c r="D79" s="20">
        <v>1</v>
      </c>
      <c r="E79" s="25">
        <f t="shared" si="19"/>
        <v>0</v>
      </c>
      <c r="F79" s="19"/>
      <c r="G79" s="15">
        <f t="shared" si="20"/>
        <v>0</v>
      </c>
      <c r="H79" s="20">
        <v>0.5</v>
      </c>
      <c r="I79" s="15">
        <f t="shared" si="18"/>
        <v>0</v>
      </c>
    </row>
    <row r="80" s="3" customFormat="1" customHeight="1" spans="1:9">
      <c r="A80" s="11">
        <v>75</v>
      </c>
      <c r="B80" s="18" t="s">
        <v>94</v>
      </c>
      <c r="C80" s="19"/>
      <c r="D80" s="20">
        <v>1</v>
      </c>
      <c r="E80" s="25">
        <f t="shared" si="19"/>
        <v>0</v>
      </c>
      <c r="F80" s="19"/>
      <c r="G80" s="15">
        <f t="shared" si="20"/>
        <v>0</v>
      </c>
      <c r="H80" s="20">
        <v>0.6</v>
      </c>
      <c r="I80" s="15">
        <f t="shared" si="18"/>
        <v>0</v>
      </c>
    </row>
    <row r="81" s="3" customFormat="1" customHeight="1" spans="1:9">
      <c r="A81" s="11">
        <v>76</v>
      </c>
      <c r="B81" s="18" t="s">
        <v>95</v>
      </c>
      <c r="C81" s="19"/>
      <c r="D81" s="20">
        <v>1</v>
      </c>
      <c r="E81" s="25">
        <f t="shared" si="19"/>
        <v>0</v>
      </c>
      <c r="F81" s="19"/>
      <c r="G81" s="15">
        <f t="shared" si="20"/>
        <v>0</v>
      </c>
      <c r="H81" s="20">
        <v>0.75</v>
      </c>
      <c r="I81" s="15">
        <f t="shared" si="18"/>
        <v>0</v>
      </c>
    </row>
    <row r="82" s="3" customFormat="1" customHeight="1" spans="1:9">
      <c r="A82" s="11">
        <v>77</v>
      </c>
      <c r="B82" s="18" t="s">
        <v>96</v>
      </c>
      <c r="C82" s="19"/>
      <c r="D82" s="20">
        <v>1</v>
      </c>
      <c r="E82" s="25">
        <f t="shared" si="19"/>
        <v>0</v>
      </c>
      <c r="F82" s="19"/>
      <c r="G82" s="15">
        <f t="shared" si="20"/>
        <v>0</v>
      </c>
      <c r="H82" s="20">
        <v>0.85</v>
      </c>
      <c r="I82" s="15">
        <f t="shared" si="18"/>
        <v>0</v>
      </c>
    </row>
    <row r="83" s="3" customFormat="1" customHeight="1" spans="1:9">
      <c r="A83" s="11">
        <v>78</v>
      </c>
      <c r="B83" s="18" t="s">
        <v>97</v>
      </c>
      <c r="C83" s="19"/>
      <c r="D83" s="20">
        <v>1</v>
      </c>
      <c r="E83" s="25">
        <f t="shared" si="19"/>
        <v>0</v>
      </c>
      <c r="F83" s="19"/>
      <c r="G83" s="15">
        <f t="shared" si="20"/>
        <v>0</v>
      </c>
      <c r="H83" s="20">
        <v>1</v>
      </c>
      <c r="I83" s="15">
        <f t="shared" si="18"/>
        <v>0</v>
      </c>
    </row>
    <row r="84" s="3" customFormat="1" customHeight="1" spans="1:9">
      <c r="A84" s="11">
        <v>79</v>
      </c>
      <c r="B84" s="18" t="s">
        <v>98</v>
      </c>
      <c r="C84" s="19"/>
      <c r="D84" s="20">
        <v>1</v>
      </c>
      <c r="E84" s="25">
        <f t="shared" si="19"/>
        <v>0</v>
      </c>
      <c r="F84" s="19"/>
      <c r="G84" s="15">
        <f t="shared" si="20"/>
        <v>0</v>
      </c>
      <c r="H84" s="20">
        <v>1.2</v>
      </c>
      <c r="I84" s="15">
        <f t="shared" si="18"/>
        <v>0</v>
      </c>
    </row>
    <row r="85" s="3" customFormat="1" customHeight="1" spans="1:9">
      <c r="A85" s="11">
        <v>80</v>
      </c>
      <c r="B85" s="18" t="s">
        <v>99</v>
      </c>
      <c r="C85" s="19"/>
      <c r="D85" s="20">
        <v>1</v>
      </c>
      <c r="E85" s="25">
        <f t="shared" si="19"/>
        <v>0</v>
      </c>
      <c r="F85" s="19"/>
      <c r="G85" s="15">
        <f t="shared" si="20"/>
        <v>0</v>
      </c>
      <c r="H85" s="20">
        <v>1.5</v>
      </c>
      <c r="I85" s="15">
        <f t="shared" si="18"/>
        <v>0</v>
      </c>
    </row>
    <row r="86" customHeight="1" spans="1:9">
      <c r="A86" s="11">
        <v>81</v>
      </c>
      <c r="B86" s="14" t="s">
        <v>100</v>
      </c>
      <c r="C86" s="15">
        <f>SUM(C87:C96)</f>
        <v>0</v>
      </c>
      <c r="D86" s="16"/>
      <c r="E86" s="15">
        <f>SUM(E87:E96)</f>
        <v>0</v>
      </c>
      <c r="F86" s="15">
        <f>SUM(F87:F96)</f>
        <v>0</v>
      </c>
      <c r="G86" s="15">
        <f>SUM(G87:G96)</f>
        <v>0</v>
      </c>
      <c r="H86" s="24"/>
      <c r="I86" s="15">
        <f>SUM(I87:I96)</f>
        <v>0</v>
      </c>
    </row>
    <row r="87" customHeight="1" spans="1:9">
      <c r="A87" s="11">
        <v>82</v>
      </c>
      <c r="B87" s="18" t="s">
        <v>101</v>
      </c>
      <c r="C87" s="30"/>
      <c r="D87" s="21">
        <v>1</v>
      </c>
      <c r="E87" s="25">
        <f t="shared" ref="E87:E96" si="21">C87*D87</f>
        <v>0</v>
      </c>
      <c r="F87" s="30"/>
      <c r="G87" s="15">
        <f t="shared" ref="G87:G96" si="22">E87-F87</f>
        <v>0</v>
      </c>
      <c r="H87" s="20">
        <v>0</v>
      </c>
      <c r="I87" s="15">
        <f t="shared" ref="I87:I96" si="23">G87*H87</f>
        <v>0</v>
      </c>
    </row>
    <row r="88" customHeight="1" spans="1:9">
      <c r="A88" s="11">
        <v>83</v>
      </c>
      <c r="B88" s="18" t="s">
        <v>102</v>
      </c>
      <c r="C88" s="30"/>
      <c r="D88" s="21">
        <v>1</v>
      </c>
      <c r="E88" s="25">
        <f t="shared" si="21"/>
        <v>0</v>
      </c>
      <c r="F88" s="30"/>
      <c r="G88" s="15">
        <f t="shared" si="22"/>
        <v>0</v>
      </c>
      <c r="H88" s="20">
        <v>0.2</v>
      </c>
      <c r="I88" s="15">
        <f t="shared" si="23"/>
        <v>0</v>
      </c>
    </row>
    <row r="89" customHeight="1" spans="1:9">
      <c r="A89" s="11">
        <v>84</v>
      </c>
      <c r="B89" s="18" t="s">
        <v>103</v>
      </c>
      <c r="C89" s="30"/>
      <c r="D89" s="21">
        <v>1</v>
      </c>
      <c r="E89" s="25">
        <f t="shared" si="21"/>
        <v>0</v>
      </c>
      <c r="F89" s="30"/>
      <c r="G89" s="15">
        <f t="shared" si="22"/>
        <v>0</v>
      </c>
      <c r="H89" s="20">
        <v>0.3</v>
      </c>
      <c r="I89" s="15">
        <f t="shared" si="23"/>
        <v>0</v>
      </c>
    </row>
    <row r="90" customHeight="1" spans="1:9">
      <c r="A90" s="11">
        <v>85</v>
      </c>
      <c r="B90" s="18" t="s">
        <v>104</v>
      </c>
      <c r="C90" s="30"/>
      <c r="D90" s="21">
        <v>1</v>
      </c>
      <c r="E90" s="25">
        <f t="shared" si="21"/>
        <v>0</v>
      </c>
      <c r="F90" s="30"/>
      <c r="G90" s="15">
        <f t="shared" si="22"/>
        <v>0</v>
      </c>
      <c r="H90" s="20">
        <v>0.5</v>
      </c>
      <c r="I90" s="15">
        <f t="shared" si="23"/>
        <v>0</v>
      </c>
    </row>
    <row r="91" customHeight="1" spans="1:9">
      <c r="A91" s="11">
        <v>86</v>
      </c>
      <c r="B91" s="18" t="s">
        <v>105</v>
      </c>
      <c r="C91" s="30"/>
      <c r="D91" s="21">
        <v>1</v>
      </c>
      <c r="E91" s="25">
        <f t="shared" si="21"/>
        <v>0</v>
      </c>
      <c r="F91" s="30"/>
      <c r="G91" s="15">
        <f t="shared" si="22"/>
        <v>0</v>
      </c>
      <c r="H91" s="20">
        <v>0.6</v>
      </c>
      <c r="I91" s="15">
        <f t="shared" si="23"/>
        <v>0</v>
      </c>
    </row>
    <row r="92" customHeight="1" spans="1:9">
      <c r="A92" s="11">
        <v>87</v>
      </c>
      <c r="B92" s="18" t="s">
        <v>106</v>
      </c>
      <c r="C92" s="30"/>
      <c r="D92" s="21">
        <v>1</v>
      </c>
      <c r="E92" s="25">
        <f t="shared" si="21"/>
        <v>0</v>
      </c>
      <c r="F92" s="30"/>
      <c r="G92" s="15">
        <f t="shared" si="22"/>
        <v>0</v>
      </c>
      <c r="H92" s="20">
        <v>0.75</v>
      </c>
      <c r="I92" s="15">
        <f t="shared" si="23"/>
        <v>0</v>
      </c>
    </row>
    <row r="93" customHeight="1" spans="1:9">
      <c r="A93" s="11">
        <v>88</v>
      </c>
      <c r="B93" s="18" t="s">
        <v>107</v>
      </c>
      <c r="C93" s="30"/>
      <c r="D93" s="21">
        <v>1</v>
      </c>
      <c r="E93" s="25">
        <f t="shared" si="21"/>
        <v>0</v>
      </c>
      <c r="F93" s="30"/>
      <c r="G93" s="15">
        <f t="shared" si="22"/>
        <v>0</v>
      </c>
      <c r="H93" s="20">
        <v>0.85</v>
      </c>
      <c r="I93" s="15">
        <f t="shared" si="23"/>
        <v>0</v>
      </c>
    </row>
    <row r="94" customHeight="1" spans="1:9">
      <c r="A94" s="11">
        <v>89</v>
      </c>
      <c r="B94" s="18" t="s">
        <v>108</v>
      </c>
      <c r="C94" s="30"/>
      <c r="D94" s="21">
        <v>1</v>
      </c>
      <c r="E94" s="25">
        <f t="shared" si="21"/>
        <v>0</v>
      </c>
      <c r="F94" s="30"/>
      <c r="G94" s="15">
        <f t="shared" si="22"/>
        <v>0</v>
      </c>
      <c r="H94" s="20">
        <v>1</v>
      </c>
      <c r="I94" s="15">
        <f t="shared" si="23"/>
        <v>0</v>
      </c>
    </row>
    <row r="95" customHeight="1" spans="1:9">
      <c r="A95" s="11">
        <v>90</v>
      </c>
      <c r="B95" s="18" t="s">
        <v>109</v>
      </c>
      <c r="C95" s="30"/>
      <c r="D95" s="21">
        <v>1</v>
      </c>
      <c r="E95" s="25">
        <f t="shared" si="21"/>
        <v>0</v>
      </c>
      <c r="F95" s="30"/>
      <c r="G95" s="15">
        <f t="shared" si="22"/>
        <v>0</v>
      </c>
      <c r="H95" s="20">
        <v>1.2</v>
      </c>
      <c r="I95" s="15">
        <f t="shared" si="23"/>
        <v>0</v>
      </c>
    </row>
    <row r="96" customHeight="1" spans="1:9">
      <c r="A96" s="11">
        <v>91</v>
      </c>
      <c r="B96" s="18" t="s">
        <v>110</v>
      </c>
      <c r="C96" s="30"/>
      <c r="D96" s="21">
        <v>1</v>
      </c>
      <c r="E96" s="25">
        <f t="shared" si="21"/>
        <v>0</v>
      </c>
      <c r="F96" s="30"/>
      <c r="G96" s="15">
        <f t="shared" si="22"/>
        <v>0</v>
      </c>
      <c r="H96" s="20">
        <v>1.5</v>
      </c>
      <c r="I96" s="15">
        <f t="shared" si="23"/>
        <v>0</v>
      </c>
    </row>
    <row r="97" customHeight="1" spans="1:9">
      <c r="A97" s="11">
        <v>92</v>
      </c>
      <c r="B97" s="14" t="s">
        <v>111</v>
      </c>
      <c r="C97" s="15">
        <f>SUM(C98:C107)</f>
        <v>0</v>
      </c>
      <c r="D97" s="22"/>
      <c r="E97" s="15">
        <f>SUM(E98:E107)</f>
        <v>0</v>
      </c>
      <c r="F97" s="15">
        <f>SUM(F98:F107)</f>
        <v>0</v>
      </c>
      <c r="G97" s="15">
        <f>SUM(G98:G107)</f>
        <v>0</v>
      </c>
      <c r="H97" s="24"/>
      <c r="I97" s="15">
        <f>SUM(I98:I107)</f>
        <v>0</v>
      </c>
    </row>
    <row r="98" s="3" customFormat="1" customHeight="1" spans="1:9">
      <c r="A98" s="11">
        <v>93</v>
      </c>
      <c r="B98" s="18" t="s">
        <v>112</v>
      </c>
      <c r="C98" s="19"/>
      <c r="D98" s="20">
        <v>1</v>
      </c>
      <c r="E98" s="25">
        <f>C98*D98</f>
        <v>0</v>
      </c>
      <c r="F98" s="19"/>
      <c r="G98" s="15">
        <f>E98-F98</f>
        <v>0</v>
      </c>
      <c r="H98" s="20">
        <v>0</v>
      </c>
      <c r="I98" s="15">
        <f t="shared" ref="I98:I107" si="24">G98*H98</f>
        <v>0</v>
      </c>
    </row>
    <row r="99" s="3" customFormat="1" customHeight="1" spans="1:9">
      <c r="A99" s="11">
        <v>94</v>
      </c>
      <c r="B99" s="18" t="s">
        <v>113</v>
      </c>
      <c r="C99" s="19"/>
      <c r="D99" s="20">
        <v>1</v>
      </c>
      <c r="E99" s="25">
        <f t="shared" ref="E99:E107" si="25">C99*D99</f>
        <v>0</v>
      </c>
      <c r="F99" s="19"/>
      <c r="G99" s="15">
        <f t="shared" ref="G99:G107" si="26">E99-F99</f>
        <v>0</v>
      </c>
      <c r="H99" s="20">
        <v>0.2</v>
      </c>
      <c r="I99" s="15">
        <f t="shared" si="24"/>
        <v>0</v>
      </c>
    </row>
    <row r="100" s="3" customFormat="1" customHeight="1" spans="1:9">
      <c r="A100" s="11">
        <v>95</v>
      </c>
      <c r="B100" s="18" t="s">
        <v>114</v>
      </c>
      <c r="C100" s="19"/>
      <c r="D100" s="20">
        <v>1</v>
      </c>
      <c r="E100" s="25">
        <f t="shared" si="25"/>
        <v>0</v>
      </c>
      <c r="F100" s="19"/>
      <c r="G100" s="15">
        <f t="shared" si="26"/>
        <v>0</v>
      </c>
      <c r="H100" s="20">
        <v>0.3</v>
      </c>
      <c r="I100" s="15">
        <f t="shared" si="24"/>
        <v>0</v>
      </c>
    </row>
    <row r="101" s="3" customFormat="1" customHeight="1" spans="1:9">
      <c r="A101" s="11">
        <v>96</v>
      </c>
      <c r="B101" s="18" t="s">
        <v>115</v>
      </c>
      <c r="C101" s="19"/>
      <c r="D101" s="20">
        <v>1</v>
      </c>
      <c r="E101" s="25">
        <f t="shared" si="25"/>
        <v>0</v>
      </c>
      <c r="F101" s="19"/>
      <c r="G101" s="15">
        <f t="shared" si="26"/>
        <v>0</v>
      </c>
      <c r="H101" s="20">
        <v>0.5</v>
      </c>
      <c r="I101" s="15">
        <f t="shared" si="24"/>
        <v>0</v>
      </c>
    </row>
    <row r="102" s="3" customFormat="1" customHeight="1" spans="1:9">
      <c r="A102" s="11">
        <v>97</v>
      </c>
      <c r="B102" s="18" t="s">
        <v>116</v>
      </c>
      <c r="C102" s="19"/>
      <c r="D102" s="20">
        <v>1</v>
      </c>
      <c r="E102" s="25">
        <f t="shared" si="25"/>
        <v>0</v>
      </c>
      <c r="F102" s="19"/>
      <c r="G102" s="15">
        <f t="shared" si="26"/>
        <v>0</v>
      </c>
      <c r="H102" s="20">
        <v>0.6</v>
      </c>
      <c r="I102" s="15">
        <f t="shared" si="24"/>
        <v>0</v>
      </c>
    </row>
    <row r="103" s="3" customFormat="1" customHeight="1" spans="1:9">
      <c r="A103" s="11">
        <v>98</v>
      </c>
      <c r="B103" s="18" t="s">
        <v>117</v>
      </c>
      <c r="C103" s="19"/>
      <c r="D103" s="20">
        <v>1</v>
      </c>
      <c r="E103" s="25">
        <f t="shared" si="25"/>
        <v>0</v>
      </c>
      <c r="F103" s="19"/>
      <c r="G103" s="15">
        <f t="shared" si="26"/>
        <v>0</v>
      </c>
      <c r="H103" s="20">
        <v>0.75</v>
      </c>
      <c r="I103" s="15">
        <f t="shared" si="24"/>
        <v>0</v>
      </c>
    </row>
    <row r="104" s="3" customFormat="1" customHeight="1" spans="1:9">
      <c r="A104" s="11">
        <v>99</v>
      </c>
      <c r="B104" s="18" t="s">
        <v>118</v>
      </c>
      <c r="C104" s="19"/>
      <c r="D104" s="20">
        <v>1</v>
      </c>
      <c r="E104" s="25">
        <f t="shared" si="25"/>
        <v>0</v>
      </c>
      <c r="F104" s="19"/>
      <c r="G104" s="15">
        <f t="shared" si="26"/>
        <v>0</v>
      </c>
      <c r="H104" s="20">
        <v>0.85</v>
      </c>
      <c r="I104" s="15">
        <f t="shared" si="24"/>
        <v>0</v>
      </c>
    </row>
    <row r="105" s="3" customFormat="1" customHeight="1" spans="1:9">
      <c r="A105" s="11">
        <v>100</v>
      </c>
      <c r="B105" s="18" t="s">
        <v>119</v>
      </c>
      <c r="C105" s="19"/>
      <c r="D105" s="20">
        <v>1</v>
      </c>
      <c r="E105" s="25">
        <f t="shared" si="25"/>
        <v>0</v>
      </c>
      <c r="F105" s="19"/>
      <c r="G105" s="15">
        <f t="shared" si="26"/>
        <v>0</v>
      </c>
      <c r="H105" s="20">
        <v>1</v>
      </c>
      <c r="I105" s="15">
        <f t="shared" si="24"/>
        <v>0</v>
      </c>
    </row>
    <row r="106" s="3" customFormat="1" customHeight="1" spans="1:9">
      <c r="A106" s="11">
        <v>101</v>
      </c>
      <c r="B106" s="18" t="s">
        <v>120</v>
      </c>
      <c r="C106" s="19"/>
      <c r="D106" s="20">
        <v>1</v>
      </c>
      <c r="E106" s="25">
        <f t="shared" si="25"/>
        <v>0</v>
      </c>
      <c r="F106" s="19"/>
      <c r="G106" s="15">
        <f t="shared" si="26"/>
        <v>0</v>
      </c>
      <c r="H106" s="20">
        <v>1.2</v>
      </c>
      <c r="I106" s="15">
        <f t="shared" si="24"/>
        <v>0</v>
      </c>
    </row>
    <row r="107" s="3" customFormat="1" customHeight="1" spans="1:9">
      <c r="A107" s="11">
        <v>102</v>
      </c>
      <c r="B107" s="18" t="s">
        <v>121</v>
      </c>
      <c r="C107" s="19"/>
      <c r="D107" s="20">
        <v>1</v>
      </c>
      <c r="E107" s="25">
        <f t="shared" si="25"/>
        <v>0</v>
      </c>
      <c r="F107" s="19"/>
      <c r="G107" s="15">
        <f t="shared" si="26"/>
        <v>0</v>
      </c>
      <c r="H107" s="20">
        <v>1.5</v>
      </c>
      <c r="I107" s="15">
        <f t="shared" si="24"/>
        <v>0</v>
      </c>
    </row>
    <row r="108" customHeight="1" spans="1:9">
      <c r="A108" s="11">
        <v>103</v>
      </c>
      <c r="B108" s="17" t="s">
        <v>122</v>
      </c>
      <c r="C108" s="15">
        <f>SUM(C109:C118)</f>
        <v>0</v>
      </c>
      <c r="D108" s="22"/>
      <c r="E108" s="15">
        <f>SUM(E109:E118)</f>
        <v>0</v>
      </c>
      <c r="F108" s="15">
        <f>SUM(F109:F118)</f>
        <v>0</v>
      </c>
      <c r="G108" s="15">
        <f>SUM(G109:G118)</f>
        <v>0</v>
      </c>
      <c r="H108" s="24"/>
      <c r="I108" s="15">
        <f>SUM(I109:I118)</f>
        <v>0</v>
      </c>
    </row>
    <row r="109" s="3" customFormat="1" customHeight="1" spans="1:9">
      <c r="A109" s="11">
        <v>104</v>
      </c>
      <c r="B109" s="18" t="s">
        <v>123</v>
      </c>
      <c r="C109" s="19"/>
      <c r="D109" s="20">
        <v>1</v>
      </c>
      <c r="E109" s="25">
        <f>C109*D109</f>
        <v>0</v>
      </c>
      <c r="F109" s="19"/>
      <c r="G109" s="15">
        <f>E109-F109</f>
        <v>0</v>
      </c>
      <c r="H109" s="20">
        <v>0</v>
      </c>
      <c r="I109" s="15">
        <f t="shared" ref="I109:I118" si="27">G109*H109</f>
        <v>0</v>
      </c>
    </row>
    <row r="110" s="3" customFormat="1" customHeight="1" spans="1:9">
      <c r="A110" s="11">
        <v>105</v>
      </c>
      <c r="B110" s="18" t="s">
        <v>124</v>
      </c>
      <c r="C110" s="19"/>
      <c r="D110" s="20">
        <v>1</v>
      </c>
      <c r="E110" s="25">
        <f t="shared" ref="E110:E118" si="28">C110*D110</f>
        <v>0</v>
      </c>
      <c r="F110" s="19"/>
      <c r="G110" s="15">
        <f t="shared" ref="G110:G118" si="29">E110-F110</f>
        <v>0</v>
      </c>
      <c r="H110" s="20">
        <v>0.2</v>
      </c>
      <c r="I110" s="15">
        <f t="shared" si="27"/>
        <v>0</v>
      </c>
    </row>
    <row r="111" s="3" customFormat="1" customHeight="1" spans="1:9">
      <c r="A111" s="11">
        <v>106</v>
      </c>
      <c r="B111" s="18" t="s">
        <v>125</v>
      </c>
      <c r="C111" s="19"/>
      <c r="D111" s="20">
        <v>1</v>
      </c>
      <c r="E111" s="25">
        <f t="shared" si="28"/>
        <v>0</v>
      </c>
      <c r="F111" s="19"/>
      <c r="G111" s="15">
        <f t="shared" si="29"/>
        <v>0</v>
      </c>
      <c r="H111" s="20">
        <v>0.3</v>
      </c>
      <c r="I111" s="15">
        <f t="shared" si="27"/>
        <v>0</v>
      </c>
    </row>
    <row r="112" s="3" customFormat="1" customHeight="1" spans="1:9">
      <c r="A112" s="11">
        <v>107</v>
      </c>
      <c r="B112" s="18" t="s">
        <v>126</v>
      </c>
      <c r="C112" s="19"/>
      <c r="D112" s="20">
        <v>1</v>
      </c>
      <c r="E112" s="25">
        <f t="shared" si="28"/>
        <v>0</v>
      </c>
      <c r="F112" s="19"/>
      <c r="G112" s="15">
        <f t="shared" si="29"/>
        <v>0</v>
      </c>
      <c r="H112" s="20">
        <v>0.5</v>
      </c>
      <c r="I112" s="15">
        <f t="shared" si="27"/>
        <v>0</v>
      </c>
    </row>
    <row r="113" s="3" customFormat="1" customHeight="1" spans="1:9">
      <c r="A113" s="11">
        <v>108</v>
      </c>
      <c r="B113" s="18" t="s">
        <v>127</v>
      </c>
      <c r="C113" s="19"/>
      <c r="D113" s="20">
        <v>1</v>
      </c>
      <c r="E113" s="25">
        <f t="shared" si="28"/>
        <v>0</v>
      </c>
      <c r="F113" s="19"/>
      <c r="G113" s="15">
        <f t="shared" si="29"/>
        <v>0</v>
      </c>
      <c r="H113" s="20">
        <v>0.6</v>
      </c>
      <c r="I113" s="15">
        <f t="shared" si="27"/>
        <v>0</v>
      </c>
    </row>
    <row r="114" s="3" customFormat="1" customHeight="1" spans="1:9">
      <c r="A114" s="11">
        <v>109</v>
      </c>
      <c r="B114" s="18" t="s">
        <v>128</v>
      </c>
      <c r="C114" s="19"/>
      <c r="D114" s="20">
        <v>1</v>
      </c>
      <c r="E114" s="25">
        <f t="shared" si="28"/>
        <v>0</v>
      </c>
      <c r="F114" s="19"/>
      <c r="G114" s="15">
        <f t="shared" si="29"/>
        <v>0</v>
      </c>
      <c r="H114" s="20">
        <v>0.75</v>
      </c>
      <c r="I114" s="15">
        <f t="shared" si="27"/>
        <v>0</v>
      </c>
    </row>
    <row r="115" s="3" customFormat="1" customHeight="1" spans="1:9">
      <c r="A115" s="11">
        <v>110</v>
      </c>
      <c r="B115" s="18" t="s">
        <v>129</v>
      </c>
      <c r="C115" s="19"/>
      <c r="D115" s="20">
        <v>1</v>
      </c>
      <c r="E115" s="25">
        <f t="shared" si="28"/>
        <v>0</v>
      </c>
      <c r="F115" s="19"/>
      <c r="G115" s="15">
        <f t="shared" si="29"/>
        <v>0</v>
      </c>
      <c r="H115" s="20">
        <v>0.85</v>
      </c>
      <c r="I115" s="15">
        <f t="shared" si="27"/>
        <v>0</v>
      </c>
    </row>
    <row r="116" s="3" customFormat="1" customHeight="1" spans="1:9">
      <c r="A116" s="11">
        <v>111</v>
      </c>
      <c r="B116" s="18" t="s">
        <v>130</v>
      </c>
      <c r="C116" s="19"/>
      <c r="D116" s="20">
        <v>1</v>
      </c>
      <c r="E116" s="25">
        <f t="shared" si="28"/>
        <v>0</v>
      </c>
      <c r="F116" s="19"/>
      <c r="G116" s="15">
        <f t="shared" si="29"/>
        <v>0</v>
      </c>
      <c r="H116" s="20">
        <v>1</v>
      </c>
      <c r="I116" s="15">
        <f t="shared" si="27"/>
        <v>0</v>
      </c>
    </row>
    <row r="117" s="3" customFormat="1" customHeight="1" spans="1:9">
      <c r="A117" s="11">
        <v>112</v>
      </c>
      <c r="B117" s="18" t="s">
        <v>131</v>
      </c>
      <c r="C117" s="19"/>
      <c r="D117" s="20">
        <v>1</v>
      </c>
      <c r="E117" s="25">
        <f t="shared" si="28"/>
        <v>0</v>
      </c>
      <c r="F117" s="19"/>
      <c r="G117" s="15">
        <f t="shared" si="29"/>
        <v>0</v>
      </c>
      <c r="H117" s="20">
        <v>1.2</v>
      </c>
      <c r="I117" s="15">
        <f t="shared" si="27"/>
        <v>0</v>
      </c>
    </row>
    <row r="118" s="3" customFormat="1" customHeight="1" spans="1:9">
      <c r="A118" s="11">
        <v>113</v>
      </c>
      <c r="B118" s="18" t="s">
        <v>132</v>
      </c>
      <c r="C118" s="19"/>
      <c r="D118" s="20">
        <v>1</v>
      </c>
      <c r="E118" s="25">
        <f t="shared" si="28"/>
        <v>0</v>
      </c>
      <c r="F118" s="19"/>
      <c r="G118" s="15">
        <f t="shared" si="29"/>
        <v>0</v>
      </c>
      <c r="H118" s="20">
        <v>1.5</v>
      </c>
      <c r="I118" s="15">
        <f t="shared" si="27"/>
        <v>0</v>
      </c>
    </row>
    <row r="119" customHeight="1" spans="1:9">
      <c r="A119" s="11">
        <v>114</v>
      </c>
      <c r="B119" s="17" t="s">
        <v>133</v>
      </c>
      <c r="C119" s="15">
        <f>SUM(C120:C129)</f>
        <v>0</v>
      </c>
      <c r="D119" s="22"/>
      <c r="E119" s="15">
        <f>SUM(E120:E129)</f>
        <v>0</v>
      </c>
      <c r="F119" s="15">
        <f>SUM(F120:F129)</f>
        <v>0</v>
      </c>
      <c r="G119" s="15">
        <f>SUM(G120:G129)</f>
        <v>0</v>
      </c>
      <c r="H119" s="24"/>
      <c r="I119" s="15">
        <f>SUM(I120:I129)</f>
        <v>0</v>
      </c>
    </row>
    <row r="120" s="3" customFormat="1" customHeight="1" spans="1:9">
      <c r="A120" s="11">
        <v>115</v>
      </c>
      <c r="B120" s="18" t="s">
        <v>134</v>
      </c>
      <c r="C120" s="19"/>
      <c r="D120" s="20">
        <v>1</v>
      </c>
      <c r="E120" s="25">
        <f>C120*D120</f>
        <v>0</v>
      </c>
      <c r="F120" s="19"/>
      <c r="G120" s="15">
        <f>E120-F120</f>
        <v>0</v>
      </c>
      <c r="H120" s="20">
        <v>0</v>
      </c>
      <c r="I120" s="15">
        <f t="shared" ref="I120:I129" si="30">G120*H120</f>
        <v>0</v>
      </c>
    </row>
    <row r="121" s="3" customFormat="1" customHeight="1" spans="1:9">
      <c r="A121" s="11">
        <v>116</v>
      </c>
      <c r="B121" s="18" t="s">
        <v>135</v>
      </c>
      <c r="C121" s="19"/>
      <c r="D121" s="20">
        <v>1</v>
      </c>
      <c r="E121" s="25">
        <f t="shared" ref="E121:E129" si="31">C121*D121</f>
        <v>0</v>
      </c>
      <c r="F121" s="19"/>
      <c r="G121" s="15">
        <f t="shared" ref="G121:G129" si="32">E121-F121</f>
        <v>0</v>
      </c>
      <c r="H121" s="20">
        <v>0.2</v>
      </c>
      <c r="I121" s="15">
        <f t="shared" si="30"/>
        <v>0</v>
      </c>
    </row>
    <row r="122" s="3" customFormat="1" customHeight="1" spans="1:9">
      <c r="A122" s="11">
        <v>117</v>
      </c>
      <c r="B122" s="18" t="s">
        <v>136</v>
      </c>
      <c r="C122" s="19"/>
      <c r="D122" s="20">
        <v>1</v>
      </c>
      <c r="E122" s="25">
        <f t="shared" si="31"/>
        <v>0</v>
      </c>
      <c r="F122" s="19"/>
      <c r="G122" s="15">
        <f t="shared" si="32"/>
        <v>0</v>
      </c>
      <c r="H122" s="20">
        <v>0.3</v>
      </c>
      <c r="I122" s="15">
        <f t="shared" si="30"/>
        <v>0</v>
      </c>
    </row>
    <row r="123" s="3" customFormat="1" customHeight="1" spans="1:9">
      <c r="A123" s="11">
        <v>118</v>
      </c>
      <c r="B123" s="18" t="s">
        <v>137</v>
      </c>
      <c r="C123" s="19"/>
      <c r="D123" s="20">
        <v>1</v>
      </c>
      <c r="E123" s="25">
        <f t="shared" si="31"/>
        <v>0</v>
      </c>
      <c r="F123" s="19"/>
      <c r="G123" s="15">
        <f t="shared" si="32"/>
        <v>0</v>
      </c>
      <c r="H123" s="20">
        <v>0.5</v>
      </c>
      <c r="I123" s="15">
        <f t="shared" si="30"/>
        <v>0</v>
      </c>
    </row>
    <row r="124" s="3" customFormat="1" customHeight="1" spans="1:9">
      <c r="A124" s="11">
        <v>119</v>
      </c>
      <c r="B124" s="18" t="s">
        <v>138</v>
      </c>
      <c r="C124" s="19"/>
      <c r="D124" s="20">
        <v>1</v>
      </c>
      <c r="E124" s="25">
        <f t="shared" si="31"/>
        <v>0</v>
      </c>
      <c r="F124" s="19"/>
      <c r="G124" s="15">
        <f t="shared" si="32"/>
        <v>0</v>
      </c>
      <c r="H124" s="20">
        <v>0.6</v>
      </c>
      <c r="I124" s="15">
        <f t="shared" si="30"/>
        <v>0</v>
      </c>
    </row>
    <row r="125" s="3" customFormat="1" customHeight="1" spans="1:9">
      <c r="A125" s="11">
        <v>120</v>
      </c>
      <c r="B125" s="18" t="s">
        <v>139</v>
      </c>
      <c r="C125" s="19"/>
      <c r="D125" s="20">
        <v>1</v>
      </c>
      <c r="E125" s="25">
        <f t="shared" si="31"/>
        <v>0</v>
      </c>
      <c r="F125" s="19"/>
      <c r="G125" s="15">
        <f t="shared" si="32"/>
        <v>0</v>
      </c>
      <c r="H125" s="20">
        <v>0.75</v>
      </c>
      <c r="I125" s="15">
        <f t="shared" si="30"/>
        <v>0</v>
      </c>
    </row>
    <row r="126" s="3" customFormat="1" customHeight="1" spans="1:9">
      <c r="A126" s="11">
        <v>121</v>
      </c>
      <c r="B126" s="18" t="s">
        <v>140</v>
      </c>
      <c r="C126" s="19"/>
      <c r="D126" s="20">
        <v>1</v>
      </c>
      <c r="E126" s="25">
        <f t="shared" si="31"/>
        <v>0</v>
      </c>
      <c r="F126" s="19"/>
      <c r="G126" s="15">
        <f t="shared" si="32"/>
        <v>0</v>
      </c>
      <c r="H126" s="20">
        <v>0.85</v>
      </c>
      <c r="I126" s="15">
        <f t="shared" si="30"/>
        <v>0</v>
      </c>
    </row>
    <row r="127" s="3" customFormat="1" customHeight="1" spans="1:9">
      <c r="A127" s="11">
        <v>122</v>
      </c>
      <c r="B127" s="18" t="s">
        <v>141</v>
      </c>
      <c r="C127" s="19"/>
      <c r="D127" s="20">
        <v>1</v>
      </c>
      <c r="E127" s="25">
        <f t="shared" si="31"/>
        <v>0</v>
      </c>
      <c r="F127" s="19"/>
      <c r="G127" s="15">
        <f t="shared" si="32"/>
        <v>0</v>
      </c>
      <c r="H127" s="20">
        <v>1</v>
      </c>
      <c r="I127" s="15">
        <f t="shared" si="30"/>
        <v>0</v>
      </c>
    </row>
    <row r="128" s="3" customFormat="1" customHeight="1" spans="1:9">
      <c r="A128" s="11">
        <v>123</v>
      </c>
      <c r="B128" s="18" t="s">
        <v>142</v>
      </c>
      <c r="C128" s="19"/>
      <c r="D128" s="20">
        <v>1</v>
      </c>
      <c r="E128" s="25">
        <f t="shared" si="31"/>
        <v>0</v>
      </c>
      <c r="F128" s="19"/>
      <c r="G128" s="15">
        <f t="shared" si="32"/>
        <v>0</v>
      </c>
      <c r="H128" s="20">
        <v>1.2</v>
      </c>
      <c r="I128" s="15">
        <f t="shared" si="30"/>
        <v>0</v>
      </c>
    </row>
    <row r="129" s="3" customFormat="1" customHeight="1" spans="1:9">
      <c r="A129" s="11">
        <v>124</v>
      </c>
      <c r="B129" s="18" t="s">
        <v>143</v>
      </c>
      <c r="C129" s="19"/>
      <c r="D129" s="20">
        <v>1</v>
      </c>
      <c r="E129" s="25">
        <f t="shared" si="31"/>
        <v>0</v>
      </c>
      <c r="F129" s="19"/>
      <c r="G129" s="15">
        <f t="shared" si="32"/>
        <v>0</v>
      </c>
      <c r="H129" s="20">
        <v>1.5</v>
      </c>
      <c r="I129" s="15">
        <f t="shared" si="30"/>
        <v>0</v>
      </c>
    </row>
    <row r="130" customHeight="1" spans="1:9">
      <c r="A130" s="11">
        <v>125</v>
      </c>
      <c r="B130" s="17" t="s">
        <v>144</v>
      </c>
      <c r="C130" s="15">
        <f>SUM(C131:C140)</f>
        <v>0</v>
      </c>
      <c r="D130" s="22"/>
      <c r="E130" s="15">
        <f>SUM(E131:E140)</f>
        <v>0</v>
      </c>
      <c r="F130" s="15">
        <f>SUM(F131:F140)</f>
        <v>0</v>
      </c>
      <c r="G130" s="15">
        <f>SUM(G131:G140)</f>
        <v>0</v>
      </c>
      <c r="H130" s="22"/>
      <c r="I130" s="15">
        <f>SUM(I131:I140)</f>
        <v>0</v>
      </c>
    </row>
    <row r="131" s="4" customFormat="1" customHeight="1" spans="1:10">
      <c r="A131" s="11">
        <v>126</v>
      </c>
      <c r="B131" s="18" t="s">
        <v>145</v>
      </c>
      <c r="C131" s="19"/>
      <c r="D131" s="20">
        <v>1</v>
      </c>
      <c r="E131" s="25">
        <f>C131*D131</f>
        <v>0</v>
      </c>
      <c r="F131" s="19"/>
      <c r="G131" s="15">
        <f>E131-F131</f>
        <v>0</v>
      </c>
      <c r="H131" s="20">
        <v>0</v>
      </c>
      <c r="I131" s="15">
        <f t="shared" ref="I131:I140" si="33">G131*H131</f>
        <v>0</v>
      </c>
      <c r="J131" s="39"/>
    </row>
    <row r="132" s="4" customFormat="1" customHeight="1" spans="1:10">
      <c r="A132" s="11">
        <v>127</v>
      </c>
      <c r="B132" s="18" t="s">
        <v>146</v>
      </c>
      <c r="C132" s="19"/>
      <c r="D132" s="20">
        <v>1</v>
      </c>
      <c r="E132" s="25">
        <f t="shared" ref="E132:E140" si="34">C132*D132</f>
        <v>0</v>
      </c>
      <c r="F132" s="19"/>
      <c r="G132" s="15">
        <f t="shared" ref="G132:G140" si="35">E132-F132</f>
        <v>0</v>
      </c>
      <c r="H132" s="20">
        <v>0.2</v>
      </c>
      <c r="I132" s="15">
        <f t="shared" si="33"/>
        <v>0</v>
      </c>
      <c r="J132" s="39"/>
    </row>
    <row r="133" s="4" customFormat="1" customHeight="1" spans="1:10">
      <c r="A133" s="11">
        <v>128</v>
      </c>
      <c r="B133" s="18" t="s">
        <v>147</v>
      </c>
      <c r="C133" s="19"/>
      <c r="D133" s="20">
        <v>1</v>
      </c>
      <c r="E133" s="25">
        <f t="shared" si="34"/>
        <v>0</v>
      </c>
      <c r="F133" s="19"/>
      <c r="G133" s="15">
        <f t="shared" si="35"/>
        <v>0</v>
      </c>
      <c r="H133" s="20">
        <v>0.3</v>
      </c>
      <c r="I133" s="15">
        <f t="shared" si="33"/>
        <v>0</v>
      </c>
      <c r="J133" s="39"/>
    </row>
    <row r="134" s="4" customFormat="1" customHeight="1" spans="1:10">
      <c r="A134" s="11">
        <v>129</v>
      </c>
      <c r="B134" s="18" t="s">
        <v>148</v>
      </c>
      <c r="C134" s="19"/>
      <c r="D134" s="20">
        <v>1</v>
      </c>
      <c r="E134" s="25">
        <f t="shared" si="34"/>
        <v>0</v>
      </c>
      <c r="F134" s="19"/>
      <c r="G134" s="15">
        <f t="shared" si="35"/>
        <v>0</v>
      </c>
      <c r="H134" s="20">
        <v>0.5</v>
      </c>
      <c r="I134" s="15">
        <f t="shared" si="33"/>
        <v>0</v>
      </c>
      <c r="J134" s="39"/>
    </row>
    <row r="135" s="4" customFormat="1" customHeight="1" spans="1:10">
      <c r="A135" s="11">
        <v>130</v>
      </c>
      <c r="B135" s="18" t="s">
        <v>149</v>
      </c>
      <c r="C135" s="19"/>
      <c r="D135" s="20">
        <v>1</v>
      </c>
      <c r="E135" s="25">
        <f t="shared" si="34"/>
        <v>0</v>
      </c>
      <c r="F135" s="19"/>
      <c r="G135" s="15">
        <f t="shared" si="35"/>
        <v>0</v>
      </c>
      <c r="H135" s="20">
        <v>0.6</v>
      </c>
      <c r="I135" s="15">
        <f t="shared" si="33"/>
        <v>0</v>
      </c>
      <c r="J135" s="39"/>
    </row>
    <row r="136" s="4" customFormat="1" customHeight="1" spans="1:10">
      <c r="A136" s="11">
        <v>131</v>
      </c>
      <c r="B136" s="18" t="s">
        <v>150</v>
      </c>
      <c r="C136" s="19"/>
      <c r="D136" s="20">
        <v>1</v>
      </c>
      <c r="E136" s="25">
        <f t="shared" si="34"/>
        <v>0</v>
      </c>
      <c r="F136" s="19"/>
      <c r="G136" s="15">
        <f t="shared" si="35"/>
        <v>0</v>
      </c>
      <c r="H136" s="20">
        <v>0.75</v>
      </c>
      <c r="I136" s="15">
        <f t="shared" si="33"/>
        <v>0</v>
      </c>
      <c r="J136" s="39"/>
    </row>
    <row r="137" s="4" customFormat="1" customHeight="1" spans="1:10">
      <c r="A137" s="11">
        <v>132</v>
      </c>
      <c r="B137" s="18" t="s">
        <v>151</v>
      </c>
      <c r="C137" s="19"/>
      <c r="D137" s="20">
        <v>1</v>
      </c>
      <c r="E137" s="25">
        <f t="shared" si="34"/>
        <v>0</v>
      </c>
      <c r="F137" s="19"/>
      <c r="G137" s="15">
        <f t="shared" si="35"/>
        <v>0</v>
      </c>
      <c r="H137" s="20">
        <v>0.85</v>
      </c>
      <c r="I137" s="15">
        <f t="shared" si="33"/>
        <v>0</v>
      </c>
      <c r="J137" s="39"/>
    </row>
    <row r="138" s="4" customFormat="1" customHeight="1" spans="1:10">
      <c r="A138" s="11">
        <v>133</v>
      </c>
      <c r="B138" s="18" t="s">
        <v>152</v>
      </c>
      <c r="C138" s="19"/>
      <c r="D138" s="20">
        <v>1</v>
      </c>
      <c r="E138" s="25">
        <f t="shared" si="34"/>
        <v>0</v>
      </c>
      <c r="F138" s="19"/>
      <c r="G138" s="15">
        <f t="shared" si="35"/>
        <v>0</v>
      </c>
      <c r="H138" s="20">
        <v>1</v>
      </c>
      <c r="I138" s="15">
        <f t="shared" si="33"/>
        <v>0</v>
      </c>
      <c r="J138" s="39"/>
    </row>
    <row r="139" s="4" customFormat="1" customHeight="1" spans="1:10">
      <c r="A139" s="11">
        <v>134</v>
      </c>
      <c r="B139" s="18" t="s">
        <v>153</v>
      </c>
      <c r="C139" s="19"/>
      <c r="D139" s="20">
        <v>1</v>
      </c>
      <c r="E139" s="25">
        <f t="shared" si="34"/>
        <v>0</v>
      </c>
      <c r="F139" s="19"/>
      <c r="G139" s="15">
        <f t="shared" si="35"/>
        <v>0</v>
      </c>
      <c r="H139" s="20">
        <v>1.2</v>
      </c>
      <c r="I139" s="15">
        <f t="shared" si="33"/>
        <v>0</v>
      </c>
      <c r="J139" s="39"/>
    </row>
    <row r="140" s="4" customFormat="1" customHeight="1" spans="1:10">
      <c r="A140" s="11">
        <v>135</v>
      </c>
      <c r="B140" s="18" t="s">
        <v>154</v>
      </c>
      <c r="C140" s="19"/>
      <c r="D140" s="20">
        <v>1</v>
      </c>
      <c r="E140" s="25">
        <f t="shared" si="34"/>
        <v>0</v>
      </c>
      <c r="F140" s="19"/>
      <c r="G140" s="15">
        <f t="shared" si="35"/>
        <v>0</v>
      </c>
      <c r="H140" s="20">
        <v>1.5</v>
      </c>
      <c r="I140" s="15">
        <f t="shared" si="33"/>
        <v>0</v>
      </c>
      <c r="J140" s="39"/>
    </row>
    <row r="141" customHeight="1" spans="1:9">
      <c r="A141" s="11">
        <v>136</v>
      </c>
      <c r="B141" s="17" t="s">
        <v>155</v>
      </c>
      <c r="C141" s="15">
        <f>SUM(C6,C52)</f>
        <v>0</v>
      </c>
      <c r="D141" s="24"/>
      <c r="E141" s="15">
        <f>SUM(E6,E52)</f>
        <v>0</v>
      </c>
      <c r="F141" s="15">
        <f>SUM(F6,F52)</f>
        <v>0</v>
      </c>
      <c r="G141" s="15">
        <f>SUM(G6,G52)</f>
        <v>0</v>
      </c>
      <c r="H141" s="24"/>
      <c r="I141" s="15">
        <f>SUM(I6,I52)</f>
        <v>0</v>
      </c>
    </row>
    <row r="142" s="5" customFormat="1" customHeight="1" spans="1:9">
      <c r="A142" s="31" t="s">
        <v>156</v>
      </c>
      <c r="B142" s="31"/>
      <c r="C142" s="32" t="s">
        <v>157</v>
      </c>
      <c r="D142" s="33"/>
      <c r="E142" s="33"/>
      <c r="F142" s="33"/>
      <c r="G142" s="33"/>
      <c r="H142" s="32"/>
      <c r="I142" s="32"/>
    </row>
    <row r="143" customHeight="1" spans="1:3">
      <c r="A143" s="34"/>
      <c r="B143" s="35" t="s">
        <v>158</v>
      </c>
      <c r="C143" s="3"/>
    </row>
    <row r="144" customHeight="1" spans="1:3">
      <c r="A144" s="36"/>
      <c r="B144" s="35" t="s">
        <v>159</v>
      </c>
      <c r="C144" s="3"/>
    </row>
    <row r="145" customHeight="1" spans="1:2">
      <c r="A145" s="37" t="s">
        <v>160</v>
      </c>
      <c r="B145" s="38">
        <v>241</v>
      </c>
    </row>
  </sheetData>
  <sheetProtection sort="0" autoFilter="0" pivotTables="0"/>
  <protectedRanges>
    <protectedRange sqref="C9" name="区域8"/>
    <protectedRange sqref="C6:C7 F112:G118 F9:G9 C132:C141 C11:C17 C45:C51 C101:C110 C112:C121 E6:G7 I6:I7 C19 C30 E30:G30 I30 C41:C43 F42:G43 E41:G41 I41 C53 E53:G53 I53 E64:G64 I64 F65:G74 E75:G75 I75 F76:G85 C55:C98 F98:G98 E97:G97 I97 F101:G107 F109:G110 E108:G108 I108 E119:G119 I119 C130 E130:G130 I130 E19:G19 I19 F45:G51 F54:G63 F120:F121 F131:F132 E141:G141 I141 G21 G23:G29 G32 G34:G40 F11:G13 F14 F15:G15 F16 F17:G17 F87:G96 E86:G86 I86" name="区域1"/>
    <protectedRange sqref="G14" name="区域1_1"/>
    <protectedRange sqref="G16" name="区域1_2"/>
  </protectedRanges>
  <mergeCells count="12">
    <mergeCell ref="A1:I1"/>
    <mergeCell ref="A2:B2"/>
    <mergeCell ref="G2:H2"/>
    <mergeCell ref="O2:P2"/>
    <mergeCell ref="C4:C5"/>
    <mergeCell ref="D4:D5"/>
    <mergeCell ref="E4:E5"/>
    <mergeCell ref="F4:F5"/>
    <mergeCell ref="G4:G5"/>
    <mergeCell ref="H4:H5"/>
    <mergeCell ref="I4:I5"/>
    <mergeCell ref="A3:B5"/>
  </mergeCells>
  <dataValidations count="1">
    <dataValidation type="decimal" operator="between" allowBlank="1" showInputMessage="1" showErrorMessage="1" sqref="H64 H6:H62 I6:I141 C6:G17 E18:G64 C18:D141 E65:H141">
      <formula1>-9999999999</formula1>
      <formula2>9999999999</formula2>
    </dataValidation>
  </dataValidation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8" rangeCreator="" othersAccessPermission="edit"/>
    <arrUserId title="区域1" rangeCreator="" othersAccessPermission="edit"/>
    <arrUserId title="区域1_1" rangeCreator="" othersAccessPermission="edit"/>
    <arrUserId title="区域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G4B-2（第三档）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He</dc:creator>
  <cp:lastModifiedBy>陈静</cp:lastModifiedBy>
  <dcterms:created xsi:type="dcterms:W3CDTF">2022-08-05T18:29:00Z</dcterms:created>
  <dcterms:modified xsi:type="dcterms:W3CDTF">2024-12-13T14:57:24Z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0F0FB75B76E842E98475429D28B49247</vt:lpwstr>
  </property>
  <property fmtid="{D5CDD505-2E9C-101B-9397-08002B2CF9AE}" pid="3" name="KSOProductBuildVer">
    <vt:lpwstr>2052-11.8.2.11764</vt:lpwstr>
  </property>
  <property fmtid="{D5CDD505-2E9C-101B-9397-08002B2CF9AE}" pid="4" name="EM_Doc_Temp_ID">
    <vt:lpwstr>6ede492f</vt:lpwstr>
  </property>
</Properties>
</file>