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D" sheetId="6" r:id="rId1"/>
  </sheets>
  <calcPr calcId="144525"/>
</workbook>
</file>

<file path=xl/sharedStrings.xml><?xml version="1.0" encoding="utf-8"?>
<sst xmlns="http://schemas.openxmlformats.org/spreadsheetml/2006/main" count="77" uniqueCount="76">
  <si>
    <t>G4D 操作风险加权资产情况表(新规)</t>
  </si>
  <si>
    <t xml:space="preserve">填报机构：                         </t>
  </si>
  <si>
    <t xml:space="preserve">报表日期：                        </t>
  </si>
  <si>
    <t>货币单位：万元</t>
  </si>
  <si>
    <t>序号</t>
  </si>
  <si>
    <t>项目</t>
  </si>
  <si>
    <t>A</t>
  </si>
  <si>
    <t>B</t>
  </si>
  <si>
    <t>C</t>
  </si>
  <si>
    <t>D</t>
  </si>
  <si>
    <t>最近第一年</t>
  </si>
  <si>
    <t>最近第二年</t>
  </si>
  <si>
    <t>最近第三年</t>
  </si>
  <si>
    <t>α系数</t>
  </si>
  <si>
    <t>1.操作风险资本要求计量方法</t>
  </si>
  <si>
    <t xml:space="preserve">  1.1基本指标法（本部分仅由采用“基本指标法”计量操作风险的银行填报）</t>
  </si>
  <si>
    <t xml:space="preserve">    1.1.1总收入</t>
  </si>
  <si>
    <t xml:space="preserve">      1.1.1.1净利息收入</t>
  </si>
  <si>
    <t xml:space="preserve">      1.1.1.2净非利息收入</t>
  </si>
  <si>
    <t xml:space="preserve">    1.1.2基本指标法计量的操作风险资本要求</t>
  </si>
  <si>
    <t xml:space="preserve">  1.2标准法（本部分仅由采用“标准法”计量操作风险的银行填报）</t>
  </si>
  <si>
    <t xml:space="preserve">    1.2.1采用自身损失数据计算内部损失乘数的部分</t>
  </si>
  <si>
    <t xml:space="preserve">      1.2.1.1业务指标部分(BIC)</t>
  </si>
  <si>
    <t xml:space="preserve">        1.2.1.1.1利息、租赁和股利部分(ILDC)  </t>
  </si>
  <si>
    <t xml:space="preserve">          1.2.1.1.1.1利息收入</t>
  </si>
  <si>
    <t xml:space="preserve">          1.2.1.1.1.2利息支出</t>
  </si>
  <si>
    <t xml:space="preserve">          1.2.1.1.1.3生息资产</t>
  </si>
  <si>
    <t xml:space="preserve">          1.2.1.1.1.4股利收入</t>
  </si>
  <si>
    <t xml:space="preserve">        1.2.1.1.2服务部分(SC)</t>
  </si>
  <si>
    <t xml:space="preserve">          1.2.1.1.2.1手续费和佣金收入</t>
  </si>
  <si>
    <t xml:space="preserve">          1.2.1.1.2.2手续费和佣金支出</t>
  </si>
  <si>
    <t xml:space="preserve">          1.2.1.1.2.3其他经营性收入</t>
  </si>
  <si>
    <t xml:space="preserve">          1.2.1.1.2.4其他经营性支出</t>
  </si>
  <si>
    <t xml:space="preserve">        1.2.1.1.3金融部分(FC)</t>
  </si>
  <si>
    <t xml:space="preserve">          1.2.1.1.3.1交易账簿净损益</t>
  </si>
  <si>
    <t xml:space="preserve">          1.2.1.1.3.2银行账簿净损益</t>
  </si>
  <si>
    <t xml:space="preserve">        1.2.1.1.4业务指标(BI)</t>
  </si>
  <si>
    <t xml:space="preserve">      1.2.1.2损失部分(LC)</t>
  </si>
  <si>
    <t xml:space="preserve">        1.2.1.2.1近10年操作风险损失的算数平均值</t>
  </si>
  <si>
    <t xml:space="preserve">      1.2.1.3内部损失乘数(ILM)</t>
  </si>
  <si>
    <t xml:space="preserve">        1.2.1.3.1自行计算的内部损失乘数</t>
  </si>
  <si>
    <t xml:space="preserve">        1.2.1.3.2底线要求</t>
  </si>
  <si>
    <t xml:space="preserve">      1.2.1.4操作风险资本要求</t>
  </si>
  <si>
    <t xml:space="preserve">    1.2.2采用给定内部损失乘数的部分</t>
  </si>
  <si>
    <t xml:space="preserve">      1.2.2.1业务指标部分(BIC)</t>
  </si>
  <si>
    <t xml:space="preserve">        1.2.2.1.1利息、租赁和股利部分(ILDC)  </t>
  </si>
  <si>
    <t xml:space="preserve">          1.2.2.1.1.1利息收入</t>
  </si>
  <si>
    <t xml:space="preserve">          1.2.2.1.1.2利息支出</t>
  </si>
  <si>
    <t xml:space="preserve">          1.2.2.1.1.3生息资产</t>
  </si>
  <si>
    <t xml:space="preserve">          1.2.2.1.1.4股利收入</t>
  </si>
  <si>
    <t xml:space="preserve">        1.2.2.1.2服务部分(SC)</t>
  </si>
  <si>
    <t xml:space="preserve">          1.2.2.1.2.1手续费和佣金收入</t>
  </si>
  <si>
    <t xml:space="preserve">          1.2.2.1.2.2手续费和佣金支出</t>
  </si>
  <si>
    <t xml:space="preserve">          1.2.2.1.2.3其他经营性收入</t>
  </si>
  <si>
    <t xml:space="preserve">          1.2.2.1.2.4其他经营性支出</t>
  </si>
  <si>
    <t xml:space="preserve">        1.2.2.1.3金融部分(FC)</t>
  </si>
  <si>
    <t xml:space="preserve">          1.2.2.1.3.1交易账簿净损益</t>
  </si>
  <si>
    <t xml:space="preserve">          1.2.2.1.3.2银行账簿净损益</t>
  </si>
  <si>
    <t xml:space="preserve">        1.2.2.1.4业务指标(BI)</t>
  </si>
  <si>
    <t xml:space="preserve">      1.2.2.3内部损失乘数(ILM)</t>
  </si>
  <si>
    <t xml:space="preserve">      1.2.2.4操作风险资本要求</t>
  </si>
  <si>
    <t xml:space="preserve">    1.2.3标准法计量的操作风险资本要求</t>
  </si>
  <si>
    <t>2.操作风险资本要求</t>
  </si>
  <si>
    <t>3.操作风险加权资产</t>
  </si>
  <si>
    <t>附注项目（仅5家国有大型银行填报）</t>
  </si>
  <si>
    <t>金额/时间</t>
  </si>
  <si>
    <t>1.一二类案件涉案金额</t>
  </si>
  <si>
    <t>2.重要信息系统计划服务时间</t>
  </si>
  <si>
    <t>3.非预期停止服务时间</t>
  </si>
  <si>
    <t>4.计划服务时间</t>
  </si>
  <si>
    <t>填表人：</t>
  </si>
  <si>
    <t>复核人：</t>
  </si>
  <si>
    <t>负责人：</t>
  </si>
  <si>
    <t>无数据部分</t>
  </si>
  <si>
    <t>自动计算部分</t>
  </si>
  <si>
    <t>版本号：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</si>
</sst>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_);[Red]\(0\)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8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仿宋_GB2312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2"/>
      <name val="宋体"/>
      <charset val="134"/>
    </font>
    <font>
      <b/>
      <sz val="11"/>
      <color rgb="FF3F3F3F"/>
      <name val="等线"/>
      <charset val="0"/>
      <scheme val="minor"/>
    </font>
    <font>
      <sz val="10"/>
      <name val="Arial"/>
      <charset val="134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Arial"/>
      <charset val="0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4">
    <xf numFmtId="0" fontId="0" fillId="0" borderId="0"/>
    <xf numFmtId="0" fontId="15" fillId="0" borderId="0">
      <alignment vertical="center"/>
    </xf>
    <xf numFmtId="0" fontId="20" fillId="0" borderId="0">
      <alignment vertical="center"/>
    </xf>
    <xf numFmtId="0" fontId="17" fillId="0" borderId="0"/>
    <xf numFmtId="0" fontId="15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6" fillId="33" borderId="0" applyNumberFormat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5" fillId="19" borderId="2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7" fillId="36" borderId="28" applyNumberFormat="0" applyAlignment="0" applyProtection="0">
      <alignment vertical="center"/>
    </xf>
    <xf numFmtId="0" fontId="16" fillId="19" borderId="24" applyNumberFormat="0" applyAlignment="0" applyProtection="0">
      <alignment vertical="center"/>
    </xf>
    <xf numFmtId="0" fontId="12" fillId="13" borderId="22" applyNumberFormat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6" borderId="2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Font="1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37" fontId="2" fillId="0" borderId="2" xfId="3" applyNumberFormat="1" applyFont="1" applyBorder="1" applyAlignment="1" applyProtection="1">
      <alignment horizontal="center" vertical="center" wrapText="1"/>
      <protection locked="0"/>
    </xf>
    <xf numFmtId="0" fontId="2" fillId="0" borderId="3" xfId="3" applyFont="1" applyBorder="1" applyAlignment="1" applyProtection="1">
      <alignment horizontal="center" vertical="center" wrapText="1"/>
      <protection locked="0"/>
    </xf>
    <xf numFmtId="1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37" fontId="2" fillId="0" borderId="4" xfId="3" applyNumberFormat="1" applyFont="1" applyBorder="1" applyAlignment="1" applyProtection="1">
      <alignment horizontal="center" vertical="center" wrapText="1"/>
      <protection locked="0"/>
    </xf>
    <xf numFmtId="0" fontId="2" fillId="0" borderId="5" xfId="3" applyFont="1" applyBorder="1" applyAlignment="1" applyProtection="1">
      <alignment horizontal="center" vertical="center" wrapText="1"/>
      <protection locked="0"/>
    </xf>
    <xf numFmtId="177" fontId="2" fillId="0" borderId="6" xfId="3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3" borderId="10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vertical="center" wrapText="1"/>
      <protection locked="0"/>
    </xf>
    <xf numFmtId="176" fontId="2" fillId="4" borderId="5" xfId="0" applyNumberFormat="1" applyFont="1" applyFill="1" applyBorder="1" applyAlignment="1">
      <alignment horizontal="right" vertical="center" wrapText="1"/>
    </xf>
    <xf numFmtId="0" fontId="2" fillId="0" borderId="5" xfId="0" applyFont="1" applyBorder="1" applyAlignment="1" applyProtection="1">
      <alignment vertical="center" wrapText="1"/>
      <protection locked="0"/>
    </xf>
    <xf numFmtId="176" fontId="2" fillId="5" borderId="5" xfId="0" applyNumberFormat="1" applyFont="1" applyFill="1" applyBorder="1" applyAlignment="1" applyProtection="1">
      <alignment horizontal="right" vertical="center" wrapText="1"/>
      <protection locked="0"/>
    </xf>
    <xf numFmtId="176" fontId="2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0" fontId="3" fillId="3" borderId="11" xfId="0" applyFont="1" applyFill="1" applyBorder="1" applyAlignment="1" applyProtection="1">
      <alignment vertical="center" wrapText="1"/>
      <protection locked="0"/>
    </xf>
    <xf numFmtId="0" fontId="2" fillId="0" borderId="5" xfId="22" applyFont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3" fillId="0" borderId="12" xfId="0" applyFont="1" applyBorder="1" applyAlignment="1" applyProtection="1">
      <alignment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176" fontId="2" fillId="4" borderId="9" xfId="0" applyNumberFormat="1" applyFont="1" applyFill="1" applyBorder="1" applyAlignment="1">
      <alignment horizontal="right" vertical="center" wrapText="1"/>
    </xf>
    <xf numFmtId="176" fontId="2" fillId="3" borderId="9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vertical="center" wrapText="1"/>
      <protection locked="0"/>
    </xf>
    <xf numFmtId="176" fontId="2" fillId="4" borderId="14" xfId="0" applyNumberFormat="1" applyFont="1" applyFill="1" applyBorder="1" applyAlignment="1">
      <alignment horizontal="right" vertical="center" wrapText="1"/>
    </xf>
    <xf numFmtId="176" fontId="2" fillId="3" borderId="14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5" xfId="4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2" xfId="4" applyFont="1" applyBorder="1" applyAlignment="1">
      <alignment horizontal="left" vertical="center" wrapText="1"/>
    </xf>
    <xf numFmtId="176" fontId="2" fillId="5" borderId="9" xfId="0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 applyProtection="1">
      <alignment vertical="center"/>
      <protection locked="0"/>
    </xf>
    <xf numFmtId="176" fontId="2" fillId="3" borderId="0" xfId="0" applyNumberFormat="1" applyFont="1" applyFill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6" fontId="4" fillId="4" borderId="0" xfId="0" applyNumberFormat="1" applyFont="1" applyFill="1" applyAlignment="1">
      <alignment horizontal="right" vertical="center"/>
    </xf>
    <xf numFmtId="177" fontId="5" fillId="0" borderId="0" xfId="1" applyNumberFormat="1" applyFont="1" applyProtection="1">
      <alignment vertical="center"/>
      <protection locked="0"/>
    </xf>
    <xf numFmtId="177" fontId="5" fillId="0" borderId="0" xfId="1" applyNumberFormat="1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1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 applyProtection="1">
      <alignment vertical="center" wrapText="1"/>
      <protection locked="0"/>
    </xf>
    <xf numFmtId="9" fontId="2" fillId="0" borderId="18" xfId="0" applyNumberFormat="1" applyFont="1" applyBorder="1" applyAlignment="1">
      <alignment horizontal="center" vertical="center" wrapText="1"/>
    </xf>
    <xf numFmtId="0" fontId="2" fillId="3" borderId="18" xfId="0" applyFont="1" applyFill="1" applyBorder="1" applyAlignment="1" applyProtection="1">
      <alignment horizontal="left" vertical="center" wrapText="1"/>
      <protection locked="0"/>
    </xf>
    <xf numFmtId="0" fontId="2" fillId="3" borderId="18" xfId="0" applyFont="1" applyFill="1" applyBorder="1" applyAlignment="1" applyProtection="1">
      <alignment horizontal="right" vertical="center"/>
      <protection locked="0"/>
    </xf>
    <xf numFmtId="0" fontId="3" fillId="3" borderId="18" xfId="0" applyFont="1" applyFill="1" applyBorder="1" applyAlignment="1" applyProtection="1">
      <alignment vertical="center" wrapText="1"/>
      <protection locked="0"/>
    </xf>
    <xf numFmtId="0" fontId="2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right" vertical="center" wrapText="1"/>
    </xf>
  </cellXfs>
  <cellStyles count="54">
    <cellStyle name="常规" xfId="0" builtinId="0"/>
    <cellStyle name="常规_资本充足率汇总表-0223" xfId="1"/>
    <cellStyle name="常规_G01" xfId="2"/>
    <cellStyle name="常规_11.1-市场风险资本要求情况表(内部模型法)" xfId="3"/>
    <cellStyle name="常规_表内风险资产" xfId="4"/>
    <cellStyle name="40% - 强调文字颜色 6" xfId="5" builtinId="51"/>
    <cellStyle name="20% - 强调文字颜色 6" xfId="6" builtinId="50"/>
    <cellStyle name="强调文字颜色 6" xfId="7" builtinId="49"/>
    <cellStyle name="40% - 强调文字颜色 5" xfId="8" builtinId="47"/>
    <cellStyle name="20% - 强调文字颜色 5" xfId="9" builtinId="46"/>
    <cellStyle name="强调文字颜色 5" xfId="10" builtinId="45"/>
    <cellStyle name="40% - 强调文字颜色 4" xfId="11" builtinId="43"/>
    <cellStyle name="标题 3" xfId="12" builtinId="18"/>
    <cellStyle name="解释性文本" xfId="13" builtinId="53"/>
    <cellStyle name="汇总" xfId="14" builtinId="25"/>
    <cellStyle name="百分比" xfId="15" builtinId="5"/>
    <cellStyle name="千位分隔" xfId="16" builtinId="3"/>
    <cellStyle name="标题 2" xfId="17" builtinId="17"/>
    <cellStyle name="货币[0]" xfId="18" builtinId="7"/>
    <cellStyle name="60% - 强调文字颜色 4" xfId="19" builtinId="44"/>
    <cellStyle name="警告文本" xfId="20" builtinId="11"/>
    <cellStyle name="20% - 强调文字颜色 2" xfId="21" builtinId="34"/>
    <cellStyle name="常规 5" xfId="22"/>
    <cellStyle name="60% - 强调文字颜色 5" xfId="23" builtinId="48"/>
    <cellStyle name="标题 1" xfId="24" builtinId="16"/>
    <cellStyle name="超链接" xfId="25" builtinId="8"/>
    <cellStyle name="20% - 强调文字颜色 3" xfId="26" builtinId="38"/>
    <cellStyle name="货币" xfId="27" builtinId="4"/>
    <cellStyle name="20% - 强调文字颜色 4" xfId="28" builtinId="42"/>
    <cellStyle name="计算" xfId="29" builtinId="22"/>
    <cellStyle name="已访问的超链接" xfId="30" builtinId="9"/>
    <cellStyle name="千位分隔[0]" xfId="31" builtinId="6"/>
    <cellStyle name="强调文字颜色 4" xfId="32" builtinId="41"/>
    <cellStyle name="40% - 强调文字颜色 3" xfId="33" builtinId="39"/>
    <cellStyle name="60% - 强调文字颜色 6" xfId="34" builtinId="52"/>
    <cellStyle name="输入" xfId="35" builtinId="20"/>
    <cellStyle name="输出" xfId="36" builtinId="21"/>
    <cellStyle name="检查单元格" xfId="37" builtinId="23"/>
    <cellStyle name="链接单元格" xfId="38" builtinId="24"/>
    <cellStyle name="60% - 强调文字颜色 1" xfId="39" builtinId="32"/>
    <cellStyle name="60% - 强调文字颜色 3" xfId="40" builtinId="40"/>
    <cellStyle name="注释" xfId="41" builtinId="10"/>
    <cellStyle name="标题" xfId="42" builtinId="15"/>
    <cellStyle name="好" xfId="43" builtinId="26"/>
    <cellStyle name="标题 4" xfId="44" builtinId="19"/>
    <cellStyle name="强调文字颜色 1" xfId="45" builtinId="29"/>
    <cellStyle name="适中" xfId="46" builtinId="28"/>
    <cellStyle name="20% - 强调文字颜色 1" xfId="47" builtinId="30"/>
    <cellStyle name="差" xfId="48" builtinId="27"/>
    <cellStyle name="强调文字颜色 2" xfId="49" builtinId="33"/>
    <cellStyle name="40% - 强调文字颜色 1" xfId="50" builtinId="31"/>
    <cellStyle name="60% - 强调文字颜色 2" xfId="51" builtinId="36"/>
    <cellStyle name="40% - 强调文字颜色 2" xfId="52" builtinId="35"/>
    <cellStyle name="强调文字颜色 3" xfId="53" builtinId="37"/>
  </cellStyles>
  <dxfs count="2">
    <dxf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topLeftCell="A46" workbookViewId="0">
      <selection activeCell="B65" sqref="B65"/>
    </sheetView>
  </sheetViews>
  <sheetFormatPr defaultColWidth="8.83333333333333" defaultRowHeight="13.5" outlineLevelCol="5"/>
  <cols>
    <col min="1" max="1" width="8" style="1" customWidth="1"/>
    <col min="2" max="2" width="49" style="1" customWidth="1"/>
    <col min="3" max="3" width="16.5" style="1" customWidth="1"/>
    <col min="4" max="5" width="12.5" style="1" customWidth="1"/>
    <col min="6" max="6" width="8.5" style="1" customWidth="1"/>
    <col min="7" max="16384" width="8.83333333333333" style="1"/>
  </cols>
  <sheetData>
    <row r="1" ht="26.25" customHeight="1" spans="1:6">
      <c r="A1" s="2" t="s">
        <v>0</v>
      </c>
      <c r="B1" s="2"/>
      <c r="C1" s="2"/>
      <c r="D1" s="2"/>
      <c r="E1" s="2"/>
      <c r="F1" s="2"/>
    </row>
    <row r="2" ht="21" customHeight="1" spans="1:6">
      <c r="A2" s="3" t="s">
        <v>1</v>
      </c>
      <c r="B2" s="4"/>
      <c r="C2" s="3" t="s">
        <v>2</v>
      </c>
      <c r="D2" s="4"/>
      <c r="E2" s="4"/>
      <c r="F2" s="54" t="s">
        <v>3</v>
      </c>
    </row>
    <row r="3" ht="20.25" customHeight="1" spans="1:6">
      <c r="A3" s="5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55" t="s">
        <v>9</v>
      </c>
    </row>
    <row r="4" ht="20.25" customHeight="1" spans="1:6">
      <c r="A4" s="8"/>
      <c r="B4" s="9"/>
      <c r="C4" s="10" t="s">
        <v>10</v>
      </c>
      <c r="D4" s="10" t="s">
        <v>11</v>
      </c>
      <c r="E4" s="10" t="s">
        <v>12</v>
      </c>
      <c r="F4" s="56" t="s">
        <v>13</v>
      </c>
    </row>
    <row r="5" ht="20" customHeight="1" spans="1:6">
      <c r="A5" s="11">
        <v>1</v>
      </c>
      <c r="B5" s="12" t="s">
        <v>14</v>
      </c>
      <c r="C5" s="13"/>
      <c r="D5" s="14"/>
      <c r="E5" s="13"/>
      <c r="F5" s="57"/>
    </row>
    <row r="6" ht="30" customHeight="1" spans="1:6">
      <c r="A6" s="15">
        <v>2</v>
      </c>
      <c r="B6" s="16" t="s">
        <v>15</v>
      </c>
      <c r="C6" s="17"/>
      <c r="D6" s="18"/>
      <c r="E6" s="17"/>
      <c r="F6" s="58"/>
    </row>
    <row r="7" ht="20" customHeight="1" spans="1:6">
      <c r="A7" s="11">
        <v>3</v>
      </c>
      <c r="B7" s="12" t="s">
        <v>16</v>
      </c>
      <c r="C7" s="19">
        <f>C8+C9</f>
        <v>0</v>
      </c>
      <c r="D7" s="19">
        <f>D8+D9</f>
        <v>0</v>
      </c>
      <c r="E7" s="19">
        <f>E8+E9</f>
        <v>0</v>
      </c>
      <c r="F7" s="59">
        <v>0.15</v>
      </c>
    </row>
    <row r="8" ht="20" customHeight="1" spans="1:6">
      <c r="A8" s="11">
        <v>4</v>
      </c>
      <c r="B8" s="20" t="s">
        <v>17</v>
      </c>
      <c r="C8" s="21"/>
      <c r="D8" s="21"/>
      <c r="E8" s="21"/>
      <c r="F8" s="60"/>
    </row>
    <row r="9" ht="20" customHeight="1" spans="1:6">
      <c r="A9" s="11">
        <v>5</v>
      </c>
      <c r="B9" s="20" t="s">
        <v>18</v>
      </c>
      <c r="C9" s="21"/>
      <c r="D9" s="21"/>
      <c r="E9" s="21"/>
      <c r="F9" s="60"/>
    </row>
    <row r="10" ht="20" customHeight="1" spans="1:6">
      <c r="A10" s="11">
        <v>6</v>
      </c>
      <c r="B10" s="12" t="s">
        <v>19</v>
      </c>
      <c r="C10" s="19">
        <f>IF(OR(C7&gt;0,D7&gt;0,E7&gt;0),SUMIF(C7:E7,"&gt;0")*$F$7/COUNTIF(C7:E7,"&gt;0"),0)</f>
        <v>0</v>
      </c>
      <c r="D10" s="22"/>
      <c r="E10" s="22"/>
      <c r="F10" s="60"/>
    </row>
    <row r="11" ht="30" customHeight="1" spans="1:6">
      <c r="A11" s="15">
        <v>7</v>
      </c>
      <c r="B11" s="23" t="s">
        <v>20</v>
      </c>
      <c r="C11" s="24"/>
      <c r="D11" s="18"/>
      <c r="E11" s="18"/>
      <c r="F11" s="58"/>
    </row>
    <row r="12" ht="20" customHeight="1" spans="1:6">
      <c r="A12" s="15">
        <v>8</v>
      </c>
      <c r="B12" s="23" t="s">
        <v>21</v>
      </c>
      <c r="C12" s="24"/>
      <c r="D12" s="18"/>
      <c r="E12" s="18"/>
      <c r="F12" s="58"/>
    </row>
    <row r="13" ht="20" customHeight="1" spans="1:6">
      <c r="A13" s="15">
        <v>9</v>
      </c>
      <c r="B13" s="25" t="s">
        <v>22</v>
      </c>
      <c r="C13" s="19">
        <f>IFERROR(IF(C27&lt;=800000,C27*0.12,IF(C27&lt;=24000000,96000+(C27-800000)*0.15,3576000+(C27-24000000)*0.18)),0)</f>
        <v>0</v>
      </c>
      <c r="D13" s="26"/>
      <c r="E13" s="26"/>
      <c r="F13" s="61"/>
    </row>
    <row r="14" ht="20" customHeight="1" spans="1:6">
      <c r="A14" s="15">
        <v>10</v>
      </c>
      <c r="B14" s="27" t="s">
        <v>23</v>
      </c>
      <c r="C14" s="19">
        <f>IFERROR(MIN(AVERAGE(ABS(C15-C16),ABS(D15-D16),ABS(E15-E16)),2.25%*AVERAGE(C17:E17))+AVERAGE(C18:E18),0)</f>
        <v>0</v>
      </c>
      <c r="D14" s="26"/>
      <c r="E14" s="26"/>
      <c r="F14" s="61"/>
    </row>
    <row r="15" ht="20" customHeight="1" spans="1:6">
      <c r="A15" s="15">
        <v>11</v>
      </c>
      <c r="B15" s="27" t="s">
        <v>24</v>
      </c>
      <c r="C15" s="21"/>
      <c r="D15" s="21"/>
      <c r="E15" s="21"/>
      <c r="F15" s="61"/>
    </row>
    <row r="16" ht="20" customHeight="1" spans="1:6">
      <c r="A16" s="15">
        <v>12</v>
      </c>
      <c r="B16" s="27" t="s">
        <v>25</v>
      </c>
      <c r="C16" s="21"/>
      <c r="D16" s="21"/>
      <c r="E16" s="21"/>
      <c r="F16" s="61"/>
    </row>
    <row r="17" ht="20" customHeight="1" spans="1:6">
      <c r="A17" s="15">
        <v>13</v>
      </c>
      <c r="B17" s="27" t="s">
        <v>26</v>
      </c>
      <c r="C17" s="21"/>
      <c r="D17" s="21"/>
      <c r="E17" s="21"/>
      <c r="F17" s="61"/>
    </row>
    <row r="18" ht="20" customHeight="1" spans="1:6">
      <c r="A18" s="15">
        <v>14</v>
      </c>
      <c r="B18" s="27" t="s">
        <v>27</v>
      </c>
      <c r="C18" s="21"/>
      <c r="D18" s="21"/>
      <c r="E18" s="21"/>
      <c r="F18" s="61"/>
    </row>
    <row r="19" ht="20" customHeight="1" spans="1:6">
      <c r="A19" s="15">
        <v>15</v>
      </c>
      <c r="B19" s="27" t="s">
        <v>28</v>
      </c>
      <c r="C19" s="19">
        <f>IFERROR(MAX(AVERAGE(C20:E20),AVERAGE(C21:E21))+MAX(AVERAGE(C22:E22),AVERAGE(C23:E23)),0)</f>
        <v>0</v>
      </c>
      <c r="D19" s="26"/>
      <c r="E19" s="26"/>
      <c r="F19" s="61"/>
    </row>
    <row r="20" ht="20" customHeight="1" spans="1:6">
      <c r="A20" s="15">
        <v>16</v>
      </c>
      <c r="B20" s="27" t="s">
        <v>29</v>
      </c>
      <c r="C20" s="21"/>
      <c r="D20" s="21"/>
      <c r="E20" s="21"/>
      <c r="F20" s="61"/>
    </row>
    <row r="21" ht="20" customHeight="1" spans="1:6">
      <c r="A21" s="15">
        <v>17</v>
      </c>
      <c r="B21" s="27" t="s">
        <v>30</v>
      </c>
      <c r="C21" s="21"/>
      <c r="D21" s="21"/>
      <c r="E21" s="21"/>
      <c r="F21" s="61"/>
    </row>
    <row r="22" ht="20" customHeight="1" spans="1:6">
      <c r="A22" s="15">
        <v>18</v>
      </c>
      <c r="B22" s="27" t="s">
        <v>31</v>
      </c>
      <c r="C22" s="21"/>
      <c r="D22" s="21"/>
      <c r="E22" s="21"/>
      <c r="F22" s="61"/>
    </row>
    <row r="23" ht="20" customHeight="1" spans="1:6">
      <c r="A23" s="15">
        <v>19</v>
      </c>
      <c r="B23" s="27" t="s">
        <v>32</v>
      </c>
      <c r="C23" s="21"/>
      <c r="D23" s="21"/>
      <c r="E23" s="21"/>
      <c r="F23" s="61"/>
    </row>
    <row r="24" ht="20" customHeight="1" spans="1:6">
      <c r="A24" s="15">
        <v>20</v>
      </c>
      <c r="B24" s="27" t="s">
        <v>33</v>
      </c>
      <c r="C24" s="19">
        <f>IFERROR(AVERAGE(ABS(C25),ABS(D25),ABS(E25))+AVERAGE(ABS(C26),ABS(D26),ABS(E26)),0)</f>
        <v>0</v>
      </c>
      <c r="D24" s="26"/>
      <c r="E24" s="26"/>
      <c r="F24" s="61"/>
    </row>
    <row r="25" ht="20" customHeight="1" spans="1:6">
      <c r="A25" s="15">
        <v>21</v>
      </c>
      <c r="B25" s="27" t="s">
        <v>34</v>
      </c>
      <c r="C25" s="21"/>
      <c r="D25" s="21"/>
      <c r="E25" s="21"/>
      <c r="F25" s="61"/>
    </row>
    <row r="26" ht="20" customHeight="1" spans="1:6">
      <c r="A26" s="15">
        <v>22</v>
      </c>
      <c r="B26" s="27" t="s">
        <v>35</v>
      </c>
      <c r="C26" s="21"/>
      <c r="D26" s="21"/>
      <c r="E26" s="21"/>
      <c r="F26" s="61"/>
    </row>
    <row r="27" ht="20" customHeight="1" spans="1:6">
      <c r="A27" s="15">
        <v>23</v>
      </c>
      <c r="B27" s="27" t="s">
        <v>36</v>
      </c>
      <c r="C27" s="19">
        <f>IFERROR(C14+C19+C24,0)</f>
        <v>0</v>
      </c>
      <c r="D27" s="26"/>
      <c r="E27" s="26"/>
      <c r="F27" s="61"/>
    </row>
    <row r="28" ht="20" customHeight="1" spans="1:6">
      <c r="A28" s="15">
        <v>25</v>
      </c>
      <c r="B28" s="25" t="s">
        <v>37</v>
      </c>
      <c r="C28" s="19">
        <f>IFERROR(C29*15,0)</f>
        <v>0</v>
      </c>
      <c r="D28" s="26"/>
      <c r="E28" s="26"/>
      <c r="F28" s="61"/>
    </row>
    <row r="29" ht="20" customHeight="1" spans="1:6">
      <c r="A29" s="15">
        <v>26</v>
      </c>
      <c r="B29" s="25" t="s">
        <v>38</v>
      </c>
      <c r="C29" s="21"/>
      <c r="D29" s="26"/>
      <c r="E29" s="26"/>
      <c r="F29" s="61"/>
    </row>
    <row r="30" ht="20" customHeight="1" spans="1:6">
      <c r="A30" s="15">
        <v>27</v>
      </c>
      <c r="B30" s="25" t="s">
        <v>39</v>
      </c>
      <c r="C30" s="19">
        <f>MAX(C31,C32)</f>
        <v>1</v>
      </c>
      <c r="D30" s="26"/>
      <c r="E30" s="26"/>
      <c r="F30" s="61"/>
    </row>
    <row r="31" ht="20" customHeight="1" spans="1:6">
      <c r="A31" s="15">
        <v>28</v>
      </c>
      <c r="B31" s="25" t="s">
        <v>40</v>
      </c>
      <c r="C31" s="19">
        <f>IF(C28=0,1,LN(EXP(1)-1+(C28/C13)^0.8))</f>
        <v>1</v>
      </c>
      <c r="D31" s="26"/>
      <c r="E31" s="26"/>
      <c r="F31" s="61"/>
    </row>
    <row r="32" ht="20" customHeight="1" spans="1:6">
      <c r="A32" s="15">
        <v>29</v>
      </c>
      <c r="B32" s="25" t="s">
        <v>41</v>
      </c>
      <c r="C32" s="21"/>
      <c r="D32" s="26"/>
      <c r="E32" s="26"/>
      <c r="F32" s="61"/>
    </row>
    <row r="33" ht="20" customHeight="1" spans="1:6">
      <c r="A33" s="15">
        <v>30</v>
      </c>
      <c r="B33" s="25" t="s">
        <v>42</v>
      </c>
      <c r="C33" s="19">
        <f>C13*C30</f>
        <v>0</v>
      </c>
      <c r="D33" s="26"/>
      <c r="E33" s="26"/>
      <c r="F33" s="61"/>
    </row>
    <row r="34" ht="20" customHeight="1" spans="1:6">
      <c r="A34" s="15">
        <v>31</v>
      </c>
      <c r="B34" s="23" t="s">
        <v>43</v>
      </c>
      <c r="C34" s="24"/>
      <c r="D34" s="18"/>
      <c r="E34" s="18"/>
      <c r="F34" s="58"/>
    </row>
    <row r="35" ht="20" customHeight="1" spans="1:6">
      <c r="A35" s="15">
        <v>32</v>
      </c>
      <c r="B35" s="25" t="s">
        <v>44</v>
      </c>
      <c r="C35" s="19">
        <f>IFERROR(IF(AND(C27+C49&gt;24000000,C27&gt;24000000),C49*0.18,IF(AND(C27+C49&gt;24000000,C27&lt;=24000000,C27&gt;800000),(24000000-C27)*0.15+(C27+C49-24000000)*0.18,IF(AND(C27+C49&gt;24000000,C27&lt;=800000),(800000-C27)*0.12+(24000000-800000)*0.15+(C27+C49-24000000)*0.18,IF(AND(C27+C49&gt;800000,C27&gt;800000),C49*0.15,IF(AND(C27+C49&gt;800000,C27&lt;=800000),(800000-C27)*0.12+(C27+C49-800000)*0.15,C49*0.12))))),0)</f>
        <v>0</v>
      </c>
      <c r="D35" s="26"/>
      <c r="E35" s="26"/>
      <c r="F35" s="61"/>
    </row>
    <row r="36" ht="20" customHeight="1" spans="1:6">
      <c r="A36" s="15">
        <v>33</v>
      </c>
      <c r="B36" s="27" t="s">
        <v>45</v>
      </c>
      <c r="C36" s="19">
        <f>IFERROR(MIN(AVERAGE(ABS(C37-C38),ABS(D37-D38),ABS(E37-E38)),2.25%*AVERAGE(C39:E39))+AVERAGE(C40:E40),0)</f>
        <v>0</v>
      </c>
      <c r="D36" s="26"/>
      <c r="E36" s="26"/>
      <c r="F36" s="61"/>
    </row>
    <row r="37" ht="20" customHeight="1" spans="1:6">
      <c r="A37" s="15">
        <v>34</v>
      </c>
      <c r="B37" s="27" t="s">
        <v>46</v>
      </c>
      <c r="C37" s="21"/>
      <c r="D37" s="21"/>
      <c r="E37" s="21"/>
      <c r="F37" s="61"/>
    </row>
    <row r="38" ht="20" customHeight="1" spans="1:6">
      <c r="A38" s="15">
        <v>35</v>
      </c>
      <c r="B38" s="27" t="s">
        <v>47</v>
      </c>
      <c r="C38" s="21"/>
      <c r="D38" s="21"/>
      <c r="E38" s="21"/>
      <c r="F38" s="61"/>
    </row>
    <row r="39" ht="20" customHeight="1" spans="1:6">
      <c r="A39" s="15">
        <v>36</v>
      </c>
      <c r="B39" s="27" t="s">
        <v>48</v>
      </c>
      <c r="C39" s="21"/>
      <c r="D39" s="21"/>
      <c r="E39" s="21"/>
      <c r="F39" s="61"/>
    </row>
    <row r="40" ht="20" customHeight="1" spans="1:6">
      <c r="A40" s="15">
        <v>37</v>
      </c>
      <c r="B40" s="27" t="s">
        <v>49</v>
      </c>
      <c r="C40" s="21"/>
      <c r="D40" s="21"/>
      <c r="E40" s="21"/>
      <c r="F40" s="61"/>
    </row>
    <row r="41" ht="20" customHeight="1" spans="1:6">
      <c r="A41" s="15">
        <v>38</v>
      </c>
      <c r="B41" s="27" t="s">
        <v>50</v>
      </c>
      <c r="C41" s="19">
        <f>IFERROR(MAX(AVERAGE(C42:E42),AVERAGE(C43:E43))+MAX(AVERAGE(C44:E44),AVERAGE(C45:E45)),0)</f>
        <v>0</v>
      </c>
      <c r="D41" s="26"/>
      <c r="E41" s="26"/>
      <c r="F41" s="61"/>
    </row>
    <row r="42" ht="20" customHeight="1" spans="1:6">
      <c r="A42" s="15">
        <v>39</v>
      </c>
      <c r="B42" s="27" t="s">
        <v>51</v>
      </c>
      <c r="C42" s="21"/>
      <c r="D42" s="21"/>
      <c r="E42" s="21"/>
      <c r="F42" s="61"/>
    </row>
    <row r="43" ht="20" customHeight="1" spans="1:6">
      <c r="A43" s="15">
        <v>40</v>
      </c>
      <c r="B43" s="27" t="s">
        <v>52</v>
      </c>
      <c r="C43" s="21"/>
      <c r="D43" s="21"/>
      <c r="E43" s="21"/>
      <c r="F43" s="61"/>
    </row>
    <row r="44" ht="20" customHeight="1" spans="1:6">
      <c r="A44" s="15">
        <v>41</v>
      </c>
      <c r="B44" s="27" t="s">
        <v>53</v>
      </c>
      <c r="C44" s="21"/>
      <c r="D44" s="21"/>
      <c r="E44" s="21"/>
      <c r="F44" s="61"/>
    </row>
    <row r="45" ht="20" customHeight="1" spans="1:6">
      <c r="A45" s="15">
        <v>42</v>
      </c>
      <c r="B45" s="27" t="s">
        <v>54</v>
      </c>
      <c r="C45" s="21"/>
      <c r="D45" s="21"/>
      <c r="E45" s="21"/>
      <c r="F45" s="61"/>
    </row>
    <row r="46" ht="20" customHeight="1" spans="1:6">
      <c r="A46" s="15">
        <v>43</v>
      </c>
      <c r="B46" s="27" t="s">
        <v>55</v>
      </c>
      <c r="C46" s="19">
        <f>IFERROR(AVERAGE(ABS(C47),ABS(D47),ABS(E47))+AVERAGE(ABS(C48),ABS(D48),ABS(E48)),0)</f>
        <v>0</v>
      </c>
      <c r="D46" s="26"/>
      <c r="E46" s="26"/>
      <c r="F46" s="61"/>
    </row>
    <row r="47" ht="20" customHeight="1" spans="1:6">
      <c r="A47" s="15">
        <v>44</v>
      </c>
      <c r="B47" s="27" t="s">
        <v>56</v>
      </c>
      <c r="C47" s="21"/>
      <c r="D47" s="21"/>
      <c r="E47" s="21"/>
      <c r="F47" s="61"/>
    </row>
    <row r="48" ht="20" customHeight="1" spans="1:6">
      <c r="A48" s="15">
        <v>45</v>
      </c>
      <c r="B48" s="27" t="s">
        <v>57</v>
      </c>
      <c r="C48" s="21"/>
      <c r="D48" s="21"/>
      <c r="E48" s="21"/>
      <c r="F48" s="61"/>
    </row>
    <row r="49" ht="20" customHeight="1" spans="1:6">
      <c r="A49" s="15">
        <v>46</v>
      </c>
      <c r="B49" s="27" t="s">
        <v>58</v>
      </c>
      <c r="C49" s="19">
        <f>IFERROR(C36+C41+C46,0)</f>
        <v>0</v>
      </c>
      <c r="D49" s="26"/>
      <c r="E49" s="26"/>
      <c r="F49" s="61"/>
    </row>
    <row r="50" ht="20" customHeight="1" spans="1:6">
      <c r="A50" s="15">
        <v>47</v>
      </c>
      <c r="B50" s="25" t="s">
        <v>59</v>
      </c>
      <c r="C50" s="21">
        <v>1</v>
      </c>
      <c r="D50" s="26"/>
      <c r="E50" s="26"/>
      <c r="F50" s="61"/>
    </row>
    <row r="51" ht="20" customHeight="1" spans="1:6">
      <c r="A51" s="15">
        <v>48</v>
      </c>
      <c r="B51" s="28" t="s">
        <v>60</v>
      </c>
      <c r="C51" s="19">
        <f>IFERROR(C35*C50,0)</f>
        <v>0</v>
      </c>
      <c r="D51" s="26"/>
      <c r="E51" s="26"/>
      <c r="F51" s="61"/>
    </row>
    <row r="52" ht="20" customHeight="1" spans="1:6">
      <c r="A52" s="15">
        <v>49</v>
      </c>
      <c r="B52" s="29" t="s">
        <v>61</v>
      </c>
      <c r="C52" s="19">
        <f>C33+C51</f>
        <v>0</v>
      </c>
      <c r="D52" s="30"/>
      <c r="E52" s="30"/>
      <c r="F52" s="62"/>
    </row>
    <row r="53" ht="20" customHeight="1" spans="1:6">
      <c r="A53" s="15">
        <v>50</v>
      </c>
      <c r="B53" s="16" t="s">
        <v>62</v>
      </c>
      <c r="C53" s="31">
        <f>C10+C52</f>
        <v>0</v>
      </c>
      <c r="D53" s="32"/>
      <c r="E53" s="32"/>
      <c r="F53" s="63"/>
    </row>
    <row r="54" ht="20" customHeight="1" spans="1:6">
      <c r="A54" s="33">
        <v>51</v>
      </c>
      <c r="B54" s="34" t="s">
        <v>63</v>
      </c>
      <c r="C54" s="35">
        <f>C53*12.5</f>
        <v>0</v>
      </c>
      <c r="D54" s="36"/>
      <c r="E54" s="36"/>
      <c r="F54" s="64"/>
    </row>
    <row r="55" ht="20" customHeight="1" spans="1:6">
      <c r="A55" s="37" t="s">
        <v>4</v>
      </c>
      <c r="B55" s="38" t="s">
        <v>64</v>
      </c>
      <c r="C55" s="39" t="s">
        <v>65</v>
      </c>
      <c r="D55" s="40"/>
      <c r="E55" s="40"/>
      <c r="F55" s="40"/>
    </row>
    <row r="56" ht="20" customHeight="1" spans="1:6">
      <c r="A56" s="41">
        <v>52</v>
      </c>
      <c r="B56" s="42" t="s">
        <v>66</v>
      </c>
      <c r="C56" s="43"/>
      <c r="D56" s="44"/>
      <c r="E56" s="44"/>
      <c r="F56" s="40"/>
    </row>
    <row r="57" ht="20" customHeight="1" spans="1:6">
      <c r="A57" s="41">
        <v>53</v>
      </c>
      <c r="B57" s="45" t="s">
        <v>67</v>
      </c>
      <c r="C57" s="43"/>
      <c r="D57" s="44"/>
      <c r="E57" s="44"/>
      <c r="F57" s="40"/>
    </row>
    <row r="58" ht="20" customHeight="1" spans="1:6">
      <c r="A58" s="41">
        <v>54</v>
      </c>
      <c r="B58" s="46" t="s">
        <v>68</v>
      </c>
      <c r="C58" s="43"/>
      <c r="D58" s="44"/>
      <c r="E58" s="44"/>
      <c r="F58" s="40"/>
    </row>
    <row r="59" ht="20" customHeight="1" spans="1:6">
      <c r="A59" s="41">
        <v>55</v>
      </c>
      <c r="B59" s="46" t="s">
        <v>69</v>
      </c>
      <c r="C59" s="43"/>
      <c r="D59" s="44"/>
      <c r="E59" s="44"/>
      <c r="F59" s="40"/>
    </row>
    <row r="60" ht="20" customHeight="1" spans="1:6">
      <c r="A60" s="47" t="s">
        <v>70</v>
      </c>
      <c r="B60" s="47"/>
      <c r="C60" s="47" t="s">
        <v>71</v>
      </c>
      <c r="D60" s="47"/>
      <c r="E60" s="47" t="s">
        <v>72</v>
      </c>
      <c r="F60" s="50"/>
    </row>
    <row r="61" ht="20" customHeight="1" spans="1:6">
      <c r="A61" s="48"/>
      <c r="B61" s="49" t="s">
        <v>73</v>
      </c>
      <c r="C61" s="50"/>
      <c r="D61" s="50"/>
      <c r="E61" s="50"/>
      <c r="F61" s="50"/>
    </row>
    <row r="62" ht="20" customHeight="1" spans="1:6">
      <c r="A62" s="51"/>
      <c r="B62" s="49" t="s">
        <v>74</v>
      </c>
      <c r="C62" s="50"/>
      <c r="D62" s="50"/>
      <c r="E62" s="50"/>
      <c r="F62" s="50"/>
    </row>
    <row r="63" spans="1:2">
      <c r="A63" s="52" t="s">
        <v>75</v>
      </c>
      <c r="B63" s="53">
        <v>241</v>
      </c>
    </row>
  </sheetData>
  <sheetProtection sort="0" autoFilter="0" pivotTables="0"/>
  <mergeCells count="3">
    <mergeCell ref="A1:F1"/>
    <mergeCell ref="A3:A4"/>
    <mergeCell ref="B3:B4"/>
  </mergeCells>
  <conditionalFormatting sqref="C3:F3">
    <cfRule type="cellIs" dxfId="0" priority="1" stopIfTrue="1" operator="equal">
      <formula>"Pass"</formula>
    </cfRule>
    <cfRule type="cellIs" dxfId="1" priority="2" stopIfTrue="1" operator="equal">
      <formula>"Fail"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2015-06-07T18:19:00Z</dcterms:created>
  <dcterms:modified xsi:type="dcterms:W3CDTF">2024-12-13T14:56:26Z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5F0294772C48CE5A29A52865FD991AD7</vt:lpwstr>
  </property>
  <property fmtid="{D5CDD505-2E9C-101B-9397-08002B2CF9AE}" pid="3" name="KSOProductBuildVer">
    <vt:lpwstr>2052-11.8.2.11764</vt:lpwstr>
  </property>
</Properties>
</file>