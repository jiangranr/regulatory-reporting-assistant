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25" tabRatio="601"/>
  </bookViews>
  <sheets>
    <sheet name="G4A-1(a)（第三档）" sheetId="11" r:id="rId1"/>
  </sheets>
  <externalReferences>
    <externalReference r:id="rId3"/>
    <externalReference r:id="rId4"/>
  </externalReferences>
  <definedNames>
    <definedName name="Basel">[1]Parameters!$C$32:$C$33</definedName>
    <definedName name="YesNoBasel2" localSheetId="0">[2]Parameters!#REF!</definedName>
    <definedName name="YesNoBasel2">#N/A</definedName>
  </definedNames>
  <calcPr calcId="144525"/>
</workbook>
</file>

<file path=xl/sharedStrings.xml><?xml version="1.0" encoding="utf-8"?>
<sst xmlns="http://schemas.openxmlformats.org/spreadsheetml/2006/main" count="40" uniqueCount="40">
  <si>
    <t xml:space="preserve">G4A_I(a) 损失准备情况表-权重法(第三档银行)(新规) </t>
  </si>
  <si>
    <t xml:space="preserve">填报机构：                             报表日期： 年  月  日                                  </t>
  </si>
  <si>
    <t>单位：万元</t>
  </si>
  <si>
    <t>项目</t>
  </si>
  <si>
    <t>A</t>
  </si>
  <si>
    <t>金额</t>
  </si>
  <si>
    <t>1.实际计提的损失准备余额</t>
  </si>
  <si>
    <t xml:space="preserve">  1.1实际计提的贷款损失准备余额</t>
  </si>
  <si>
    <t xml:space="preserve">  1.2实际计提的非信贷资产损失准备余额</t>
  </si>
  <si>
    <t>2.不良资产余额</t>
  </si>
  <si>
    <t xml:space="preserve">  2.1不良贷款余额</t>
  </si>
  <si>
    <t xml:space="preserve">  2.2非信贷不良资产余额</t>
  </si>
  <si>
    <t>3.损失准备最低要求</t>
  </si>
  <si>
    <t xml:space="preserve">  3.1贷款损失准备最低要求</t>
  </si>
  <si>
    <t xml:space="preserve">  3.2非信贷资产损失准备最低要求</t>
  </si>
  <si>
    <t>4.损失准备缺口</t>
  </si>
  <si>
    <t xml:space="preserve">  4.1贷款损失准备缺口</t>
  </si>
  <si>
    <t xml:space="preserve">  4.2非信贷资产损失准备缺口</t>
  </si>
  <si>
    <t>5.超额损失准备</t>
  </si>
  <si>
    <t xml:space="preserve">  5.1超额贷款损失准备</t>
  </si>
  <si>
    <t xml:space="preserve">  5.2非信贷资产超额损失准备</t>
  </si>
  <si>
    <t>6.计入资本净额的损失准备</t>
  </si>
  <si>
    <t xml:space="preserve">  6.1应扣减核心一级资本的损失准备缺口</t>
  </si>
  <si>
    <t xml:space="preserve">  6.2可计入其他资本的超额损失准备</t>
  </si>
  <si>
    <t>7.附注：资产余额</t>
  </si>
  <si>
    <t xml:space="preserve">  7.1贷款余额</t>
  </si>
  <si>
    <t xml:space="preserve">    7.1.1正常类贷款余额</t>
  </si>
  <si>
    <t xml:space="preserve">    7.1.2关注类贷款余额</t>
  </si>
  <si>
    <t xml:space="preserve">    7.1.3次级类贷款余额</t>
  </si>
  <si>
    <t xml:space="preserve">    7.1.4可疑类贷款余额</t>
  </si>
  <si>
    <t xml:space="preserve">    7.1.5损失类贷款余额</t>
  </si>
  <si>
    <t xml:space="preserve">  7.2非信贷资产余额</t>
  </si>
  <si>
    <t xml:space="preserve">    7.2.1正常类非信贷资产余额</t>
  </si>
  <si>
    <t xml:space="preserve">    7.2.2关注类非信贷资产余额</t>
  </si>
  <si>
    <t xml:space="preserve">    7.2.3次级类非信贷资产余额</t>
  </si>
  <si>
    <t xml:space="preserve">    7.2.4可疑类非信贷资产余额</t>
  </si>
  <si>
    <t xml:space="preserve">    7.2.5损失类非信贷资产余额</t>
  </si>
  <si>
    <t xml:space="preserve">填表人：                          复核人：                           </t>
  </si>
  <si>
    <t>负责人：</t>
  </si>
  <si>
    <t>版本号：</t>
  </si>
</sst>
</file>

<file path=xl/styles.xml><?xml version="1.0" encoding="utf-8"?>
<styleSheet xmlns="http://schemas.openxmlformats.org/spreadsheetml/2006/main">
  <numFmts count="17">
    <numFmt numFmtId="176" formatCode="0_);[Red]\(0\)"/>
    <numFmt numFmtId="177" formatCode="0_ "/>
    <numFmt numFmtId="44" formatCode="_ &quot;￥&quot;* #,##0.00_ ;_ &quot;￥&quot;* \-#,##0.00_ ;_ &quot;￥&quot;* &quot;-&quot;??_ ;_ @_ "/>
    <numFmt numFmtId="178" formatCode="0.00_);[Red]\(0.00\)"/>
    <numFmt numFmtId="179" formatCode="_-* #,##0.00_-;\-* #,##0.00_-;_-* &quot;-&quot;??_-;_-@_-"/>
    <numFmt numFmtId="180" formatCode="0.0%"/>
    <numFmt numFmtId="181" formatCode="[&gt;0]General"/>
    <numFmt numFmtId="182" formatCode="0.0"/>
    <numFmt numFmtId="183" formatCode="0.00000"/>
    <numFmt numFmtId="43" formatCode="_ * #,##0.00_ ;_ * \-#,##0.00_ ;_ * &quot;-&quot;??_ ;_ @_ "/>
    <numFmt numFmtId="41" formatCode="_ * #,##0_ ;_ * \-#,##0_ ;_ * &quot;-&quot;_ ;_ @_ "/>
    <numFmt numFmtId="184" formatCode="_-* #,##0_-;\-* #,##0_-;_-* &quot;-&quot;_-;_-@_-"/>
    <numFmt numFmtId="42" formatCode="_ &quot;￥&quot;* #,##0_ ;_ &quot;￥&quot;* \-#,##0_ ;_ &quot;￥&quot;* &quot;-&quot;_ ;_ @_ "/>
    <numFmt numFmtId="185" formatCode="0.0000"/>
    <numFmt numFmtId="186" formatCode="yyyy\-mm\-dd;@"/>
    <numFmt numFmtId="187" formatCode="&quot;Yes&quot;;[Red]&quot;No&quot;"/>
    <numFmt numFmtId="188" formatCode="0.0000%"/>
  </numFmts>
  <fonts count="56">
    <font>
      <sz val="11"/>
      <color indexed="8"/>
      <name val="宋体"/>
      <charset val="134"/>
    </font>
    <font>
      <sz val="12"/>
      <name val="宋体"/>
      <charset val="134"/>
    </font>
    <font>
      <b/>
      <sz val="14"/>
      <color indexed="8"/>
      <name val="宋体"/>
      <charset val="134"/>
    </font>
    <font>
      <b/>
      <sz val="14"/>
      <name val="宋体"/>
      <charset val="134"/>
    </font>
    <font>
      <sz val="10"/>
      <color indexed="8"/>
      <name val="宋体"/>
      <charset val="134"/>
    </font>
    <font>
      <sz val="10"/>
      <color rgb="FFFF0000"/>
      <name val="宋体"/>
      <charset val="134"/>
    </font>
    <font>
      <sz val="12"/>
      <color rgb="FFFF0000"/>
      <name val="宋体"/>
      <charset val="134"/>
    </font>
    <font>
      <sz val="10"/>
      <name val="宋体"/>
      <charset val="134"/>
    </font>
    <font>
      <sz val="10"/>
      <color theme="1"/>
      <name val="仿宋_GB2312"/>
      <charset val="134"/>
    </font>
    <font>
      <sz val="10"/>
      <name val="Arial"/>
      <charset val="134"/>
    </font>
    <font>
      <sz val="12"/>
      <color indexed="8"/>
      <name val="Calibri"/>
      <charset val="134"/>
    </font>
    <font>
      <sz val="12"/>
      <color indexed="9"/>
      <name val="Calibri"/>
      <charset val="134"/>
    </font>
    <font>
      <b/>
      <sz val="11"/>
      <color indexed="56"/>
      <name val="Calibri"/>
      <charset val="134"/>
    </font>
    <font>
      <b/>
      <sz val="12"/>
      <color indexed="63"/>
      <name val="Calibri"/>
      <charset val="134"/>
    </font>
    <font>
      <sz val="10"/>
      <name val="Arial"/>
      <charset val="0"/>
    </font>
    <font>
      <sz val="10"/>
      <color indexed="10"/>
      <name val="Arial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i/>
      <sz val="11"/>
      <color indexed="23"/>
      <name val="宋体"/>
      <charset val="134"/>
    </font>
    <font>
      <b/>
      <sz val="13"/>
      <color indexed="62"/>
      <name val="宋体"/>
      <charset val="134"/>
    </font>
    <font>
      <sz val="11"/>
      <color indexed="10"/>
      <name val="宋体"/>
      <charset val="134"/>
    </font>
    <font>
      <sz val="11"/>
      <color indexed="62"/>
      <name val="宋体"/>
      <charset val="134"/>
    </font>
    <font>
      <u/>
      <sz val="11"/>
      <color rgb="FF0000FF"/>
      <name val="宋体"/>
      <charset val="0"/>
      <scheme val="minor"/>
    </font>
    <font>
      <sz val="11"/>
      <color indexed="20"/>
      <name val="宋体"/>
      <charset val="134"/>
    </font>
    <font>
      <u/>
      <sz val="11"/>
      <color rgb="FF800080"/>
      <name val="宋体"/>
      <charset val="0"/>
      <scheme val="minor"/>
    </font>
    <font>
      <sz val="12"/>
      <color indexed="63"/>
      <name val="Calibri"/>
      <charset val="134"/>
    </font>
    <font>
      <b/>
      <sz val="15"/>
      <color indexed="62"/>
      <name val="宋体"/>
      <charset val="134"/>
    </font>
    <font>
      <b/>
      <sz val="18"/>
      <color indexed="49"/>
      <name val="Cambria"/>
      <charset val="134"/>
    </font>
    <font>
      <u/>
      <sz val="12"/>
      <color indexed="12"/>
      <name val="宋体"/>
      <charset val="134"/>
    </font>
    <font>
      <b/>
      <sz val="12"/>
      <color indexed="9"/>
      <name val="Calibri"/>
      <charset val="134"/>
    </font>
    <font>
      <b/>
      <sz val="11"/>
      <color indexed="62"/>
      <name val="宋体"/>
      <charset val="134"/>
    </font>
    <font>
      <sz val="12"/>
      <name val="Times New Roman"/>
      <charset val="134"/>
    </font>
    <font>
      <b/>
      <sz val="11"/>
      <color indexed="8"/>
      <name val="宋体"/>
      <charset val="134"/>
    </font>
    <font>
      <b/>
      <sz val="11"/>
      <color indexed="49"/>
      <name val="Calibri"/>
      <charset val="134"/>
    </font>
    <font>
      <sz val="12"/>
      <color indexed="17"/>
      <name val="Calibri"/>
      <charset val="134"/>
    </font>
    <font>
      <sz val="12"/>
      <color indexed="10"/>
      <name val="Calibri"/>
      <charset val="134"/>
    </font>
    <font>
      <b/>
      <sz val="11"/>
      <color indexed="63"/>
      <name val="宋体"/>
      <charset val="134"/>
    </font>
    <font>
      <sz val="11"/>
      <color indexed="52"/>
      <name val="宋体"/>
      <charset val="134"/>
    </font>
    <font>
      <sz val="12"/>
      <color indexed="28"/>
      <name val="Calibri"/>
      <charset val="134"/>
    </font>
    <font>
      <b/>
      <sz val="11"/>
      <color indexed="52"/>
      <name val="宋体"/>
      <charset val="134"/>
    </font>
    <font>
      <b/>
      <sz val="10"/>
      <name val="Arial"/>
      <charset val="134"/>
    </font>
    <font>
      <sz val="11"/>
      <color indexed="60"/>
      <name val="宋体"/>
      <charset val="134"/>
    </font>
    <font>
      <u/>
      <sz val="12"/>
      <color indexed="36"/>
      <name val="宋体"/>
      <charset val="134"/>
    </font>
    <font>
      <i/>
      <sz val="12"/>
      <color indexed="23"/>
      <name val="Calibri"/>
      <charset val="134"/>
    </font>
    <font>
      <sz val="12"/>
      <color indexed="20"/>
      <name val="Calibri"/>
      <charset val="134"/>
    </font>
    <font>
      <b/>
      <sz val="12"/>
      <color indexed="8"/>
      <name val="Calibri"/>
      <charset val="134"/>
    </font>
    <font>
      <sz val="12"/>
      <color indexed="60"/>
      <name val="Calibri"/>
      <charset val="134"/>
    </font>
    <font>
      <b/>
      <sz val="13"/>
      <color indexed="49"/>
      <name val="Calibri"/>
      <charset val="134"/>
    </font>
    <font>
      <b/>
      <sz val="15"/>
      <color indexed="49"/>
      <name val="Calibri"/>
      <charset val="134"/>
    </font>
    <font>
      <b/>
      <sz val="11"/>
      <color indexed="42"/>
      <name val="宋体"/>
      <charset val="134"/>
    </font>
    <font>
      <b/>
      <sz val="12"/>
      <color indexed="20"/>
      <name val="Calibri"/>
      <charset val="134"/>
    </font>
    <font>
      <b/>
      <sz val="12"/>
      <name val="Arial"/>
      <charset val="134"/>
    </font>
    <font>
      <sz val="11"/>
      <color indexed="17"/>
      <name val="宋体"/>
      <charset val="134"/>
    </font>
    <font>
      <b/>
      <sz val="18"/>
      <color indexed="62"/>
      <name val="宋体"/>
      <charset val="134"/>
    </font>
    <font>
      <b/>
      <sz val="20"/>
      <name val="Arial"/>
      <charset val="134"/>
    </font>
  </fonts>
  <fills count="51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9"/>
        <bgColor indexed="64"/>
      </patternFill>
    </fill>
    <fill>
      <patternFill patternType="mediumGray">
        <fgColor indexed="45"/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indexed="13"/>
        <bgColor indexed="45"/>
      </patternFill>
    </fill>
    <fill>
      <patternFill patternType="solid">
        <fgColor theme="9" tint="0.59999389629810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45"/>
        <bgColor indexed="45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lightGray">
        <fgColor indexed="45"/>
        <bgColor indexed="9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57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indexed="4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20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61">
    <xf numFmtId="0" fontId="0" fillId="0" borderId="0">
      <protection locked="0"/>
    </xf>
    <xf numFmtId="0" fontId="39" fillId="16" borderId="0" applyNumberFormat="0" applyBorder="0" applyAlignment="0" applyProtection="0"/>
    <xf numFmtId="49" fontId="9" fillId="3" borderId="5" applyFont="0" applyAlignment="0">
      <protection locked="0"/>
    </xf>
    <xf numFmtId="3" fontId="9" fillId="33" borderId="5">
      <alignment horizontal="right"/>
      <protection locked="0"/>
    </xf>
    <xf numFmtId="183" fontId="9" fillId="12" borderId="5" applyFont="0">
      <alignment horizontal="right"/>
    </xf>
    <xf numFmtId="182" fontId="9" fillId="12" borderId="5" applyFont="0">
      <alignment horizontal="right"/>
    </xf>
    <xf numFmtId="186" fontId="9" fillId="9" borderId="5">
      <protection locked="0"/>
    </xf>
    <xf numFmtId="185" fontId="9" fillId="9" borderId="5" applyFont="0"/>
    <xf numFmtId="185" fontId="9" fillId="42" borderId="5" applyFont="0"/>
    <xf numFmtId="1" fontId="9" fillId="16" borderId="5" applyFont="0">
      <alignment horizontal="right"/>
    </xf>
    <xf numFmtId="0" fontId="34" fillId="0" borderId="15" applyNumberFormat="0" applyFill="0" applyAlignment="0" applyProtection="0"/>
    <xf numFmtId="0" fontId="34" fillId="0" borderId="0" applyNumberFormat="0" applyFill="0" applyBorder="0" applyAlignment="0" applyProtection="0"/>
    <xf numFmtId="0" fontId="9" fillId="9" borderId="5" applyFont="0">
      <alignment horizontal="center" wrapText="1"/>
    </xf>
    <xf numFmtId="185" fontId="9" fillId="16" borderId="5" applyFont="0"/>
    <xf numFmtId="0" fontId="45" fillId="0" borderId="21" applyNumberFormat="0" applyFill="0" applyAlignment="0" applyProtection="0"/>
    <xf numFmtId="180" fontId="9" fillId="33" borderId="19" applyFont="0">
      <alignment horizontal="right"/>
      <protection locked="0"/>
    </xf>
    <xf numFmtId="0" fontId="30" fillId="35" borderId="14" applyNumberFormat="0" applyAlignment="0" applyProtection="0"/>
    <xf numFmtId="179" fontId="1" fillId="0" borderId="0" applyFont="0" applyFill="0" applyBorder="0" applyAlignment="0" applyProtection="0"/>
    <xf numFmtId="9" fontId="9" fillId="33" borderId="5">
      <alignment horizontal="right"/>
      <protection locked="0"/>
    </xf>
    <xf numFmtId="182" fontId="9" fillId="33" borderId="5">
      <alignment horizontal="right"/>
      <protection locked="0"/>
    </xf>
    <xf numFmtId="0" fontId="32" fillId="0" borderId="0"/>
    <xf numFmtId="9" fontId="9" fillId="12" borderId="5" applyFont="0">
      <alignment horizontal="right"/>
    </xf>
    <xf numFmtId="10" fontId="9" fillId="9" borderId="5" applyFont="0">
      <alignment horizontal="right"/>
    </xf>
    <xf numFmtId="0" fontId="49" fillId="0" borderId="13" applyNumberFormat="0" applyFill="0" applyAlignment="0" applyProtection="0"/>
    <xf numFmtId="186" fontId="9" fillId="37" borderId="5">
      <alignment vertical="center"/>
    </xf>
    <xf numFmtId="0" fontId="48" fillId="0" borderId="10" applyNumberFormat="0" applyFill="0" applyAlignment="0" applyProtection="0"/>
    <xf numFmtId="188" fontId="9" fillId="9" borderId="5" applyFont="0">
      <alignment horizontal="right"/>
    </xf>
    <xf numFmtId="3" fontId="9" fillId="12" borderId="5" applyFont="0">
      <alignment horizontal="right"/>
    </xf>
    <xf numFmtId="0" fontId="9" fillId="0" borderId="0">
      <alignment vertical="center"/>
    </xf>
    <xf numFmtId="3" fontId="9" fillId="32" borderId="5" applyFont="0">
      <alignment horizontal="right" vertical="center"/>
      <protection locked="0"/>
    </xf>
    <xf numFmtId="9" fontId="9" fillId="3" borderId="19" applyFont="0">
      <alignment horizontal="right"/>
      <protection locked="0"/>
    </xf>
    <xf numFmtId="185" fontId="9" fillId="30" borderId="5" applyProtection="0"/>
    <xf numFmtId="0" fontId="1" fillId="0" borderId="0"/>
    <xf numFmtId="3" fontId="9" fillId="3" borderId="5" applyFont="0">
      <alignment horizontal="right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9" fillId="14" borderId="17" applyNumberFormat="0" applyFont="0" applyAlignment="0" applyProtection="0"/>
    <xf numFmtId="10" fontId="9" fillId="23" borderId="5" applyFont="0" applyProtection="0">
      <alignment horizontal="right"/>
    </xf>
    <xf numFmtId="0" fontId="1" fillId="0" borderId="0"/>
    <xf numFmtId="0" fontId="41" fillId="12" borderId="12" applyFont="0" applyBorder="0">
      <alignment horizontal="center" wrapText="1"/>
    </xf>
    <xf numFmtId="0" fontId="12" fillId="0" borderId="20" applyNumberFormat="0" applyFill="0" applyAlignment="0" applyProtection="0"/>
    <xf numFmtId="0" fontId="35" fillId="33" borderId="0" applyNumberFormat="0" applyBorder="0" applyAlignment="0" applyProtection="0"/>
    <xf numFmtId="0" fontId="9" fillId="10" borderId="5" applyNumberFormat="0" applyFont="0" applyBorder="0" applyAlignment="0" applyProtection="0">
      <alignment horizontal="center"/>
    </xf>
    <xf numFmtId="0" fontId="43" fillId="0" borderId="0" applyNumberFormat="0" applyFill="0" applyBorder="0" applyAlignment="0" applyProtection="0">
      <alignment vertical="top"/>
      <protection locked="0"/>
    </xf>
    <xf numFmtId="49" fontId="9" fillId="9" borderId="5" applyFont="0"/>
    <xf numFmtId="0" fontId="44" fillId="0" borderId="0" applyNumberFormat="0" applyFill="0" applyBorder="0" applyAlignment="0" applyProtection="0"/>
    <xf numFmtId="0" fontId="1" fillId="0" borderId="0"/>
    <xf numFmtId="0" fontId="46" fillId="0" borderId="16" applyNumberFormat="0" applyFill="0" applyAlignment="0" applyProtection="0"/>
    <xf numFmtId="0" fontId="10" fillId="26" borderId="0" applyNumberFormat="0" applyBorder="0" applyAlignment="0" applyProtection="0"/>
    <xf numFmtId="0" fontId="9" fillId="0" borderId="0"/>
    <xf numFmtId="0" fontId="11" fillId="15" borderId="0" applyNumberFormat="0" applyBorder="0" applyAlignment="0" applyProtection="0"/>
    <xf numFmtId="10" fontId="9" fillId="16" borderId="5" applyFont="0">
      <alignment horizontal="right"/>
    </xf>
    <xf numFmtId="0" fontId="51" fillId="12" borderId="11" applyNumberFormat="0" applyAlignment="0" applyProtection="0"/>
    <xf numFmtId="0" fontId="9" fillId="0" borderId="0">
      <alignment vertical="center"/>
    </xf>
    <xf numFmtId="0" fontId="10" fillId="10" borderId="0" applyNumberFormat="0" applyBorder="0" applyAlignment="0" applyProtection="0"/>
    <xf numFmtId="188" fontId="9" fillId="16" borderId="5" applyFont="0">
      <alignment horizontal="right"/>
    </xf>
    <xf numFmtId="9" fontId="9" fillId="42" borderId="5" applyFont="0">
      <alignment horizontal="right"/>
    </xf>
    <xf numFmtId="0" fontId="10" fillId="14" borderId="0" applyNumberFormat="0" applyBorder="0" applyAlignment="0" applyProtection="0"/>
    <xf numFmtId="0" fontId="16" fillId="36" borderId="0" applyNumberFormat="0" applyBorder="0" applyAlignment="0" applyProtection="0">
      <alignment vertical="center"/>
    </xf>
    <xf numFmtId="0" fontId="18" fillId="45" borderId="0" applyNumberFormat="0" applyBorder="0" applyAlignment="0" applyProtection="0">
      <alignment vertical="center"/>
    </xf>
    <xf numFmtId="0" fontId="47" fillId="14" borderId="0" applyNumberFormat="0" applyBorder="0" applyAlignment="0" applyProtection="0"/>
    <xf numFmtId="0" fontId="10" fillId="32" borderId="0" applyNumberFormat="0" applyBorder="0" applyAlignment="0" applyProtection="0"/>
    <xf numFmtId="0" fontId="16" fillId="47" borderId="0" applyNumberFormat="0" applyBorder="0" applyAlignment="0" applyProtection="0">
      <alignment vertical="center"/>
    </xf>
    <xf numFmtId="9" fontId="9" fillId="23" borderId="5" applyFont="0" applyProtection="0">
      <alignment horizontal="right"/>
    </xf>
    <xf numFmtId="0" fontId="18" fillId="44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178" fontId="9" fillId="3" borderId="19" applyFont="0">
      <alignment horizontal="right"/>
      <protection locked="0"/>
    </xf>
    <xf numFmtId="0" fontId="42" fillId="14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/>
    <xf numFmtId="0" fontId="31" fillId="0" borderId="0" applyNumberFormat="0" applyFill="0" applyBorder="0" applyAlignment="0" applyProtection="0">
      <alignment vertical="center"/>
    </xf>
    <xf numFmtId="0" fontId="10" fillId="2" borderId="0" applyNumberFormat="0" applyBorder="0" applyAlignment="0" applyProtection="0"/>
    <xf numFmtId="0" fontId="53" fillId="33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10" fillId="14" borderId="0" applyNumberFormat="0" applyBorder="0" applyAlignment="0" applyProtection="0"/>
    <xf numFmtId="0" fontId="16" fillId="34" borderId="0" applyNumberFormat="0" applyBorder="0" applyAlignment="0" applyProtection="0">
      <alignment vertical="center"/>
    </xf>
    <xf numFmtId="10" fontId="9" fillId="16" borderId="23" applyFont="0">
      <alignment horizontal="right"/>
    </xf>
    <xf numFmtId="0" fontId="10" fillId="2" borderId="0" applyNumberFormat="0" applyBorder="0" applyAlignment="0" applyProtection="0"/>
    <xf numFmtId="0" fontId="16" fillId="38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/>
    <xf numFmtId="0" fontId="38" fillId="0" borderId="18" applyNumberFormat="0" applyFill="0" applyAlignment="0" applyProtection="0">
      <alignment vertical="center"/>
    </xf>
    <xf numFmtId="0" fontId="11" fillId="8" borderId="0" applyNumberFormat="0" applyBorder="0" applyAlignment="0" applyProtection="0"/>
    <xf numFmtId="0" fontId="50" fillId="35" borderId="14" applyNumberFormat="0" applyAlignment="0" applyProtection="0">
      <alignment vertical="center"/>
    </xf>
    <xf numFmtId="0" fontId="36" fillId="0" borderId="0" applyNumberFormat="0" applyFill="0" applyBorder="0" applyAlignment="0" applyProtection="0"/>
    <xf numFmtId="185" fontId="9" fillId="16" borderId="5" applyFont="0">
      <alignment horizontal="right"/>
    </xf>
    <xf numFmtId="0" fontId="18" fillId="28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9" fillId="23" borderId="12" applyNumberFormat="0" applyFont="0" applyBorder="0" applyAlignment="0" applyProtection="0">
      <alignment horizontal="left"/>
    </xf>
    <xf numFmtId="41" fontId="17" fillId="0" borderId="0" applyFont="0" applyFill="0" applyBorder="0" applyAlignment="0" applyProtection="0">
      <alignment vertical="center"/>
    </xf>
    <xf numFmtId="9" fontId="9" fillId="16" borderId="5" applyFont="0">
      <alignment horizontal="right"/>
    </xf>
    <xf numFmtId="0" fontId="25" fillId="0" borderId="0" applyNumberFormat="0" applyFill="0" applyBorder="0" applyAlignment="0" applyProtection="0">
      <alignment vertical="center"/>
    </xf>
    <xf numFmtId="0" fontId="9" fillId="16" borderId="5" applyFont="0">
      <alignment horizontal="center" wrapText="1"/>
      <protection locked="0"/>
    </xf>
    <xf numFmtId="0" fontId="40" fillId="12" borderId="11" applyNumberFormat="0" applyAlignment="0" applyProtection="0">
      <alignment vertical="center"/>
    </xf>
    <xf numFmtId="0" fontId="9" fillId="33" borderId="5">
      <alignment horizontal="center" wrapText="1"/>
    </xf>
    <xf numFmtId="0" fontId="18" fillId="43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10" fontId="9" fillId="3" borderId="5" applyFont="0">
      <alignment horizontal="right"/>
      <protection locked="0"/>
    </xf>
    <xf numFmtId="0" fontId="27" fillId="0" borderId="13" applyNumberFormat="0" applyFill="0" applyAlignment="0" applyProtection="0">
      <alignment vertical="center"/>
    </xf>
    <xf numFmtId="0" fontId="22" fillId="23" borderId="11" applyNumberFormat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40" borderId="17" applyNumberFormat="0" applyFont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10" fontId="9" fillId="33" borderId="5" applyFont="0">
      <alignment horizontal="right"/>
      <protection locked="0"/>
    </xf>
    <xf numFmtId="0" fontId="18" fillId="1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3" fillId="0" borderId="16" applyNumberFormat="0" applyFill="0" applyAlignment="0" applyProtection="0">
      <alignment vertical="center"/>
    </xf>
    <xf numFmtId="188" fontId="9" fillId="33" borderId="5">
      <alignment horizontal="right"/>
      <protection locked="0"/>
    </xf>
    <xf numFmtId="0" fontId="19" fillId="0" borderId="0" applyNumberFormat="0" applyFill="0" applyBorder="0" applyAlignment="0" applyProtection="0">
      <alignment vertical="center"/>
    </xf>
    <xf numFmtId="0" fontId="55" fillId="0" borderId="22" applyNumberFormat="0" applyFill="0" applyBorder="0" applyAlignment="0" applyProtection="0">
      <alignment horizontal="left"/>
    </xf>
    <xf numFmtId="0" fontId="31" fillId="0" borderId="15" applyNumberFormat="0" applyFill="0" applyAlignment="0" applyProtection="0">
      <alignment vertical="center"/>
    </xf>
    <xf numFmtId="0" fontId="37" fillId="12" borderId="9" applyNumberFormat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49" fontId="9" fillId="16" borderId="5" applyFont="0"/>
    <xf numFmtId="0" fontId="16" fillId="29" borderId="0" applyNumberFormat="0" applyBorder="0" applyAlignment="0" applyProtection="0">
      <alignment vertical="center"/>
    </xf>
    <xf numFmtId="10" fontId="9" fillId="12" borderId="5" applyFont="0">
      <alignment horizontal="right"/>
    </xf>
    <xf numFmtId="0" fontId="18" fillId="41" borderId="0" applyNumberFormat="0" applyBorder="0" applyAlignment="0" applyProtection="0">
      <alignment vertical="center"/>
    </xf>
    <xf numFmtId="0" fontId="9" fillId="3" borderId="5" applyFont="0">
      <alignment horizontal="center" wrapText="1"/>
      <protection locked="0"/>
    </xf>
    <xf numFmtId="186" fontId="9" fillId="3" borderId="5" applyFont="0" applyAlignment="0">
      <protection locked="0"/>
    </xf>
    <xf numFmtId="42" fontId="17" fillId="0" borderId="0" applyFont="0" applyFill="0" applyBorder="0" applyAlignment="0" applyProtection="0">
      <alignment vertical="center"/>
    </xf>
    <xf numFmtId="0" fontId="18" fillId="48" borderId="0" applyNumberFormat="0" applyBorder="0" applyAlignment="0" applyProtection="0">
      <alignment vertical="center"/>
    </xf>
    <xf numFmtId="0" fontId="26" fillId="15" borderId="11" applyNumberFormat="0" applyAlignment="0" applyProtection="0"/>
    <xf numFmtId="0" fontId="16" fillId="17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182" fontId="9" fillId="16" borderId="5" applyFont="0"/>
    <xf numFmtId="0" fontId="18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0" fontId="13" fillId="12" borderId="9" applyNumberFormat="0" applyAlignment="0" applyProtection="0"/>
    <xf numFmtId="0" fontId="11" fillId="15" borderId="0" applyNumberFormat="0" applyBorder="0" applyAlignment="0" applyProtection="0"/>
    <xf numFmtId="0" fontId="10" fillId="14" borderId="0" applyNumberFormat="0" applyBorder="0" applyAlignment="0" applyProtection="0"/>
    <xf numFmtId="0" fontId="10" fillId="26" borderId="0" applyNumberFormat="0" applyBorder="0" applyAlignment="0" applyProtection="0"/>
    <xf numFmtId="0" fontId="11" fillId="8" borderId="0" applyNumberFormat="0" applyBorder="0" applyAlignment="0" applyProtection="0"/>
    <xf numFmtId="0" fontId="11" fillId="13" borderId="0" applyNumberFormat="0" applyBorder="0" applyAlignment="0" applyProtection="0"/>
    <xf numFmtId="0" fontId="10" fillId="10" borderId="0" applyNumberFormat="0" applyBorder="0" applyAlignment="0" applyProtection="0"/>
    <xf numFmtId="0" fontId="9" fillId="33" borderId="5" applyNumberFormat="0" applyFont="0">
      <alignment horizontal="center" wrapText="1"/>
      <protection locked="0"/>
    </xf>
    <xf numFmtId="0" fontId="11" fillId="50" borderId="0" applyNumberFormat="0" applyBorder="0" applyAlignment="0" applyProtection="0"/>
    <xf numFmtId="3" fontId="9" fillId="23" borderId="5" applyFont="0" applyProtection="0">
      <alignment horizontal="right"/>
    </xf>
    <xf numFmtId="3" fontId="15" fillId="0" borderId="5" applyFont="0" applyFill="0" applyProtection="0">
      <alignment horizontal="right"/>
    </xf>
    <xf numFmtId="0" fontId="12" fillId="0" borderId="0" applyNumberFormat="0" applyFill="0" applyBorder="0" applyAlignment="0" applyProtection="0"/>
    <xf numFmtId="188" fontId="9" fillId="3" borderId="5">
      <alignment horizontal="right"/>
      <protection locked="0"/>
    </xf>
    <xf numFmtId="181" fontId="9" fillId="12" borderId="5" applyFont="0">
      <alignment horizontal="center" wrapText="1"/>
    </xf>
    <xf numFmtId="0" fontId="11" fillId="11" borderId="0" applyNumberFormat="0" applyBorder="0" applyAlignment="0" applyProtection="0"/>
    <xf numFmtId="0" fontId="11" fillId="8" borderId="0" applyNumberFormat="0" applyBorder="0" applyAlignment="0" applyProtection="0"/>
    <xf numFmtId="0" fontId="11" fillId="10" borderId="0" applyNumberFormat="0" applyBorder="0" applyAlignment="0" applyProtection="0"/>
    <xf numFmtId="184" fontId="1" fillId="0" borderId="0" applyFont="0" applyFill="0" applyBorder="0" applyAlignment="0" applyProtection="0"/>
    <xf numFmtId="9" fontId="9" fillId="9" borderId="5" applyFont="0">
      <alignment horizontal="right"/>
    </xf>
    <xf numFmtId="0" fontId="11" fillId="14" borderId="0" applyNumberFormat="0" applyBorder="0" applyAlignment="0" applyProtection="0"/>
    <xf numFmtId="1" fontId="9" fillId="9" borderId="5" applyFont="0">
      <alignment horizontal="right"/>
    </xf>
    <xf numFmtId="0" fontId="11" fillId="26" borderId="0" applyNumberFormat="0" applyBorder="0" applyAlignment="0" applyProtection="0"/>
    <xf numFmtId="0" fontId="11" fillId="8" borderId="0" applyNumberFormat="0" applyBorder="0" applyAlignment="0" applyProtection="0"/>
    <xf numFmtId="0" fontId="10" fillId="14" borderId="0" applyNumberFormat="0" applyBorder="0" applyAlignment="0" applyProtection="0"/>
    <xf numFmtId="187" fontId="9" fillId="12" borderId="5">
      <alignment horizontal="center"/>
    </xf>
    <xf numFmtId="0" fontId="10" fillId="7" borderId="0" applyNumberFormat="0" applyBorder="0" applyAlignment="0" applyProtection="0"/>
    <xf numFmtId="182" fontId="9" fillId="3" borderId="5" applyFont="0">
      <alignment horizontal="right"/>
      <protection locked="0"/>
    </xf>
  </cellStyleXfs>
  <cellXfs count="29">
    <xf numFmtId="0" fontId="0" fillId="0" borderId="0" xfId="0" applyAlignment="1" applyProtection="1">
      <alignment vertical="center"/>
    </xf>
    <xf numFmtId="0" fontId="1" fillId="0" borderId="0" xfId="45" applyAlignment="1" applyProtection="1">
      <alignment vertical="center"/>
      <protection locked="0"/>
    </xf>
    <xf numFmtId="0" fontId="2" fillId="0" borderId="0" xfId="45" applyFont="1" applyAlignment="1" applyProtection="1">
      <alignment horizontal="center" vertical="center"/>
      <protection locked="0"/>
    </xf>
    <xf numFmtId="0" fontId="3" fillId="0" borderId="0" xfId="45" applyFont="1" applyAlignment="1" applyProtection="1">
      <alignment horizontal="center" vertical="center"/>
      <protection locked="0"/>
    </xf>
    <xf numFmtId="0" fontId="4" fillId="0" borderId="0" xfId="45" applyFont="1" applyAlignment="1" applyProtection="1">
      <alignment vertical="center"/>
      <protection locked="0"/>
    </xf>
    <xf numFmtId="0" fontId="0" fillId="0" borderId="0" xfId="45" applyFont="1" applyAlignment="1" applyProtection="1">
      <alignment horizontal="center" vertical="center"/>
      <protection locked="0"/>
    </xf>
    <xf numFmtId="0" fontId="4" fillId="0" borderId="1" xfId="45" applyFont="1" applyBorder="1" applyAlignment="1" applyProtection="1">
      <alignment horizontal="center" vertical="center"/>
      <protection locked="0"/>
    </xf>
    <xf numFmtId="0" fontId="1" fillId="0" borderId="2" xfId="45" applyBorder="1" applyAlignment="1" applyProtection="1">
      <alignment horizontal="center" vertical="center"/>
      <protection locked="0"/>
    </xf>
    <xf numFmtId="0" fontId="4" fillId="0" borderId="3" xfId="45" applyFont="1" applyBorder="1" applyAlignment="1" applyProtection="1">
      <alignment horizontal="center" vertical="center"/>
      <protection locked="0"/>
    </xf>
    <xf numFmtId="0" fontId="1" fillId="0" borderId="4" xfId="45" applyBorder="1" applyAlignment="1" applyProtection="1">
      <alignment horizontal="center" vertical="center"/>
      <protection locked="0"/>
    </xf>
    <xf numFmtId="0" fontId="1" fillId="0" borderId="5" xfId="45" applyBorder="1" applyAlignment="1" applyProtection="1">
      <alignment horizontal="center" vertical="center"/>
      <protection locked="0"/>
    </xf>
    <xf numFmtId="0" fontId="4" fillId="0" borderId="6" xfId="45" applyFont="1" applyBorder="1" applyAlignment="1" applyProtection="1">
      <alignment horizontal="center" vertical="center"/>
      <protection locked="0"/>
    </xf>
    <xf numFmtId="0" fontId="4" fillId="0" borderId="4" xfId="45" applyFont="1" applyBorder="1" applyAlignment="1" applyProtection="1">
      <alignment horizontal="center" vertical="center"/>
      <protection locked="0"/>
    </xf>
    <xf numFmtId="0" fontId="4" fillId="0" borderId="5" xfId="45" applyFont="1" applyBorder="1" applyAlignment="1" applyProtection="1">
      <alignment vertical="center"/>
      <protection locked="0"/>
    </xf>
    <xf numFmtId="177" fontId="4" fillId="2" borderId="6" xfId="45" applyNumberFormat="1" applyFont="1" applyFill="1" applyBorder="1" applyAlignment="1">
      <alignment horizontal="right" vertical="center"/>
    </xf>
    <xf numFmtId="177" fontId="4" fillId="3" borderId="6" xfId="45" applyNumberFormat="1" applyFont="1" applyFill="1" applyBorder="1" applyAlignment="1" applyProtection="1">
      <alignment horizontal="right" vertical="center"/>
      <protection locked="0"/>
    </xf>
    <xf numFmtId="49" fontId="4" fillId="4" borderId="6" xfId="45" applyNumberFormat="1" applyFont="1" applyFill="1" applyBorder="1" applyAlignment="1">
      <alignment horizontal="right" vertical="center"/>
    </xf>
    <xf numFmtId="9" fontId="5" fillId="5" borderId="6" xfId="111" applyFont="1" applyFill="1" applyBorder="1" applyAlignment="1" applyProtection="1">
      <alignment horizontal="right" vertical="center"/>
    </xf>
    <xf numFmtId="9" fontId="4" fillId="6" borderId="6" xfId="111" applyFont="1" applyFill="1" applyBorder="1" applyAlignment="1" applyProtection="1">
      <alignment horizontal="right" vertical="center"/>
    </xf>
    <xf numFmtId="177" fontId="5" fillId="2" borderId="6" xfId="45" applyNumberFormat="1" applyFont="1" applyFill="1" applyBorder="1" applyAlignment="1">
      <alignment horizontal="right" vertical="center"/>
    </xf>
    <xf numFmtId="0" fontId="5" fillId="0" borderId="0" xfId="45" applyFont="1" applyAlignment="1" applyProtection="1">
      <alignment vertical="center"/>
      <protection locked="0"/>
    </xf>
    <xf numFmtId="0" fontId="6" fillId="0" borderId="0" xfId="45" applyFont="1" applyAlignment="1" applyProtection="1">
      <alignment vertical="center"/>
      <protection locked="0"/>
    </xf>
    <xf numFmtId="0" fontId="7" fillId="0" borderId="5" xfId="45" applyFont="1" applyBorder="1" applyAlignment="1" applyProtection="1">
      <alignment vertical="center"/>
      <protection locked="0"/>
    </xf>
    <xf numFmtId="0" fontId="4" fillId="0" borderId="7" xfId="45" applyFont="1" applyBorder="1" applyAlignment="1" applyProtection="1">
      <alignment vertical="center"/>
      <protection locked="0"/>
    </xf>
    <xf numFmtId="0" fontId="7" fillId="0" borderId="8" xfId="45" applyFont="1" applyBorder="1" applyAlignment="1" applyProtection="1">
      <alignment vertical="center"/>
      <protection locked="0"/>
    </xf>
    <xf numFmtId="176" fontId="8" fillId="0" borderId="0" xfId="132" applyNumberFormat="1" applyFont="1" applyProtection="1">
      <alignment vertical="center"/>
      <protection locked="0"/>
    </xf>
    <xf numFmtId="176" fontId="8" fillId="0" borderId="0" xfId="132" applyNumberFormat="1" applyFont="1" applyAlignment="1" applyProtection="1">
      <alignment horizontal="left" vertical="center"/>
      <protection locked="0"/>
    </xf>
    <xf numFmtId="0" fontId="7" fillId="0" borderId="0" xfId="45" applyFont="1" applyAlignment="1" applyProtection="1">
      <alignment vertical="center"/>
      <protection locked="0"/>
    </xf>
    <xf numFmtId="0" fontId="1" fillId="0" borderId="0" xfId="45" applyAlignment="1" applyProtection="1">
      <alignment horizontal="center" vertical="center"/>
      <protection locked="0"/>
    </xf>
  </cellXfs>
  <cellStyles count="161">
    <cellStyle name="常规" xfId="0" builtinId="0"/>
    <cellStyle name="Schlecht" xfId="1"/>
    <cellStyle name="inputText" xfId="2"/>
    <cellStyle name="optionalExposure" xfId="3"/>
    <cellStyle name="showParameterE" xfId="4"/>
    <cellStyle name="showParameterS" xfId="5"/>
    <cellStyle name="sup2Date" xfId="6"/>
    <cellStyle name="sup2ParameterE" xfId="7"/>
    <cellStyle name="sup3ParameterE" xfId="8"/>
    <cellStyle name="supInt" xfId="9"/>
    <cellStyle name="Überschrift 3" xfId="10"/>
    <cellStyle name="Überschrift 4" xfId="11"/>
    <cellStyle name="sup2Selection" xfId="12"/>
    <cellStyle name="supParameterE" xfId="13"/>
    <cellStyle name="Verknüpfte Zelle" xfId="14"/>
    <cellStyle name="optionalPercentageS" xfId="15"/>
    <cellStyle name="Zelle überprüfen" xfId="16"/>
    <cellStyle name="千位_股东贷款" xfId="17"/>
    <cellStyle name="optionalPercentage" xfId="18"/>
    <cellStyle name="optionalMaturity" xfId="19"/>
    <cellStyle name="样式 1" xfId="20"/>
    <cellStyle name="showPercentage" xfId="21"/>
    <cellStyle name="sup2PercentageM" xfId="22"/>
    <cellStyle name="Überschrift 1" xfId="23"/>
    <cellStyle name="supDate" xfId="24"/>
    <cellStyle name="Überschrift 2" xfId="25"/>
    <cellStyle name="sup2PercentageL" xfId="26"/>
    <cellStyle name="showExposure" xfId="27"/>
    <cellStyle name="常规 2" xfId="28"/>
    <cellStyle name="reviseExposure" xfId="29"/>
    <cellStyle name="inputPercentage" xfId="30"/>
    <cellStyle name="inputParameterE" xfId="31"/>
    <cellStyle name="常规 3" xfId="32"/>
    <cellStyle name="inputExposure" xfId="33"/>
    <cellStyle name="Hyperlink" xfId="34"/>
    <cellStyle name="Hinweis" xfId="35"/>
    <cellStyle name="highlightPD" xfId="36"/>
    <cellStyle name="Normal_G10revised-20050118" xfId="37"/>
    <cellStyle name="HeadingTable" xfId="38"/>
    <cellStyle name="Heading 3" xfId="39"/>
    <cellStyle name="Gut" xfId="40"/>
    <cellStyle name="greyed" xfId="41"/>
    <cellStyle name="Followed Hyperlink" xfId="42"/>
    <cellStyle name="sup2Text" xfId="43"/>
    <cellStyle name="Erklärender Text" xfId="44"/>
    <cellStyle name="常规_G4A-1(a)贷款损失准备情况表（权重法）" xfId="45"/>
    <cellStyle name="Ergebnis" xfId="46"/>
    <cellStyle name="20 % - Akzent2" xfId="47"/>
    <cellStyle name="?鹎%U龡&amp;H?_x0008__x001c__x001c_?_x0007__x0001__x0001_" xfId="48"/>
    <cellStyle name="60 % - Akzent6" xfId="49"/>
    <cellStyle name="supPD" xfId="50"/>
    <cellStyle name="Berechnung" xfId="51"/>
    <cellStyle name="" xfId="52"/>
    <cellStyle name="40 % - Akzent4" xfId="53"/>
    <cellStyle name="supPercentageL" xfId="54"/>
    <cellStyle name="sup3Percentage" xfId="55"/>
    <cellStyle name="20 % - Akzent3" xfId="56"/>
    <cellStyle name="强调文字颜色 3" xfId="57" builtinId="37"/>
    <cellStyle name="40% - 强调文字颜色 2" xfId="58" builtinId="35"/>
    <cellStyle name="Neutral" xfId="59"/>
    <cellStyle name="20 % - Akzent5" xfId="60"/>
    <cellStyle name="60% - 强调文字颜色 2" xfId="61" builtinId="36"/>
    <cellStyle name="highlightPercentage" xfId="62"/>
    <cellStyle name="40% - 强调文字颜色 1" xfId="63" builtinId="31"/>
    <cellStyle name="强调文字颜色 2" xfId="64" builtinId="33"/>
    <cellStyle name="inputPercentageS" xfId="65"/>
    <cellStyle name="适中" xfId="66" builtinId="28"/>
    <cellStyle name="强调文字颜色 1" xfId="67" builtinId="29"/>
    <cellStyle name="Heading 2" xfId="68"/>
    <cellStyle name="标题 4" xfId="69" builtinId="19"/>
    <cellStyle name="20 % - Akzent1" xfId="70"/>
    <cellStyle name="好" xfId="71" builtinId="26"/>
    <cellStyle name="标题" xfId="72" builtinId="15"/>
    <cellStyle name="20 % - Akzent6" xfId="73"/>
    <cellStyle name="60% - 强调文字颜色 3" xfId="74" builtinId="40"/>
    <cellStyle name="supPercentageM" xfId="75"/>
    <cellStyle name="20 % - Akzent4" xfId="76"/>
    <cellStyle name="60% - 强调文字颜色 1" xfId="77" builtinId="32"/>
    <cellStyle name="Titel" xfId="78"/>
    <cellStyle name="链接单元格" xfId="79" builtinId="24"/>
    <cellStyle name="60 % - Akzent5" xfId="80"/>
    <cellStyle name="检查单元格" xfId="81" builtinId="23"/>
    <cellStyle name="Warnender Text" xfId="82"/>
    <cellStyle name="supFloat" xfId="83"/>
    <cellStyle name="40% - 强调文字颜色 3" xfId="84" builtinId="39"/>
    <cellStyle name="强调文字颜色 4" xfId="85" builtinId="41"/>
    <cellStyle name="highlightText" xfId="86"/>
    <cellStyle name="千位分隔[0]" xfId="87" builtinId="6"/>
    <cellStyle name="supPercentage" xfId="88"/>
    <cellStyle name="已访问的超链接" xfId="89" builtinId="9"/>
    <cellStyle name="supSelection" xfId="90"/>
    <cellStyle name="计算" xfId="91" builtinId="22"/>
    <cellStyle name="optionalSelection" xfId="92"/>
    <cellStyle name="20% - 强调文字颜色 4" xfId="93" builtinId="42"/>
    <cellStyle name="差" xfId="94" builtinId="27"/>
    <cellStyle name="货币" xfId="95" builtinId="4"/>
    <cellStyle name="20% - 强调文字颜色 3" xfId="96" builtinId="38"/>
    <cellStyle name="60% - 强调文字颜色 6" xfId="97" builtinId="52"/>
    <cellStyle name="超链接" xfId="98" builtinId="8"/>
    <cellStyle name="inputPD" xfId="99"/>
    <cellStyle name="标题 1" xfId="100" builtinId="16"/>
    <cellStyle name="输入" xfId="101" builtinId="20"/>
    <cellStyle name="60% - 强调文字颜色 5" xfId="102" builtinId="48"/>
    <cellStyle name="20% - 强调文字颜色 2" xfId="103" builtinId="34"/>
    <cellStyle name="警告文本" xfId="104" builtinId="11"/>
    <cellStyle name="注释" xfId="105" builtinId="10"/>
    <cellStyle name="60% - 强调文字颜色 4" xfId="106" builtinId="44"/>
    <cellStyle name="标题 2" xfId="107" builtinId="17"/>
    <cellStyle name="千位分隔" xfId="108" builtinId="3"/>
    <cellStyle name="optionalPD" xfId="109"/>
    <cellStyle name="20% - 强调文字颜色 1" xfId="110" builtinId="30"/>
    <cellStyle name="百分比" xfId="111" builtinId="5"/>
    <cellStyle name="汇总" xfId="112" builtinId="25"/>
    <cellStyle name="optionalPercentageL" xfId="113"/>
    <cellStyle name="解释性文本" xfId="114" builtinId="53"/>
    <cellStyle name="Heading 1" xfId="115"/>
    <cellStyle name="标题 3" xfId="116" builtinId="18"/>
    <cellStyle name="输出" xfId="117" builtinId="21"/>
    <cellStyle name="40% - 强调文字颜色 4" xfId="118" builtinId="43"/>
    <cellStyle name="supText" xfId="119"/>
    <cellStyle name="强调文字颜色 5" xfId="120" builtinId="45"/>
    <cellStyle name="showPD" xfId="121"/>
    <cellStyle name="20% - 强调文字颜色 5" xfId="122" builtinId="46"/>
    <cellStyle name="inputSelection" xfId="123"/>
    <cellStyle name="inputDate" xfId="124"/>
    <cellStyle name="货币[0]" xfId="125" builtinId="7"/>
    <cellStyle name="40% - 强调文字颜色 5" xfId="126" builtinId="47"/>
    <cellStyle name="Eingabe" xfId="127"/>
    <cellStyle name="强调文字颜色 6" xfId="128" builtinId="49"/>
    <cellStyle name="20% - 强调文字颜色 6" xfId="129" builtinId="50"/>
    <cellStyle name="supParameterS" xfId="130"/>
    <cellStyle name="40% - 强调文字颜色 6" xfId="131" builtinId="51"/>
    <cellStyle name="常规_资本充足率汇总表-0223" xfId="132"/>
    <cellStyle name="常规_G01" xfId="133"/>
    <cellStyle name="Ausgabe" xfId="134"/>
    <cellStyle name="Akzent6" xfId="135"/>
    <cellStyle name="40 % - Akzent3" xfId="136"/>
    <cellStyle name="40 % - Akzent2" xfId="137"/>
    <cellStyle name="Akzent5" xfId="138"/>
    <cellStyle name="Akzent4" xfId="139"/>
    <cellStyle name="40 % - Akzent1" xfId="140"/>
    <cellStyle name="optionalText" xfId="141"/>
    <cellStyle name="Akzent3" xfId="142"/>
    <cellStyle name="highlightExposure" xfId="143"/>
    <cellStyle name="checkExposure" xfId="144"/>
    <cellStyle name="Heading 4" xfId="145"/>
    <cellStyle name="inputPercentageL" xfId="146"/>
    <cellStyle name="showSelection" xfId="147"/>
    <cellStyle name="Akzent2" xfId="148"/>
    <cellStyle name="Akzent1" xfId="149"/>
    <cellStyle name="60 % - Akzent4" xfId="150"/>
    <cellStyle name="千位[0]_股东贷款" xfId="151"/>
    <cellStyle name="sup2Percentage" xfId="152"/>
    <cellStyle name="60 % - Akzent3" xfId="153"/>
    <cellStyle name="sup2Int" xfId="154"/>
    <cellStyle name="60 % - Akzent2" xfId="155"/>
    <cellStyle name="60 % - Akzent1" xfId="156"/>
    <cellStyle name="40 % - Akzent6" xfId="157"/>
    <cellStyle name="showCheck" xfId="158"/>
    <cellStyle name="40 % - Akzent5" xfId="159"/>
    <cellStyle name="inputMaturity" xfId="160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3" Type="http://schemas.openxmlformats.org/officeDocument/2006/relationships/externalLink" Target="externalLinks/externalLink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BG_IS4_ReportingTemplat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Basel%20III%20implementation%20monitoring%20reporting%20template%20v2-2-0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eneral Info"/>
      <sheetName val="IRC"/>
      <sheetName val="Securitisations"/>
      <sheetName val="Correlation trading portf"/>
      <sheetName val="Securitisations LSS"/>
      <sheetName val="Correlation trading portf LSS"/>
      <sheetName val="Securitisations wide"/>
      <sheetName val="Correlation trading portf wide "/>
      <sheetName val="Paramete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arameters"/>
      <sheetName val="General Info"/>
      <sheetName val="DefCapB3"/>
      <sheetName val="DefCapB3-MI"/>
      <sheetName val="Leverage Ratio"/>
      <sheetName val="LCR"/>
      <sheetName val="NSFR"/>
      <sheetName val="Check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7"/>
  <sheetViews>
    <sheetView tabSelected="1" workbookViewId="0">
      <selection activeCell="G15" sqref="G15"/>
    </sheetView>
  </sheetViews>
  <sheetFormatPr defaultColWidth="8.83333333333333" defaultRowHeight="14.25" outlineLevelCol="7"/>
  <cols>
    <col min="1" max="1" width="6.875" style="1" customWidth="1"/>
    <col min="2" max="2" width="71.5" style="1" customWidth="1"/>
    <col min="3" max="3" width="13.6666666666667" style="1" customWidth="1"/>
    <col min="4" max="16384" width="8.83333333333333" style="1"/>
  </cols>
  <sheetData>
    <row r="1" ht="25" customHeight="1" spans="1:3">
      <c r="A1" s="2" t="s">
        <v>0</v>
      </c>
      <c r="B1" s="3"/>
      <c r="C1" s="3"/>
    </row>
    <row r="2" ht="20" customHeight="1" spans="1:5">
      <c r="A2" s="4" t="s">
        <v>1</v>
      </c>
      <c r="B2" s="5"/>
      <c r="C2" s="4" t="s">
        <v>2</v>
      </c>
      <c r="E2" s="27"/>
    </row>
    <row r="3" ht="15" customHeight="1" spans="1:3">
      <c r="A3" s="6" t="s">
        <v>3</v>
      </c>
      <c r="B3" s="7"/>
      <c r="C3" s="8" t="s">
        <v>4</v>
      </c>
    </row>
    <row r="4" ht="15" customHeight="1" spans="1:3">
      <c r="A4" s="9"/>
      <c r="B4" s="10"/>
      <c r="C4" s="11" t="s">
        <v>5</v>
      </c>
    </row>
    <row r="5" ht="15" customHeight="1" spans="1:3">
      <c r="A5" s="12">
        <v>1</v>
      </c>
      <c r="B5" s="13" t="s">
        <v>6</v>
      </c>
      <c r="C5" s="14">
        <f>C6+C7</f>
        <v>0</v>
      </c>
    </row>
    <row r="6" ht="15" customHeight="1" spans="1:3">
      <c r="A6" s="12">
        <v>2</v>
      </c>
      <c r="B6" s="13" t="s">
        <v>7</v>
      </c>
      <c r="C6" s="15"/>
    </row>
    <row r="7" ht="15" customHeight="1" spans="1:3">
      <c r="A7" s="12">
        <v>3</v>
      </c>
      <c r="B7" s="13" t="s">
        <v>8</v>
      </c>
      <c r="C7" s="15"/>
    </row>
    <row r="8" ht="15" customHeight="1" spans="1:3">
      <c r="A8" s="12">
        <v>4</v>
      </c>
      <c r="B8" s="13" t="s">
        <v>9</v>
      </c>
      <c r="C8" s="14">
        <f>C9+C10</f>
        <v>0</v>
      </c>
    </row>
    <row r="9" ht="15" customHeight="1" spans="1:3">
      <c r="A9" s="12">
        <v>5</v>
      </c>
      <c r="B9" s="13" t="s">
        <v>10</v>
      </c>
      <c r="C9" s="14">
        <f>(C27+C28+C29)*100%</f>
        <v>0</v>
      </c>
    </row>
    <row r="10" ht="15" customHeight="1" spans="1:3">
      <c r="A10" s="12">
        <v>6</v>
      </c>
      <c r="B10" s="13" t="s">
        <v>11</v>
      </c>
      <c r="C10" s="14">
        <f>(C33+C34+C35)*100%</f>
        <v>0</v>
      </c>
    </row>
    <row r="11" ht="15" customHeight="1" spans="1:3">
      <c r="A11" s="12">
        <v>7</v>
      </c>
      <c r="B11" s="13" t="s">
        <v>12</v>
      </c>
      <c r="C11" s="16"/>
    </row>
    <row r="12" ht="15" customHeight="1" spans="1:3">
      <c r="A12" s="12">
        <v>8</v>
      </c>
      <c r="B12" s="13" t="s">
        <v>13</v>
      </c>
      <c r="C12" s="17">
        <v>1</v>
      </c>
    </row>
    <row r="13" ht="15" customHeight="1" spans="1:3">
      <c r="A13" s="12">
        <v>9</v>
      </c>
      <c r="B13" s="13" t="s">
        <v>14</v>
      </c>
      <c r="C13" s="18">
        <v>0.5</v>
      </c>
    </row>
    <row r="14" ht="15" customHeight="1" spans="1:3">
      <c r="A14" s="12">
        <v>10</v>
      </c>
      <c r="B14" s="13" t="s">
        <v>15</v>
      </c>
      <c r="C14" s="16"/>
    </row>
    <row r="15" ht="15" customHeight="1" spans="1:8">
      <c r="A15" s="12">
        <v>11</v>
      </c>
      <c r="B15" s="13" t="s">
        <v>16</v>
      </c>
      <c r="C15" s="19">
        <f>IF(C6-C9*C12&lt;0,C6-C9*C12,0)</f>
        <v>0</v>
      </c>
      <c r="D15" s="20"/>
      <c r="H15" s="28"/>
    </row>
    <row r="16" ht="15" customHeight="1" spans="1:4">
      <c r="A16" s="12">
        <v>12</v>
      </c>
      <c r="B16" s="13" t="s">
        <v>17</v>
      </c>
      <c r="C16" s="19">
        <f>IF(C7-C10*C13&lt;0,C7-C10*C13,0)</f>
        <v>0</v>
      </c>
      <c r="D16" s="20"/>
    </row>
    <row r="17" ht="15" customHeight="1" spans="1:4">
      <c r="A17" s="12">
        <v>13</v>
      </c>
      <c r="B17" s="13" t="s">
        <v>18</v>
      </c>
      <c r="C17" s="16"/>
      <c r="D17" s="21"/>
    </row>
    <row r="18" ht="15" customHeight="1" spans="1:4">
      <c r="A18" s="12">
        <v>14</v>
      </c>
      <c r="B18" s="13" t="s">
        <v>19</v>
      </c>
      <c r="C18" s="19">
        <f>IF(C6-C9*100%&gt;0,C6-C9*100%,0)</f>
        <v>0</v>
      </c>
      <c r="D18" s="20"/>
    </row>
    <row r="19" ht="15" customHeight="1" spans="1:4">
      <c r="A19" s="12">
        <v>15</v>
      </c>
      <c r="B19" s="13" t="s">
        <v>20</v>
      </c>
      <c r="C19" s="19">
        <f>IF(C7-C10*100%&gt;0,C7-C10*100%,0)</f>
        <v>0</v>
      </c>
      <c r="D19" s="20"/>
    </row>
    <row r="20" ht="15" customHeight="1" spans="1:3">
      <c r="A20" s="12">
        <v>16</v>
      </c>
      <c r="B20" s="13" t="s">
        <v>21</v>
      </c>
      <c r="C20" s="16"/>
    </row>
    <row r="21" ht="15" customHeight="1" spans="1:3">
      <c r="A21" s="12">
        <v>17</v>
      </c>
      <c r="B21" s="22" t="s">
        <v>22</v>
      </c>
      <c r="C21" s="14">
        <f>IF(C15+C16+C18+C19&lt;0,C15+C16+C18+C19,0)</f>
        <v>0</v>
      </c>
    </row>
    <row r="22" ht="15" customHeight="1" spans="1:3">
      <c r="A22" s="12">
        <v>18</v>
      </c>
      <c r="B22" s="22" t="s">
        <v>23</v>
      </c>
      <c r="C22" s="14">
        <f>IF(C15+C16+C18+C19&lt;0,0,C15+C16+C18+C19)</f>
        <v>0</v>
      </c>
    </row>
    <row r="23" ht="15" customHeight="1" spans="1:3">
      <c r="A23" s="12">
        <v>19</v>
      </c>
      <c r="B23" s="13" t="s">
        <v>24</v>
      </c>
      <c r="C23" s="14">
        <f>C24+C30</f>
        <v>0</v>
      </c>
    </row>
    <row r="24" ht="15" customHeight="1" spans="1:3">
      <c r="A24" s="12">
        <v>20</v>
      </c>
      <c r="B24" s="13" t="s">
        <v>25</v>
      </c>
      <c r="C24" s="14">
        <f>C25+C26+C27+C28+C29</f>
        <v>0</v>
      </c>
    </row>
    <row r="25" ht="15" customHeight="1" spans="1:3">
      <c r="A25" s="12">
        <v>21</v>
      </c>
      <c r="B25" s="13" t="s">
        <v>26</v>
      </c>
      <c r="C25" s="15"/>
    </row>
    <row r="26" ht="15" customHeight="1" spans="1:3">
      <c r="A26" s="12">
        <v>22</v>
      </c>
      <c r="B26" s="13" t="s">
        <v>27</v>
      </c>
      <c r="C26" s="15"/>
    </row>
    <row r="27" ht="15" customHeight="1" spans="1:3">
      <c r="A27" s="12">
        <v>23</v>
      </c>
      <c r="B27" s="13" t="s">
        <v>28</v>
      </c>
      <c r="C27" s="15"/>
    </row>
    <row r="28" ht="15" customHeight="1" spans="1:3">
      <c r="A28" s="12">
        <v>24</v>
      </c>
      <c r="B28" s="13" t="s">
        <v>29</v>
      </c>
      <c r="C28" s="15"/>
    </row>
    <row r="29" ht="15" customHeight="1" spans="1:3">
      <c r="A29" s="12">
        <v>25</v>
      </c>
      <c r="B29" s="13" t="s">
        <v>30</v>
      </c>
      <c r="C29" s="15"/>
    </row>
    <row r="30" ht="15" customHeight="1" spans="1:3">
      <c r="A30" s="12">
        <v>26</v>
      </c>
      <c r="B30" s="13" t="s">
        <v>31</v>
      </c>
      <c r="C30" s="14">
        <f>C31+C32+C33+C34+C35</f>
        <v>0</v>
      </c>
    </row>
    <row r="31" ht="15" customHeight="1" spans="1:3">
      <c r="A31" s="12">
        <v>27</v>
      </c>
      <c r="B31" s="13" t="s">
        <v>32</v>
      </c>
      <c r="C31" s="15"/>
    </row>
    <row r="32" ht="15" customHeight="1" spans="1:3">
      <c r="A32" s="12">
        <v>28</v>
      </c>
      <c r="B32" s="13" t="s">
        <v>33</v>
      </c>
      <c r="C32" s="15"/>
    </row>
    <row r="33" ht="15" customHeight="1" spans="1:3">
      <c r="A33" s="12">
        <v>29</v>
      </c>
      <c r="B33" s="13" t="s">
        <v>34</v>
      </c>
      <c r="C33" s="15"/>
    </row>
    <row r="34" ht="15" customHeight="1" spans="1:3">
      <c r="A34" s="12">
        <v>30</v>
      </c>
      <c r="B34" s="13" t="s">
        <v>35</v>
      </c>
      <c r="C34" s="15"/>
    </row>
    <row r="35" ht="15" customHeight="1" spans="1:3">
      <c r="A35" s="12">
        <v>31</v>
      </c>
      <c r="B35" s="23" t="s">
        <v>36</v>
      </c>
      <c r="C35" s="15"/>
    </row>
    <row r="36" ht="13.5" spans="1:3">
      <c r="A36" s="24" t="s">
        <v>37</v>
      </c>
      <c r="B36" s="24"/>
      <c r="C36" s="24" t="s">
        <v>38</v>
      </c>
    </row>
    <row r="37" ht="13.5" spans="1:2">
      <c r="A37" s="25" t="s">
        <v>39</v>
      </c>
      <c r="B37" s="26">
        <v>241</v>
      </c>
    </row>
  </sheetData>
  <sheetProtection formatCells="0" formatColumns="0" formatRows="0" sort="0" autoFilter="0" pivotTables="0"/>
  <protectedRanges>
    <protectedRange sqref="C17 C20 C5:C14" name="区域2_1_1"/>
  </protectedRanges>
  <mergeCells count="2">
    <mergeCell ref="A1:C1"/>
    <mergeCell ref="A3:B4"/>
  </mergeCells>
  <dataValidations count="3">
    <dataValidation type="decimal" operator="between" allowBlank="1" showInputMessage="1" showErrorMessage="1" sqref="C15:C16 C18:C19 C21:C35">
      <formula1>-99999999999999.9</formula1>
      <formula2>99999999999999.9</formula2>
    </dataValidation>
    <dataValidation type="list" allowBlank="1" showInputMessage="1" showErrorMessage="1" sqref="C13">
      <formula1>"50%,75%,100%"</formula1>
    </dataValidation>
    <dataValidation type="decimal" operator="between" allowBlank="1" showInputMessage="1" showErrorMessage="1" sqref="C14 C17 C20 C5:C12">
      <formula1>-9999999999.99</formula1>
      <formula2>9999999999.99</formula2>
    </dataValidation>
  </dataValidations>
  <printOptions horizontalCentered="1"/>
  <pageMargins left="0.196850393700787" right="0.196850393700787" top="0.393700787401575" bottom="0.393700787401575" header="0.511811023622047" footer="0.511811023622047"/>
  <pageSetup paperSize="9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1" master="">
    <arrUserId title="区域2_1_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G4A-1(a)（第三档）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刘茜</dc:creator>
  <cp:lastModifiedBy>陈静</cp:lastModifiedBy>
  <dcterms:created xsi:type="dcterms:W3CDTF">2011-03-11T06:54:00Z</dcterms:created>
  <cp:lastPrinted>2013-01-05T01:22:00Z</cp:lastPrinted>
  <dcterms:modified xsi:type="dcterms:W3CDTF">2024-12-13T14:58:11Z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hinkcellXlWorkbookDoNotDelete" linkTarget="&lt;?xml version=&quot;1.0&quot; encoding=&quot;UTF-16&quot; standalone=&quot;yes&quot;?&gt;&#10;&lt;root&gt;&lt;version val=&quot;17289&quot;/&gt;&lt;partner val=&quot;530&quot;/&gt;&lt;CXlWorkbook id=&quot;1&quot;&gt;&lt;m_cxllink/&gt;&lt;/CXlWorkbook&gt;&lt;/root&gt;">
    <vt:bool>false</vt:bool>
  </property>
  <property fmtid="{D5CDD505-2E9C-101B-9397-08002B2CF9AE}" pid="3" name="ICV">
    <vt:lpwstr>2A62F3176962913C96AE5A67A4B57352</vt:lpwstr>
  </property>
  <property fmtid="{D5CDD505-2E9C-101B-9397-08002B2CF9AE}" pid="4" name="KSOProductBuildVer">
    <vt:lpwstr>2052-11.8.2.11764</vt:lpwstr>
  </property>
</Properties>
</file>