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bookViews>
  <sheets>
    <sheet name="G4B_2（第二档）" sheetId="6" r:id="rId1"/>
    <sheet name="RW&amp;CCF" sheetId="5" state="hidden" r:id="rId2"/>
  </sheets>
  <definedNames>
    <definedName name="_xlnm._FilterDatabase" localSheetId="0" hidden="1">'G4B_2（第二档）'!$5:$389</definedName>
  </definedNames>
  <calcPr calcId="144525"/>
</workbook>
</file>

<file path=xl/sharedStrings.xml><?xml version="1.0" encoding="utf-8"?>
<sst xmlns="http://schemas.openxmlformats.org/spreadsheetml/2006/main" count="612" uniqueCount="596">
  <si>
    <r>
      <rPr>
        <b/>
        <sz val="16"/>
        <color theme="1"/>
        <rFont val="Times New Roman"/>
        <charset val="134"/>
      </rPr>
      <t>G4B_</t>
    </r>
    <r>
      <rPr>
        <b/>
        <sz val="16"/>
        <color theme="1"/>
        <rFont val="宋体"/>
        <charset val="134"/>
      </rPr>
      <t>Ⅱ</t>
    </r>
    <r>
      <rPr>
        <b/>
        <sz val="16"/>
        <color theme="1"/>
        <rFont val="Times New Roman"/>
        <charset val="134"/>
      </rPr>
      <t xml:space="preserve"> </t>
    </r>
    <r>
      <rPr>
        <b/>
        <sz val="16"/>
        <color theme="1"/>
        <rFont val="宋体"/>
        <charset val="134"/>
      </rPr>
      <t>表外信用风险加权资产计算表</t>
    </r>
    <r>
      <rPr>
        <b/>
        <sz val="16"/>
        <color theme="1"/>
        <rFont val="Times New Roman"/>
        <charset val="134"/>
      </rPr>
      <t>-</t>
    </r>
    <r>
      <rPr>
        <b/>
        <sz val="16"/>
        <color theme="1"/>
        <rFont val="宋体"/>
        <charset val="134"/>
      </rPr>
      <t>权重法</t>
    </r>
    <r>
      <rPr>
        <b/>
        <sz val="16"/>
        <color theme="1"/>
        <rFont val="Times New Roman"/>
        <charset val="134"/>
      </rPr>
      <t>(</t>
    </r>
    <r>
      <rPr>
        <b/>
        <sz val="16"/>
        <color theme="1"/>
        <rFont val="宋体"/>
        <charset val="134"/>
      </rPr>
      <t>第二档银行</t>
    </r>
    <r>
      <rPr>
        <b/>
        <sz val="16"/>
        <color theme="1"/>
        <rFont val="Times New Roman"/>
        <charset val="134"/>
      </rPr>
      <t>)(</t>
    </r>
    <r>
      <rPr>
        <b/>
        <sz val="16"/>
        <color theme="1"/>
        <rFont val="宋体"/>
        <charset val="134"/>
      </rPr>
      <t>新规</t>
    </r>
    <r>
      <rPr>
        <b/>
        <sz val="16"/>
        <color theme="1"/>
        <rFont val="Times New Roman"/>
        <charset val="134"/>
      </rPr>
      <t>)</t>
    </r>
  </si>
  <si>
    <t xml:space="preserve">填报机构：                                </t>
  </si>
  <si>
    <t xml:space="preserve">              </t>
  </si>
  <si>
    <t xml:space="preserve">报表日期： 年  月  日        </t>
  </si>
  <si>
    <t>单位：万元</t>
  </si>
  <si>
    <t>项　　　　目</t>
  </si>
  <si>
    <t>A</t>
  </si>
  <si>
    <t>B</t>
  </si>
  <si>
    <t>C</t>
  </si>
  <si>
    <t>D</t>
  </si>
  <si>
    <t>E</t>
  </si>
  <si>
    <t>F</t>
  </si>
  <si>
    <t>G</t>
  </si>
  <si>
    <t>转换前资产</t>
  </si>
  <si>
    <t>转换系数</t>
  </si>
  <si>
    <t>转换后资产</t>
  </si>
  <si>
    <t>减值准备</t>
  </si>
  <si>
    <t>转换后风险暴露</t>
  </si>
  <si>
    <t>风险权重</t>
  </si>
  <si>
    <t>风险加权资产</t>
  </si>
  <si>
    <t>1.等同于贷款的授信业务</t>
  </si>
  <si>
    <t xml:space="preserve">  1.1银行承兑汇票</t>
  </si>
  <si>
    <t xml:space="preserve">    1.1.1风险权重为0%</t>
  </si>
  <si>
    <t xml:space="preserve">    1.1.2风险权重为10%</t>
  </si>
  <si>
    <t xml:space="preserve">    1.1.3风险权重为20%</t>
  </si>
  <si>
    <t xml:space="preserve">    1.1.4风险权重为30%</t>
  </si>
  <si>
    <t xml:space="preserve">    1.1.5风险权重为40%</t>
  </si>
  <si>
    <t xml:space="preserve">    1.1.6风险权重为45%</t>
  </si>
  <si>
    <t xml:space="preserve">    1.1.7风险权重为50%</t>
  </si>
  <si>
    <t xml:space="preserve">    1.1.8风险权重为60%</t>
  </si>
  <si>
    <t xml:space="preserve">    1.1.9风险权重为75%</t>
  </si>
  <si>
    <t xml:space="preserve">    1.1.10风险权重为85%</t>
  </si>
  <si>
    <t xml:space="preserve">    1.1.11风险权重为100%</t>
  </si>
  <si>
    <t xml:space="preserve">    1.1.12风险权重为150%</t>
  </si>
  <si>
    <t xml:space="preserve">    1.1.13其他</t>
  </si>
  <si>
    <t xml:space="preserve">  1.2融资性保函</t>
  </si>
  <si>
    <t xml:space="preserve">    1.2.1风险权重为0%</t>
  </si>
  <si>
    <t xml:space="preserve">    1.2.2风险权重为10%</t>
  </si>
  <si>
    <t xml:space="preserve">    1.2.3风险权重为20%</t>
  </si>
  <si>
    <t xml:space="preserve">    1.2.4风险权重为30%</t>
  </si>
  <si>
    <t xml:space="preserve">    1.2.5风险权重为40%</t>
  </si>
  <si>
    <t xml:space="preserve">    1.2.6风险权重为45%</t>
  </si>
  <si>
    <t xml:space="preserve">    1.2.7风险权重为50%</t>
  </si>
  <si>
    <t xml:space="preserve">    1.2.8风险权重为60%</t>
  </si>
  <si>
    <t xml:space="preserve">    1.2.9风险权重为75%</t>
  </si>
  <si>
    <t xml:space="preserve">    1.2.10风险权重为85%</t>
  </si>
  <si>
    <t xml:space="preserve">    1.2.11风险权重为100%</t>
  </si>
  <si>
    <t xml:space="preserve">    1.2.12风险权重为150%</t>
  </si>
  <si>
    <t xml:space="preserve">    1.2.13其他</t>
  </si>
  <si>
    <t xml:space="preserve">  1.3其他等同于贷款的授信业务</t>
  </si>
  <si>
    <t xml:space="preserve">    1.3.1风险权重为0%</t>
  </si>
  <si>
    <t xml:space="preserve">    1.3.2风险权重为10%</t>
  </si>
  <si>
    <t xml:space="preserve">    1.3.3风险权重为20%</t>
  </si>
  <si>
    <t xml:space="preserve">    1.3.4风险权重为30%</t>
  </si>
  <si>
    <t xml:space="preserve">    1.3.5风险权重为40%</t>
  </si>
  <si>
    <t xml:space="preserve">    1.3.6风险权重为45%</t>
  </si>
  <si>
    <t xml:space="preserve">    1.3.7风险权重为50%</t>
  </si>
  <si>
    <t xml:space="preserve">    1.3.8风险权重为60%</t>
  </si>
  <si>
    <t xml:space="preserve">    1.3.9风险权重为75%</t>
  </si>
  <si>
    <t xml:space="preserve">    1.3.10风险权重为85%</t>
  </si>
  <si>
    <t xml:space="preserve">    1.3.11风险权重为100%</t>
  </si>
  <si>
    <t xml:space="preserve">    1.3.12风险权重为150%</t>
  </si>
  <si>
    <t xml:space="preserve">    1.3.13其他</t>
  </si>
  <si>
    <t>2.与交易相关的或有项目</t>
  </si>
  <si>
    <t xml:space="preserve">  2.1非融资性保函</t>
  </si>
  <si>
    <t xml:space="preserve">    2.1.1风险权重为0%</t>
  </si>
  <si>
    <t xml:space="preserve">    2.1.2风险权重为10%</t>
  </si>
  <si>
    <t xml:space="preserve">    2.1.3风险权重为20%</t>
  </si>
  <si>
    <t xml:space="preserve">    2.1.4风险权重为30%</t>
  </si>
  <si>
    <t xml:space="preserve">    2.1.5风险权重为40%</t>
  </si>
  <si>
    <t xml:space="preserve">    2.1.6风险权重为45%</t>
  </si>
  <si>
    <t xml:space="preserve">    2.1.7风险权重为50%</t>
  </si>
  <si>
    <t xml:space="preserve">    2.1.8风险权重为60%</t>
  </si>
  <si>
    <t xml:space="preserve">    2.1.9风险权重为75%</t>
  </si>
  <si>
    <t xml:space="preserve">    2.1.10风险权重为85%</t>
  </si>
  <si>
    <t xml:space="preserve">    2.1.11风险权重为100%</t>
  </si>
  <si>
    <t xml:space="preserve">    2.1.12风险权重为150%</t>
  </si>
  <si>
    <t xml:space="preserve">    2.1.13其他</t>
  </si>
  <si>
    <t xml:space="preserve">  2.2其他与交易相关的或有项目</t>
  </si>
  <si>
    <t xml:space="preserve">    2.2.1风险权重为0%</t>
  </si>
  <si>
    <t xml:space="preserve">    2.2.2风险权重为10%</t>
  </si>
  <si>
    <t xml:space="preserve">    2.2.3风险权重为20%</t>
  </si>
  <si>
    <t xml:space="preserve">    2.2.4风险权重为30%</t>
  </si>
  <si>
    <t xml:space="preserve">    2.2.5风险权重为40%</t>
  </si>
  <si>
    <t xml:space="preserve">    2.2.6风险权重为45%</t>
  </si>
  <si>
    <t xml:space="preserve">    2.2.7风险权重为50%</t>
  </si>
  <si>
    <t xml:space="preserve">    2.2.8风险权重为60%</t>
  </si>
  <si>
    <t xml:space="preserve">    2.2.9风险权重为75%</t>
  </si>
  <si>
    <t xml:space="preserve">    2.2.10风险权重为85%</t>
  </si>
  <si>
    <t xml:space="preserve">    2.2.11风险权重为100%</t>
  </si>
  <si>
    <t xml:space="preserve">    2.2.12风险权重为150%</t>
  </si>
  <si>
    <t xml:space="preserve">    2.2.13其他</t>
  </si>
  <si>
    <t>3.与贸易相关的短期或有项目</t>
  </si>
  <si>
    <t xml:space="preserve">  3.1一年以内的跟单国内信用证</t>
  </si>
  <si>
    <t xml:space="preserve">  3.1.1一年以内的跟单国内货物贸易信用证</t>
  </si>
  <si>
    <t xml:space="preserve">    3.1.1.1风险权重为0%</t>
  </si>
  <si>
    <t xml:space="preserve">    3.1.1.2风险权重为10%</t>
  </si>
  <si>
    <t xml:space="preserve">    3.1.1.3风险权重为20%</t>
  </si>
  <si>
    <t xml:space="preserve">    3.1.1.4风险权重为30%</t>
  </si>
  <si>
    <t xml:space="preserve">    3.1.1.5风险权重为40%</t>
  </si>
  <si>
    <t xml:space="preserve">    3.1.1.6风险权重为45%</t>
  </si>
  <si>
    <t xml:space="preserve">    3.1.1.7风险权重为50%</t>
  </si>
  <si>
    <t xml:space="preserve">    3.1.1.8风险权重为60%</t>
  </si>
  <si>
    <t xml:space="preserve">    3.1.1.9风险权重为75%</t>
  </si>
  <si>
    <t xml:space="preserve">    3.1.1.10风险权重为85%</t>
  </si>
  <si>
    <t xml:space="preserve">    3.1.1.11风险权重为100%</t>
  </si>
  <si>
    <t xml:space="preserve">    3.1.1.12风险权重为150%</t>
  </si>
  <si>
    <t xml:space="preserve">    3.1.1.13其他</t>
  </si>
  <si>
    <t xml:space="preserve">  3.1.2一年以内的跟单国内服务贸易信用证</t>
  </si>
  <si>
    <t xml:space="preserve">    3.1.2.1风险权重为0%</t>
  </si>
  <si>
    <t xml:space="preserve">    3.1.2.2风险权重为10%</t>
  </si>
  <si>
    <t xml:space="preserve">    3.1.2.3风险权重为20%</t>
  </si>
  <si>
    <t xml:space="preserve">    3.1.2.4风险权重为30%</t>
  </si>
  <si>
    <t xml:space="preserve">    3.1.2.5风险权重为40%</t>
  </si>
  <si>
    <t xml:space="preserve">    3.1.2.6风险权重为45%</t>
  </si>
  <si>
    <t xml:space="preserve">    3.1.2.7风险权重为50%</t>
  </si>
  <si>
    <t xml:space="preserve">    3.1.2.8风险权重为60%</t>
  </si>
  <si>
    <t xml:space="preserve">    3.1.2.9风险权重为75%</t>
  </si>
  <si>
    <t xml:space="preserve">    3.1.2.10风险权重为85%</t>
  </si>
  <si>
    <t xml:space="preserve">    3.1.2.11风险权重为100%</t>
  </si>
  <si>
    <t xml:space="preserve">    3.1.2.12风险权重为150%</t>
  </si>
  <si>
    <t xml:space="preserve">    3.1.2.13其他</t>
  </si>
  <si>
    <t xml:space="preserve">  3.2一年以内的跟单国际信用证</t>
  </si>
  <si>
    <t xml:space="preserve">    3.2.1风险权重为0%</t>
  </si>
  <si>
    <t xml:space="preserve">    3.2.2风险权重为10%</t>
  </si>
  <si>
    <t xml:space="preserve">    3.2.3风险权重为20%</t>
  </si>
  <si>
    <t xml:space="preserve">    3.2.4风险权重为30%</t>
  </si>
  <si>
    <t xml:space="preserve">    3.2.5风险权重为40%</t>
  </si>
  <si>
    <t xml:space="preserve">    3.2.6风险权重为45%</t>
  </si>
  <si>
    <t xml:space="preserve">    3.2.7风险权重为50%</t>
  </si>
  <si>
    <t xml:space="preserve">    3.2.8风险权重为60%</t>
  </si>
  <si>
    <t xml:space="preserve">    3.2.9风险权重为75%</t>
  </si>
  <si>
    <t xml:space="preserve">    3.2.10风险权重为85%</t>
  </si>
  <si>
    <t xml:space="preserve">    3.2.11风险权重为100%</t>
  </si>
  <si>
    <t xml:space="preserve">    3.2.12风险权重为150%</t>
  </si>
  <si>
    <t xml:space="preserve">    3.2.13其他</t>
  </si>
  <si>
    <t xml:space="preserve">  3.3其他与贸易相关的短期或有项目</t>
  </si>
  <si>
    <t xml:space="preserve">    3.3.1风险权重为0%</t>
  </si>
  <si>
    <t xml:space="preserve">    3.3.2风险权重为10%</t>
  </si>
  <si>
    <t xml:space="preserve">    3.3.3风险权重为20%</t>
  </si>
  <si>
    <t xml:space="preserve">    3.3.4风险权重为30%</t>
  </si>
  <si>
    <t xml:space="preserve">    3.3.5风险权重为40%</t>
  </si>
  <si>
    <t xml:space="preserve">    3.3.6风险权重为45%</t>
  </si>
  <si>
    <t xml:space="preserve">    3.3.7风险权重为50%</t>
  </si>
  <si>
    <t xml:space="preserve">    3.3.8风险权重为60%</t>
  </si>
  <si>
    <t xml:space="preserve">    3.3.9风险权重为75%</t>
  </si>
  <si>
    <t xml:space="preserve">    3.3.10风险权重为85%</t>
  </si>
  <si>
    <t xml:space="preserve">    3.3.11风险权重为100%</t>
  </si>
  <si>
    <t xml:space="preserve">    3.3.12风险权重为150%</t>
  </si>
  <si>
    <t xml:space="preserve">    3.3.13其他</t>
  </si>
  <si>
    <t>4.承诺</t>
  </si>
  <si>
    <t xml:space="preserve">  4.1可免于计量表外风险加权资产的可随时无条件撤销的贷款承诺</t>
  </si>
  <si>
    <t xml:space="preserve">  4.2可随时无条件撤销的贷款承诺</t>
  </si>
  <si>
    <t xml:space="preserve">    4.2.1风险权重为0%</t>
  </si>
  <si>
    <t xml:space="preserve">    4.2.2风险权重为10%</t>
  </si>
  <si>
    <t xml:space="preserve">    4.2.3风险权重为20%</t>
  </si>
  <si>
    <t xml:space="preserve">    4.2.4风险权重为30%</t>
  </si>
  <si>
    <t xml:space="preserve">    4.2.5风险权重为40%</t>
  </si>
  <si>
    <t xml:space="preserve">    4.2.6风险权重为45%</t>
  </si>
  <si>
    <t xml:space="preserve">    4.2.7风险权重为50%</t>
  </si>
  <si>
    <t xml:space="preserve">    4.2.8风险权重为60%</t>
  </si>
  <si>
    <t xml:space="preserve">    4.2.9风险权重为75%</t>
  </si>
  <si>
    <t xml:space="preserve">    4.2.10风险权重为85%</t>
  </si>
  <si>
    <t xml:space="preserve">    4.2.11风险权重为100%</t>
  </si>
  <si>
    <t xml:space="preserve">    4.2.12风险权重为150%</t>
  </si>
  <si>
    <t xml:space="preserve">    4.2.13其他</t>
  </si>
  <si>
    <t xml:space="preserve">  4.3其他贷款承诺</t>
  </si>
  <si>
    <t xml:space="preserve">    4.3.1风险权重为0%</t>
  </si>
  <si>
    <t xml:space="preserve">    4.3.2风险权重为10%</t>
  </si>
  <si>
    <t xml:space="preserve">    4.3.3风险权重为20%</t>
  </si>
  <si>
    <t xml:space="preserve">    4.3.4风险权重为30%</t>
  </si>
  <si>
    <t xml:space="preserve">    4.3.5风险权重为40%</t>
  </si>
  <si>
    <t xml:space="preserve">    4.3.6风险权重为45%</t>
  </si>
  <si>
    <t xml:space="preserve">    4.3.7风险权重为50%</t>
  </si>
  <si>
    <t xml:space="preserve">    4.3.8风险权重为60%</t>
  </si>
  <si>
    <t xml:space="preserve">    4.3.9风险权重为75%</t>
  </si>
  <si>
    <t xml:space="preserve">    4.3.10风险权重为85%</t>
  </si>
  <si>
    <t xml:space="preserve">    4.3.11风险权重为100%</t>
  </si>
  <si>
    <t xml:space="preserve">    4.3.12风险权重为150%</t>
  </si>
  <si>
    <t xml:space="preserve">    4.3.13其他</t>
  </si>
  <si>
    <t xml:space="preserve">  4.4未使用的信用卡授信额度</t>
  </si>
  <si>
    <t xml:space="preserve">    4.4.1符合标准的未使用额度</t>
  </si>
  <si>
    <t xml:space="preserve">       4.4.1.1风险权重为0%</t>
  </si>
  <si>
    <t xml:space="preserve">       4.4.1.2风险权重为10%</t>
  </si>
  <si>
    <t xml:space="preserve">       4.4.1.3风险权重为20%</t>
  </si>
  <si>
    <t xml:space="preserve">       4.4.1.4风险权重为30%</t>
  </si>
  <si>
    <t xml:space="preserve">       4.4.1.5风险权重为40%</t>
  </si>
  <si>
    <t xml:space="preserve">       4.4.1.6风险权重为45%</t>
  </si>
  <si>
    <t xml:space="preserve">       4.4.1.7风险权重为50%</t>
  </si>
  <si>
    <t xml:space="preserve">       4.4.1.8风险权重为60%</t>
  </si>
  <si>
    <t xml:space="preserve">       4.4.1.9风险权重为75%</t>
  </si>
  <si>
    <t xml:space="preserve">       4.4.1.10风险权重为85%</t>
  </si>
  <si>
    <t xml:space="preserve">       4.4.1.11风险权重为100%</t>
  </si>
  <si>
    <t xml:space="preserve">       4.4.1.12风险权重为150%</t>
  </si>
  <si>
    <t xml:space="preserve">       4.4.1.13其他</t>
  </si>
  <si>
    <t xml:space="preserve">    4.4.2一般未使用额度</t>
  </si>
  <si>
    <t xml:space="preserve">       4.4.2.1风险权重为0%</t>
  </si>
  <si>
    <t xml:space="preserve">       4.4.2.2风险权重为10%</t>
  </si>
  <si>
    <t xml:space="preserve">       4.4.2.3风险权重为20%</t>
  </si>
  <si>
    <t xml:space="preserve">       4.4.2.4风险权重为30%</t>
  </si>
  <si>
    <t xml:space="preserve">       4.4.2.5风险权重为40%</t>
  </si>
  <si>
    <t xml:space="preserve">       4.4.2.6风险权重为45%</t>
  </si>
  <si>
    <t xml:space="preserve">       4.4.2.7风险权重为50%</t>
  </si>
  <si>
    <t xml:space="preserve">       4.4.2.8风险权重为60%</t>
  </si>
  <si>
    <t xml:space="preserve">       4.4.2.9风险权重为75%</t>
  </si>
  <si>
    <t xml:space="preserve">       4.4.2.10风险权重为85%</t>
  </si>
  <si>
    <t xml:space="preserve">       4.4.2.11风险权重为100%</t>
  </si>
  <si>
    <t xml:space="preserve">       4.4.2.12风险权重为150%</t>
  </si>
  <si>
    <t xml:space="preserve">       4.4.2.13其他</t>
  </si>
  <si>
    <t xml:space="preserve">  4.5票据发行便利</t>
  </si>
  <si>
    <t xml:space="preserve">    4.5.1风险权重为0%</t>
  </si>
  <si>
    <t xml:space="preserve">    4.5.2风险权重为10%</t>
  </si>
  <si>
    <t xml:space="preserve">    4.5.3风险权重为20%</t>
  </si>
  <si>
    <t xml:space="preserve">    4.5.4风险权重为30%</t>
  </si>
  <si>
    <t xml:space="preserve">    4.5.5风险权重为40%</t>
  </si>
  <si>
    <t xml:space="preserve">    4.5.6风险权重为45%</t>
  </si>
  <si>
    <t xml:space="preserve">    4.5.7风险权重为50%</t>
  </si>
  <si>
    <t xml:space="preserve">    4.5.8风险权重为60%</t>
  </si>
  <si>
    <t xml:space="preserve">    4.5.9风险权重为75%</t>
  </si>
  <si>
    <t xml:space="preserve">    4.5.10风险权重为85%</t>
  </si>
  <si>
    <t xml:space="preserve">    4.5.11风险权重为100%</t>
  </si>
  <si>
    <t xml:space="preserve">    4.5.12风险权重为150%</t>
  </si>
  <si>
    <t xml:space="preserve">    4.5.13其他</t>
  </si>
  <si>
    <t xml:space="preserve">  4.6循环认购便利</t>
  </si>
  <si>
    <t xml:space="preserve">    4.6.1风险权重为0%</t>
  </si>
  <si>
    <t xml:space="preserve">    4.6.2风险权重为10%</t>
  </si>
  <si>
    <t xml:space="preserve">    4.6.3风险权重为20%</t>
  </si>
  <si>
    <t xml:space="preserve">    4.6.4风险权重为30%</t>
  </si>
  <si>
    <t xml:space="preserve">    4.6.5风险权重为40%</t>
  </si>
  <si>
    <t xml:space="preserve">    4.6.6风险权重为45%</t>
  </si>
  <si>
    <t xml:space="preserve">    4.6.7风险权重为50%</t>
  </si>
  <si>
    <t xml:space="preserve">    4.6.8风险权重为60%</t>
  </si>
  <si>
    <t xml:space="preserve">    4.6.9风险权重为75%</t>
  </si>
  <si>
    <t xml:space="preserve">    4.6.10风险权重为85%</t>
  </si>
  <si>
    <t xml:space="preserve">    4.6.11风险权重为100%</t>
  </si>
  <si>
    <t xml:space="preserve">    4.6.12风险权重为150%</t>
  </si>
  <si>
    <t xml:space="preserve">    4.6.13其他</t>
  </si>
  <si>
    <t xml:space="preserve">  4.7其他承诺</t>
  </si>
  <si>
    <t xml:space="preserve">    4.7.1风险权重为0%</t>
  </si>
  <si>
    <t xml:space="preserve">    4.7.2风险权重为10%</t>
  </si>
  <si>
    <t xml:space="preserve">    4.7.3风险权重为20%</t>
  </si>
  <si>
    <t xml:space="preserve">    4.7.4风险权重为30%</t>
  </si>
  <si>
    <t xml:space="preserve">    4.7.5风险权重为40%</t>
  </si>
  <si>
    <t xml:space="preserve">    4.7.6风险权重为45%</t>
  </si>
  <si>
    <t xml:space="preserve">    4.7.7风险权重为50%</t>
  </si>
  <si>
    <t xml:space="preserve">    4.7.8风险权重为60%</t>
  </si>
  <si>
    <t xml:space="preserve">    4.7.9风险权重为75%</t>
  </si>
  <si>
    <t xml:space="preserve">    4.7.10风险权重为85%</t>
  </si>
  <si>
    <t xml:space="preserve">    4.7.11风险权重为100%</t>
  </si>
  <si>
    <t xml:space="preserve">    4.7.12风险权重为150%</t>
  </si>
  <si>
    <t xml:space="preserve">    4.7.13其他</t>
  </si>
  <si>
    <t>5.信用风险仍在银行的资产销售与购买协议</t>
  </si>
  <si>
    <t xml:space="preserve">  5.1资产回购协议</t>
  </si>
  <si>
    <t xml:space="preserve">    5.1.1风险权重为0%</t>
  </si>
  <si>
    <t xml:space="preserve">    5.1.2风险权重为10%</t>
  </si>
  <si>
    <t xml:space="preserve">    5.1.3风险权重为20%</t>
  </si>
  <si>
    <t xml:space="preserve">    5.1.4风险权重为30%</t>
  </si>
  <si>
    <t xml:space="preserve">    5.1.5风险权重为40%</t>
  </si>
  <si>
    <t xml:space="preserve">    5.1.6风险权重为45%</t>
  </si>
  <si>
    <t xml:space="preserve">    5.1.7风险权重为50%</t>
  </si>
  <si>
    <t xml:space="preserve">    5.1.8风险权重为60%</t>
  </si>
  <si>
    <t xml:space="preserve">    5.1.9风险权重为75%</t>
  </si>
  <si>
    <t xml:space="preserve">    5.1.10风险权重为85%</t>
  </si>
  <si>
    <t xml:space="preserve">    5.1.11风险权重为100%</t>
  </si>
  <si>
    <t xml:space="preserve">    5.1.12风险权重为150%</t>
  </si>
  <si>
    <t xml:space="preserve">    5.1.13风险权重为250%</t>
  </si>
  <si>
    <t xml:space="preserve">    5.1.14风险权重为400%</t>
  </si>
  <si>
    <t xml:space="preserve">    5.1.15风险权重为1250%</t>
  </si>
  <si>
    <t xml:space="preserve">    5.1.16其他</t>
  </si>
  <si>
    <t xml:space="preserve">  5.2有追索权的资产销售</t>
  </si>
  <si>
    <t xml:space="preserve">    5.2.1主协议下银票转贴现</t>
  </si>
  <si>
    <t xml:space="preserve">      5.2.1.1风险权重为0%</t>
  </si>
  <si>
    <t xml:space="preserve">      5.2.1.2风险权重为10%</t>
  </si>
  <si>
    <t xml:space="preserve">      5.2.1.3风险权重为20%</t>
  </si>
  <si>
    <t xml:space="preserve">      5.2.1.4风险权重为30%</t>
  </si>
  <si>
    <t xml:space="preserve">      5.2.1.5风险权重为40%</t>
  </si>
  <si>
    <t xml:space="preserve">      5.2.1.6风险权重为45%</t>
  </si>
  <si>
    <t xml:space="preserve">      5.2.1.7风险权重为50%</t>
  </si>
  <si>
    <t xml:space="preserve">      5.2.1.8风险权重为60%</t>
  </si>
  <si>
    <t xml:space="preserve">      5.2.1.9风险权重为75%</t>
  </si>
  <si>
    <t xml:space="preserve">      5.2.1.10风险权重为85%</t>
  </si>
  <si>
    <t xml:space="preserve">      5.2.1.11风险权重为100%</t>
  </si>
  <si>
    <t xml:space="preserve">      5.2.1.12风险权重为150%</t>
  </si>
  <si>
    <t xml:space="preserve">      5.2.1.13风险权重为250%</t>
  </si>
  <si>
    <t xml:space="preserve">      5.2.1.14风险权重为400%</t>
  </si>
  <si>
    <t xml:space="preserve">      5.2.1.15风险权重为1250%</t>
  </si>
  <si>
    <t xml:space="preserve">      5.2.1.16其他</t>
  </si>
  <si>
    <t xml:space="preserve">    5.2.2其他有追索权的资产销售</t>
  </si>
  <si>
    <t xml:space="preserve">      5.2.2.1风险权重为0%</t>
  </si>
  <si>
    <t xml:space="preserve">      5.2.2.2风险权重为10%</t>
  </si>
  <si>
    <t xml:space="preserve">      5.2.2.3风险权重为20%</t>
  </si>
  <si>
    <t xml:space="preserve">      5.2.2.4风险权重为30%</t>
  </si>
  <si>
    <t xml:space="preserve">      5.2.2.5风险权重为40%</t>
  </si>
  <si>
    <t xml:space="preserve">      5.2.2.6风险权重为45%</t>
  </si>
  <si>
    <t xml:space="preserve">      5.2.2.7风险权重为50%</t>
  </si>
  <si>
    <t xml:space="preserve">      5.2.2.8风险权重为60%</t>
  </si>
  <si>
    <t xml:space="preserve">      5.2.2.9风险权重为75%</t>
  </si>
  <si>
    <t xml:space="preserve">      5.2.2.10风险权重为85%</t>
  </si>
  <si>
    <t xml:space="preserve">      5.2.2.11风险权重为100%</t>
  </si>
  <si>
    <t xml:space="preserve">      5.2.2.12风险权重为150%</t>
  </si>
  <si>
    <t xml:space="preserve">      5.2.2.13风险权重为250%</t>
  </si>
  <si>
    <t xml:space="preserve">      5.2.2.14风险权重为400%</t>
  </si>
  <si>
    <t xml:space="preserve">      5.2.2.15风险权重为1250%</t>
  </si>
  <si>
    <t xml:space="preserve">      5.2.2.16其他</t>
  </si>
  <si>
    <t xml:space="preserve"> 6.远期资产购买</t>
  </si>
  <si>
    <t xml:space="preserve">  6.1风险权重为0%</t>
  </si>
  <si>
    <t xml:space="preserve">  6.2风险权重为10%</t>
  </si>
  <si>
    <t xml:space="preserve">  6.3风险权重为20%</t>
  </si>
  <si>
    <t xml:space="preserve">  6.4风险权重为30%</t>
  </si>
  <si>
    <t xml:space="preserve">  6.5风险权重为40%</t>
  </si>
  <si>
    <t xml:space="preserve">  6.6风险权重为45%</t>
  </si>
  <si>
    <t xml:space="preserve">  6.7风险权重为50%</t>
  </si>
  <si>
    <t xml:space="preserve">  6.8风险权重为60%</t>
  </si>
  <si>
    <t xml:space="preserve">  6.9风险权重为75%</t>
  </si>
  <si>
    <t xml:space="preserve">  6.10风险权重为85%</t>
  </si>
  <si>
    <t xml:space="preserve">  6.11风险权重为100%</t>
  </si>
  <si>
    <t xml:space="preserve">  6.12风险权重为150%</t>
  </si>
  <si>
    <t xml:space="preserve">  6.13风险权重为250%</t>
  </si>
  <si>
    <t xml:space="preserve">  6.14风险权重为400%</t>
  </si>
  <si>
    <t xml:space="preserve">  6.15风险权重为1250%</t>
  </si>
  <si>
    <t xml:space="preserve">  6.16其他</t>
  </si>
  <si>
    <t>7.远期定期存款</t>
  </si>
  <si>
    <t xml:space="preserve">  7.1风险权重为0%</t>
  </si>
  <si>
    <t xml:space="preserve">  7.2风险权重为10%</t>
  </si>
  <si>
    <t xml:space="preserve">  7.3风险权重为20%</t>
  </si>
  <si>
    <t xml:space="preserve">  7.4风险权重为30%</t>
  </si>
  <si>
    <t xml:space="preserve">  7.5风险权重为40%</t>
  </si>
  <si>
    <t xml:space="preserve">  7.6风险权重为45%</t>
  </si>
  <si>
    <t xml:space="preserve">  7.7风险权重为50%</t>
  </si>
  <si>
    <t xml:space="preserve">  7.8风险权重为60%</t>
  </si>
  <si>
    <t xml:space="preserve">  7.9风险权重为75%</t>
  </si>
  <si>
    <t xml:space="preserve">  7.10风险权重为85%</t>
  </si>
  <si>
    <t xml:space="preserve">  7.11风险权重为100%</t>
  </si>
  <si>
    <t xml:space="preserve">  7.12风险权重为150%</t>
  </si>
  <si>
    <t xml:space="preserve">  7.13其他</t>
  </si>
  <si>
    <t>8.部分交款的股票及证券</t>
  </si>
  <si>
    <t xml:space="preserve">  8.1风险权重为0%</t>
  </si>
  <si>
    <t xml:space="preserve">  8.2风险权重为10%</t>
  </si>
  <si>
    <t xml:space="preserve">  8.3风险权重为20%</t>
  </si>
  <si>
    <t xml:space="preserve">  8.4风险权重为30%</t>
  </si>
  <si>
    <t xml:space="preserve">  8.5风险权重为40%</t>
  </si>
  <si>
    <t xml:space="preserve">  8.6风险权重为45%</t>
  </si>
  <si>
    <t xml:space="preserve">  8.7风险权重为50%</t>
  </si>
  <si>
    <t xml:space="preserve">  8.8风险权重为60%</t>
  </si>
  <si>
    <t xml:space="preserve">  8.9风险权重为75%</t>
  </si>
  <si>
    <t xml:space="preserve">  8.10风险权重为85%</t>
  </si>
  <si>
    <t xml:space="preserve">  8.11风险权重为100%</t>
  </si>
  <si>
    <t xml:space="preserve">  8.12风险权重为150%</t>
  </si>
  <si>
    <t xml:space="preserve">  8.13风险权重为250%</t>
  </si>
  <si>
    <t xml:space="preserve">  8.14风险权重为400%</t>
  </si>
  <si>
    <t xml:space="preserve">  8.15风险权重为1250%</t>
  </si>
  <si>
    <t xml:space="preserve">  8.16其他</t>
  </si>
  <si>
    <t>9.银行借出的证券或用作抵押物的证券</t>
  </si>
  <si>
    <t xml:space="preserve">  9.1风险权重为0%</t>
  </si>
  <si>
    <t xml:space="preserve">  9.2风险权重为10%</t>
  </si>
  <si>
    <t xml:space="preserve">  9.3风险权重为20%</t>
  </si>
  <si>
    <t xml:space="preserve">  9.4风险权重为30%</t>
  </si>
  <si>
    <t xml:space="preserve">  9.5风险权重为40%</t>
  </si>
  <si>
    <t xml:space="preserve">  9.6风险权重为45%</t>
  </si>
  <si>
    <t xml:space="preserve">  9.7风险权重为50%</t>
  </si>
  <si>
    <t xml:space="preserve">  9.8风险权重为60%</t>
  </si>
  <si>
    <t xml:space="preserve">  9.9风险权重为75%</t>
  </si>
  <si>
    <t xml:space="preserve">  9.10风险权重为85%</t>
  </si>
  <si>
    <t xml:space="preserve">  9.11风险权重为100%</t>
  </si>
  <si>
    <t xml:space="preserve">  9.12风险权重为150%</t>
  </si>
  <si>
    <t xml:space="preserve">  9.13风险权重为250%</t>
  </si>
  <si>
    <t xml:space="preserve">  9.14风险权重为400%</t>
  </si>
  <si>
    <t xml:space="preserve">  9.15风险权重为1250%</t>
  </si>
  <si>
    <t xml:space="preserve">  9.16其他</t>
  </si>
  <si>
    <t>10.其他表外项目</t>
  </si>
  <si>
    <t xml:space="preserve">  10.1一年期以上的跟单信用证</t>
  </si>
  <si>
    <t xml:space="preserve">    10.1.1风险权重为0%</t>
  </si>
  <si>
    <t xml:space="preserve">    10.1.2风险权重为10%</t>
  </si>
  <si>
    <t xml:space="preserve">    10.1.3风险权重为20%</t>
  </si>
  <si>
    <t xml:space="preserve">    10.1.4风险权重为30%</t>
  </si>
  <si>
    <t xml:space="preserve">    10.1.5风险权重为40%</t>
  </si>
  <si>
    <t xml:space="preserve">    10.1.6风险权重为45%</t>
  </si>
  <si>
    <t xml:space="preserve">    10.1.7风险权重为50%</t>
  </si>
  <si>
    <t xml:space="preserve">    10.1.8风险权重为60%</t>
  </si>
  <si>
    <t xml:space="preserve">    10.1.9风险权重为75%</t>
  </si>
  <si>
    <t xml:space="preserve">    10.1.10风险权重为85%</t>
  </si>
  <si>
    <t xml:space="preserve">    10.1.11风险权重为100%</t>
  </si>
  <si>
    <t xml:space="preserve">    10.1.12风险权重为150%</t>
  </si>
  <si>
    <t xml:space="preserve">    10.1.13其他</t>
  </si>
  <si>
    <t xml:space="preserve">  10.2其他</t>
  </si>
  <si>
    <t xml:space="preserve">    10.2.1风险权重为0%</t>
  </si>
  <si>
    <t xml:space="preserve">    10.2.2风险权重为10%</t>
  </si>
  <si>
    <t xml:space="preserve">    10.2.3风险权重为20%</t>
  </si>
  <si>
    <t xml:space="preserve">    10.2.4风险权重为30%</t>
  </si>
  <si>
    <t xml:space="preserve">    10.2.5风险权重为40%</t>
  </si>
  <si>
    <t xml:space="preserve">    10.2.6风险权重为45%</t>
  </si>
  <si>
    <t xml:space="preserve">    10.2.7风险权重为50%</t>
  </si>
  <si>
    <t xml:space="preserve">    10.2.8风险权重为60%</t>
  </si>
  <si>
    <t xml:space="preserve">    10.2.9风险权重为75%</t>
  </si>
  <si>
    <t xml:space="preserve">    10.2.10风险权重为85%</t>
  </si>
  <si>
    <t xml:space="preserve">    10.2.11风险权重为100%</t>
  </si>
  <si>
    <t xml:space="preserve">    10.2.12风险权重为150%</t>
  </si>
  <si>
    <t xml:space="preserve">    10.2.13其他</t>
  </si>
  <si>
    <t>11.资产证券化表外项目</t>
  </si>
  <si>
    <t>12.资产管理产品</t>
  </si>
  <si>
    <t>13.表外信用风险加权资产合计</t>
  </si>
  <si>
    <t>填报人：</t>
  </si>
  <si>
    <t>复核人：</t>
  </si>
  <si>
    <t>负责人：</t>
  </si>
  <si>
    <t>蓝色底为含公式区域</t>
  </si>
  <si>
    <t>无数据部分</t>
  </si>
  <si>
    <t>版本号：</t>
  </si>
  <si>
    <t>项目</t>
  </si>
  <si>
    <t>权重</t>
  </si>
  <si>
    <t>信用转换系数</t>
  </si>
  <si>
    <t>主要风险暴露</t>
  </si>
  <si>
    <t>1.现金类资产</t>
  </si>
  <si>
    <t>主权</t>
  </si>
  <si>
    <t>1.1现金</t>
  </si>
  <si>
    <t>2.承诺</t>
  </si>
  <si>
    <t>公共部门实体</t>
  </si>
  <si>
    <t>1.2黄金</t>
  </si>
  <si>
    <t>2.1可随时无条件撤销的贷款承诺</t>
  </si>
  <si>
    <t>A+商业银行</t>
  </si>
  <si>
    <t>1.3存放中国人民银行款项</t>
  </si>
  <si>
    <t>2.2其他贷款承诺</t>
  </si>
  <si>
    <t>A级商业银行</t>
  </si>
  <si>
    <t>2.对主权的风险暴露</t>
  </si>
  <si>
    <t>2.3未使用的个人循环贷款授信额度、信用卡授信额度</t>
  </si>
  <si>
    <t>合格交易者的信用卡</t>
  </si>
  <si>
    <t>2.1对我国中央政府的风险暴露</t>
  </si>
  <si>
    <t>2.3.1一般未使用额度</t>
  </si>
  <si>
    <t>B级短期商业银行</t>
  </si>
  <si>
    <t>2.2对中国人民银行的风险暴露</t>
  </si>
  <si>
    <t>2.3.2符合标准的未使用额度</t>
  </si>
  <si>
    <t>个人，B级商业银行，小微</t>
  </si>
  <si>
    <t>居住用房地产风险暴露-LTV60-80</t>
  </si>
  <si>
    <t>2.3对评级AA-（含）以上的国家或地区的中央政府和中央银行的风险暴露</t>
  </si>
  <si>
    <t>2.4票据发行便利</t>
  </si>
  <si>
    <t>中小企业</t>
  </si>
  <si>
    <t>商用房地产风险暴露-LTV60以下</t>
  </si>
  <si>
    <t>2.4对评级AA-以下，A-（含）以上的国家或地区的中央政府和中央银行的风险暴露</t>
  </si>
  <si>
    <t>2.5循环认购便利</t>
  </si>
  <si>
    <t>一般公司，房产开发</t>
  </si>
  <si>
    <t>小微、投资级企业</t>
  </si>
  <si>
    <t>2.5对评级A-以下，BBB-（含）以上的国家或地区的中央政府和中央银行的风险暴露</t>
  </si>
  <si>
    <t>2.6其他承诺</t>
  </si>
  <si>
    <t>次级债，C级商业银行</t>
  </si>
  <si>
    <t>2.6对评级BBB-以下，B-（含）以上的国家或地区的中央政府和中央银行的风险暴露</t>
  </si>
  <si>
    <t>3.银行借出的证券或用作抵押物的证券</t>
  </si>
  <si>
    <t>其他股权</t>
  </si>
  <si>
    <t>一般公司</t>
  </si>
  <si>
    <t>2.7对评级B-以下的国家或地区的中央政府和中央银行的风险暴露</t>
  </si>
  <si>
    <t>4.与贸易直接相关的短期或有项目</t>
  </si>
  <si>
    <t>非上市股权</t>
  </si>
  <si>
    <t>次级债</t>
  </si>
  <si>
    <t>2.8对未评级的国家或地区的中央政府和中央银行的风险暴露</t>
  </si>
  <si>
    <t>4.1 国内信用证</t>
  </si>
  <si>
    <t>资管产品1250%方法</t>
  </si>
  <si>
    <t>2.9对国际清算银行、国际货币基金组织、欧洲中央银行、欧盟、欧洲稳定机制和欧洲金融稳定机制等的风险暴露</t>
  </si>
  <si>
    <t>4.2 其他与贸易直接相关的短期或有项目</t>
  </si>
  <si>
    <t>居住房依赖LTV60-80</t>
  </si>
  <si>
    <t>3.对我国公共部门实体的风险暴露</t>
  </si>
  <si>
    <t>5.与交易直接相关的或有项目</t>
  </si>
  <si>
    <t>商用房不依赖LTV60以下</t>
  </si>
  <si>
    <t>3.1视同我国主权的公共部门实体风险暴露</t>
  </si>
  <si>
    <t>6.信用风险仍在银行的资产销售与购买协议</t>
  </si>
  <si>
    <t>居住房不依赖LTV80-90</t>
  </si>
  <si>
    <t>3.1.1对我国中央政府投资的金融资产管理公司为收购国有银行不良贷款而定向发行的债券</t>
  </si>
  <si>
    <t>7.远期资产购买、远期定期存款、部分交款的股票及证券</t>
  </si>
  <si>
    <t>商用房依赖LTV60-80</t>
  </si>
  <si>
    <t>3.1.2对省级（直辖市、自治区）及计划单列市人民政府的风险暴露</t>
  </si>
  <si>
    <t>8.其他表外项目</t>
  </si>
  <si>
    <t>居住房依赖LTV&gt;90</t>
  </si>
  <si>
    <r>
      <rPr>
        <sz val="12"/>
        <rFont val="宋体"/>
        <charset val="134"/>
      </rPr>
      <t>3.1.2.1</t>
    </r>
    <r>
      <rPr>
        <sz val="12"/>
        <rFont val="宋体"/>
        <charset val="134"/>
      </rPr>
      <t>一般债券</t>
    </r>
  </si>
  <si>
    <t>商用房依赖LTV&gt;80</t>
  </si>
  <si>
    <t>3.1.2.2专项债券</t>
  </si>
  <si>
    <t>对合格资产担保债券</t>
  </si>
  <si>
    <r>
      <rPr>
        <sz val="12"/>
        <rFont val="宋体"/>
        <charset val="134"/>
      </rPr>
      <t>3.1.3</t>
    </r>
    <r>
      <rPr>
        <sz val="12"/>
        <color indexed="8"/>
        <rFont val="宋体"/>
        <charset val="134"/>
      </rPr>
      <t>对除财政部和中国人民银行外，其他收入主要源于中央财政的公共部门实体的风险暴露</t>
    </r>
  </si>
  <si>
    <r>
      <rPr>
        <sz val="12"/>
        <rFont val="宋体"/>
        <charset val="134"/>
      </rPr>
      <t>3.1.4</t>
    </r>
    <r>
      <rPr>
        <sz val="12"/>
        <color indexed="8"/>
        <rFont val="宋体"/>
        <charset val="134"/>
      </rPr>
      <t>对其他经国务院认定可视同我国主权的公共部门实体</t>
    </r>
    <r>
      <rPr>
        <sz val="12"/>
        <rFont val="宋体"/>
        <charset val="134"/>
      </rPr>
      <t>的</t>
    </r>
    <r>
      <rPr>
        <sz val="12"/>
        <color indexed="8"/>
        <rFont val="宋体"/>
        <charset val="134"/>
      </rPr>
      <t>风险暴露</t>
    </r>
  </si>
  <si>
    <t>另行规定</t>
  </si>
  <si>
    <t>3.2 对经银保监会认定的我国一般公共部门实体风险暴露</t>
  </si>
  <si>
    <t>运营前阶段的项目融资</t>
  </si>
  <si>
    <t>4.对我国开发性金融机构和政策性银行的风险暴露（不包括次级债权）</t>
  </si>
  <si>
    <t>5.对在其他国家或地区注册的公共部门实体的风险暴露</t>
  </si>
  <si>
    <t>5.1对评级AA-（含）以上国家或地区注册的公共部门实体的风险暴露</t>
  </si>
  <si>
    <t>5.2对评级AA-以下，A-（含）以上国家或地区注册的公共部门实体的风险暴露</t>
  </si>
  <si>
    <t>5.3对评级A-以下，B-(含)以上国家或地区注册的公共部门实体的风险暴露</t>
  </si>
  <si>
    <t>5.4对评级B-以下国家或地区注册的公共部门实体的风险暴露</t>
  </si>
  <si>
    <t>5.5对未评级的国家或地区注册的公共部门实体的风险暴露</t>
  </si>
  <si>
    <t>6.对多边开发银行的风险暴露</t>
  </si>
  <si>
    <t>6.1对合格多边开发银行的风险暴露</t>
  </si>
  <si>
    <t>6.2对评级AA-（含）以上的其他多边开发银行的风险暴露</t>
  </si>
  <si>
    <t>6.3对评级AA-以下，A-（含）以上的其他多边开发银行的风险暴露</t>
  </si>
  <si>
    <t>6.4对评级A-以下，BBB-（含）以上的其他多边开发银行的风险暴露</t>
  </si>
  <si>
    <t>6.5对评级BBB-以下，B-（含）以上的其他多边开发银行的风险暴露</t>
  </si>
  <si>
    <t>6.6对评级B-以下的其他多边开发银行的风险暴露</t>
  </si>
  <si>
    <t>6.7对未评级的其他多边开发银行的风险暴露</t>
  </si>
  <si>
    <t>7.对境内外金融机构的风险暴露</t>
  </si>
  <si>
    <t>7.1对境内外其他商业银行的风险暴露（不含次级债权）</t>
  </si>
  <si>
    <t>7.1.1对A+级商业银行的风险暴露</t>
  </si>
  <si>
    <t>7.1.1.1对A+级商业银行原始期限三个月（含）以内，或因跨境货物贸易而产生的原始期限六个月（含）以内的风险暴露</t>
  </si>
  <si>
    <t>7.1.1.2对A+级商业银行的其他风险暴露</t>
  </si>
  <si>
    <t>7.1.2对A级商业银行的风险暴露</t>
  </si>
  <si>
    <t>7.1.2.1对A级商业银行原始期限三个月（含）以内，或因跨境货物贸易而产生的原始期限六个月（含）以内的风险暴露</t>
  </si>
  <si>
    <t>7.1.2.2对A级商业银行的其他风险暴露</t>
  </si>
  <si>
    <t>7.1.3对B级商业银行的风险暴露</t>
  </si>
  <si>
    <t>7.1.3.1对B级商业银行原始期限三个月（含）以内，或因跨境货物贸易而产生的原始期限六个月（含）以内的风险暴露</t>
  </si>
  <si>
    <t>7.1.3.2对B级商业银行的其他风险暴露</t>
  </si>
  <si>
    <t>7.1.4对C级商业银行的风险暴露</t>
  </si>
  <si>
    <r>
      <rPr>
        <sz val="12"/>
        <rFont val="宋体"/>
        <charset val="134"/>
      </rPr>
      <t>7.</t>
    </r>
    <r>
      <rPr>
        <sz val="12"/>
        <rFont val="宋体"/>
        <charset val="134"/>
      </rPr>
      <t>2</t>
    </r>
    <r>
      <rPr>
        <sz val="12"/>
        <rFont val="宋体"/>
        <charset val="134"/>
      </rPr>
      <t>对其他金融机构的风险暴露（不含次级债权）</t>
    </r>
  </si>
  <si>
    <t>7.2.1对投资级其他金融机构的风险暴露</t>
  </si>
  <si>
    <r>
      <rPr>
        <sz val="12"/>
        <rFont val="宋体"/>
        <charset val="134"/>
      </rPr>
      <t>7.</t>
    </r>
    <r>
      <rPr>
        <sz val="12"/>
        <rFont val="宋体"/>
        <charset val="134"/>
      </rPr>
      <t>2</t>
    </r>
    <r>
      <rPr>
        <sz val="12"/>
        <rFont val="宋体"/>
        <charset val="134"/>
      </rPr>
      <t>.2对一般其他金融机构的风险暴露</t>
    </r>
  </si>
  <si>
    <t>8.对公司的风险暴露</t>
  </si>
  <si>
    <t>8.1对一般公司的风险暴露</t>
  </si>
  <si>
    <t>8.1.1对投资级公司的风险暴露</t>
  </si>
  <si>
    <t>8.1.2对中小企业的风险暴露</t>
  </si>
  <si>
    <t>8.1.3对小微企业的风险暴露</t>
  </si>
  <si>
    <r>
      <rPr>
        <sz val="12"/>
        <rFont val="宋体"/>
        <charset val="134"/>
      </rPr>
      <t>8.</t>
    </r>
    <r>
      <rPr>
        <sz val="12"/>
        <rFont val="宋体"/>
        <charset val="134"/>
      </rPr>
      <t>1.</t>
    </r>
    <r>
      <rPr>
        <sz val="12"/>
        <rFont val="宋体"/>
        <charset val="134"/>
      </rPr>
      <t>4对其他一般公司的风险暴露</t>
    </r>
  </si>
  <si>
    <t>8.2对专业贷款的风险暴露</t>
  </si>
  <si>
    <t>8.2.1对项目融资的风险暴露</t>
  </si>
  <si>
    <t>8.2.1.1运营前阶段的项目融资</t>
  </si>
  <si>
    <t>8.2.1.2运营阶段的项目融资</t>
  </si>
  <si>
    <t>8.2.2对物品融资的风险暴露</t>
  </si>
  <si>
    <t>8.2.3对商品融资的风险暴露</t>
  </si>
  <si>
    <t>9．对个人的风险暴露</t>
  </si>
  <si>
    <t>9.1对个人的风险暴露（以记账本位币计价）</t>
  </si>
  <si>
    <t>9.1.1对监管零售个人风险暴露（以记账本位币计价）</t>
  </si>
  <si>
    <t>9.1.1.1对合格交易者的信用卡个人循环风险暴露（以记账本位币计价）</t>
  </si>
  <si>
    <t>9.1.1.2对其他监管零售个人风险暴露（以记账本位币计价）</t>
  </si>
  <si>
    <t>9.1.2对其他个人风险暴露（以记账本位币计价）</t>
  </si>
  <si>
    <t>9.2对个人的风险暴露（以非记账本位币计价）</t>
  </si>
  <si>
    <t>10.房地产开发风险暴露</t>
  </si>
  <si>
    <t>10.1对符合审慎要求的房地产开发风险暴露</t>
  </si>
  <si>
    <t>10.2对其他房地产开发风险暴露</t>
  </si>
  <si>
    <t>11.居住用房地产风险暴露</t>
  </si>
  <si>
    <t>11.1还款不实质依赖于房地产所产生的现金流的居住用房地产风险暴露</t>
  </si>
  <si>
    <t>11.1.1符合审慎要求的居住用房地产风险暴露</t>
  </si>
  <si>
    <t>11.1.1.1贷款价值比在60%（含）以下</t>
  </si>
  <si>
    <t>11.1.1.3贷款价值比在60%至80%（含）</t>
  </si>
  <si>
    <t>11.1.1.4贷款价值比在80%至90%（含）</t>
  </si>
  <si>
    <t>11.1.1.5贷款价值比在90%至100%（含）</t>
  </si>
  <si>
    <t>11.1.1.6贷款价值比在100%（不含）以上</t>
  </si>
  <si>
    <t>交易对手风险权重</t>
  </si>
  <si>
    <t>11.1.2不符合审慎要求的居住用房地产风险暴露</t>
  </si>
  <si>
    <t>11.2还款实质依赖于房地产所产生的现金流的居住用房地产风险暴露</t>
  </si>
  <si>
    <t>11.2.1符合审慎要求的居住用房地产风险暴露</t>
  </si>
  <si>
    <r>
      <rPr>
        <sz val="12"/>
        <rFont val="宋体"/>
        <charset val="134"/>
      </rPr>
      <t>11.2.1.1贷款价值比在</t>
    </r>
    <r>
      <rPr>
        <sz val="12"/>
        <rFont val="宋体"/>
        <charset val="134"/>
      </rPr>
      <t>6</t>
    </r>
    <r>
      <rPr>
        <sz val="12"/>
        <rFont val="宋体"/>
        <charset val="134"/>
      </rPr>
      <t>0%（含）以下</t>
    </r>
  </si>
  <si>
    <t>11.2.1.3贷款价值比在60%至80%（含）</t>
  </si>
  <si>
    <t>11.2.1.4 贷款价值比在80%至90%（含）</t>
  </si>
  <si>
    <t>11.2.1.5贷款价值比在90%（不含）以上</t>
  </si>
  <si>
    <t>11.2.2不符合审慎要求的居住用房地产风险暴露</t>
  </si>
  <si>
    <r>
      <rPr>
        <sz val="12"/>
        <rFont val="宋体"/>
        <charset val="134"/>
      </rPr>
      <t>11.3向个人发放的以</t>
    </r>
    <r>
      <rPr>
        <sz val="12"/>
        <rFont val="宋体"/>
        <charset val="134"/>
      </rPr>
      <t>非记账本位币</t>
    </r>
    <r>
      <rPr>
        <sz val="12"/>
        <rFont val="宋体"/>
        <charset val="134"/>
      </rPr>
      <t>计价的居住用房地产风险暴露</t>
    </r>
  </si>
  <si>
    <t>12.商用房地产风险暴露</t>
  </si>
  <si>
    <t>12.1还款不实质依赖于房地产所产生的现金流的商用房地产风险暴露</t>
  </si>
  <si>
    <t>12.1.1符合审慎要求的商用房地产风险暴露</t>
  </si>
  <si>
    <t>12.1.1.1贷款价值比在60%（含）以下</t>
  </si>
  <si>
    <t>12.1.1.2贷款价值比在60%（不含）以上</t>
  </si>
  <si>
    <t>12.1.2不符合审慎要求的商用房地产风险暴露</t>
  </si>
  <si>
    <t>12.2还款实质依赖于房地产所产生的现金流的商用房地产风险暴露</t>
  </si>
  <si>
    <t>12.2.1符合审慎要求的商用房地产风险暴露</t>
  </si>
  <si>
    <t>12.2.1.1贷款价值比在60%（含）以下</t>
  </si>
  <si>
    <t>12.2.1.2贷款价值比在60%至80%（含）</t>
  </si>
  <si>
    <t>Max(90%，交易对手风险权重)</t>
  </si>
  <si>
    <t>12.2.1.3贷款价值比在80%（不含）以上</t>
  </si>
  <si>
    <t>12.2.2不符合审慎要求的商用房地产风险暴露</t>
  </si>
  <si>
    <t>13.商业银行持有的不动产</t>
  </si>
  <si>
    <t>13.1商业银行自用不动产</t>
  </si>
  <si>
    <t>13.2商业银行非自用不动产</t>
  </si>
  <si>
    <t>13.2.1因行使抵押权等方式而持有并在法律规定处分期限内的非自用不动产</t>
  </si>
  <si>
    <t>13.2.2其他非自用不动产</t>
  </si>
  <si>
    <t>14.租赁资产余值</t>
  </si>
  <si>
    <t>15.股权</t>
  </si>
  <si>
    <t>15.1对大额工商企业股权投资超过限额部分</t>
  </si>
  <si>
    <t>15.2对投机性非上市公司股权投资</t>
  </si>
  <si>
    <t>15.3对获得国家重大补贴，并受到政府监督的股权投资</t>
  </si>
  <si>
    <t>15.4其他股权投资</t>
  </si>
  <si>
    <t>16.对次级债权（未扣除部分）</t>
  </si>
  <si>
    <r>
      <rPr>
        <sz val="12"/>
        <rFont val="宋体"/>
        <charset val="134"/>
      </rPr>
      <t>16.1对我国</t>
    </r>
    <r>
      <rPr>
        <sz val="12"/>
        <rFont val="宋体"/>
        <charset val="134"/>
      </rPr>
      <t>开发性金融机构和</t>
    </r>
    <r>
      <rPr>
        <sz val="12"/>
        <rFont val="宋体"/>
        <charset val="134"/>
      </rPr>
      <t>政策性银行的次级债权（未扣除部分）</t>
    </r>
  </si>
  <si>
    <t>16.2对我国商业银行的次级债权（未扣除部分）</t>
  </si>
  <si>
    <t>16.3对我国其他金融机构的次级债权（未扣除部分）</t>
  </si>
  <si>
    <t>16.4持有全球系统重要性银行发行的总损失吸收能力（TLAC）债务工具</t>
  </si>
  <si>
    <t>17.对合格资产担保债券的风险暴露</t>
  </si>
  <si>
    <r>
      <rPr>
        <sz val="12"/>
        <rFont val="宋体"/>
        <charset val="134"/>
      </rPr>
      <t>17.1</t>
    </r>
    <r>
      <rPr>
        <sz val="12"/>
        <color indexed="8"/>
        <rFont val="宋体"/>
        <charset val="134"/>
      </rPr>
      <t>具有外部信用评级的</t>
    </r>
    <r>
      <rPr>
        <sz val="12"/>
        <rFont val="宋体"/>
        <charset val="134"/>
      </rPr>
      <t>债券</t>
    </r>
  </si>
  <si>
    <t>17.1.1评级为AA-（含）以上</t>
  </si>
  <si>
    <t>17.1.2评级为AA-以下，BBB-（含）以上</t>
  </si>
  <si>
    <t>17.1.3评级为BBB-以下，B-（含）以上</t>
  </si>
  <si>
    <t>17.1.4评级为B-以下</t>
  </si>
  <si>
    <t>17.2不具有外部信用评级的债券</t>
  </si>
  <si>
    <r>
      <rPr>
        <sz val="12"/>
        <rFont val="宋体"/>
        <charset val="134"/>
      </rPr>
      <t>17.2.1</t>
    </r>
    <r>
      <rPr>
        <sz val="12"/>
        <color indexed="8"/>
        <rFont val="宋体"/>
        <charset val="134"/>
      </rPr>
      <t>债券发行银行</t>
    </r>
    <r>
      <rPr>
        <sz val="12"/>
        <rFont val="宋体"/>
        <charset val="134"/>
      </rPr>
      <t>风险级别</t>
    </r>
    <r>
      <rPr>
        <sz val="12"/>
        <color indexed="8"/>
        <rFont val="宋体"/>
        <charset val="134"/>
      </rPr>
      <t>为A+级</t>
    </r>
  </si>
  <si>
    <t>17.2.2债券发行银行风险级别为A级</t>
  </si>
  <si>
    <t>17.2.3债券发行银行风险级别为B级</t>
  </si>
  <si>
    <t>17.2.4债券发行银行风险级别为C级</t>
  </si>
  <si>
    <t>18.已违约风险暴露（不含股权投资）</t>
  </si>
  <si>
    <t>18.1以居住用房为抵押、还款不实质性依赖于房地产所产生的现金流的已违约风险暴露</t>
  </si>
  <si>
    <t>18.2对其他已违约风险暴露</t>
  </si>
  <si>
    <t>18.2.1减值准备低于资产账面价值的20%</t>
  </si>
  <si>
    <t>18.2.2减值准备不低于资产账面价值的20%</t>
  </si>
  <si>
    <t>19.其他</t>
  </si>
  <si>
    <t>19.1依赖于银行未来盈利的净递延税资产（未扣除部分）</t>
  </si>
  <si>
    <t>19.2其他表内资产</t>
  </si>
</sst>
</file>

<file path=xl/styles.xml><?xml version="1.0" encoding="utf-8"?>
<styleSheet xmlns="http://schemas.openxmlformats.org/spreadsheetml/2006/main">
  <numFmts count="7">
    <numFmt numFmtId="176" formatCode="0_);[Red]\(0\)"/>
    <numFmt numFmtId="177" formatCode="0.00_ "/>
    <numFmt numFmtId="178" formatCode="0.00_);[Red]\(0.00\)"/>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2">
    <font>
      <sz val="12"/>
      <name val="宋体"/>
      <charset val="134"/>
    </font>
    <font>
      <b/>
      <sz val="12"/>
      <name val="宋体"/>
      <charset val="134"/>
    </font>
    <font>
      <sz val="10"/>
      <name val="宋体"/>
      <charset val="134"/>
    </font>
    <font>
      <sz val="12"/>
      <color theme="1"/>
      <name val="宋体"/>
      <charset val="134"/>
    </font>
    <font>
      <sz val="10"/>
      <color theme="1"/>
      <name val="宋体"/>
      <charset val="134"/>
    </font>
    <font>
      <b/>
      <sz val="16"/>
      <color theme="1"/>
      <name val="Times New Roman"/>
      <charset val="134"/>
    </font>
    <font>
      <sz val="10"/>
      <color theme="1"/>
      <name val="Times New Roman"/>
      <charset val="134"/>
    </font>
    <font>
      <sz val="10"/>
      <color theme="1"/>
      <name val="仿宋_GB2312"/>
      <charset val="134"/>
    </font>
    <font>
      <sz val="11"/>
      <color theme="0"/>
      <name val="宋体"/>
      <charset val="0"/>
      <scheme val="minor"/>
    </font>
    <font>
      <sz val="11"/>
      <color theme="1"/>
      <name val="宋体"/>
      <charset val="0"/>
      <scheme val="minor"/>
    </font>
    <font>
      <sz val="11"/>
      <color rgb="FF9C0006"/>
      <name val="宋体"/>
      <charset val="0"/>
      <scheme val="minor"/>
    </font>
    <font>
      <sz val="11"/>
      <color rgb="FF9C6500"/>
      <name val="宋体"/>
      <charset val="0"/>
      <scheme val="minor"/>
    </font>
    <font>
      <sz val="11"/>
      <color rgb="FF006100"/>
      <name val="宋体"/>
      <charset val="0"/>
      <scheme val="minor"/>
    </font>
    <font>
      <sz val="11"/>
      <color theme="1"/>
      <name val="宋体"/>
      <charset val="134"/>
      <scheme val="minor"/>
    </font>
    <font>
      <sz val="11"/>
      <color rgb="FFFA7D00"/>
      <name val="宋体"/>
      <charset val="0"/>
      <scheme val="minor"/>
    </font>
    <font>
      <b/>
      <sz val="11"/>
      <color rgb="FFFFFFFF"/>
      <name val="宋体"/>
      <charset val="0"/>
      <scheme val="minor"/>
    </font>
    <font>
      <b/>
      <sz val="11"/>
      <color theme="1"/>
      <name val="宋体"/>
      <charset val="0"/>
      <scheme val="minor"/>
    </font>
    <font>
      <b/>
      <sz val="11"/>
      <color theme="3"/>
      <name val="宋体"/>
      <charset val="134"/>
      <scheme val="minor"/>
    </font>
    <font>
      <i/>
      <sz val="11"/>
      <color rgb="FF7F7F7F"/>
      <name val="宋体"/>
      <charset val="0"/>
      <scheme val="minor"/>
    </font>
    <font>
      <u/>
      <sz val="11"/>
      <color rgb="FF800080"/>
      <name val="宋体"/>
      <charset val="0"/>
      <scheme val="minor"/>
    </font>
    <font>
      <b/>
      <sz val="18"/>
      <color theme="3"/>
      <name val="宋体"/>
      <charset val="134"/>
      <scheme val="minor"/>
    </font>
    <font>
      <sz val="12"/>
      <name val="Times New Roman"/>
      <charset val="134"/>
    </font>
    <font>
      <b/>
      <sz val="13"/>
      <color theme="3"/>
      <name val="宋体"/>
      <charset val="134"/>
      <scheme val="minor"/>
    </font>
    <font>
      <sz val="11"/>
      <color rgb="FFFF0000"/>
      <name val="宋体"/>
      <charset val="0"/>
      <scheme val="minor"/>
    </font>
    <font>
      <b/>
      <sz val="15"/>
      <color theme="3"/>
      <name val="宋体"/>
      <charset val="134"/>
      <scheme val="minor"/>
    </font>
    <font>
      <u/>
      <sz val="11"/>
      <color rgb="FF0000FF"/>
      <name val="宋体"/>
      <charset val="0"/>
      <scheme val="minor"/>
    </font>
    <font>
      <b/>
      <sz val="11"/>
      <color rgb="FFFA7D00"/>
      <name val="宋体"/>
      <charset val="0"/>
      <scheme val="minor"/>
    </font>
    <font>
      <sz val="11"/>
      <color rgb="FF3F3F76"/>
      <name val="宋体"/>
      <charset val="0"/>
      <scheme val="minor"/>
    </font>
    <font>
      <sz val="10"/>
      <name val="Arial"/>
      <charset val="0"/>
    </font>
    <font>
      <b/>
      <sz val="11"/>
      <color rgb="FF3F3F3F"/>
      <name val="宋体"/>
      <charset val="0"/>
      <scheme val="minor"/>
    </font>
    <font>
      <sz val="12"/>
      <color indexed="8"/>
      <name val="宋体"/>
      <charset val="134"/>
    </font>
    <font>
      <b/>
      <sz val="16"/>
      <color theme="1"/>
      <name val="宋体"/>
      <charset val="134"/>
    </font>
  </fonts>
  <fills count="37">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theme="0" tint="-0.249977111117893"/>
        <bgColor indexed="64"/>
      </patternFill>
    </fill>
    <fill>
      <patternFill patternType="solid">
        <fgColor indexed="55"/>
        <bgColor indexed="64"/>
      </patternFill>
    </fill>
    <fill>
      <patternFill patternType="solid">
        <fgColor theme="6"/>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bgColor indexed="64"/>
      </patternFill>
    </fill>
    <fill>
      <patternFill patternType="solid">
        <fgColor rgb="FFFFEB9C"/>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theme="9"/>
        <bgColor indexed="64"/>
      </patternFill>
    </fill>
    <fill>
      <patternFill patternType="solid">
        <fgColor theme="8"/>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2F2F2"/>
        <bgColor indexed="64"/>
      </patternFill>
    </fill>
    <fill>
      <patternFill patternType="solid">
        <fgColor theme="7" tint="0.599993896298105"/>
        <bgColor indexed="64"/>
      </patternFill>
    </fill>
    <fill>
      <patternFill patternType="solid">
        <fgColor theme="7"/>
        <bgColor indexed="64"/>
      </patternFill>
    </fill>
    <fill>
      <patternFill patternType="solid">
        <fgColor theme="9" tint="0.399975585192419"/>
        <bgColor indexed="64"/>
      </patternFill>
    </fill>
    <fill>
      <patternFill patternType="solid">
        <fgColor rgb="FFFFCC99"/>
        <bgColor indexed="64"/>
      </patternFill>
    </fill>
  </fills>
  <borders count="16">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22"/>
      </left>
      <right style="thin">
        <color indexed="22"/>
      </right>
      <top/>
      <bottom style="thin">
        <color indexed="2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3">
    <xf numFmtId="0" fontId="0" fillId="0" borderId="0"/>
    <xf numFmtId="0" fontId="0" fillId="0" borderId="0">
      <alignment vertical="center"/>
    </xf>
    <xf numFmtId="0" fontId="28" fillId="0" borderId="0">
      <alignment vertical="center"/>
    </xf>
    <xf numFmtId="0" fontId="21" fillId="0" borderId="0"/>
    <xf numFmtId="0" fontId="21" fillId="0" borderId="0"/>
    <xf numFmtId="0" fontId="9" fillId="25" borderId="0" applyNumberFormat="0" applyBorder="0" applyAlignment="0" applyProtection="0">
      <alignment vertical="center"/>
    </xf>
    <xf numFmtId="0" fontId="9" fillId="23" borderId="0" applyNumberFormat="0" applyBorder="0" applyAlignment="0" applyProtection="0">
      <alignment vertical="center"/>
    </xf>
    <xf numFmtId="0" fontId="8" fillId="20" borderId="0" applyNumberFormat="0" applyBorder="0" applyAlignment="0" applyProtection="0">
      <alignment vertical="center"/>
    </xf>
    <xf numFmtId="0" fontId="9" fillId="19" borderId="0" applyNumberFormat="0" applyBorder="0" applyAlignment="0" applyProtection="0">
      <alignment vertical="center"/>
    </xf>
    <xf numFmtId="0" fontId="9" fillId="22" borderId="0" applyNumberFormat="0" applyBorder="0" applyAlignment="0" applyProtection="0">
      <alignment vertical="center"/>
    </xf>
    <xf numFmtId="0" fontId="8" fillId="21" borderId="0" applyNumberFormat="0" applyBorder="0" applyAlignment="0" applyProtection="0">
      <alignment vertical="center"/>
    </xf>
    <xf numFmtId="0" fontId="9" fillId="33" borderId="0" applyNumberFormat="0" applyBorder="0" applyAlignment="0" applyProtection="0">
      <alignment vertical="center"/>
    </xf>
    <xf numFmtId="0" fontId="17" fillId="0" borderId="12" applyNumberFormat="0" applyFill="0" applyAlignment="0" applyProtection="0">
      <alignment vertical="center"/>
    </xf>
    <xf numFmtId="0" fontId="18" fillId="0" borderId="0" applyNumberFormat="0" applyFill="0" applyBorder="0" applyAlignment="0" applyProtection="0">
      <alignment vertical="center"/>
    </xf>
    <xf numFmtId="0" fontId="16" fillId="0" borderId="11" applyNumberFormat="0" applyFill="0" applyAlignment="0" applyProtection="0">
      <alignment vertical="center"/>
    </xf>
    <xf numFmtId="9" fontId="0" fillId="0" borderId="0" applyFont="0" applyFill="0" applyBorder="0" applyAlignment="0" applyProtection="0"/>
    <xf numFmtId="43" fontId="0" fillId="0" borderId="0" applyFont="0" applyFill="0" applyBorder="0" applyAlignment="0" applyProtection="0"/>
    <xf numFmtId="0" fontId="22" fillId="0" borderId="13" applyNumberFormat="0" applyFill="0" applyAlignment="0" applyProtection="0">
      <alignment vertical="center"/>
    </xf>
    <xf numFmtId="42" fontId="13" fillId="0" borderId="0" applyFont="0" applyFill="0" applyBorder="0" applyAlignment="0" applyProtection="0">
      <alignment vertical="center"/>
    </xf>
    <xf numFmtId="0" fontId="8" fillId="27" borderId="0" applyNumberFormat="0" applyBorder="0" applyAlignment="0" applyProtection="0">
      <alignment vertical="center"/>
    </xf>
    <xf numFmtId="0" fontId="23" fillId="0" borderId="0" applyNumberFormat="0" applyFill="0" applyBorder="0" applyAlignment="0" applyProtection="0">
      <alignment vertical="center"/>
    </xf>
    <xf numFmtId="0" fontId="9" fillId="30" borderId="0" applyNumberFormat="0" applyBorder="0" applyAlignment="0" applyProtection="0">
      <alignment vertical="center"/>
    </xf>
    <xf numFmtId="0" fontId="8" fillId="28" borderId="0" applyNumberFormat="0" applyBorder="0" applyAlignment="0" applyProtection="0">
      <alignment vertical="center"/>
    </xf>
    <xf numFmtId="0" fontId="24" fillId="0" borderId="13" applyNumberFormat="0" applyFill="0" applyAlignment="0" applyProtection="0">
      <alignment vertical="center"/>
    </xf>
    <xf numFmtId="0" fontId="25" fillId="0" borderId="0" applyNumberFormat="0" applyFill="0" applyBorder="0" applyAlignment="0" applyProtection="0">
      <alignment vertical="center"/>
    </xf>
    <xf numFmtId="0" fontId="9" fillId="24" borderId="0" applyNumberFormat="0" applyBorder="0" applyAlignment="0" applyProtection="0">
      <alignment vertical="center"/>
    </xf>
    <xf numFmtId="44" fontId="13" fillId="0" borderId="0" applyFont="0" applyFill="0" applyBorder="0" applyAlignment="0" applyProtection="0">
      <alignment vertical="center"/>
    </xf>
    <xf numFmtId="0" fontId="9" fillId="31" borderId="0" applyNumberFormat="0" applyBorder="0" applyAlignment="0" applyProtection="0">
      <alignment vertical="center"/>
    </xf>
    <xf numFmtId="0" fontId="26" fillId="32" borderId="14" applyNumberFormat="0" applyAlignment="0" applyProtection="0">
      <alignment vertical="center"/>
    </xf>
    <xf numFmtId="0" fontId="19" fillId="0" borderId="0" applyNumberFormat="0" applyFill="0" applyBorder="0" applyAlignment="0" applyProtection="0">
      <alignment vertical="center"/>
    </xf>
    <xf numFmtId="41" fontId="13" fillId="0" borderId="0" applyFont="0" applyFill="0" applyBorder="0" applyAlignment="0" applyProtection="0">
      <alignment vertical="center"/>
    </xf>
    <xf numFmtId="0" fontId="8" fillId="34" borderId="0" applyNumberFormat="0" applyBorder="0" applyAlignment="0" applyProtection="0">
      <alignment vertical="center"/>
    </xf>
    <xf numFmtId="0" fontId="9" fillId="29" borderId="0" applyNumberFormat="0" applyBorder="0" applyAlignment="0" applyProtection="0">
      <alignment vertical="center"/>
    </xf>
    <xf numFmtId="0" fontId="8" fillId="35" borderId="0" applyNumberFormat="0" applyBorder="0" applyAlignment="0" applyProtection="0">
      <alignment vertical="center"/>
    </xf>
    <xf numFmtId="0" fontId="27" fillId="36" borderId="14" applyNumberFormat="0" applyAlignment="0" applyProtection="0">
      <alignment vertical="center"/>
    </xf>
    <xf numFmtId="0" fontId="29" fillId="32" borderId="15" applyNumberFormat="0" applyAlignment="0" applyProtection="0">
      <alignment vertical="center"/>
    </xf>
    <xf numFmtId="0" fontId="15" fillId="18" borderId="10" applyNumberFormat="0" applyAlignment="0" applyProtection="0">
      <alignment vertical="center"/>
    </xf>
    <xf numFmtId="0" fontId="14" fillId="0" borderId="9" applyNumberFormat="0" applyFill="0" applyAlignment="0" applyProtection="0">
      <alignment vertical="center"/>
    </xf>
    <xf numFmtId="0" fontId="8" fillId="17" borderId="0" applyNumberFormat="0" applyBorder="0" applyAlignment="0" applyProtection="0">
      <alignment vertical="center"/>
    </xf>
    <xf numFmtId="0" fontId="8" fillId="16" borderId="0" applyNumberFormat="0" applyBorder="0" applyAlignment="0" applyProtection="0">
      <alignment vertical="center"/>
    </xf>
    <xf numFmtId="0" fontId="13" fillId="15" borderId="8" applyNumberFormat="0" applyFont="0" applyAlignment="0" applyProtection="0">
      <alignment vertical="center"/>
    </xf>
    <xf numFmtId="0" fontId="20" fillId="0" borderId="0" applyNumberFormat="0" applyFill="0" applyBorder="0" applyAlignment="0" applyProtection="0">
      <alignment vertical="center"/>
    </xf>
    <xf numFmtId="0" fontId="12" fillId="14" borderId="0" applyNumberFormat="0" applyBorder="0" applyAlignment="0" applyProtection="0">
      <alignment vertical="center"/>
    </xf>
    <xf numFmtId="0" fontId="17" fillId="0" borderId="0" applyNumberFormat="0" applyFill="0" applyBorder="0" applyAlignment="0" applyProtection="0">
      <alignment vertical="center"/>
    </xf>
    <xf numFmtId="0" fontId="8" fillId="13" borderId="0" applyNumberFormat="0" applyBorder="0" applyAlignment="0" applyProtection="0">
      <alignment vertical="center"/>
    </xf>
    <xf numFmtId="0" fontId="11" fillId="12" borderId="0" applyNumberFormat="0" applyBorder="0" applyAlignment="0" applyProtection="0">
      <alignment vertical="center"/>
    </xf>
    <xf numFmtId="0" fontId="9" fillId="10" borderId="0" applyNumberFormat="0" applyBorder="0" applyAlignment="0" applyProtection="0">
      <alignment vertical="center"/>
    </xf>
    <xf numFmtId="0" fontId="10" fillId="9" borderId="0" applyNumberFormat="0" applyBorder="0" applyAlignment="0" applyProtection="0">
      <alignment vertical="center"/>
    </xf>
    <xf numFmtId="0" fontId="8" fillId="11" borderId="0" applyNumberFormat="0" applyBorder="0" applyAlignment="0" applyProtection="0">
      <alignment vertical="center"/>
    </xf>
    <xf numFmtId="0" fontId="9" fillId="8" borderId="0" applyNumberFormat="0" applyBorder="0" applyAlignment="0" applyProtection="0">
      <alignment vertical="center"/>
    </xf>
    <xf numFmtId="0" fontId="8" fillId="7" borderId="0" applyNumberFormat="0" applyBorder="0" applyAlignment="0" applyProtection="0">
      <alignment vertical="center"/>
    </xf>
    <xf numFmtId="0" fontId="9" fillId="26" borderId="0" applyNumberFormat="0" applyBorder="0" applyAlignment="0" applyProtection="0">
      <alignment vertical="center"/>
    </xf>
    <xf numFmtId="0" fontId="8" fillId="6" borderId="0" applyNumberFormat="0" applyBorder="0" applyAlignment="0" applyProtection="0">
      <alignment vertical="center"/>
    </xf>
  </cellStyleXfs>
  <cellXfs count="62">
    <xf numFmtId="0" fontId="0" fillId="0" borderId="0" xfId="0"/>
    <xf numFmtId="0" fontId="0" fillId="0" borderId="1" xfId="0" applyBorder="1" applyAlignment="1">
      <alignment horizontal="center" wrapText="1"/>
    </xf>
    <xf numFmtId="0" fontId="0" fillId="0" borderId="2" xfId="0" applyBorder="1" applyAlignment="1">
      <alignment horizontal="center" wrapText="1"/>
    </xf>
    <xf numFmtId="0" fontId="1" fillId="0" borderId="3" xfId="0" applyFont="1" applyBorder="1" applyAlignment="1">
      <alignment horizontal="justify" wrapText="1"/>
    </xf>
    <xf numFmtId="0" fontId="0" fillId="0" borderId="4" xfId="0" applyBorder="1" applyAlignment="1">
      <alignment horizontal="right" wrapText="1"/>
    </xf>
    <xf numFmtId="0" fontId="0" fillId="0" borderId="3" xfId="0" applyBorder="1" applyAlignment="1">
      <alignment horizontal="justify" wrapText="1"/>
    </xf>
    <xf numFmtId="9" fontId="0" fillId="0" borderId="4" xfId="0" applyNumberFormat="1" applyBorder="1" applyAlignment="1">
      <alignment horizontal="center" wrapText="1"/>
    </xf>
    <xf numFmtId="0" fontId="0" fillId="0" borderId="4" xfId="0" applyBorder="1" applyAlignment="1">
      <alignment horizontal="center" wrapText="1"/>
    </xf>
    <xf numFmtId="0" fontId="2" fillId="0" borderId="5" xfId="4" applyFont="1" applyBorder="1" applyAlignment="1" applyProtection="1">
      <alignment horizontal="center" vertical="center" wrapText="1"/>
    </xf>
    <xf numFmtId="9" fontId="2" fillId="0" borderId="5" xfId="4" applyNumberFormat="1" applyFont="1" applyFill="1" applyBorder="1" applyAlignment="1" applyProtection="1">
      <alignment horizontal="center" vertical="center"/>
    </xf>
    <xf numFmtId="0" fontId="2" fillId="0" borderId="5" xfId="4" applyFont="1" applyBorder="1" applyAlignment="1" applyProtection="1">
      <alignment vertical="center"/>
    </xf>
    <xf numFmtId="0" fontId="2" fillId="0" borderId="5" xfId="4" applyFont="1" applyFill="1" applyBorder="1" applyAlignment="1" applyProtection="1">
      <alignment vertical="center"/>
    </xf>
    <xf numFmtId="0" fontId="2" fillId="0" borderId="0" xfId="4" applyFont="1" applyBorder="1" applyAlignment="1" applyProtection="1">
      <alignment vertical="center"/>
    </xf>
    <xf numFmtId="0" fontId="2" fillId="0" borderId="0" xfId="4" applyFont="1" applyFill="1" applyBorder="1" applyAlignment="1" applyProtection="1">
      <alignment vertical="center"/>
    </xf>
    <xf numFmtId="0" fontId="3" fillId="0" borderId="0" xfId="0" applyFont="1" applyAlignment="1" applyProtection="1">
      <alignment wrapText="1"/>
      <protection locked="0"/>
    </xf>
    <xf numFmtId="0" fontId="4" fillId="0" borderId="0" xfId="4" applyFont="1" applyBorder="1" applyAlignment="1" applyProtection="1">
      <alignment horizontal="center" vertical="center" wrapText="1"/>
      <protection locked="0"/>
    </xf>
    <xf numFmtId="0" fontId="4" fillId="0" borderId="0" xfId="4" applyFont="1" applyFill="1" applyBorder="1" applyAlignment="1" applyProtection="1">
      <alignment vertical="center"/>
      <protection locked="0"/>
    </xf>
    <xf numFmtId="0" fontId="4" fillId="0" borderId="0" xfId="4" applyFont="1" applyFill="1" applyAlignment="1" applyProtection="1">
      <alignment vertical="center"/>
      <protection locked="0"/>
    </xf>
    <xf numFmtId="0" fontId="3" fillId="0" borderId="0" xfId="0" applyFont="1" applyProtection="1">
      <protection locked="0"/>
    </xf>
    <xf numFmtId="0" fontId="4" fillId="0" borderId="0" xfId="3" applyFont="1" applyBorder="1" applyAlignment="1" applyProtection="1">
      <alignment vertical="center"/>
      <protection locked="0"/>
    </xf>
    <xf numFmtId="0" fontId="4" fillId="0" borderId="0" xfId="4" applyFont="1" applyBorder="1" applyAlignment="1" applyProtection="1">
      <alignment vertical="center"/>
      <protection locked="0"/>
    </xf>
    <xf numFmtId="0" fontId="4" fillId="0" borderId="0" xfId="4" applyFont="1" applyBorder="1" applyAlignment="1" applyProtection="1">
      <alignment vertical="center" wrapText="1"/>
      <protection locked="0"/>
    </xf>
    <xf numFmtId="0" fontId="5" fillId="0" borderId="0" xfId="4" applyFont="1" applyBorder="1" applyAlignment="1" applyProtection="1">
      <alignment horizontal="center" vertical="center"/>
      <protection locked="0"/>
    </xf>
    <xf numFmtId="0" fontId="4" fillId="0" borderId="6" xfId="4" applyFont="1" applyBorder="1" applyAlignment="1" applyProtection="1">
      <alignment horizontal="left" vertical="center" wrapText="1"/>
      <protection locked="0"/>
    </xf>
    <xf numFmtId="0" fontId="4" fillId="0" borderId="0" xfId="0" applyFont="1" applyBorder="1" applyAlignment="1" applyProtection="1">
      <alignment vertical="center"/>
      <protection locked="0"/>
    </xf>
    <xf numFmtId="0" fontId="4" fillId="0" borderId="5" xfId="4" applyFont="1" applyBorder="1" applyAlignment="1" applyProtection="1">
      <alignment horizontal="center" vertical="center"/>
      <protection locked="0"/>
    </xf>
    <xf numFmtId="0" fontId="4" fillId="0" borderId="5" xfId="4" applyFont="1" applyBorder="1" applyAlignment="1" applyProtection="1">
      <alignment horizontal="centerContinuous" vertical="center"/>
      <protection locked="0"/>
    </xf>
    <xf numFmtId="0" fontId="4" fillId="0" borderId="5" xfId="4" applyFont="1" applyBorder="1" applyAlignment="1" applyProtection="1">
      <alignment horizontal="center" vertical="center" wrapText="1"/>
      <protection locked="0"/>
    </xf>
    <xf numFmtId="0" fontId="4" fillId="0" borderId="5" xfId="4" applyFont="1" applyBorder="1" applyAlignment="1" applyProtection="1">
      <alignment vertical="center" wrapText="1" shrinkToFit="1"/>
      <protection locked="0"/>
    </xf>
    <xf numFmtId="178" fontId="4" fillId="2" borderId="5" xfId="16" applyNumberFormat="1" applyFont="1" applyFill="1" applyBorder="1" applyAlignment="1" applyProtection="1">
      <alignment horizontal="right" vertical="center"/>
    </xf>
    <xf numFmtId="9" fontId="4" fillId="3" borderId="5" xfId="4" applyNumberFormat="1" applyFont="1" applyFill="1" applyBorder="1" applyAlignment="1" applyProtection="1">
      <alignment horizontal="center" vertical="center"/>
      <protection locked="0"/>
    </xf>
    <xf numFmtId="177" fontId="4" fillId="0" borderId="5" xfId="4" applyNumberFormat="1" applyFont="1" applyFill="1" applyBorder="1" applyAlignment="1" applyProtection="1">
      <alignment vertical="center" wrapText="1" shrinkToFit="1"/>
      <protection locked="0"/>
    </xf>
    <xf numFmtId="178" fontId="4" fillId="0" borderId="5" xfId="16" applyNumberFormat="1" applyFont="1" applyFill="1" applyBorder="1" applyAlignment="1" applyProtection="1">
      <alignment horizontal="right" vertical="center"/>
      <protection locked="0"/>
    </xf>
    <xf numFmtId="9" fontId="4" fillId="0" borderId="5" xfId="4" applyNumberFormat="1" applyFont="1" applyFill="1" applyBorder="1" applyAlignment="1" applyProtection="1">
      <alignment horizontal="center" vertical="center"/>
      <protection locked="0"/>
    </xf>
    <xf numFmtId="0" fontId="4" fillId="0" borderId="5" xfId="4" applyFont="1" applyBorder="1" applyAlignment="1" applyProtection="1">
      <alignment vertical="center" wrapText="1"/>
      <protection locked="0"/>
    </xf>
    <xf numFmtId="0" fontId="4" fillId="0" borderId="5" xfId="4" applyFont="1" applyFill="1" applyBorder="1" applyAlignment="1" applyProtection="1">
      <alignment horizontal="center" vertical="center"/>
      <protection locked="0"/>
    </xf>
    <xf numFmtId="0" fontId="4" fillId="0" borderId="5" xfId="4" applyFont="1" applyFill="1" applyBorder="1" applyAlignment="1" applyProtection="1">
      <alignment vertical="center" wrapText="1"/>
      <protection locked="0"/>
    </xf>
    <xf numFmtId="177" fontId="4" fillId="2" borderId="5" xfId="4" applyNumberFormat="1" applyFont="1" applyFill="1" applyBorder="1" applyAlignment="1" applyProtection="1">
      <alignment horizontal="right" vertical="center"/>
    </xf>
    <xf numFmtId="9" fontId="4" fillId="4" borderId="5" xfId="4" applyNumberFormat="1" applyFont="1" applyFill="1" applyBorder="1" applyAlignment="1" applyProtection="1">
      <alignment horizontal="center" vertical="center"/>
      <protection locked="0"/>
    </xf>
    <xf numFmtId="178" fontId="4" fillId="0" borderId="5" xfId="16" applyNumberFormat="1" applyFont="1" applyFill="1" applyBorder="1" applyAlignment="1" applyProtection="1">
      <alignment horizontal="right" vertical="center"/>
    </xf>
    <xf numFmtId="0" fontId="4" fillId="0" borderId="6" xfId="0" applyFont="1" applyBorder="1" applyAlignment="1" applyProtection="1">
      <alignment horizontal="left" vertical="center" wrapText="1"/>
      <protection locked="0"/>
    </xf>
    <xf numFmtId="177" fontId="4" fillId="3" borderId="5" xfId="4" applyNumberFormat="1" applyFont="1" applyFill="1" applyBorder="1" applyAlignment="1" applyProtection="1">
      <alignment horizontal="center" vertical="center"/>
      <protection locked="0"/>
    </xf>
    <xf numFmtId="0" fontId="4" fillId="0" borderId="0" xfId="0" applyFont="1" applyBorder="1" applyAlignment="1" applyProtection="1">
      <alignment horizontal="left" vertical="center" wrapText="1"/>
      <protection locked="0"/>
    </xf>
    <xf numFmtId="0" fontId="6" fillId="0" borderId="0" xfId="0" applyFont="1" applyBorder="1" applyAlignment="1" applyProtection="1">
      <alignment wrapText="1"/>
      <protection locked="0"/>
    </xf>
    <xf numFmtId="0" fontId="4" fillId="0" borderId="0" xfId="0" applyFont="1" applyBorder="1" applyAlignment="1" applyProtection="1">
      <alignment wrapText="1"/>
      <protection locked="0"/>
    </xf>
    <xf numFmtId="0" fontId="4" fillId="0" borderId="0" xfId="4" applyFont="1" applyBorder="1" applyAlignment="1" applyProtection="1">
      <alignment vertical="center"/>
    </xf>
    <xf numFmtId="9" fontId="4" fillId="3" borderId="5" xfId="15" applyNumberFormat="1" applyFont="1" applyFill="1" applyBorder="1" applyAlignment="1" applyProtection="1">
      <alignment horizontal="center" vertical="center"/>
      <protection locked="0"/>
    </xf>
    <xf numFmtId="9" fontId="4" fillId="0" borderId="5" xfId="15" applyNumberFormat="1" applyFont="1" applyFill="1" applyBorder="1" applyAlignment="1" applyProtection="1">
      <alignment horizontal="center" vertical="center"/>
      <protection locked="0"/>
    </xf>
    <xf numFmtId="9" fontId="4" fillId="4" borderId="5" xfId="15" applyNumberFormat="1" applyFont="1" applyFill="1" applyBorder="1" applyAlignment="1" applyProtection="1">
      <alignment horizontal="center" vertical="center"/>
      <protection locked="0"/>
    </xf>
    <xf numFmtId="9" fontId="4" fillId="0" borderId="5" xfId="4" applyNumberFormat="1" applyFont="1" applyBorder="1" applyAlignment="1" applyProtection="1">
      <alignment horizontal="center" vertical="center"/>
      <protection locked="0"/>
    </xf>
    <xf numFmtId="177" fontId="4" fillId="0" borderId="5" xfId="4" applyNumberFormat="1" applyFont="1" applyBorder="1" applyAlignment="1" applyProtection="1">
      <alignment vertical="center" wrapText="1" shrinkToFit="1"/>
      <protection locked="0"/>
    </xf>
    <xf numFmtId="177" fontId="4" fillId="4" borderId="5" xfId="4" applyNumberFormat="1" applyFont="1" applyFill="1" applyBorder="1" applyAlignment="1" applyProtection="1">
      <alignment horizontal="center" vertical="center"/>
      <protection locked="0"/>
    </xf>
    <xf numFmtId="9" fontId="4" fillId="3" borderId="5" xfId="4" applyNumberFormat="1" applyFont="1" applyFill="1" applyBorder="1" applyAlignment="1" applyProtection="1">
      <alignment horizontal="right" vertical="center"/>
      <protection locked="0"/>
    </xf>
    <xf numFmtId="178" fontId="4" fillId="3" borderId="5" xfId="16" applyNumberFormat="1" applyFont="1" applyFill="1" applyBorder="1" applyAlignment="1" applyProtection="1">
      <alignment horizontal="right" vertical="center"/>
      <protection locked="0"/>
    </xf>
    <xf numFmtId="0" fontId="4" fillId="0" borderId="7" xfId="3" applyFont="1" applyFill="1" applyBorder="1" applyAlignment="1" applyProtection="1">
      <alignment vertical="center"/>
      <protection locked="0"/>
    </xf>
    <xf numFmtId="0" fontId="4" fillId="0" borderId="7" xfId="3" applyFont="1" applyBorder="1" applyAlignment="1" applyProtection="1">
      <alignment vertical="center"/>
      <protection locked="0"/>
    </xf>
    <xf numFmtId="0" fontId="4" fillId="0" borderId="7" xfId="0" applyFont="1" applyBorder="1" applyAlignment="1" applyProtection="1">
      <alignment vertical="center"/>
      <protection locked="0"/>
    </xf>
    <xf numFmtId="0" fontId="4" fillId="2" borderId="0" xfId="0" applyFont="1" applyFill="1" applyAlignment="1" applyProtection="1">
      <alignment horizontal="center" vertical="center" wrapText="1"/>
      <protection locked="0"/>
    </xf>
    <xf numFmtId="0" fontId="4" fillId="0" borderId="0" xfId="0" applyFont="1" applyAlignment="1" applyProtection="1">
      <alignment vertical="center" wrapText="1"/>
      <protection locked="0"/>
    </xf>
    <xf numFmtId="0" fontId="4" fillId="5" borderId="0" xfId="0" applyFont="1" applyFill="1" applyAlignment="1" applyProtection="1">
      <alignment horizontal="center" vertical="center" wrapText="1"/>
      <protection locked="0"/>
    </xf>
    <xf numFmtId="176" fontId="7" fillId="0" borderId="0" xfId="1" applyNumberFormat="1" applyFont="1" applyProtection="1">
      <alignment vertical="center"/>
      <protection locked="0"/>
    </xf>
    <xf numFmtId="176" fontId="7" fillId="0" borderId="0" xfId="1" applyNumberFormat="1" applyFont="1" applyAlignment="1" applyProtection="1">
      <alignment horizontal="left" vertical="center"/>
      <protection locked="0"/>
    </xf>
  </cellXfs>
  <cellStyles count="53">
    <cellStyle name="常规" xfId="0" builtinId="0"/>
    <cellStyle name="常规_资本充足率汇总表-0223" xfId="1"/>
    <cellStyle name="常规_G01" xfId="2"/>
    <cellStyle name="常规_G43" xfId="3"/>
    <cellStyle name="常规_测算模板1" xfId="4"/>
    <cellStyle name="40% - 强调文字颜色 6" xfId="5" builtinId="51"/>
    <cellStyle name="20% - 强调文字颜色 6" xfId="6" builtinId="50"/>
    <cellStyle name="强调文字颜色 6" xfId="7" builtinId="49"/>
    <cellStyle name="40% - 强调文字颜色 5" xfId="8" builtinId="47"/>
    <cellStyle name="20% - 强调文字颜色 5" xfId="9" builtinId="46"/>
    <cellStyle name="强调文字颜色 5" xfId="10" builtinId="45"/>
    <cellStyle name="40% - 强调文字颜色 4" xfId="11" builtinId="43"/>
    <cellStyle name="标题 3" xfId="12" builtinId="18"/>
    <cellStyle name="解释性文本" xfId="13" builtinId="53"/>
    <cellStyle name="汇总" xfId="14" builtinId="25"/>
    <cellStyle name="百分比" xfId="15" builtinId="5"/>
    <cellStyle name="千位分隔" xfId="16" builtinId="3"/>
    <cellStyle name="标题 2" xfId="17" builtinId="17"/>
    <cellStyle name="货币[0]" xfId="18" builtinId="7"/>
    <cellStyle name="60% - 强调文字颜色 4" xfId="19" builtinId="44"/>
    <cellStyle name="警告文本" xfId="20" builtinId="11"/>
    <cellStyle name="20% - 强调文字颜色 2" xfId="21" builtinId="34"/>
    <cellStyle name="60% - 强调文字颜色 5" xfId="22" builtinId="48"/>
    <cellStyle name="标题 1" xfId="23" builtinId="16"/>
    <cellStyle name="超链接" xfId="24" builtinId="8"/>
    <cellStyle name="20% - 强调文字颜色 3" xfId="25" builtinId="38"/>
    <cellStyle name="货币" xfId="26" builtinId="4"/>
    <cellStyle name="20% - 强调文字颜色 4" xfId="27" builtinId="42"/>
    <cellStyle name="计算" xfId="28" builtinId="22"/>
    <cellStyle name="已访问的超链接" xfId="29" builtinId="9"/>
    <cellStyle name="千位分隔[0]" xfId="30" builtinId="6"/>
    <cellStyle name="强调文字颜色 4" xfId="31" builtinId="41"/>
    <cellStyle name="40% - 强调文字颜色 3" xfId="32" builtinId="39"/>
    <cellStyle name="60% - 强调文字颜色 6" xfId="33" builtinId="52"/>
    <cellStyle name="输入" xfId="34" builtinId="20"/>
    <cellStyle name="输出" xfId="35" builtinId="21"/>
    <cellStyle name="检查单元格" xfId="36" builtinId="23"/>
    <cellStyle name="链接单元格" xfId="37" builtinId="24"/>
    <cellStyle name="60% - 强调文字颜色 1" xfId="38" builtinId="32"/>
    <cellStyle name="60% - 强调文字颜色 3" xfId="39" builtinId="40"/>
    <cellStyle name="注释" xfId="40" builtinId="10"/>
    <cellStyle name="标题" xfId="41" builtinId="15"/>
    <cellStyle name="好" xfId="42" builtinId="26"/>
    <cellStyle name="标题 4" xfId="43" builtinId="19"/>
    <cellStyle name="强调文字颜色 1" xfId="44" builtinId="29"/>
    <cellStyle name="适中" xfId="45" builtinId="28"/>
    <cellStyle name="20% - 强调文字颜色 1" xfId="46" builtinId="30"/>
    <cellStyle name="差" xfId="47" builtinId="27"/>
    <cellStyle name="强调文字颜色 2" xfId="48" builtinId="33"/>
    <cellStyle name="40% - 强调文字颜色 1" xfId="49" builtinId="31"/>
    <cellStyle name="60% - 强调文字颜色 2" xfId="50" builtinId="36"/>
    <cellStyle name="40% - 强调文字颜色 2" xfId="51" builtinId="35"/>
    <cellStyle name="强调文字颜色 3" xfId="52" builtinId="37"/>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U390"/>
  <sheetViews>
    <sheetView tabSelected="1" zoomScale="107" zoomScaleNormal="107" topLeftCell="A371" workbookViewId="0">
      <selection activeCell="B390" sqref="B390"/>
    </sheetView>
  </sheetViews>
  <sheetFormatPr defaultColWidth="9" defaultRowHeight="21" customHeight="1"/>
  <cols>
    <col min="1" max="1" width="7.46666666666667" style="20" customWidth="1"/>
    <col min="2" max="2" width="38.1666666666667" style="21" customWidth="1"/>
    <col min="3" max="3" width="10.6666666666667" style="20" customWidth="1"/>
    <col min="4" max="4" width="11" style="20" customWidth="1"/>
    <col min="5" max="9" width="10.6666666666667" style="20" customWidth="1"/>
    <col min="10" max="16384" width="9" style="20"/>
  </cols>
  <sheetData>
    <row r="1" customHeight="1" spans="1:9">
      <c r="A1" s="22" t="s">
        <v>0</v>
      </c>
      <c r="B1" s="22"/>
      <c r="C1" s="22"/>
      <c r="D1" s="22"/>
      <c r="E1" s="22"/>
      <c r="F1" s="22"/>
      <c r="G1" s="22"/>
      <c r="H1" s="22"/>
      <c r="I1" s="22"/>
    </row>
    <row r="2" s="14" customFormat="1" customHeight="1" spans="1:17">
      <c r="A2" s="23" t="s">
        <v>1</v>
      </c>
      <c r="B2" s="23"/>
      <c r="C2" s="24" t="s">
        <v>2</v>
      </c>
      <c r="D2" s="24"/>
      <c r="E2" s="24"/>
      <c r="F2" s="40" t="s">
        <v>3</v>
      </c>
      <c r="G2" s="40"/>
      <c r="H2" s="40"/>
      <c r="I2" s="42" t="s">
        <v>4</v>
      </c>
      <c r="J2" s="43"/>
      <c r="K2" s="43"/>
      <c r="L2" s="43"/>
      <c r="M2" s="43"/>
      <c r="N2" s="43"/>
      <c r="O2" s="44"/>
      <c r="P2" s="43"/>
      <c r="Q2" s="43"/>
    </row>
    <row r="3" customHeight="1" spans="1:9">
      <c r="A3" s="25" t="s">
        <v>5</v>
      </c>
      <c r="B3" s="25"/>
      <c r="C3" s="26" t="s">
        <v>6</v>
      </c>
      <c r="D3" s="26" t="s">
        <v>7</v>
      </c>
      <c r="E3" s="26" t="s">
        <v>8</v>
      </c>
      <c r="F3" s="26" t="s">
        <v>9</v>
      </c>
      <c r="G3" s="26" t="s">
        <v>10</v>
      </c>
      <c r="H3" s="26" t="s">
        <v>11</v>
      </c>
      <c r="I3" s="26" t="s">
        <v>12</v>
      </c>
    </row>
    <row r="4" s="15" customFormat="1" customHeight="1" spans="1:9">
      <c r="A4" s="25"/>
      <c r="B4" s="25"/>
      <c r="C4" s="27" t="s">
        <v>13</v>
      </c>
      <c r="D4" s="27" t="s">
        <v>14</v>
      </c>
      <c r="E4" s="27" t="s">
        <v>15</v>
      </c>
      <c r="F4" s="27" t="s">
        <v>16</v>
      </c>
      <c r="G4" s="27" t="s">
        <v>17</v>
      </c>
      <c r="H4" s="27" t="s">
        <v>18</v>
      </c>
      <c r="I4" s="27" t="s">
        <v>19</v>
      </c>
    </row>
    <row r="5" s="15" customFormat="1" customHeight="1" spans="1:9">
      <c r="A5" s="25"/>
      <c r="B5" s="25"/>
      <c r="C5" s="27"/>
      <c r="D5" s="27"/>
      <c r="E5" s="27"/>
      <c r="F5" s="27"/>
      <c r="G5" s="27"/>
      <c r="H5" s="27"/>
      <c r="I5" s="27"/>
    </row>
    <row r="6" customHeight="1" spans="1:255">
      <c r="A6" s="25">
        <v>1</v>
      </c>
      <c r="B6" s="28" t="s">
        <v>20</v>
      </c>
      <c r="C6" s="29">
        <f>C7+C21+C35</f>
        <v>0</v>
      </c>
      <c r="D6" s="30"/>
      <c r="E6" s="29">
        <f>E7+E21+E35</f>
        <v>0</v>
      </c>
      <c r="F6" s="29">
        <f>F7+F21+F35</f>
        <v>0</v>
      </c>
      <c r="G6" s="29">
        <f>G7+G21+G35</f>
        <v>0</v>
      </c>
      <c r="H6" s="41"/>
      <c r="I6" s="29">
        <f>I7+I21+I35</f>
        <v>0</v>
      </c>
      <c r="IU6" s="45">
        <f>SUM(A6:IT6)</f>
        <v>1</v>
      </c>
    </row>
    <row r="7" customHeight="1" spans="1:12">
      <c r="A7" s="25">
        <v>2</v>
      </c>
      <c r="B7" s="28" t="s">
        <v>21</v>
      </c>
      <c r="C7" s="29">
        <f>SUM(C8:C20)</f>
        <v>0</v>
      </c>
      <c r="D7" s="30"/>
      <c r="E7" s="29">
        <f>SUM(E8:E20)</f>
        <v>0</v>
      </c>
      <c r="F7" s="29">
        <f>SUM(F8:F20)</f>
        <v>0</v>
      </c>
      <c r="G7" s="29">
        <f>SUM(G8:G20)</f>
        <v>0</v>
      </c>
      <c r="H7" s="41"/>
      <c r="I7" s="29">
        <f>SUM(I8:I20)</f>
        <v>0</v>
      </c>
      <c r="L7" s="16"/>
    </row>
    <row r="8" s="16" customFormat="1" customHeight="1" spans="1:9">
      <c r="A8" s="25">
        <v>3</v>
      </c>
      <c r="B8" s="31" t="s">
        <v>22</v>
      </c>
      <c r="C8" s="32"/>
      <c r="D8" s="33">
        <v>1</v>
      </c>
      <c r="E8" s="37">
        <f t="shared" ref="E8:E20" si="0">C8*D8</f>
        <v>0</v>
      </c>
      <c r="F8" s="32"/>
      <c r="G8" s="29">
        <f t="shared" ref="G8:G20" si="1">E8-F8</f>
        <v>0</v>
      </c>
      <c r="H8" s="33">
        <v>0</v>
      </c>
      <c r="I8" s="29">
        <f t="shared" ref="I8:I19" si="2">G8*H8</f>
        <v>0</v>
      </c>
    </row>
    <row r="9" s="16" customFormat="1" customHeight="1" spans="1:9">
      <c r="A9" s="25">
        <v>4</v>
      </c>
      <c r="B9" s="31" t="s">
        <v>23</v>
      </c>
      <c r="C9" s="32"/>
      <c r="D9" s="33">
        <v>1</v>
      </c>
      <c r="E9" s="37">
        <f t="shared" si="0"/>
        <v>0</v>
      </c>
      <c r="F9" s="32"/>
      <c r="G9" s="29">
        <f t="shared" si="1"/>
        <v>0</v>
      </c>
      <c r="H9" s="33">
        <v>0.1</v>
      </c>
      <c r="I9" s="29">
        <f t="shared" si="2"/>
        <v>0</v>
      </c>
    </row>
    <row r="10" s="16" customFormat="1" customHeight="1" spans="1:9">
      <c r="A10" s="25">
        <v>5</v>
      </c>
      <c r="B10" s="31" t="s">
        <v>24</v>
      </c>
      <c r="C10" s="32"/>
      <c r="D10" s="33">
        <v>1</v>
      </c>
      <c r="E10" s="37">
        <f t="shared" si="0"/>
        <v>0</v>
      </c>
      <c r="F10" s="32"/>
      <c r="G10" s="29">
        <f t="shared" si="1"/>
        <v>0</v>
      </c>
      <c r="H10" s="33">
        <v>0.2</v>
      </c>
      <c r="I10" s="29">
        <f t="shared" si="2"/>
        <v>0</v>
      </c>
    </row>
    <row r="11" s="16" customFormat="1" customHeight="1" spans="1:9">
      <c r="A11" s="25">
        <v>6</v>
      </c>
      <c r="B11" s="31" t="s">
        <v>25</v>
      </c>
      <c r="C11" s="32"/>
      <c r="D11" s="33">
        <v>1</v>
      </c>
      <c r="E11" s="37">
        <f t="shared" si="0"/>
        <v>0</v>
      </c>
      <c r="F11" s="32"/>
      <c r="G11" s="29">
        <f t="shared" si="1"/>
        <v>0</v>
      </c>
      <c r="H11" s="33">
        <v>0.3</v>
      </c>
      <c r="I11" s="29">
        <f t="shared" si="2"/>
        <v>0</v>
      </c>
    </row>
    <row r="12" s="16" customFormat="1" customHeight="1" spans="1:9">
      <c r="A12" s="25">
        <v>7</v>
      </c>
      <c r="B12" s="31" t="s">
        <v>26</v>
      </c>
      <c r="C12" s="32"/>
      <c r="D12" s="33">
        <v>1</v>
      </c>
      <c r="E12" s="37">
        <f t="shared" si="0"/>
        <v>0</v>
      </c>
      <c r="F12" s="32"/>
      <c r="G12" s="29">
        <f t="shared" si="1"/>
        <v>0</v>
      </c>
      <c r="H12" s="33">
        <v>0.4</v>
      </c>
      <c r="I12" s="29">
        <f t="shared" si="2"/>
        <v>0</v>
      </c>
    </row>
    <row r="13" s="16" customFormat="1" customHeight="1" spans="1:9">
      <c r="A13" s="25">
        <v>8</v>
      </c>
      <c r="B13" s="31" t="s">
        <v>27</v>
      </c>
      <c r="C13" s="32"/>
      <c r="D13" s="33">
        <v>1</v>
      </c>
      <c r="E13" s="37">
        <f t="shared" si="0"/>
        <v>0</v>
      </c>
      <c r="F13" s="32"/>
      <c r="G13" s="29">
        <f t="shared" si="1"/>
        <v>0</v>
      </c>
      <c r="H13" s="33">
        <v>0.45</v>
      </c>
      <c r="I13" s="29">
        <f t="shared" si="2"/>
        <v>0</v>
      </c>
    </row>
    <row r="14" s="16" customFormat="1" customHeight="1" spans="1:9">
      <c r="A14" s="25">
        <v>9</v>
      </c>
      <c r="B14" s="31" t="s">
        <v>28</v>
      </c>
      <c r="C14" s="32"/>
      <c r="D14" s="33">
        <v>1</v>
      </c>
      <c r="E14" s="37">
        <f t="shared" si="0"/>
        <v>0</v>
      </c>
      <c r="F14" s="32"/>
      <c r="G14" s="29">
        <f t="shared" si="1"/>
        <v>0</v>
      </c>
      <c r="H14" s="33">
        <v>0.5</v>
      </c>
      <c r="I14" s="29">
        <f t="shared" si="2"/>
        <v>0</v>
      </c>
    </row>
    <row r="15" s="16" customFormat="1" customHeight="1" spans="1:9">
      <c r="A15" s="25">
        <v>10</v>
      </c>
      <c r="B15" s="31" t="s">
        <v>29</v>
      </c>
      <c r="C15" s="32"/>
      <c r="D15" s="33">
        <v>1</v>
      </c>
      <c r="E15" s="37">
        <f t="shared" si="0"/>
        <v>0</v>
      </c>
      <c r="F15" s="32"/>
      <c r="G15" s="29">
        <f t="shared" si="1"/>
        <v>0</v>
      </c>
      <c r="H15" s="33">
        <v>0.6</v>
      </c>
      <c r="I15" s="29">
        <f t="shared" si="2"/>
        <v>0</v>
      </c>
    </row>
    <row r="16" s="16" customFormat="1" customHeight="1" spans="1:9">
      <c r="A16" s="25">
        <v>11</v>
      </c>
      <c r="B16" s="31" t="s">
        <v>30</v>
      </c>
      <c r="C16" s="32"/>
      <c r="D16" s="33">
        <v>1</v>
      </c>
      <c r="E16" s="37">
        <f t="shared" si="0"/>
        <v>0</v>
      </c>
      <c r="F16" s="32"/>
      <c r="G16" s="29">
        <f t="shared" si="1"/>
        <v>0</v>
      </c>
      <c r="H16" s="33">
        <v>0.75</v>
      </c>
      <c r="I16" s="29">
        <f t="shared" si="2"/>
        <v>0</v>
      </c>
    </row>
    <row r="17" s="16" customFormat="1" customHeight="1" spans="1:9">
      <c r="A17" s="25">
        <v>12</v>
      </c>
      <c r="B17" s="31" t="s">
        <v>31</v>
      </c>
      <c r="C17" s="32"/>
      <c r="D17" s="33">
        <v>1</v>
      </c>
      <c r="E17" s="37">
        <f t="shared" si="0"/>
        <v>0</v>
      </c>
      <c r="F17" s="32"/>
      <c r="G17" s="29">
        <f t="shared" si="1"/>
        <v>0</v>
      </c>
      <c r="H17" s="33">
        <v>0.85</v>
      </c>
      <c r="I17" s="29">
        <f t="shared" si="2"/>
        <v>0</v>
      </c>
    </row>
    <row r="18" s="16" customFormat="1" customHeight="1" spans="1:9">
      <c r="A18" s="25">
        <v>13</v>
      </c>
      <c r="B18" s="31" t="s">
        <v>32</v>
      </c>
      <c r="C18" s="32"/>
      <c r="D18" s="33">
        <v>1</v>
      </c>
      <c r="E18" s="37">
        <f t="shared" si="0"/>
        <v>0</v>
      </c>
      <c r="F18" s="32"/>
      <c r="G18" s="29">
        <f t="shared" si="1"/>
        <v>0</v>
      </c>
      <c r="H18" s="33">
        <v>1</v>
      </c>
      <c r="I18" s="29">
        <f t="shared" si="2"/>
        <v>0</v>
      </c>
    </row>
    <row r="19" s="16" customFormat="1" customHeight="1" spans="1:9">
      <c r="A19" s="25">
        <v>14</v>
      </c>
      <c r="B19" s="31" t="s">
        <v>33</v>
      </c>
      <c r="C19" s="32"/>
      <c r="D19" s="33">
        <v>1</v>
      </c>
      <c r="E19" s="37">
        <f t="shared" si="0"/>
        <v>0</v>
      </c>
      <c r="F19" s="32"/>
      <c r="G19" s="29">
        <f t="shared" si="1"/>
        <v>0</v>
      </c>
      <c r="H19" s="33">
        <v>1.5</v>
      </c>
      <c r="I19" s="29">
        <f t="shared" si="2"/>
        <v>0</v>
      </c>
    </row>
    <row r="20" s="17" customFormat="1" customHeight="1" spans="1:9">
      <c r="A20" s="25">
        <v>15</v>
      </c>
      <c r="B20" s="31" t="s">
        <v>34</v>
      </c>
      <c r="C20" s="32"/>
      <c r="D20" s="33">
        <v>1</v>
      </c>
      <c r="E20" s="37">
        <f t="shared" si="0"/>
        <v>0</v>
      </c>
      <c r="F20" s="32"/>
      <c r="G20" s="29">
        <f t="shared" si="1"/>
        <v>0</v>
      </c>
      <c r="H20" s="41"/>
      <c r="I20" s="32"/>
    </row>
    <row r="21" customHeight="1" spans="1:9">
      <c r="A21" s="25">
        <v>16</v>
      </c>
      <c r="B21" s="34" t="s">
        <v>35</v>
      </c>
      <c r="C21" s="29">
        <f>SUM(C22:C34)</f>
        <v>0</v>
      </c>
      <c r="D21" s="30"/>
      <c r="E21" s="29">
        <f>SUM(E22:E34)</f>
        <v>0</v>
      </c>
      <c r="F21" s="29">
        <f>SUM(F22:F34)</f>
        <v>0</v>
      </c>
      <c r="G21" s="29">
        <f>SUM(G22:G34)</f>
        <v>0</v>
      </c>
      <c r="H21" s="41"/>
      <c r="I21" s="29">
        <f>SUM(I22:I34)</f>
        <v>0</v>
      </c>
    </row>
    <row r="22" s="16" customFormat="1" customHeight="1" spans="1:9">
      <c r="A22" s="25">
        <v>17</v>
      </c>
      <c r="B22" s="31" t="s">
        <v>36</v>
      </c>
      <c r="C22" s="32"/>
      <c r="D22" s="33">
        <v>1</v>
      </c>
      <c r="E22" s="37">
        <f t="shared" ref="E22:E34" si="3">C22*D22</f>
        <v>0</v>
      </c>
      <c r="F22" s="32"/>
      <c r="G22" s="29">
        <f t="shared" ref="G22:G34" si="4">E22-F22</f>
        <v>0</v>
      </c>
      <c r="H22" s="33">
        <v>0</v>
      </c>
      <c r="I22" s="29">
        <f t="shared" ref="I22:I33" si="5">G22*H22</f>
        <v>0</v>
      </c>
    </row>
    <row r="23" s="16" customFormat="1" customHeight="1" spans="1:9">
      <c r="A23" s="25">
        <v>18</v>
      </c>
      <c r="B23" s="31" t="s">
        <v>37</v>
      </c>
      <c r="C23" s="32"/>
      <c r="D23" s="33">
        <v>1</v>
      </c>
      <c r="E23" s="37">
        <f t="shared" si="3"/>
        <v>0</v>
      </c>
      <c r="F23" s="32"/>
      <c r="G23" s="29">
        <f t="shared" si="4"/>
        <v>0</v>
      </c>
      <c r="H23" s="33">
        <v>0.1</v>
      </c>
      <c r="I23" s="29">
        <f t="shared" si="5"/>
        <v>0</v>
      </c>
    </row>
    <row r="24" s="16" customFormat="1" customHeight="1" spans="1:9">
      <c r="A24" s="25">
        <v>19</v>
      </c>
      <c r="B24" s="31" t="s">
        <v>38</v>
      </c>
      <c r="C24" s="32"/>
      <c r="D24" s="33">
        <v>1</v>
      </c>
      <c r="E24" s="37">
        <f t="shared" si="3"/>
        <v>0</v>
      </c>
      <c r="F24" s="32"/>
      <c r="G24" s="29">
        <f t="shared" si="4"/>
        <v>0</v>
      </c>
      <c r="H24" s="33">
        <v>0.2</v>
      </c>
      <c r="I24" s="29">
        <f t="shared" si="5"/>
        <v>0</v>
      </c>
    </row>
    <row r="25" s="16" customFormat="1" customHeight="1" spans="1:9">
      <c r="A25" s="25">
        <v>20</v>
      </c>
      <c r="B25" s="31" t="s">
        <v>39</v>
      </c>
      <c r="C25" s="32"/>
      <c r="D25" s="33">
        <v>1</v>
      </c>
      <c r="E25" s="37">
        <f t="shared" si="3"/>
        <v>0</v>
      </c>
      <c r="F25" s="32"/>
      <c r="G25" s="29">
        <f t="shared" si="4"/>
        <v>0</v>
      </c>
      <c r="H25" s="33">
        <v>0.3</v>
      </c>
      <c r="I25" s="29">
        <f t="shared" si="5"/>
        <v>0</v>
      </c>
    </row>
    <row r="26" s="16" customFormat="1" customHeight="1" spans="1:9">
      <c r="A26" s="25">
        <v>21</v>
      </c>
      <c r="B26" s="31" t="s">
        <v>40</v>
      </c>
      <c r="C26" s="32"/>
      <c r="D26" s="33">
        <v>1</v>
      </c>
      <c r="E26" s="37">
        <f t="shared" si="3"/>
        <v>0</v>
      </c>
      <c r="F26" s="32"/>
      <c r="G26" s="29">
        <f t="shared" si="4"/>
        <v>0</v>
      </c>
      <c r="H26" s="33">
        <v>0.4</v>
      </c>
      <c r="I26" s="29">
        <f t="shared" si="5"/>
        <v>0</v>
      </c>
    </row>
    <row r="27" s="16" customFormat="1" customHeight="1" spans="1:9">
      <c r="A27" s="25">
        <v>22</v>
      </c>
      <c r="B27" s="31" t="s">
        <v>41</v>
      </c>
      <c r="C27" s="32"/>
      <c r="D27" s="33">
        <v>1</v>
      </c>
      <c r="E27" s="37">
        <f t="shared" si="3"/>
        <v>0</v>
      </c>
      <c r="F27" s="32"/>
      <c r="G27" s="29">
        <f t="shared" si="4"/>
        <v>0</v>
      </c>
      <c r="H27" s="33">
        <v>0.45</v>
      </c>
      <c r="I27" s="29">
        <f t="shared" si="5"/>
        <v>0</v>
      </c>
    </row>
    <row r="28" s="16" customFormat="1" customHeight="1" spans="1:9">
      <c r="A28" s="25">
        <v>23</v>
      </c>
      <c r="B28" s="31" t="s">
        <v>42</v>
      </c>
      <c r="C28" s="32"/>
      <c r="D28" s="33">
        <v>1</v>
      </c>
      <c r="E28" s="37">
        <f t="shared" si="3"/>
        <v>0</v>
      </c>
      <c r="F28" s="32"/>
      <c r="G28" s="29">
        <f t="shared" si="4"/>
        <v>0</v>
      </c>
      <c r="H28" s="33">
        <v>0.5</v>
      </c>
      <c r="I28" s="29">
        <f t="shared" si="5"/>
        <v>0</v>
      </c>
    </row>
    <row r="29" s="16" customFormat="1" customHeight="1" spans="1:9">
      <c r="A29" s="25">
        <v>24</v>
      </c>
      <c r="B29" s="31" t="s">
        <v>43</v>
      </c>
      <c r="C29" s="32"/>
      <c r="D29" s="33">
        <v>1</v>
      </c>
      <c r="E29" s="37">
        <f t="shared" si="3"/>
        <v>0</v>
      </c>
      <c r="F29" s="32"/>
      <c r="G29" s="29">
        <f t="shared" si="4"/>
        <v>0</v>
      </c>
      <c r="H29" s="33">
        <v>0.6</v>
      </c>
      <c r="I29" s="29">
        <f t="shared" si="5"/>
        <v>0</v>
      </c>
    </row>
    <row r="30" s="16" customFormat="1" customHeight="1" spans="1:9">
      <c r="A30" s="25">
        <v>25</v>
      </c>
      <c r="B30" s="31" t="s">
        <v>44</v>
      </c>
      <c r="C30" s="32"/>
      <c r="D30" s="33">
        <v>1</v>
      </c>
      <c r="E30" s="37">
        <f t="shared" si="3"/>
        <v>0</v>
      </c>
      <c r="F30" s="32"/>
      <c r="G30" s="29">
        <f t="shared" si="4"/>
        <v>0</v>
      </c>
      <c r="H30" s="33">
        <v>0.75</v>
      </c>
      <c r="I30" s="29">
        <f t="shared" si="5"/>
        <v>0</v>
      </c>
    </row>
    <row r="31" s="16" customFormat="1" customHeight="1" spans="1:9">
      <c r="A31" s="25">
        <v>26</v>
      </c>
      <c r="B31" s="31" t="s">
        <v>45</v>
      </c>
      <c r="C31" s="32"/>
      <c r="D31" s="33">
        <v>1</v>
      </c>
      <c r="E31" s="37">
        <f t="shared" si="3"/>
        <v>0</v>
      </c>
      <c r="F31" s="32"/>
      <c r="G31" s="29">
        <f t="shared" si="4"/>
        <v>0</v>
      </c>
      <c r="H31" s="33">
        <v>0.85</v>
      </c>
      <c r="I31" s="29">
        <f t="shared" si="5"/>
        <v>0</v>
      </c>
    </row>
    <row r="32" s="16" customFormat="1" customHeight="1" spans="1:9">
      <c r="A32" s="25">
        <v>27</v>
      </c>
      <c r="B32" s="31" t="s">
        <v>46</v>
      </c>
      <c r="C32" s="32"/>
      <c r="D32" s="33">
        <v>1</v>
      </c>
      <c r="E32" s="37">
        <f t="shared" si="3"/>
        <v>0</v>
      </c>
      <c r="F32" s="32"/>
      <c r="G32" s="29">
        <f t="shared" si="4"/>
        <v>0</v>
      </c>
      <c r="H32" s="33">
        <v>1</v>
      </c>
      <c r="I32" s="29">
        <f t="shared" si="5"/>
        <v>0</v>
      </c>
    </row>
    <row r="33" s="16" customFormat="1" customHeight="1" spans="1:9">
      <c r="A33" s="25">
        <v>28</v>
      </c>
      <c r="B33" s="31" t="s">
        <v>47</v>
      </c>
      <c r="C33" s="32"/>
      <c r="D33" s="33">
        <v>1</v>
      </c>
      <c r="E33" s="37">
        <f t="shared" si="3"/>
        <v>0</v>
      </c>
      <c r="F33" s="32"/>
      <c r="G33" s="29">
        <f t="shared" si="4"/>
        <v>0</v>
      </c>
      <c r="H33" s="33">
        <v>1.5</v>
      </c>
      <c r="I33" s="29">
        <f t="shared" si="5"/>
        <v>0</v>
      </c>
    </row>
    <row r="34" s="16" customFormat="1" customHeight="1" spans="1:9">
      <c r="A34" s="25">
        <v>29</v>
      </c>
      <c r="B34" s="31" t="s">
        <v>48</v>
      </c>
      <c r="C34" s="32"/>
      <c r="D34" s="33">
        <v>1</v>
      </c>
      <c r="E34" s="37">
        <f t="shared" si="3"/>
        <v>0</v>
      </c>
      <c r="F34" s="32"/>
      <c r="G34" s="29">
        <f t="shared" si="4"/>
        <v>0</v>
      </c>
      <c r="H34" s="38"/>
      <c r="I34" s="32"/>
    </row>
    <row r="35" s="16" customFormat="1" customHeight="1" spans="1:9">
      <c r="A35" s="35">
        <v>30</v>
      </c>
      <c r="B35" s="36" t="s">
        <v>49</v>
      </c>
      <c r="C35" s="37">
        <f t="shared" ref="C35:G35" si="6">SUM(C36:C48)</f>
        <v>0</v>
      </c>
      <c r="D35" s="38"/>
      <c r="E35" s="37">
        <f t="shared" si="6"/>
        <v>0</v>
      </c>
      <c r="F35" s="37">
        <f t="shared" si="6"/>
        <v>0</v>
      </c>
      <c r="G35" s="37">
        <f t="shared" si="6"/>
        <v>0</v>
      </c>
      <c r="H35" s="38"/>
      <c r="I35" s="37">
        <f>SUM(I36:I48)</f>
        <v>0</v>
      </c>
    </row>
    <row r="36" customHeight="1" spans="1:9">
      <c r="A36" s="25">
        <v>31</v>
      </c>
      <c r="B36" s="31" t="s">
        <v>50</v>
      </c>
      <c r="C36" s="39"/>
      <c r="D36" s="33">
        <v>1</v>
      </c>
      <c r="E36" s="37">
        <f>C36*D36</f>
        <v>0</v>
      </c>
      <c r="F36" s="39"/>
      <c r="G36" s="29">
        <f t="shared" ref="G36:G43" si="7">E36-F36</f>
        <v>0</v>
      </c>
      <c r="H36" s="33">
        <v>0</v>
      </c>
      <c r="I36" s="29">
        <f t="shared" ref="I36:I45" si="8">G36*H36</f>
        <v>0</v>
      </c>
    </row>
    <row r="37" customHeight="1" spans="1:9">
      <c r="A37" s="25">
        <v>32</v>
      </c>
      <c r="B37" s="31" t="s">
        <v>51</v>
      </c>
      <c r="C37" s="39"/>
      <c r="D37" s="33">
        <v>1</v>
      </c>
      <c r="E37" s="37">
        <f t="shared" ref="E36:E44" si="9">C37*D37</f>
        <v>0</v>
      </c>
      <c r="F37" s="39"/>
      <c r="G37" s="29">
        <f t="shared" si="7"/>
        <v>0</v>
      </c>
      <c r="H37" s="33">
        <v>0.1</v>
      </c>
      <c r="I37" s="29">
        <f t="shared" si="8"/>
        <v>0</v>
      </c>
    </row>
    <row r="38" customHeight="1" spans="1:9">
      <c r="A38" s="25">
        <v>33</v>
      </c>
      <c r="B38" s="31" t="s">
        <v>52</v>
      </c>
      <c r="C38" s="39"/>
      <c r="D38" s="33">
        <v>1</v>
      </c>
      <c r="E38" s="37">
        <f t="shared" si="9"/>
        <v>0</v>
      </c>
      <c r="F38" s="39"/>
      <c r="G38" s="29">
        <f t="shared" si="7"/>
        <v>0</v>
      </c>
      <c r="H38" s="33">
        <v>0.2</v>
      </c>
      <c r="I38" s="29">
        <f t="shared" si="8"/>
        <v>0</v>
      </c>
    </row>
    <row r="39" customHeight="1" spans="1:9">
      <c r="A39" s="25">
        <v>34</v>
      </c>
      <c r="B39" s="31" t="s">
        <v>53</v>
      </c>
      <c r="C39" s="39"/>
      <c r="D39" s="33">
        <v>1</v>
      </c>
      <c r="E39" s="37">
        <f t="shared" si="9"/>
        <v>0</v>
      </c>
      <c r="F39" s="39"/>
      <c r="G39" s="29">
        <f t="shared" si="7"/>
        <v>0</v>
      </c>
      <c r="H39" s="33">
        <v>0.3</v>
      </c>
      <c r="I39" s="29">
        <f t="shared" si="8"/>
        <v>0</v>
      </c>
    </row>
    <row r="40" customHeight="1" spans="1:9">
      <c r="A40" s="25">
        <v>35</v>
      </c>
      <c r="B40" s="31" t="s">
        <v>54</v>
      </c>
      <c r="C40" s="39"/>
      <c r="D40" s="33">
        <v>1</v>
      </c>
      <c r="E40" s="37">
        <f t="shared" si="9"/>
        <v>0</v>
      </c>
      <c r="F40" s="39"/>
      <c r="G40" s="29">
        <f t="shared" si="7"/>
        <v>0</v>
      </c>
      <c r="H40" s="33">
        <v>0.4</v>
      </c>
      <c r="I40" s="29">
        <f t="shared" si="8"/>
        <v>0</v>
      </c>
    </row>
    <row r="41" customHeight="1" spans="1:9">
      <c r="A41" s="25">
        <v>36</v>
      </c>
      <c r="B41" s="31" t="s">
        <v>55</v>
      </c>
      <c r="C41" s="39"/>
      <c r="D41" s="33">
        <v>1</v>
      </c>
      <c r="E41" s="37">
        <f t="shared" si="9"/>
        <v>0</v>
      </c>
      <c r="F41" s="39"/>
      <c r="G41" s="29">
        <f t="shared" si="7"/>
        <v>0</v>
      </c>
      <c r="H41" s="33">
        <v>0.45</v>
      </c>
      <c r="I41" s="29">
        <f t="shared" si="8"/>
        <v>0</v>
      </c>
    </row>
    <row r="42" customHeight="1" spans="1:9">
      <c r="A42" s="25">
        <v>37</v>
      </c>
      <c r="B42" s="31" t="s">
        <v>56</v>
      </c>
      <c r="C42" s="39"/>
      <c r="D42" s="33">
        <v>1</v>
      </c>
      <c r="E42" s="37">
        <f t="shared" si="9"/>
        <v>0</v>
      </c>
      <c r="F42" s="39"/>
      <c r="G42" s="29">
        <f t="shared" si="7"/>
        <v>0</v>
      </c>
      <c r="H42" s="33">
        <v>0.5</v>
      </c>
      <c r="I42" s="29">
        <f t="shared" si="8"/>
        <v>0</v>
      </c>
    </row>
    <row r="43" s="16" customFormat="1" customHeight="1" spans="1:9">
      <c r="A43" s="25">
        <v>38</v>
      </c>
      <c r="B43" s="31" t="s">
        <v>57</v>
      </c>
      <c r="C43" s="32"/>
      <c r="D43" s="33">
        <v>1</v>
      </c>
      <c r="E43" s="37">
        <f t="shared" si="9"/>
        <v>0</v>
      </c>
      <c r="F43" s="32"/>
      <c r="G43" s="29">
        <f t="shared" si="7"/>
        <v>0</v>
      </c>
      <c r="H43" s="33">
        <v>0.6</v>
      </c>
      <c r="I43" s="29">
        <f t="shared" si="8"/>
        <v>0</v>
      </c>
    </row>
    <row r="44" s="16" customFormat="1" customHeight="1" spans="1:9">
      <c r="A44" s="25">
        <v>39</v>
      </c>
      <c r="B44" s="31" t="s">
        <v>58</v>
      </c>
      <c r="C44" s="32"/>
      <c r="D44" s="33">
        <v>1</v>
      </c>
      <c r="E44" s="37">
        <f t="shared" si="9"/>
        <v>0</v>
      </c>
      <c r="F44" s="32"/>
      <c r="G44" s="29">
        <f t="shared" ref="G44:G48" si="10">E44-F44</f>
        <v>0</v>
      </c>
      <c r="H44" s="33">
        <v>0.75</v>
      </c>
      <c r="I44" s="29">
        <f t="shared" si="8"/>
        <v>0</v>
      </c>
    </row>
    <row r="45" s="16" customFormat="1" customHeight="1" spans="1:9">
      <c r="A45" s="25">
        <v>40</v>
      </c>
      <c r="B45" s="31" t="s">
        <v>59</v>
      </c>
      <c r="C45" s="32"/>
      <c r="D45" s="33">
        <v>1</v>
      </c>
      <c r="E45" s="37">
        <f t="shared" ref="E45:E48" si="11">C45*D45</f>
        <v>0</v>
      </c>
      <c r="F45" s="32"/>
      <c r="G45" s="29">
        <f t="shared" si="10"/>
        <v>0</v>
      </c>
      <c r="H45" s="33">
        <v>0.85</v>
      </c>
      <c r="I45" s="29">
        <f t="shared" si="8"/>
        <v>0</v>
      </c>
    </row>
    <row r="46" s="16" customFormat="1" customHeight="1" spans="1:9">
      <c r="A46" s="25">
        <v>41</v>
      </c>
      <c r="B46" s="31" t="s">
        <v>60</v>
      </c>
      <c r="C46" s="32"/>
      <c r="D46" s="33">
        <v>1</v>
      </c>
      <c r="E46" s="37">
        <f t="shared" si="11"/>
        <v>0</v>
      </c>
      <c r="F46" s="32"/>
      <c r="G46" s="29">
        <f t="shared" si="10"/>
        <v>0</v>
      </c>
      <c r="H46" s="33">
        <v>1</v>
      </c>
      <c r="I46" s="29">
        <f t="shared" ref="I46:I47" si="12">G46*H46</f>
        <v>0</v>
      </c>
    </row>
    <row r="47" s="16" customFormat="1" customHeight="1" spans="1:9">
      <c r="A47" s="25">
        <v>42</v>
      </c>
      <c r="B47" s="31" t="s">
        <v>61</v>
      </c>
      <c r="C47" s="32"/>
      <c r="D47" s="33">
        <v>1</v>
      </c>
      <c r="E47" s="37">
        <f t="shared" si="11"/>
        <v>0</v>
      </c>
      <c r="F47" s="32"/>
      <c r="G47" s="29">
        <f t="shared" si="10"/>
        <v>0</v>
      </c>
      <c r="H47" s="33">
        <v>1.5</v>
      </c>
      <c r="I47" s="29">
        <f t="shared" si="12"/>
        <v>0</v>
      </c>
    </row>
    <row r="48" s="17" customFormat="1" customHeight="1" spans="1:9">
      <c r="A48" s="25">
        <v>43</v>
      </c>
      <c r="B48" s="31" t="s">
        <v>62</v>
      </c>
      <c r="C48" s="32"/>
      <c r="D48" s="33">
        <v>1</v>
      </c>
      <c r="E48" s="37">
        <f t="shared" si="11"/>
        <v>0</v>
      </c>
      <c r="F48" s="32"/>
      <c r="G48" s="29">
        <f t="shared" si="10"/>
        <v>0</v>
      </c>
      <c r="H48" s="38"/>
      <c r="I48" s="32"/>
    </row>
    <row r="49" customHeight="1" spans="1:9">
      <c r="A49" s="25">
        <v>44</v>
      </c>
      <c r="B49" s="28" t="s">
        <v>63</v>
      </c>
      <c r="C49" s="29">
        <f>C50+C64</f>
        <v>0</v>
      </c>
      <c r="D49" s="30"/>
      <c r="E49" s="29">
        <f>E50+E64</f>
        <v>0</v>
      </c>
      <c r="F49" s="29">
        <f>F50+F64</f>
        <v>0</v>
      </c>
      <c r="G49" s="29">
        <f>G50+G64</f>
        <v>0</v>
      </c>
      <c r="H49" s="41"/>
      <c r="I49" s="29">
        <f>I50+I64</f>
        <v>0</v>
      </c>
    </row>
    <row r="50" customHeight="1" spans="1:9">
      <c r="A50" s="25">
        <v>45</v>
      </c>
      <c r="B50" s="28" t="s">
        <v>64</v>
      </c>
      <c r="C50" s="29">
        <f>SUM(C51:C63)</f>
        <v>0</v>
      </c>
      <c r="D50" s="30"/>
      <c r="E50" s="29">
        <f>SUM(E51:E63)</f>
        <v>0</v>
      </c>
      <c r="F50" s="29">
        <f>SUM(F51:F63)</f>
        <v>0</v>
      </c>
      <c r="G50" s="29">
        <f>SUM(G51:G63)</f>
        <v>0</v>
      </c>
      <c r="H50" s="41"/>
      <c r="I50" s="29">
        <f>SUM(I51:I63)</f>
        <v>0</v>
      </c>
    </row>
    <row r="51" s="16" customFormat="1" customHeight="1" spans="1:9">
      <c r="A51" s="25">
        <v>46</v>
      </c>
      <c r="B51" s="31" t="s">
        <v>65</v>
      </c>
      <c r="C51" s="32"/>
      <c r="D51" s="33">
        <v>0.5</v>
      </c>
      <c r="E51" s="37">
        <f t="shared" ref="E51:E63" si="13">C51*D51</f>
        <v>0</v>
      </c>
      <c r="F51" s="32"/>
      <c r="G51" s="29">
        <f t="shared" ref="G51:G63" si="14">E51-F51</f>
        <v>0</v>
      </c>
      <c r="H51" s="33">
        <v>0</v>
      </c>
      <c r="I51" s="29">
        <f t="shared" ref="I51:I62" si="15">G51*H51</f>
        <v>0</v>
      </c>
    </row>
    <row r="52" s="16" customFormat="1" customHeight="1" spans="1:9">
      <c r="A52" s="25">
        <v>47</v>
      </c>
      <c r="B52" s="31" t="s">
        <v>66</v>
      </c>
      <c r="C52" s="32"/>
      <c r="D52" s="33">
        <v>0.5</v>
      </c>
      <c r="E52" s="37">
        <f t="shared" si="13"/>
        <v>0</v>
      </c>
      <c r="F52" s="32"/>
      <c r="G52" s="29">
        <f t="shared" si="14"/>
        <v>0</v>
      </c>
      <c r="H52" s="33">
        <v>0.1</v>
      </c>
      <c r="I52" s="29">
        <f t="shared" si="15"/>
        <v>0</v>
      </c>
    </row>
    <row r="53" s="16" customFormat="1" customHeight="1" spans="1:9">
      <c r="A53" s="25">
        <v>48</v>
      </c>
      <c r="B53" s="31" t="s">
        <v>67</v>
      </c>
      <c r="C53" s="32"/>
      <c r="D53" s="33">
        <v>0.5</v>
      </c>
      <c r="E53" s="37">
        <f t="shared" si="13"/>
        <v>0</v>
      </c>
      <c r="F53" s="32"/>
      <c r="G53" s="29">
        <f t="shared" si="14"/>
        <v>0</v>
      </c>
      <c r="H53" s="33">
        <v>0.2</v>
      </c>
      <c r="I53" s="29">
        <f t="shared" si="15"/>
        <v>0</v>
      </c>
    </row>
    <row r="54" s="16" customFormat="1" customHeight="1" spans="1:9">
      <c r="A54" s="25">
        <v>49</v>
      </c>
      <c r="B54" s="31" t="s">
        <v>68</v>
      </c>
      <c r="C54" s="32"/>
      <c r="D54" s="33">
        <v>0.5</v>
      </c>
      <c r="E54" s="37">
        <f t="shared" si="13"/>
        <v>0</v>
      </c>
      <c r="F54" s="32"/>
      <c r="G54" s="29">
        <f t="shared" si="14"/>
        <v>0</v>
      </c>
      <c r="H54" s="33">
        <v>0.3</v>
      </c>
      <c r="I54" s="29">
        <f t="shared" si="15"/>
        <v>0</v>
      </c>
    </row>
    <row r="55" s="16" customFormat="1" customHeight="1" spans="1:9">
      <c r="A55" s="25">
        <v>50</v>
      </c>
      <c r="B55" s="31" t="s">
        <v>69</v>
      </c>
      <c r="C55" s="32"/>
      <c r="D55" s="33">
        <v>0.5</v>
      </c>
      <c r="E55" s="37">
        <f t="shared" si="13"/>
        <v>0</v>
      </c>
      <c r="F55" s="32"/>
      <c r="G55" s="29">
        <f t="shared" si="14"/>
        <v>0</v>
      </c>
      <c r="H55" s="33">
        <v>0.4</v>
      </c>
      <c r="I55" s="29">
        <f t="shared" si="15"/>
        <v>0</v>
      </c>
    </row>
    <row r="56" s="16" customFormat="1" customHeight="1" spans="1:9">
      <c r="A56" s="25">
        <v>51</v>
      </c>
      <c r="B56" s="31" t="s">
        <v>70</v>
      </c>
      <c r="C56" s="32"/>
      <c r="D56" s="33">
        <v>0.5</v>
      </c>
      <c r="E56" s="37">
        <f t="shared" si="13"/>
        <v>0</v>
      </c>
      <c r="F56" s="32"/>
      <c r="G56" s="29">
        <f t="shared" si="14"/>
        <v>0</v>
      </c>
      <c r="H56" s="33">
        <v>0.45</v>
      </c>
      <c r="I56" s="29">
        <f t="shared" si="15"/>
        <v>0</v>
      </c>
    </row>
    <row r="57" s="16" customFormat="1" customHeight="1" spans="1:9">
      <c r="A57" s="25">
        <v>52</v>
      </c>
      <c r="B57" s="31" t="s">
        <v>71</v>
      </c>
      <c r="C57" s="32"/>
      <c r="D57" s="33">
        <v>0.5</v>
      </c>
      <c r="E57" s="37">
        <f t="shared" si="13"/>
        <v>0</v>
      </c>
      <c r="F57" s="32"/>
      <c r="G57" s="29">
        <f t="shared" si="14"/>
        <v>0</v>
      </c>
      <c r="H57" s="33">
        <v>0.5</v>
      </c>
      <c r="I57" s="29">
        <f t="shared" si="15"/>
        <v>0</v>
      </c>
    </row>
    <row r="58" s="16" customFormat="1" customHeight="1" spans="1:9">
      <c r="A58" s="25">
        <v>53</v>
      </c>
      <c r="B58" s="31" t="s">
        <v>72</v>
      </c>
      <c r="C58" s="32"/>
      <c r="D58" s="33">
        <v>0.5</v>
      </c>
      <c r="E58" s="37">
        <f t="shared" si="13"/>
        <v>0</v>
      </c>
      <c r="F58" s="32"/>
      <c r="G58" s="29">
        <f t="shared" si="14"/>
        <v>0</v>
      </c>
      <c r="H58" s="33">
        <v>0.6</v>
      </c>
      <c r="I58" s="29">
        <f t="shared" si="15"/>
        <v>0</v>
      </c>
    </row>
    <row r="59" s="16" customFormat="1" customHeight="1" spans="1:9">
      <c r="A59" s="25">
        <v>54</v>
      </c>
      <c r="B59" s="31" t="s">
        <v>73</v>
      </c>
      <c r="C59" s="32"/>
      <c r="D59" s="33">
        <v>0.5</v>
      </c>
      <c r="E59" s="37">
        <f t="shared" si="13"/>
        <v>0</v>
      </c>
      <c r="F59" s="32"/>
      <c r="G59" s="29">
        <f t="shared" si="14"/>
        <v>0</v>
      </c>
      <c r="H59" s="33">
        <v>0.75</v>
      </c>
      <c r="I59" s="29">
        <f t="shared" si="15"/>
        <v>0</v>
      </c>
    </row>
    <row r="60" s="16" customFormat="1" customHeight="1" spans="1:9">
      <c r="A60" s="25">
        <v>55</v>
      </c>
      <c r="B60" s="31" t="s">
        <v>74</v>
      </c>
      <c r="C60" s="32"/>
      <c r="D60" s="33">
        <v>0.5</v>
      </c>
      <c r="E60" s="37">
        <f t="shared" si="13"/>
        <v>0</v>
      </c>
      <c r="F60" s="32"/>
      <c r="G60" s="29">
        <f t="shared" si="14"/>
        <v>0</v>
      </c>
      <c r="H60" s="33">
        <v>0.85</v>
      </c>
      <c r="I60" s="29">
        <f t="shared" si="15"/>
        <v>0</v>
      </c>
    </row>
    <row r="61" s="16" customFormat="1" customHeight="1" spans="1:9">
      <c r="A61" s="25">
        <v>56</v>
      </c>
      <c r="B61" s="31" t="s">
        <v>75</v>
      </c>
      <c r="C61" s="32"/>
      <c r="D61" s="33">
        <v>0.5</v>
      </c>
      <c r="E61" s="37">
        <f t="shared" si="13"/>
        <v>0</v>
      </c>
      <c r="F61" s="32"/>
      <c r="G61" s="29">
        <f t="shared" si="14"/>
        <v>0</v>
      </c>
      <c r="H61" s="33">
        <v>1</v>
      </c>
      <c r="I61" s="29">
        <f t="shared" si="15"/>
        <v>0</v>
      </c>
    </row>
    <row r="62" s="16" customFormat="1" customHeight="1" spans="1:9">
      <c r="A62" s="25">
        <v>57</v>
      </c>
      <c r="B62" s="31" t="s">
        <v>76</v>
      </c>
      <c r="C62" s="32"/>
      <c r="D62" s="33">
        <v>0.5</v>
      </c>
      <c r="E62" s="37">
        <f t="shared" si="13"/>
        <v>0</v>
      </c>
      <c r="F62" s="32"/>
      <c r="G62" s="29">
        <f t="shared" si="14"/>
        <v>0</v>
      </c>
      <c r="H62" s="33">
        <v>1.5</v>
      </c>
      <c r="I62" s="29">
        <f t="shared" si="15"/>
        <v>0</v>
      </c>
    </row>
    <row r="63" s="17" customFormat="1" customHeight="1" spans="1:9">
      <c r="A63" s="25">
        <v>58</v>
      </c>
      <c r="B63" s="31" t="s">
        <v>77</v>
      </c>
      <c r="C63" s="32"/>
      <c r="D63" s="33">
        <v>0.5</v>
      </c>
      <c r="E63" s="37">
        <f t="shared" si="13"/>
        <v>0</v>
      </c>
      <c r="F63" s="32"/>
      <c r="G63" s="29">
        <f t="shared" si="14"/>
        <v>0</v>
      </c>
      <c r="H63" s="30"/>
      <c r="I63" s="32"/>
    </row>
    <row r="64" customHeight="1" spans="1:9">
      <c r="A64" s="25">
        <v>59</v>
      </c>
      <c r="B64" s="28" t="s">
        <v>78</v>
      </c>
      <c r="C64" s="29">
        <f>SUM(C65:C77)</f>
        <v>0</v>
      </c>
      <c r="D64" s="30"/>
      <c r="E64" s="29">
        <f>SUM(E65:E77)</f>
        <v>0</v>
      </c>
      <c r="F64" s="29">
        <f>SUM(F65:F77)</f>
        <v>0</v>
      </c>
      <c r="G64" s="29">
        <f>SUM(G65:G77)</f>
        <v>0</v>
      </c>
      <c r="H64" s="41"/>
      <c r="I64" s="29">
        <f>SUM(I65:I77)</f>
        <v>0</v>
      </c>
    </row>
    <row r="65" s="16" customFormat="1" customHeight="1" spans="1:9">
      <c r="A65" s="25">
        <v>60</v>
      </c>
      <c r="B65" s="31" t="s">
        <v>79</v>
      </c>
      <c r="C65" s="32"/>
      <c r="D65" s="33">
        <v>0.5</v>
      </c>
      <c r="E65" s="37">
        <f t="shared" ref="E65:E77" si="16">C65*D65</f>
        <v>0</v>
      </c>
      <c r="F65" s="32"/>
      <c r="G65" s="29">
        <f t="shared" ref="G65:G77" si="17">E65-F65</f>
        <v>0</v>
      </c>
      <c r="H65" s="33">
        <v>0</v>
      </c>
      <c r="I65" s="29">
        <f t="shared" ref="I65:I76" si="18">G65*H65</f>
        <v>0</v>
      </c>
    </row>
    <row r="66" s="16" customFormat="1" customHeight="1" spans="1:9">
      <c r="A66" s="25">
        <v>61</v>
      </c>
      <c r="B66" s="31" t="s">
        <v>80</v>
      </c>
      <c r="C66" s="32"/>
      <c r="D66" s="33">
        <v>0.5</v>
      </c>
      <c r="E66" s="37">
        <f t="shared" si="16"/>
        <v>0</v>
      </c>
      <c r="F66" s="32"/>
      <c r="G66" s="29">
        <f t="shared" si="17"/>
        <v>0</v>
      </c>
      <c r="H66" s="33">
        <v>0.1</v>
      </c>
      <c r="I66" s="29">
        <f t="shared" si="18"/>
        <v>0</v>
      </c>
    </row>
    <row r="67" s="16" customFormat="1" customHeight="1" spans="1:9">
      <c r="A67" s="25">
        <v>62</v>
      </c>
      <c r="B67" s="31" t="s">
        <v>81</v>
      </c>
      <c r="C67" s="32"/>
      <c r="D67" s="33">
        <v>0.5</v>
      </c>
      <c r="E67" s="37">
        <f t="shared" si="16"/>
        <v>0</v>
      </c>
      <c r="F67" s="32"/>
      <c r="G67" s="29">
        <f t="shared" si="17"/>
        <v>0</v>
      </c>
      <c r="H67" s="33">
        <v>0.2</v>
      </c>
      <c r="I67" s="29">
        <f t="shared" si="18"/>
        <v>0</v>
      </c>
    </row>
    <row r="68" s="16" customFormat="1" customHeight="1" spans="1:9">
      <c r="A68" s="25">
        <v>63</v>
      </c>
      <c r="B68" s="31" t="s">
        <v>82</v>
      </c>
      <c r="C68" s="32"/>
      <c r="D68" s="33">
        <v>0.5</v>
      </c>
      <c r="E68" s="37">
        <f t="shared" si="16"/>
        <v>0</v>
      </c>
      <c r="F68" s="32"/>
      <c r="G68" s="29">
        <f t="shared" si="17"/>
        <v>0</v>
      </c>
      <c r="H68" s="33">
        <v>0.3</v>
      </c>
      <c r="I68" s="29">
        <f t="shared" si="18"/>
        <v>0</v>
      </c>
    </row>
    <row r="69" s="16" customFormat="1" customHeight="1" spans="1:9">
      <c r="A69" s="25">
        <v>64</v>
      </c>
      <c r="B69" s="31" t="s">
        <v>83</v>
      </c>
      <c r="C69" s="32"/>
      <c r="D69" s="33">
        <v>0.5</v>
      </c>
      <c r="E69" s="37">
        <f t="shared" si="16"/>
        <v>0</v>
      </c>
      <c r="F69" s="32"/>
      <c r="G69" s="29">
        <f t="shared" si="17"/>
        <v>0</v>
      </c>
      <c r="H69" s="33">
        <v>0.4</v>
      </c>
      <c r="I69" s="29">
        <f t="shared" si="18"/>
        <v>0</v>
      </c>
    </row>
    <row r="70" s="16" customFormat="1" customHeight="1" spans="1:9">
      <c r="A70" s="25">
        <v>65</v>
      </c>
      <c r="B70" s="31" t="s">
        <v>84</v>
      </c>
      <c r="C70" s="32"/>
      <c r="D70" s="33">
        <v>0.5</v>
      </c>
      <c r="E70" s="37">
        <f t="shared" si="16"/>
        <v>0</v>
      </c>
      <c r="F70" s="32"/>
      <c r="G70" s="29">
        <f t="shared" si="17"/>
        <v>0</v>
      </c>
      <c r="H70" s="33">
        <v>0.45</v>
      </c>
      <c r="I70" s="29">
        <f t="shared" si="18"/>
        <v>0</v>
      </c>
    </row>
    <row r="71" s="16" customFormat="1" customHeight="1" spans="1:9">
      <c r="A71" s="25">
        <v>66</v>
      </c>
      <c r="B71" s="31" t="s">
        <v>85</v>
      </c>
      <c r="C71" s="32"/>
      <c r="D71" s="33">
        <v>0.5</v>
      </c>
      <c r="E71" s="37">
        <f t="shared" si="16"/>
        <v>0</v>
      </c>
      <c r="F71" s="32"/>
      <c r="G71" s="29">
        <f t="shared" si="17"/>
        <v>0</v>
      </c>
      <c r="H71" s="33">
        <v>0.5</v>
      </c>
      <c r="I71" s="29">
        <f t="shared" si="18"/>
        <v>0</v>
      </c>
    </row>
    <row r="72" s="16" customFormat="1" customHeight="1" spans="1:9">
      <c r="A72" s="25">
        <v>67</v>
      </c>
      <c r="B72" s="31" t="s">
        <v>86</v>
      </c>
      <c r="C72" s="32"/>
      <c r="D72" s="33">
        <v>0.5</v>
      </c>
      <c r="E72" s="37">
        <f t="shared" si="16"/>
        <v>0</v>
      </c>
      <c r="F72" s="32"/>
      <c r="G72" s="29">
        <f t="shared" si="17"/>
        <v>0</v>
      </c>
      <c r="H72" s="33">
        <v>0.6</v>
      </c>
      <c r="I72" s="29">
        <f t="shared" si="18"/>
        <v>0</v>
      </c>
    </row>
    <row r="73" s="16" customFormat="1" customHeight="1" spans="1:9">
      <c r="A73" s="25">
        <v>68</v>
      </c>
      <c r="B73" s="31" t="s">
        <v>87</v>
      </c>
      <c r="C73" s="32"/>
      <c r="D73" s="33">
        <v>0.5</v>
      </c>
      <c r="E73" s="37">
        <f t="shared" si="16"/>
        <v>0</v>
      </c>
      <c r="F73" s="32"/>
      <c r="G73" s="29">
        <f t="shared" si="17"/>
        <v>0</v>
      </c>
      <c r="H73" s="33">
        <v>0.75</v>
      </c>
      <c r="I73" s="29">
        <f t="shared" si="18"/>
        <v>0</v>
      </c>
    </row>
    <row r="74" s="16" customFormat="1" customHeight="1" spans="1:9">
      <c r="A74" s="25">
        <v>69</v>
      </c>
      <c r="B74" s="31" t="s">
        <v>88</v>
      </c>
      <c r="C74" s="32"/>
      <c r="D74" s="33">
        <v>0.5</v>
      </c>
      <c r="E74" s="37">
        <f t="shared" si="16"/>
        <v>0</v>
      </c>
      <c r="F74" s="32"/>
      <c r="G74" s="29">
        <f t="shared" si="17"/>
        <v>0</v>
      </c>
      <c r="H74" s="33">
        <v>0.85</v>
      </c>
      <c r="I74" s="29">
        <f t="shared" si="18"/>
        <v>0</v>
      </c>
    </row>
    <row r="75" s="16" customFormat="1" customHeight="1" spans="1:9">
      <c r="A75" s="25">
        <v>70</v>
      </c>
      <c r="B75" s="31" t="s">
        <v>89</v>
      </c>
      <c r="C75" s="32"/>
      <c r="D75" s="33">
        <v>0.5</v>
      </c>
      <c r="E75" s="37">
        <f t="shared" si="16"/>
        <v>0</v>
      </c>
      <c r="F75" s="32"/>
      <c r="G75" s="29">
        <f t="shared" si="17"/>
        <v>0</v>
      </c>
      <c r="H75" s="33">
        <v>1</v>
      </c>
      <c r="I75" s="29">
        <f t="shared" si="18"/>
        <v>0</v>
      </c>
    </row>
    <row r="76" s="16" customFormat="1" customHeight="1" spans="1:9">
      <c r="A76" s="25">
        <v>71</v>
      </c>
      <c r="B76" s="31" t="s">
        <v>90</v>
      </c>
      <c r="C76" s="32"/>
      <c r="D76" s="33">
        <v>0.5</v>
      </c>
      <c r="E76" s="37">
        <f t="shared" si="16"/>
        <v>0</v>
      </c>
      <c r="F76" s="32"/>
      <c r="G76" s="29">
        <f t="shared" si="17"/>
        <v>0</v>
      </c>
      <c r="H76" s="33">
        <v>1.5</v>
      </c>
      <c r="I76" s="29">
        <f t="shared" si="18"/>
        <v>0</v>
      </c>
    </row>
    <row r="77" s="17" customFormat="1" customHeight="1" spans="1:9">
      <c r="A77" s="25">
        <v>72</v>
      </c>
      <c r="B77" s="31" t="s">
        <v>91</v>
      </c>
      <c r="C77" s="32"/>
      <c r="D77" s="33">
        <v>0.5</v>
      </c>
      <c r="E77" s="37">
        <f t="shared" si="16"/>
        <v>0</v>
      </c>
      <c r="F77" s="32"/>
      <c r="G77" s="29">
        <f t="shared" si="17"/>
        <v>0</v>
      </c>
      <c r="H77" s="46"/>
      <c r="I77" s="32"/>
    </row>
    <row r="78" customHeight="1" spans="1:9">
      <c r="A78" s="25">
        <v>73</v>
      </c>
      <c r="B78" s="28" t="s">
        <v>92</v>
      </c>
      <c r="C78" s="29">
        <f>C79+C108+C122</f>
        <v>0</v>
      </c>
      <c r="D78" s="46"/>
      <c r="E78" s="29">
        <f>E79+E108+E122</f>
        <v>0</v>
      </c>
      <c r="F78" s="29">
        <f>F79+F108+F122</f>
        <v>0</v>
      </c>
      <c r="G78" s="29">
        <f>G79+G108+G122</f>
        <v>0</v>
      </c>
      <c r="H78" s="41"/>
      <c r="I78" s="29">
        <f>I79+I108+I122</f>
        <v>0</v>
      </c>
    </row>
    <row r="79" customHeight="1" spans="1:9">
      <c r="A79" s="25">
        <v>74</v>
      </c>
      <c r="B79" s="28" t="s">
        <v>93</v>
      </c>
      <c r="C79" s="29">
        <f>C80+C94</f>
        <v>0</v>
      </c>
      <c r="D79" s="46"/>
      <c r="E79" s="29">
        <f>E80+E94</f>
        <v>0</v>
      </c>
      <c r="F79" s="29">
        <f>F80+F94</f>
        <v>0</v>
      </c>
      <c r="G79" s="29">
        <f>G80+G94</f>
        <v>0</v>
      </c>
      <c r="H79" s="41"/>
      <c r="I79" s="29">
        <f>I80+I94</f>
        <v>0</v>
      </c>
    </row>
    <row r="80" customHeight="1" spans="1:9">
      <c r="A80" s="25">
        <v>75</v>
      </c>
      <c r="B80" s="28" t="s">
        <v>94</v>
      </c>
      <c r="C80" s="29">
        <f>SUM(C81:C93)</f>
        <v>0</v>
      </c>
      <c r="D80" s="46"/>
      <c r="E80" s="29">
        <f>SUM(E81:E93)</f>
        <v>0</v>
      </c>
      <c r="F80" s="29">
        <f>SUM(F81:F93)</f>
        <v>0</v>
      </c>
      <c r="G80" s="29">
        <f>SUM(G81:G93)</f>
        <v>0</v>
      </c>
      <c r="H80" s="41"/>
      <c r="I80" s="29">
        <f>SUM(I81:I93)</f>
        <v>0</v>
      </c>
    </row>
    <row r="81" s="16" customFormat="1" customHeight="1" spans="1:9">
      <c r="A81" s="25">
        <v>76</v>
      </c>
      <c r="B81" s="31" t="s">
        <v>95</v>
      </c>
      <c r="C81" s="32"/>
      <c r="D81" s="47">
        <v>0.2</v>
      </c>
      <c r="E81" s="37">
        <f t="shared" ref="E81:E90" si="19">C81*D81</f>
        <v>0</v>
      </c>
      <c r="F81" s="32"/>
      <c r="G81" s="29">
        <f t="shared" ref="G81:G107" si="20">E81-F81</f>
        <v>0</v>
      </c>
      <c r="H81" s="33">
        <v>0</v>
      </c>
      <c r="I81" s="29">
        <f t="shared" ref="I81:I92" si="21">G81*H81</f>
        <v>0</v>
      </c>
    </row>
    <row r="82" s="16" customFormat="1" customHeight="1" spans="1:9">
      <c r="A82" s="25">
        <v>77</v>
      </c>
      <c r="B82" s="31" t="s">
        <v>96</v>
      </c>
      <c r="C82" s="32"/>
      <c r="D82" s="47">
        <v>0.2</v>
      </c>
      <c r="E82" s="37">
        <f t="shared" si="19"/>
        <v>0</v>
      </c>
      <c r="F82" s="32"/>
      <c r="G82" s="29">
        <f t="shared" si="20"/>
        <v>0</v>
      </c>
      <c r="H82" s="33">
        <v>0.1</v>
      </c>
      <c r="I82" s="29">
        <f t="shared" si="21"/>
        <v>0</v>
      </c>
    </row>
    <row r="83" s="16" customFormat="1" customHeight="1" spans="1:9">
      <c r="A83" s="25">
        <v>78</v>
      </c>
      <c r="B83" s="31" t="s">
        <v>97</v>
      </c>
      <c r="C83" s="32"/>
      <c r="D83" s="47">
        <v>0.2</v>
      </c>
      <c r="E83" s="37">
        <f t="shared" si="19"/>
        <v>0</v>
      </c>
      <c r="F83" s="32"/>
      <c r="G83" s="29">
        <f t="shared" si="20"/>
        <v>0</v>
      </c>
      <c r="H83" s="33">
        <v>0.2</v>
      </c>
      <c r="I83" s="29">
        <f t="shared" si="21"/>
        <v>0</v>
      </c>
    </row>
    <row r="84" s="16" customFormat="1" customHeight="1" spans="1:9">
      <c r="A84" s="25">
        <v>79</v>
      </c>
      <c r="B84" s="31" t="s">
        <v>98</v>
      </c>
      <c r="C84" s="32"/>
      <c r="D84" s="47">
        <v>0.2</v>
      </c>
      <c r="E84" s="37">
        <f t="shared" si="19"/>
        <v>0</v>
      </c>
      <c r="F84" s="32"/>
      <c r="G84" s="29">
        <f t="shared" si="20"/>
        <v>0</v>
      </c>
      <c r="H84" s="33">
        <v>0.3</v>
      </c>
      <c r="I84" s="29">
        <f t="shared" si="21"/>
        <v>0</v>
      </c>
    </row>
    <row r="85" s="16" customFormat="1" customHeight="1" spans="1:9">
      <c r="A85" s="25">
        <v>80</v>
      </c>
      <c r="B85" s="31" t="s">
        <v>99</v>
      </c>
      <c r="C85" s="32"/>
      <c r="D85" s="47">
        <v>0.2</v>
      </c>
      <c r="E85" s="37">
        <f t="shared" si="19"/>
        <v>0</v>
      </c>
      <c r="F85" s="32"/>
      <c r="G85" s="29">
        <f t="shared" si="20"/>
        <v>0</v>
      </c>
      <c r="H85" s="33">
        <v>0.4</v>
      </c>
      <c r="I85" s="29">
        <f t="shared" si="21"/>
        <v>0</v>
      </c>
    </row>
    <row r="86" s="16" customFormat="1" customHeight="1" spans="1:9">
      <c r="A86" s="25">
        <v>81</v>
      </c>
      <c r="B86" s="31" t="s">
        <v>100</v>
      </c>
      <c r="C86" s="32"/>
      <c r="D86" s="47">
        <v>0.2</v>
      </c>
      <c r="E86" s="37">
        <f t="shared" si="19"/>
        <v>0</v>
      </c>
      <c r="F86" s="32"/>
      <c r="G86" s="29">
        <f t="shared" si="20"/>
        <v>0</v>
      </c>
      <c r="H86" s="33">
        <v>0.45</v>
      </c>
      <c r="I86" s="29">
        <f t="shared" si="21"/>
        <v>0</v>
      </c>
    </row>
    <row r="87" s="16" customFormat="1" customHeight="1" spans="1:9">
      <c r="A87" s="25">
        <v>82</v>
      </c>
      <c r="B87" s="31" t="s">
        <v>101</v>
      </c>
      <c r="C87" s="32"/>
      <c r="D87" s="47">
        <v>0.2</v>
      </c>
      <c r="E87" s="37">
        <f t="shared" si="19"/>
        <v>0</v>
      </c>
      <c r="F87" s="32"/>
      <c r="G87" s="29">
        <f t="shared" si="20"/>
        <v>0</v>
      </c>
      <c r="H87" s="33">
        <v>0.5</v>
      </c>
      <c r="I87" s="29">
        <f t="shared" si="21"/>
        <v>0</v>
      </c>
    </row>
    <row r="88" s="16" customFormat="1" customHeight="1" spans="1:9">
      <c r="A88" s="25">
        <v>83</v>
      </c>
      <c r="B88" s="31" t="s">
        <v>102</v>
      </c>
      <c r="C88" s="32"/>
      <c r="D88" s="47">
        <v>0.2</v>
      </c>
      <c r="E88" s="37">
        <f t="shared" si="19"/>
        <v>0</v>
      </c>
      <c r="F88" s="32"/>
      <c r="G88" s="29">
        <f t="shared" si="20"/>
        <v>0</v>
      </c>
      <c r="H88" s="33">
        <v>0.6</v>
      </c>
      <c r="I88" s="29">
        <f t="shared" si="21"/>
        <v>0</v>
      </c>
    </row>
    <row r="89" s="16" customFormat="1" customHeight="1" spans="1:9">
      <c r="A89" s="25">
        <v>84</v>
      </c>
      <c r="B89" s="31" t="s">
        <v>103</v>
      </c>
      <c r="C89" s="32"/>
      <c r="D89" s="47">
        <v>0.2</v>
      </c>
      <c r="E89" s="37">
        <f t="shared" si="19"/>
        <v>0</v>
      </c>
      <c r="F89" s="32"/>
      <c r="G89" s="29">
        <f t="shared" si="20"/>
        <v>0</v>
      </c>
      <c r="H89" s="33">
        <v>0.75</v>
      </c>
      <c r="I89" s="29">
        <f t="shared" si="21"/>
        <v>0</v>
      </c>
    </row>
    <row r="90" s="16" customFormat="1" customHeight="1" spans="1:9">
      <c r="A90" s="25">
        <v>85</v>
      </c>
      <c r="B90" s="31" t="s">
        <v>104</v>
      </c>
      <c r="C90" s="32"/>
      <c r="D90" s="47">
        <v>0.2</v>
      </c>
      <c r="E90" s="37">
        <f t="shared" si="19"/>
        <v>0</v>
      </c>
      <c r="F90" s="32"/>
      <c r="G90" s="29">
        <f t="shared" si="20"/>
        <v>0</v>
      </c>
      <c r="H90" s="33">
        <v>0.85</v>
      </c>
      <c r="I90" s="29">
        <f t="shared" si="21"/>
        <v>0</v>
      </c>
    </row>
    <row r="91" s="16" customFormat="1" customHeight="1" spans="1:9">
      <c r="A91" s="25">
        <v>86</v>
      </c>
      <c r="B91" s="31" t="s">
        <v>105</v>
      </c>
      <c r="C91" s="32"/>
      <c r="D91" s="47">
        <v>0.2</v>
      </c>
      <c r="E91" s="37">
        <f t="shared" ref="E91:E107" si="22">C91*D91</f>
        <v>0</v>
      </c>
      <c r="F91" s="32"/>
      <c r="G91" s="29">
        <f t="shared" si="20"/>
        <v>0</v>
      </c>
      <c r="H91" s="33">
        <v>1</v>
      </c>
      <c r="I91" s="29">
        <f t="shared" si="21"/>
        <v>0</v>
      </c>
    </row>
    <row r="92" s="16" customFormat="1" customHeight="1" spans="1:9">
      <c r="A92" s="25">
        <v>87</v>
      </c>
      <c r="B92" s="31" t="s">
        <v>106</v>
      </c>
      <c r="C92" s="32"/>
      <c r="D92" s="47">
        <v>0.2</v>
      </c>
      <c r="E92" s="37">
        <f t="shared" si="22"/>
        <v>0</v>
      </c>
      <c r="F92" s="32"/>
      <c r="G92" s="29">
        <f t="shared" si="20"/>
        <v>0</v>
      </c>
      <c r="H92" s="33">
        <v>1.5</v>
      </c>
      <c r="I92" s="29">
        <f t="shared" si="21"/>
        <v>0</v>
      </c>
    </row>
    <row r="93" s="17" customFormat="1" customHeight="1" spans="1:9">
      <c r="A93" s="25">
        <v>88</v>
      </c>
      <c r="B93" s="31" t="s">
        <v>107</v>
      </c>
      <c r="C93" s="32"/>
      <c r="D93" s="47">
        <v>0.2</v>
      </c>
      <c r="E93" s="37">
        <f t="shared" si="22"/>
        <v>0</v>
      </c>
      <c r="F93" s="32"/>
      <c r="G93" s="29">
        <f t="shared" si="20"/>
        <v>0</v>
      </c>
      <c r="H93" s="41"/>
      <c r="I93" s="32"/>
    </row>
    <row r="94" s="17" customFormat="1" customHeight="1" spans="1:9">
      <c r="A94" s="25">
        <v>89</v>
      </c>
      <c r="B94" s="28" t="s">
        <v>108</v>
      </c>
      <c r="C94" s="29">
        <f>SUM(C95:C107)</f>
        <v>0</v>
      </c>
      <c r="D94" s="48"/>
      <c r="E94" s="37">
        <f>SUM(E95:E107)</f>
        <v>0</v>
      </c>
      <c r="F94" s="29">
        <f>SUM(F95:F107)</f>
        <v>0</v>
      </c>
      <c r="G94" s="29">
        <f>SUM(G95:G107)</f>
        <v>0</v>
      </c>
      <c r="H94" s="41"/>
      <c r="I94" s="29">
        <f>SUM(I95:I107)</f>
        <v>0</v>
      </c>
    </row>
    <row r="95" s="17" customFormat="1" customHeight="1" spans="1:9">
      <c r="A95" s="25">
        <v>90</v>
      </c>
      <c r="B95" s="31" t="s">
        <v>109</v>
      </c>
      <c r="C95" s="32"/>
      <c r="D95" s="47">
        <v>0.5</v>
      </c>
      <c r="E95" s="37">
        <f t="shared" si="22"/>
        <v>0</v>
      </c>
      <c r="F95" s="32"/>
      <c r="G95" s="29">
        <f t="shared" si="20"/>
        <v>0</v>
      </c>
      <c r="H95" s="33">
        <v>0</v>
      </c>
      <c r="I95" s="29">
        <f t="shared" ref="I95:I106" si="23">G95*H95</f>
        <v>0</v>
      </c>
    </row>
    <row r="96" s="17" customFormat="1" customHeight="1" spans="1:9">
      <c r="A96" s="25">
        <v>91</v>
      </c>
      <c r="B96" s="31" t="s">
        <v>110</v>
      </c>
      <c r="C96" s="32"/>
      <c r="D96" s="47">
        <v>0.5</v>
      </c>
      <c r="E96" s="37">
        <f t="shared" si="22"/>
        <v>0</v>
      </c>
      <c r="F96" s="32"/>
      <c r="G96" s="29">
        <f t="shared" si="20"/>
        <v>0</v>
      </c>
      <c r="H96" s="33">
        <v>0.1</v>
      </c>
      <c r="I96" s="29">
        <f t="shared" si="23"/>
        <v>0</v>
      </c>
    </row>
    <row r="97" s="17" customFormat="1" customHeight="1" spans="1:9">
      <c r="A97" s="25">
        <v>92</v>
      </c>
      <c r="B97" s="31" t="s">
        <v>111</v>
      </c>
      <c r="C97" s="32"/>
      <c r="D97" s="47">
        <v>0.5</v>
      </c>
      <c r="E97" s="37">
        <f t="shared" si="22"/>
        <v>0</v>
      </c>
      <c r="F97" s="32"/>
      <c r="G97" s="29">
        <f t="shared" si="20"/>
        <v>0</v>
      </c>
      <c r="H97" s="33">
        <v>0.2</v>
      </c>
      <c r="I97" s="29">
        <f t="shared" si="23"/>
        <v>0</v>
      </c>
    </row>
    <row r="98" s="17" customFormat="1" customHeight="1" spans="1:9">
      <c r="A98" s="25">
        <v>93</v>
      </c>
      <c r="B98" s="31" t="s">
        <v>112</v>
      </c>
      <c r="C98" s="32"/>
      <c r="D98" s="47">
        <v>0.5</v>
      </c>
      <c r="E98" s="37">
        <f t="shared" si="22"/>
        <v>0</v>
      </c>
      <c r="F98" s="32"/>
      <c r="G98" s="29">
        <f t="shared" si="20"/>
        <v>0</v>
      </c>
      <c r="H98" s="33">
        <v>0.3</v>
      </c>
      <c r="I98" s="29">
        <f t="shared" si="23"/>
        <v>0</v>
      </c>
    </row>
    <row r="99" s="17" customFormat="1" customHeight="1" spans="1:9">
      <c r="A99" s="25">
        <v>94</v>
      </c>
      <c r="B99" s="31" t="s">
        <v>113</v>
      </c>
      <c r="C99" s="32"/>
      <c r="D99" s="47">
        <v>0.5</v>
      </c>
      <c r="E99" s="37">
        <f t="shared" si="22"/>
        <v>0</v>
      </c>
      <c r="F99" s="32"/>
      <c r="G99" s="29">
        <f t="shared" si="20"/>
        <v>0</v>
      </c>
      <c r="H99" s="33">
        <v>0.4</v>
      </c>
      <c r="I99" s="29">
        <f t="shared" si="23"/>
        <v>0</v>
      </c>
    </row>
    <row r="100" s="17" customFormat="1" customHeight="1" spans="1:9">
      <c r="A100" s="25">
        <v>95</v>
      </c>
      <c r="B100" s="31" t="s">
        <v>114</v>
      </c>
      <c r="C100" s="32"/>
      <c r="D100" s="47">
        <v>0.5</v>
      </c>
      <c r="E100" s="37">
        <f t="shared" si="22"/>
        <v>0</v>
      </c>
      <c r="F100" s="32"/>
      <c r="G100" s="29">
        <f t="shared" si="20"/>
        <v>0</v>
      </c>
      <c r="H100" s="33">
        <v>0.45</v>
      </c>
      <c r="I100" s="29">
        <f t="shared" si="23"/>
        <v>0</v>
      </c>
    </row>
    <row r="101" s="17" customFormat="1" customHeight="1" spans="1:9">
      <c r="A101" s="25">
        <v>96</v>
      </c>
      <c r="B101" s="31" t="s">
        <v>115</v>
      </c>
      <c r="C101" s="32"/>
      <c r="D101" s="47">
        <v>0.5</v>
      </c>
      <c r="E101" s="37">
        <f t="shared" si="22"/>
        <v>0</v>
      </c>
      <c r="F101" s="32"/>
      <c r="G101" s="29">
        <f t="shared" si="20"/>
        <v>0</v>
      </c>
      <c r="H101" s="33">
        <v>0.5</v>
      </c>
      <c r="I101" s="29">
        <f t="shared" si="23"/>
        <v>0</v>
      </c>
    </row>
    <row r="102" s="17" customFormat="1" customHeight="1" spans="1:9">
      <c r="A102" s="25">
        <v>97</v>
      </c>
      <c r="B102" s="31" t="s">
        <v>116</v>
      </c>
      <c r="C102" s="32"/>
      <c r="D102" s="47">
        <v>0.5</v>
      </c>
      <c r="E102" s="37">
        <f t="shared" si="22"/>
        <v>0</v>
      </c>
      <c r="F102" s="32"/>
      <c r="G102" s="29">
        <f t="shared" si="20"/>
        <v>0</v>
      </c>
      <c r="H102" s="33">
        <v>0.6</v>
      </c>
      <c r="I102" s="29">
        <f t="shared" si="23"/>
        <v>0</v>
      </c>
    </row>
    <row r="103" s="17" customFormat="1" customHeight="1" spans="1:9">
      <c r="A103" s="25">
        <v>98</v>
      </c>
      <c r="B103" s="31" t="s">
        <v>117</v>
      </c>
      <c r="C103" s="32"/>
      <c r="D103" s="47">
        <v>0.5</v>
      </c>
      <c r="E103" s="37">
        <f t="shared" si="22"/>
        <v>0</v>
      </c>
      <c r="F103" s="32"/>
      <c r="G103" s="29">
        <f t="shared" si="20"/>
        <v>0</v>
      </c>
      <c r="H103" s="33">
        <v>0.75</v>
      </c>
      <c r="I103" s="29">
        <f t="shared" si="23"/>
        <v>0</v>
      </c>
    </row>
    <row r="104" s="17" customFormat="1" customHeight="1" spans="1:9">
      <c r="A104" s="25">
        <v>99</v>
      </c>
      <c r="B104" s="31" t="s">
        <v>118</v>
      </c>
      <c r="C104" s="32"/>
      <c r="D104" s="47">
        <v>0.5</v>
      </c>
      <c r="E104" s="37">
        <f t="shared" si="22"/>
        <v>0</v>
      </c>
      <c r="F104" s="32"/>
      <c r="G104" s="29">
        <f t="shared" si="20"/>
        <v>0</v>
      </c>
      <c r="H104" s="33">
        <v>0.85</v>
      </c>
      <c r="I104" s="29">
        <f t="shared" si="23"/>
        <v>0</v>
      </c>
    </row>
    <row r="105" s="17" customFormat="1" customHeight="1" spans="1:9">
      <c r="A105" s="25">
        <v>100</v>
      </c>
      <c r="B105" s="31" t="s">
        <v>119</v>
      </c>
      <c r="C105" s="32"/>
      <c r="D105" s="47">
        <v>0.5</v>
      </c>
      <c r="E105" s="37">
        <f t="shared" si="22"/>
        <v>0</v>
      </c>
      <c r="F105" s="32"/>
      <c r="G105" s="29">
        <f t="shared" si="20"/>
        <v>0</v>
      </c>
      <c r="H105" s="33">
        <v>1</v>
      </c>
      <c r="I105" s="29">
        <f t="shared" si="23"/>
        <v>0</v>
      </c>
    </row>
    <row r="106" s="17" customFormat="1" customHeight="1" spans="1:9">
      <c r="A106" s="25">
        <v>101</v>
      </c>
      <c r="B106" s="31" t="s">
        <v>120</v>
      </c>
      <c r="C106" s="32"/>
      <c r="D106" s="47">
        <v>0.5</v>
      </c>
      <c r="E106" s="37">
        <f t="shared" si="22"/>
        <v>0</v>
      </c>
      <c r="F106" s="32"/>
      <c r="G106" s="29">
        <f t="shared" si="20"/>
        <v>0</v>
      </c>
      <c r="H106" s="33">
        <v>1.5</v>
      </c>
      <c r="I106" s="29">
        <f t="shared" si="23"/>
        <v>0</v>
      </c>
    </row>
    <row r="107" s="17" customFormat="1" customHeight="1" spans="1:9">
      <c r="A107" s="25">
        <v>102</v>
      </c>
      <c r="B107" s="31" t="s">
        <v>121</v>
      </c>
      <c r="C107" s="32"/>
      <c r="D107" s="47">
        <v>0.5</v>
      </c>
      <c r="E107" s="37">
        <f t="shared" si="22"/>
        <v>0</v>
      </c>
      <c r="F107" s="32"/>
      <c r="G107" s="29">
        <f t="shared" si="20"/>
        <v>0</v>
      </c>
      <c r="H107" s="41"/>
      <c r="I107" s="32"/>
    </row>
    <row r="108" s="17" customFormat="1" customHeight="1" spans="1:9">
      <c r="A108" s="25">
        <v>103</v>
      </c>
      <c r="B108" s="28" t="s">
        <v>122</v>
      </c>
      <c r="C108" s="29">
        <f>SUM(C109:C121)</f>
        <v>0</v>
      </c>
      <c r="D108" s="46"/>
      <c r="E108" s="29">
        <f>SUM(E109:E121)</f>
        <v>0</v>
      </c>
      <c r="F108" s="29">
        <f>SUM(F109:F121)</f>
        <v>0</v>
      </c>
      <c r="G108" s="29">
        <f>SUM(G109:G121)</f>
        <v>0</v>
      </c>
      <c r="H108" s="41"/>
      <c r="I108" s="29">
        <f>SUM(I109:I121)</f>
        <v>0</v>
      </c>
    </row>
    <row r="109" s="17" customFormat="1" customHeight="1" spans="1:9">
      <c r="A109" s="25">
        <v>104</v>
      </c>
      <c r="B109" s="31" t="s">
        <v>123</v>
      </c>
      <c r="C109" s="32"/>
      <c r="D109" s="47">
        <v>0.2</v>
      </c>
      <c r="E109" s="37">
        <f t="shared" ref="E109:E121" si="24">C109*D109</f>
        <v>0</v>
      </c>
      <c r="F109" s="32"/>
      <c r="G109" s="29">
        <f t="shared" ref="G109:G121" si="25">E109-F109</f>
        <v>0</v>
      </c>
      <c r="H109" s="33">
        <v>0</v>
      </c>
      <c r="I109" s="29">
        <f t="shared" ref="I109:I120" si="26">G109*H109</f>
        <v>0</v>
      </c>
    </row>
    <row r="110" s="17" customFormat="1" customHeight="1" spans="1:9">
      <c r="A110" s="25">
        <v>105</v>
      </c>
      <c r="B110" s="31" t="s">
        <v>124</v>
      </c>
      <c r="C110" s="32"/>
      <c r="D110" s="47">
        <v>0.2</v>
      </c>
      <c r="E110" s="37">
        <f t="shared" si="24"/>
        <v>0</v>
      </c>
      <c r="F110" s="32"/>
      <c r="G110" s="29">
        <f t="shared" si="25"/>
        <v>0</v>
      </c>
      <c r="H110" s="33">
        <v>0.1</v>
      </c>
      <c r="I110" s="29">
        <f t="shared" si="26"/>
        <v>0</v>
      </c>
    </row>
    <row r="111" s="17" customFormat="1" customHeight="1" spans="1:9">
      <c r="A111" s="25">
        <v>106</v>
      </c>
      <c r="B111" s="31" t="s">
        <v>125</v>
      </c>
      <c r="C111" s="32"/>
      <c r="D111" s="47">
        <v>0.2</v>
      </c>
      <c r="E111" s="37">
        <f t="shared" si="24"/>
        <v>0</v>
      </c>
      <c r="F111" s="32"/>
      <c r="G111" s="29">
        <f t="shared" si="25"/>
        <v>0</v>
      </c>
      <c r="H111" s="33">
        <v>0.2</v>
      </c>
      <c r="I111" s="29">
        <f t="shared" si="26"/>
        <v>0</v>
      </c>
    </row>
    <row r="112" s="17" customFormat="1" customHeight="1" spans="1:9">
      <c r="A112" s="25">
        <v>107</v>
      </c>
      <c r="B112" s="31" t="s">
        <v>126</v>
      </c>
      <c r="C112" s="32"/>
      <c r="D112" s="47">
        <v>0.2</v>
      </c>
      <c r="E112" s="37">
        <f t="shared" si="24"/>
        <v>0</v>
      </c>
      <c r="F112" s="32"/>
      <c r="G112" s="29">
        <f t="shared" si="25"/>
        <v>0</v>
      </c>
      <c r="H112" s="33">
        <v>0.3</v>
      </c>
      <c r="I112" s="29">
        <f t="shared" si="26"/>
        <v>0</v>
      </c>
    </row>
    <row r="113" s="17" customFormat="1" customHeight="1" spans="1:9">
      <c r="A113" s="25">
        <v>108</v>
      </c>
      <c r="B113" s="31" t="s">
        <v>127</v>
      </c>
      <c r="C113" s="32"/>
      <c r="D113" s="47">
        <v>0.2</v>
      </c>
      <c r="E113" s="37">
        <f t="shared" si="24"/>
        <v>0</v>
      </c>
      <c r="F113" s="32"/>
      <c r="G113" s="29">
        <f t="shared" si="25"/>
        <v>0</v>
      </c>
      <c r="H113" s="33">
        <v>0.4</v>
      </c>
      <c r="I113" s="29">
        <f t="shared" si="26"/>
        <v>0</v>
      </c>
    </row>
    <row r="114" s="17" customFormat="1" customHeight="1" spans="1:9">
      <c r="A114" s="25">
        <v>109</v>
      </c>
      <c r="B114" s="31" t="s">
        <v>128</v>
      </c>
      <c r="C114" s="32"/>
      <c r="D114" s="47">
        <v>0.2</v>
      </c>
      <c r="E114" s="37">
        <f t="shared" si="24"/>
        <v>0</v>
      </c>
      <c r="F114" s="32"/>
      <c r="G114" s="29">
        <f t="shared" si="25"/>
        <v>0</v>
      </c>
      <c r="H114" s="33">
        <v>0.45</v>
      </c>
      <c r="I114" s="29">
        <f t="shared" si="26"/>
        <v>0</v>
      </c>
    </row>
    <row r="115" s="17" customFormat="1" customHeight="1" spans="1:9">
      <c r="A115" s="25">
        <v>110</v>
      </c>
      <c r="B115" s="31" t="s">
        <v>129</v>
      </c>
      <c r="C115" s="32"/>
      <c r="D115" s="47">
        <v>0.2</v>
      </c>
      <c r="E115" s="37">
        <f t="shared" si="24"/>
        <v>0</v>
      </c>
      <c r="F115" s="32"/>
      <c r="G115" s="29">
        <f t="shared" si="25"/>
        <v>0</v>
      </c>
      <c r="H115" s="33">
        <v>0.5</v>
      </c>
      <c r="I115" s="29">
        <f t="shared" si="26"/>
        <v>0</v>
      </c>
    </row>
    <row r="116" s="17" customFormat="1" customHeight="1" spans="1:9">
      <c r="A116" s="25">
        <v>111</v>
      </c>
      <c r="B116" s="31" t="s">
        <v>130</v>
      </c>
      <c r="C116" s="32"/>
      <c r="D116" s="47">
        <v>0.2</v>
      </c>
      <c r="E116" s="37">
        <f t="shared" si="24"/>
        <v>0</v>
      </c>
      <c r="F116" s="32"/>
      <c r="G116" s="29">
        <f t="shared" si="25"/>
        <v>0</v>
      </c>
      <c r="H116" s="33">
        <v>0.6</v>
      </c>
      <c r="I116" s="29">
        <f t="shared" si="26"/>
        <v>0</v>
      </c>
    </row>
    <row r="117" s="17" customFormat="1" customHeight="1" spans="1:9">
      <c r="A117" s="25">
        <v>112</v>
      </c>
      <c r="B117" s="31" t="s">
        <v>131</v>
      </c>
      <c r="C117" s="32"/>
      <c r="D117" s="47">
        <v>0.2</v>
      </c>
      <c r="E117" s="37">
        <f t="shared" si="24"/>
        <v>0</v>
      </c>
      <c r="F117" s="32"/>
      <c r="G117" s="29">
        <f t="shared" si="25"/>
        <v>0</v>
      </c>
      <c r="H117" s="33">
        <v>0.75</v>
      </c>
      <c r="I117" s="29">
        <f t="shared" si="26"/>
        <v>0</v>
      </c>
    </row>
    <row r="118" s="17" customFormat="1" customHeight="1" spans="1:9">
      <c r="A118" s="25">
        <v>113</v>
      </c>
      <c r="B118" s="31" t="s">
        <v>132</v>
      </c>
      <c r="C118" s="32"/>
      <c r="D118" s="47">
        <v>0.2</v>
      </c>
      <c r="E118" s="37">
        <f t="shared" si="24"/>
        <v>0</v>
      </c>
      <c r="F118" s="32"/>
      <c r="G118" s="29">
        <f t="shared" si="25"/>
        <v>0</v>
      </c>
      <c r="H118" s="33">
        <v>0.85</v>
      </c>
      <c r="I118" s="29">
        <f t="shared" si="26"/>
        <v>0</v>
      </c>
    </row>
    <row r="119" s="17" customFormat="1" customHeight="1" spans="1:9">
      <c r="A119" s="25">
        <v>114</v>
      </c>
      <c r="B119" s="31" t="s">
        <v>133</v>
      </c>
      <c r="C119" s="32"/>
      <c r="D119" s="47">
        <v>0.2</v>
      </c>
      <c r="E119" s="37">
        <f t="shared" si="24"/>
        <v>0</v>
      </c>
      <c r="F119" s="32"/>
      <c r="G119" s="29">
        <f t="shared" si="25"/>
        <v>0</v>
      </c>
      <c r="H119" s="33">
        <v>1</v>
      </c>
      <c r="I119" s="29">
        <f t="shared" si="26"/>
        <v>0</v>
      </c>
    </row>
    <row r="120" s="17" customFormat="1" customHeight="1" spans="1:9">
      <c r="A120" s="25">
        <v>115</v>
      </c>
      <c r="B120" s="31" t="s">
        <v>134</v>
      </c>
      <c r="C120" s="32"/>
      <c r="D120" s="47">
        <v>0.2</v>
      </c>
      <c r="E120" s="37">
        <f t="shared" si="24"/>
        <v>0</v>
      </c>
      <c r="F120" s="32"/>
      <c r="G120" s="29">
        <f t="shared" si="25"/>
        <v>0</v>
      </c>
      <c r="H120" s="33">
        <v>1.5</v>
      </c>
      <c r="I120" s="29">
        <f t="shared" si="26"/>
        <v>0</v>
      </c>
    </row>
    <row r="121" s="17" customFormat="1" customHeight="1" spans="1:9">
      <c r="A121" s="25">
        <v>116</v>
      </c>
      <c r="B121" s="31" t="s">
        <v>135</v>
      </c>
      <c r="C121" s="32"/>
      <c r="D121" s="47">
        <v>0.2</v>
      </c>
      <c r="E121" s="37">
        <f t="shared" si="24"/>
        <v>0</v>
      </c>
      <c r="F121" s="32"/>
      <c r="G121" s="29">
        <f t="shared" si="25"/>
        <v>0</v>
      </c>
      <c r="H121" s="41"/>
      <c r="I121" s="32"/>
    </row>
    <row r="122" customHeight="1" spans="1:9">
      <c r="A122" s="25">
        <v>117</v>
      </c>
      <c r="B122" s="28" t="s">
        <v>136</v>
      </c>
      <c r="C122" s="29">
        <f>SUM(C123:C135)</f>
        <v>0</v>
      </c>
      <c r="D122" s="46"/>
      <c r="E122" s="29">
        <f>SUM(E123:E135)</f>
        <v>0</v>
      </c>
      <c r="F122" s="29">
        <f>SUM(F123:F135)</f>
        <v>0</v>
      </c>
      <c r="G122" s="29">
        <f>SUM(G123:G135)</f>
        <v>0</v>
      </c>
      <c r="H122" s="41"/>
      <c r="I122" s="29">
        <f>SUM(I123:I135)</f>
        <v>0</v>
      </c>
    </row>
    <row r="123" s="16" customFormat="1" customHeight="1" spans="1:9">
      <c r="A123" s="25">
        <v>118</v>
      </c>
      <c r="B123" s="31" t="s">
        <v>137</v>
      </c>
      <c r="C123" s="32"/>
      <c r="D123" s="47">
        <v>0.2</v>
      </c>
      <c r="E123" s="37">
        <f t="shared" ref="E123:E135" si="27">C123*D123</f>
        <v>0</v>
      </c>
      <c r="F123" s="32"/>
      <c r="G123" s="29">
        <f t="shared" ref="G123:G135" si="28">E123-F123</f>
        <v>0</v>
      </c>
      <c r="H123" s="33">
        <v>0</v>
      </c>
      <c r="I123" s="29">
        <f t="shared" ref="I123:I134" si="29">G123*H123</f>
        <v>0</v>
      </c>
    </row>
    <row r="124" s="16" customFormat="1" customHeight="1" spans="1:9">
      <c r="A124" s="25">
        <v>119</v>
      </c>
      <c r="B124" s="31" t="s">
        <v>138</v>
      </c>
      <c r="C124" s="32"/>
      <c r="D124" s="47">
        <v>0.2</v>
      </c>
      <c r="E124" s="37">
        <f t="shared" si="27"/>
        <v>0</v>
      </c>
      <c r="F124" s="32"/>
      <c r="G124" s="29">
        <f t="shared" si="28"/>
        <v>0</v>
      </c>
      <c r="H124" s="33">
        <v>0.1</v>
      </c>
      <c r="I124" s="29">
        <f t="shared" si="29"/>
        <v>0</v>
      </c>
    </row>
    <row r="125" s="16" customFormat="1" customHeight="1" spans="1:9">
      <c r="A125" s="25">
        <v>120</v>
      </c>
      <c r="B125" s="31" t="s">
        <v>139</v>
      </c>
      <c r="C125" s="32"/>
      <c r="D125" s="47">
        <v>0.2</v>
      </c>
      <c r="E125" s="37">
        <f t="shared" si="27"/>
        <v>0</v>
      </c>
      <c r="F125" s="32"/>
      <c r="G125" s="29">
        <f t="shared" si="28"/>
        <v>0</v>
      </c>
      <c r="H125" s="33">
        <v>0.2</v>
      </c>
      <c r="I125" s="29">
        <f t="shared" si="29"/>
        <v>0</v>
      </c>
    </row>
    <row r="126" s="16" customFormat="1" customHeight="1" spans="1:9">
      <c r="A126" s="25">
        <v>121</v>
      </c>
      <c r="B126" s="31" t="s">
        <v>140</v>
      </c>
      <c r="C126" s="32"/>
      <c r="D126" s="47">
        <v>0.2</v>
      </c>
      <c r="E126" s="37">
        <f t="shared" si="27"/>
        <v>0</v>
      </c>
      <c r="F126" s="32"/>
      <c r="G126" s="29">
        <f t="shared" si="28"/>
        <v>0</v>
      </c>
      <c r="H126" s="33">
        <v>0.3</v>
      </c>
      <c r="I126" s="29">
        <f t="shared" si="29"/>
        <v>0</v>
      </c>
    </row>
    <row r="127" s="16" customFormat="1" customHeight="1" spans="1:9">
      <c r="A127" s="25">
        <v>122</v>
      </c>
      <c r="B127" s="31" t="s">
        <v>141</v>
      </c>
      <c r="C127" s="32"/>
      <c r="D127" s="47">
        <v>0.2</v>
      </c>
      <c r="E127" s="37">
        <f t="shared" si="27"/>
        <v>0</v>
      </c>
      <c r="F127" s="32"/>
      <c r="G127" s="29">
        <f t="shared" si="28"/>
        <v>0</v>
      </c>
      <c r="H127" s="33">
        <v>0.4</v>
      </c>
      <c r="I127" s="29">
        <f t="shared" si="29"/>
        <v>0</v>
      </c>
    </row>
    <row r="128" s="16" customFormat="1" customHeight="1" spans="1:9">
      <c r="A128" s="25">
        <v>123</v>
      </c>
      <c r="B128" s="31" t="s">
        <v>142</v>
      </c>
      <c r="C128" s="32"/>
      <c r="D128" s="47">
        <v>0.2</v>
      </c>
      <c r="E128" s="37">
        <f t="shared" si="27"/>
        <v>0</v>
      </c>
      <c r="F128" s="32"/>
      <c r="G128" s="29">
        <f t="shared" si="28"/>
        <v>0</v>
      </c>
      <c r="H128" s="33">
        <v>0.45</v>
      </c>
      <c r="I128" s="29">
        <f t="shared" si="29"/>
        <v>0</v>
      </c>
    </row>
    <row r="129" s="16" customFormat="1" customHeight="1" spans="1:9">
      <c r="A129" s="25">
        <v>124</v>
      </c>
      <c r="B129" s="31" t="s">
        <v>143</v>
      </c>
      <c r="C129" s="32"/>
      <c r="D129" s="47">
        <v>0.2</v>
      </c>
      <c r="E129" s="37">
        <f t="shared" si="27"/>
        <v>0</v>
      </c>
      <c r="F129" s="32"/>
      <c r="G129" s="29">
        <f t="shared" si="28"/>
        <v>0</v>
      </c>
      <c r="H129" s="33">
        <v>0.5</v>
      </c>
      <c r="I129" s="29">
        <f t="shared" si="29"/>
        <v>0</v>
      </c>
    </row>
    <row r="130" s="16" customFormat="1" customHeight="1" spans="1:9">
      <c r="A130" s="25">
        <v>125</v>
      </c>
      <c r="B130" s="31" t="s">
        <v>144</v>
      </c>
      <c r="C130" s="32"/>
      <c r="D130" s="47">
        <v>0.2</v>
      </c>
      <c r="E130" s="37">
        <f t="shared" si="27"/>
        <v>0</v>
      </c>
      <c r="F130" s="32"/>
      <c r="G130" s="29">
        <f t="shared" si="28"/>
        <v>0</v>
      </c>
      <c r="H130" s="33">
        <v>0.6</v>
      </c>
      <c r="I130" s="29">
        <f t="shared" si="29"/>
        <v>0</v>
      </c>
    </row>
    <row r="131" s="16" customFormat="1" customHeight="1" spans="1:9">
      <c r="A131" s="25">
        <v>126</v>
      </c>
      <c r="B131" s="31" t="s">
        <v>145</v>
      </c>
      <c r="C131" s="32"/>
      <c r="D131" s="47">
        <v>0.2</v>
      </c>
      <c r="E131" s="37">
        <f t="shared" si="27"/>
        <v>0</v>
      </c>
      <c r="F131" s="32"/>
      <c r="G131" s="29">
        <f t="shared" si="28"/>
        <v>0</v>
      </c>
      <c r="H131" s="33">
        <v>0.75</v>
      </c>
      <c r="I131" s="29">
        <f t="shared" si="29"/>
        <v>0</v>
      </c>
    </row>
    <row r="132" s="16" customFormat="1" customHeight="1" spans="1:9">
      <c r="A132" s="25">
        <v>127</v>
      </c>
      <c r="B132" s="31" t="s">
        <v>146</v>
      </c>
      <c r="C132" s="32"/>
      <c r="D132" s="47">
        <v>0.2</v>
      </c>
      <c r="E132" s="37">
        <f t="shared" si="27"/>
        <v>0</v>
      </c>
      <c r="F132" s="32"/>
      <c r="G132" s="29">
        <f t="shared" si="28"/>
        <v>0</v>
      </c>
      <c r="H132" s="33">
        <v>0.85</v>
      </c>
      <c r="I132" s="29">
        <f t="shared" si="29"/>
        <v>0</v>
      </c>
    </row>
    <row r="133" s="16" customFormat="1" customHeight="1" spans="1:9">
      <c r="A133" s="25">
        <v>128</v>
      </c>
      <c r="B133" s="31" t="s">
        <v>147</v>
      </c>
      <c r="C133" s="32"/>
      <c r="D133" s="47">
        <v>0.2</v>
      </c>
      <c r="E133" s="37">
        <f t="shared" si="27"/>
        <v>0</v>
      </c>
      <c r="F133" s="32"/>
      <c r="G133" s="29">
        <f t="shared" si="28"/>
        <v>0</v>
      </c>
      <c r="H133" s="33">
        <v>1</v>
      </c>
      <c r="I133" s="29">
        <f t="shared" si="29"/>
        <v>0</v>
      </c>
    </row>
    <row r="134" s="16" customFormat="1" customHeight="1" spans="1:9">
      <c r="A134" s="25">
        <v>129</v>
      </c>
      <c r="B134" s="31" t="s">
        <v>148</v>
      </c>
      <c r="C134" s="32"/>
      <c r="D134" s="47">
        <v>0.2</v>
      </c>
      <c r="E134" s="37">
        <f t="shared" si="27"/>
        <v>0</v>
      </c>
      <c r="F134" s="32"/>
      <c r="G134" s="29">
        <f t="shared" si="28"/>
        <v>0</v>
      </c>
      <c r="H134" s="33">
        <v>1.5</v>
      </c>
      <c r="I134" s="29">
        <f t="shared" si="29"/>
        <v>0</v>
      </c>
    </row>
    <row r="135" s="17" customFormat="1" customHeight="1" spans="1:9">
      <c r="A135" s="25">
        <v>130</v>
      </c>
      <c r="B135" s="31" t="s">
        <v>149</v>
      </c>
      <c r="C135" s="32"/>
      <c r="D135" s="47">
        <v>0.2</v>
      </c>
      <c r="E135" s="37">
        <f t="shared" si="27"/>
        <v>0</v>
      </c>
      <c r="F135" s="32"/>
      <c r="G135" s="29">
        <f t="shared" si="28"/>
        <v>0</v>
      </c>
      <c r="H135" s="41"/>
      <c r="I135" s="32"/>
    </row>
    <row r="136" customHeight="1" spans="1:9">
      <c r="A136" s="25">
        <v>131</v>
      </c>
      <c r="B136" s="28" t="s">
        <v>150</v>
      </c>
      <c r="C136" s="29">
        <f>C137+C138+C152+C166+C195+C209+C223</f>
        <v>0</v>
      </c>
      <c r="D136" s="46"/>
      <c r="E136" s="29">
        <f>E137+E138+E152+E166+E195+E209+E223</f>
        <v>0</v>
      </c>
      <c r="F136" s="29">
        <f>F137+F138+F152+F166+F195+F209+F223</f>
        <v>0</v>
      </c>
      <c r="G136" s="29">
        <f>G137+G138+G152+G166+G195+G209+G223</f>
        <v>0</v>
      </c>
      <c r="H136" s="41"/>
      <c r="I136" s="29">
        <f>I137+I138+I152+I166+I195+I209+I223</f>
        <v>0</v>
      </c>
    </row>
    <row r="137" ht="24" spans="1:9">
      <c r="A137" s="25">
        <v>132</v>
      </c>
      <c r="B137" s="34" t="s">
        <v>151</v>
      </c>
      <c r="C137" s="32"/>
      <c r="D137" s="49">
        <v>0</v>
      </c>
      <c r="E137" s="37">
        <f t="shared" ref="E137:E151" si="30">C137*D137</f>
        <v>0</v>
      </c>
      <c r="F137" s="32"/>
      <c r="G137" s="29">
        <f t="shared" ref="G137:G151" si="31">E137-F137</f>
        <v>0</v>
      </c>
      <c r="H137" s="49">
        <v>0</v>
      </c>
      <c r="I137" s="29">
        <f>C137*D137*H137</f>
        <v>0</v>
      </c>
    </row>
    <row r="138" customHeight="1" spans="1:9">
      <c r="A138" s="25">
        <v>133</v>
      </c>
      <c r="B138" s="34" t="s">
        <v>152</v>
      </c>
      <c r="C138" s="29">
        <f>SUM(C139:C151)</f>
        <v>0</v>
      </c>
      <c r="D138" s="46"/>
      <c r="E138" s="29">
        <f>SUM(E139:E151)</f>
        <v>0</v>
      </c>
      <c r="F138" s="29">
        <f>SUM(F139:F151)</f>
        <v>0</v>
      </c>
      <c r="G138" s="29">
        <f>SUM(G139:G151)</f>
        <v>0</v>
      </c>
      <c r="H138" s="46"/>
      <c r="I138" s="29">
        <f>SUM(I139:I151)</f>
        <v>0</v>
      </c>
    </row>
    <row r="139" customHeight="1" spans="1:9">
      <c r="A139" s="25">
        <v>134</v>
      </c>
      <c r="B139" s="31" t="s">
        <v>153</v>
      </c>
      <c r="C139" s="32"/>
      <c r="D139" s="33">
        <v>0.1</v>
      </c>
      <c r="E139" s="37">
        <f t="shared" si="30"/>
        <v>0</v>
      </c>
      <c r="F139" s="32"/>
      <c r="G139" s="29">
        <f t="shared" si="31"/>
        <v>0</v>
      </c>
      <c r="H139" s="33">
        <v>0</v>
      </c>
      <c r="I139" s="29">
        <f t="shared" ref="I139:I150" si="32">G139*H139</f>
        <v>0</v>
      </c>
    </row>
    <row r="140" customHeight="1" spans="1:9">
      <c r="A140" s="25">
        <v>135</v>
      </c>
      <c r="B140" s="31" t="s">
        <v>154</v>
      </c>
      <c r="C140" s="32"/>
      <c r="D140" s="33">
        <v>0.1</v>
      </c>
      <c r="E140" s="37">
        <f t="shared" si="30"/>
        <v>0</v>
      </c>
      <c r="F140" s="32"/>
      <c r="G140" s="29">
        <f t="shared" si="31"/>
        <v>0</v>
      </c>
      <c r="H140" s="33">
        <v>0.1</v>
      </c>
      <c r="I140" s="29">
        <f t="shared" si="32"/>
        <v>0</v>
      </c>
    </row>
    <row r="141" customHeight="1" spans="1:9">
      <c r="A141" s="25">
        <v>136</v>
      </c>
      <c r="B141" s="31" t="s">
        <v>155</v>
      </c>
      <c r="C141" s="32"/>
      <c r="D141" s="33">
        <v>0.1</v>
      </c>
      <c r="E141" s="37">
        <f t="shared" si="30"/>
        <v>0</v>
      </c>
      <c r="F141" s="32"/>
      <c r="G141" s="29">
        <f t="shared" si="31"/>
        <v>0</v>
      </c>
      <c r="H141" s="33">
        <v>0.2</v>
      </c>
      <c r="I141" s="29">
        <f t="shared" si="32"/>
        <v>0</v>
      </c>
    </row>
    <row r="142" customHeight="1" spans="1:9">
      <c r="A142" s="25">
        <v>137</v>
      </c>
      <c r="B142" s="31" t="s">
        <v>156</v>
      </c>
      <c r="C142" s="32"/>
      <c r="D142" s="33">
        <v>0.1</v>
      </c>
      <c r="E142" s="37">
        <f t="shared" si="30"/>
        <v>0</v>
      </c>
      <c r="F142" s="32"/>
      <c r="G142" s="29">
        <f t="shared" si="31"/>
        <v>0</v>
      </c>
      <c r="H142" s="33">
        <v>0.3</v>
      </c>
      <c r="I142" s="29">
        <f t="shared" si="32"/>
        <v>0</v>
      </c>
    </row>
    <row r="143" customHeight="1" spans="1:9">
      <c r="A143" s="25">
        <v>138</v>
      </c>
      <c r="B143" s="31" t="s">
        <v>157</v>
      </c>
      <c r="C143" s="32"/>
      <c r="D143" s="33">
        <v>0.1</v>
      </c>
      <c r="E143" s="37">
        <f t="shared" si="30"/>
        <v>0</v>
      </c>
      <c r="F143" s="32"/>
      <c r="G143" s="29">
        <f t="shared" si="31"/>
        <v>0</v>
      </c>
      <c r="H143" s="33">
        <v>0.4</v>
      </c>
      <c r="I143" s="29">
        <f t="shared" si="32"/>
        <v>0</v>
      </c>
    </row>
    <row r="144" customHeight="1" spans="1:9">
      <c r="A144" s="25">
        <v>139</v>
      </c>
      <c r="B144" s="31" t="s">
        <v>158</v>
      </c>
      <c r="C144" s="32"/>
      <c r="D144" s="33">
        <v>0.1</v>
      </c>
      <c r="E144" s="37">
        <f t="shared" si="30"/>
        <v>0</v>
      </c>
      <c r="F144" s="32"/>
      <c r="G144" s="29">
        <f t="shared" si="31"/>
        <v>0</v>
      </c>
      <c r="H144" s="33">
        <v>0.45</v>
      </c>
      <c r="I144" s="29">
        <f t="shared" si="32"/>
        <v>0</v>
      </c>
    </row>
    <row r="145" customHeight="1" spans="1:9">
      <c r="A145" s="25">
        <v>140</v>
      </c>
      <c r="B145" s="31" t="s">
        <v>159</v>
      </c>
      <c r="C145" s="32"/>
      <c r="D145" s="33">
        <v>0.1</v>
      </c>
      <c r="E145" s="37">
        <f t="shared" si="30"/>
        <v>0</v>
      </c>
      <c r="F145" s="32"/>
      <c r="G145" s="29">
        <f t="shared" si="31"/>
        <v>0</v>
      </c>
      <c r="H145" s="33">
        <v>0.5</v>
      </c>
      <c r="I145" s="29">
        <f t="shared" si="32"/>
        <v>0</v>
      </c>
    </row>
    <row r="146" customHeight="1" spans="1:9">
      <c r="A146" s="25">
        <v>141</v>
      </c>
      <c r="B146" s="31" t="s">
        <v>160</v>
      </c>
      <c r="C146" s="32"/>
      <c r="D146" s="33">
        <v>0.1</v>
      </c>
      <c r="E146" s="37">
        <f t="shared" si="30"/>
        <v>0</v>
      </c>
      <c r="F146" s="32"/>
      <c r="G146" s="29">
        <f t="shared" si="31"/>
        <v>0</v>
      </c>
      <c r="H146" s="33">
        <v>0.6</v>
      </c>
      <c r="I146" s="29">
        <f t="shared" si="32"/>
        <v>0</v>
      </c>
    </row>
    <row r="147" customHeight="1" spans="1:9">
      <c r="A147" s="25">
        <v>142</v>
      </c>
      <c r="B147" s="31" t="s">
        <v>161</v>
      </c>
      <c r="C147" s="32"/>
      <c r="D147" s="33">
        <v>0.1</v>
      </c>
      <c r="E147" s="37">
        <f t="shared" si="30"/>
        <v>0</v>
      </c>
      <c r="F147" s="32"/>
      <c r="G147" s="29">
        <f t="shared" si="31"/>
        <v>0</v>
      </c>
      <c r="H147" s="33">
        <v>0.75</v>
      </c>
      <c r="I147" s="29">
        <f t="shared" si="32"/>
        <v>0</v>
      </c>
    </row>
    <row r="148" customHeight="1" spans="1:9">
      <c r="A148" s="25">
        <v>143</v>
      </c>
      <c r="B148" s="31" t="s">
        <v>162</v>
      </c>
      <c r="C148" s="32"/>
      <c r="D148" s="33">
        <v>0.1</v>
      </c>
      <c r="E148" s="37">
        <f t="shared" si="30"/>
        <v>0</v>
      </c>
      <c r="F148" s="32"/>
      <c r="G148" s="29">
        <f t="shared" si="31"/>
        <v>0</v>
      </c>
      <c r="H148" s="33">
        <v>0.85</v>
      </c>
      <c r="I148" s="29">
        <f t="shared" si="32"/>
        <v>0</v>
      </c>
    </row>
    <row r="149" customHeight="1" spans="1:9">
      <c r="A149" s="25">
        <v>144</v>
      </c>
      <c r="B149" s="31" t="s">
        <v>163</v>
      </c>
      <c r="C149" s="32"/>
      <c r="D149" s="33">
        <v>0.1</v>
      </c>
      <c r="E149" s="37">
        <f t="shared" si="30"/>
        <v>0</v>
      </c>
      <c r="F149" s="32"/>
      <c r="G149" s="29">
        <f t="shared" si="31"/>
        <v>0</v>
      </c>
      <c r="H149" s="33">
        <v>1</v>
      </c>
      <c r="I149" s="29">
        <f t="shared" si="32"/>
        <v>0</v>
      </c>
    </row>
    <row r="150" customHeight="1" spans="1:9">
      <c r="A150" s="25">
        <v>145</v>
      </c>
      <c r="B150" s="31" t="s">
        <v>164</v>
      </c>
      <c r="C150" s="32"/>
      <c r="D150" s="33">
        <v>0.1</v>
      </c>
      <c r="E150" s="37">
        <f t="shared" si="30"/>
        <v>0</v>
      </c>
      <c r="F150" s="32"/>
      <c r="G150" s="29">
        <f t="shared" si="31"/>
        <v>0</v>
      </c>
      <c r="H150" s="33">
        <v>1.5</v>
      </c>
      <c r="I150" s="29">
        <f t="shared" si="32"/>
        <v>0</v>
      </c>
    </row>
    <row r="151" customHeight="1" spans="1:9">
      <c r="A151" s="25">
        <v>146</v>
      </c>
      <c r="B151" s="31" t="s">
        <v>165</v>
      </c>
      <c r="C151" s="32"/>
      <c r="D151" s="33">
        <v>0.1</v>
      </c>
      <c r="E151" s="37">
        <f t="shared" si="30"/>
        <v>0</v>
      </c>
      <c r="F151" s="32"/>
      <c r="G151" s="29">
        <f t="shared" si="31"/>
        <v>0</v>
      </c>
      <c r="H151" s="41"/>
      <c r="I151" s="32"/>
    </row>
    <row r="152" s="16" customFormat="1" customHeight="1" spans="1:9">
      <c r="A152" s="35">
        <v>147</v>
      </c>
      <c r="B152" s="36" t="s">
        <v>166</v>
      </c>
      <c r="C152" s="37">
        <f t="shared" ref="C152:G152" si="33">SUM(C153:C165)</f>
        <v>0</v>
      </c>
      <c r="D152" s="41"/>
      <c r="E152" s="37">
        <f t="shared" si="33"/>
        <v>0</v>
      </c>
      <c r="F152" s="37">
        <f t="shared" si="33"/>
        <v>0</v>
      </c>
      <c r="G152" s="37">
        <f t="shared" si="33"/>
        <v>0</v>
      </c>
      <c r="H152" s="41"/>
      <c r="I152" s="37">
        <f>SUM(I153:I165)</f>
        <v>0</v>
      </c>
    </row>
    <row r="153" customHeight="1" spans="1:9">
      <c r="A153" s="25">
        <v>148</v>
      </c>
      <c r="B153" s="31" t="s">
        <v>167</v>
      </c>
      <c r="C153" s="39"/>
      <c r="D153" s="33">
        <v>0.4</v>
      </c>
      <c r="E153" s="37">
        <f t="shared" ref="E153:E159" si="34">C153*D153</f>
        <v>0</v>
      </c>
      <c r="F153" s="39"/>
      <c r="G153" s="29">
        <f t="shared" ref="G153:G163" si="35">E153-F153</f>
        <v>0</v>
      </c>
      <c r="H153" s="33">
        <v>0</v>
      </c>
      <c r="I153" s="29">
        <f t="shared" ref="I153:I158" si="36">G153*H153</f>
        <v>0</v>
      </c>
    </row>
    <row r="154" customHeight="1" spans="1:9">
      <c r="A154" s="25">
        <v>149</v>
      </c>
      <c r="B154" s="31" t="s">
        <v>168</v>
      </c>
      <c r="C154" s="39"/>
      <c r="D154" s="33">
        <v>0.4</v>
      </c>
      <c r="E154" s="37">
        <f t="shared" si="34"/>
        <v>0</v>
      </c>
      <c r="F154" s="39"/>
      <c r="G154" s="29">
        <f t="shared" si="35"/>
        <v>0</v>
      </c>
      <c r="H154" s="33">
        <v>0.1</v>
      </c>
      <c r="I154" s="29">
        <f t="shared" si="36"/>
        <v>0</v>
      </c>
    </row>
    <row r="155" customHeight="1" spans="1:9">
      <c r="A155" s="25">
        <v>150</v>
      </c>
      <c r="B155" s="31" t="s">
        <v>169</v>
      </c>
      <c r="C155" s="39"/>
      <c r="D155" s="33">
        <v>0.4</v>
      </c>
      <c r="E155" s="37">
        <f t="shared" si="34"/>
        <v>0</v>
      </c>
      <c r="F155" s="39"/>
      <c r="G155" s="29">
        <f t="shared" si="35"/>
        <v>0</v>
      </c>
      <c r="H155" s="33">
        <v>0.2</v>
      </c>
      <c r="I155" s="29">
        <f t="shared" si="36"/>
        <v>0</v>
      </c>
    </row>
    <row r="156" customHeight="1" spans="1:9">
      <c r="A156" s="25">
        <v>151</v>
      </c>
      <c r="B156" s="31" t="s">
        <v>170</v>
      </c>
      <c r="C156" s="32"/>
      <c r="D156" s="33">
        <v>0.4</v>
      </c>
      <c r="E156" s="37">
        <f t="shared" si="34"/>
        <v>0</v>
      </c>
      <c r="F156" s="32"/>
      <c r="G156" s="29">
        <f t="shared" si="35"/>
        <v>0</v>
      </c>
      <c r="H156" s="33">
        <v>0.3</v>
      </c>
      <c r="I156" s="29">
        <f t="shared" si="36"/>
        <v>0</v>
      </c>
    </row>
    <row r="157" customHeight="1" spans="1:9">
      <c r="A157" s="25">
        <v>152</v>
      </c>
      <c r="B157" s="31" t="s">
        <v>171</v>
      </c>
      <c r="C157" s="32"/>
      <c r="D157" s="33">
        <v>0.4</v>
      </c>
      <c r="E157" s="37">
        <f t="shared" si="34"/>
        <v>0</v>
      </c>
      <c r="F157" s="32"/>
      <c r="G157" s="29">
        <f t="shared" si="35"/>
        <v>0</v>
      </c>
      <c r="H157" s="33">
        <v>0.4</v>
      </c>
      <c r="I157" s="29">
        <f t="shared" si="36"/>
        <v>0</v>
      </c>
    </row>
    <row r="158" customHeight="1" spans="1:9">
      <c r="A158" s="25">
        <v>153</v>
      </c>
      <c r="B158" s="31" t="s">
        <v>172</v>
      </c>
      <c r="C158" s="32"/>
      <c r="D158" s="33">
        <v>0.4</v>
      </c>
      <c r="E158" s="37">
        <f t="shared" si="34"/>
        <v>0</v>
      </c>
      <c r="F158" s="32"/>
      <c r="G158" s="29">
        <f t="shared" si="35"/>
        <v>0</v>
      </c>
      <c r="H158" s="33">
        <v>0.45</v>
      </c>
      <c r="I158" s="29">
        <f t="shared" si="36"/>
        <v>0</v>
      </c>
    </row>
    <row r="159" customHeight="1" spans="1:9">
      <c r="A159" s="25">
        <v>154</v>
      </c>
      <c r="B159" s="31" t="s">
        <v>173</v>
      </c>
      <c r="C159" s="32"/>
      <c r="D159" s="33">
        <v>0.4</v>
      </c>
      <c r="E159" s="37">
        <f t="shared" si="34"/>
        <v>0</v>
      </c>
      <c r="F159" s="32"/>
      <c r="G159" s="29">
        <f t="shared" si="35"/>
        <v>0</v>
      </c>
      <c r="H159" s="33">
        <v>0.5</v>
      </c>
      <c r="I159" s="29">
        <f t="shared" ref="I159:I164" si="37">G159*H159</f>
        <v>0</v>
      </c>
    </row>
    <row r="160" customHeight="1" spans="1:9">
      <c r="A160" s="25">
        <v>155</v>
      </c>
      <c r="B160" s="31" t="s">
        <v>174</v>
      </c>
      <c r="C160" s="32"/>
      <c r="D160" s="33">
        <v>0.4</v>
      </c>
      <c r="E160" s="37">
        <f t="shared" ref="E160:E165" si="38">C160*D160</f>
        <v>0</v>
      </c>
      <c r="F160" s="32"/>
      <c r="G160" s="29">
        <f t="shared" si="35"/>
        <v>0</v>
      </c>
      <c r="H160" s="33">
        <v>0.6</v>
      </c>
      <c r="I160" s="29">
        <f t="shared" si="37"/>
        <v>0</v>
      </c>
    </row>
    <row r="161" customHeight="1" spans="1:9">
      <c r="A161" s="25">
        <v>156</v>
      </c>
      <c r="B161" s="31" t="s">
        <v>175</v>
      </c>
      <c r="C161" s="32"/>
      <c r="D161" s="33">
        <v>0.4</v>
      </c>
      <c r="E161" s="37">
        <f t="shared" si="38"/>
        <v>0</v>
      </c>
      <c r="F161" s="32"/>
      <c r="G161" s="29">
        <f t="shared" si="35"/>
        <v>0</v>
      </c>
      <c r="H161" s="33">
        <v>0.75</v>
      </c>
      <c r="I161" s="29">
        <f t="shared" si="37"/>
        <v>0</v>
      </c>
    </row>
    <row r="162" customHeight="1" spans="1:9">
      <c r="A162" s="25">
        <v>157</v>
      </c>
      <c r="B162" s="31" t="s">
        <v>176</v>
      </c>
      <c r="C162" s="32"/>
      <c r="D162" s="33">
        <v>0.4</v>
      </c>
      <c r="E162" s="37">
        <f t="shared" si="38"/>
        <v>0</v>
      </c>
      <c r="F162" s="32"/>
      <c r="G162" s="29">
        <f t="shared" si="35"/>
        <v>0</v>
      </c>
      <c r="H162" s="33">
        <v>0.85</v>
      </c>
      <c r="I162" s="29">
        <f t="shared" si="37"/>
        <v>0</v>
      </c>
    </row>
    <row r="163" customHeight="1" spans="1:9">
      <c r="A163" s="25">
        <v>158</v>
      </c>
      <c r="B163" s="31" t="s">
        <v>177</v>
      </c>
      <c r="C163" s="32"/>
      <c r="D163" s="33">
        <v>0.4</v>
      </c>
      <c r="E163" s="37">
        <f t="shared" si="38"/>
        <v>0</v>
      </c>
      <c r="F163" s="32"/>
      <c r="G163" s="29">
        <f t="shared" si="35"/>
        <v>0</v>
      </c>
      <c r="H163" s="33">
        <v>1</v>
      </c>
      <c r="I163" s="29">
        <f t="shared" si="37"/>
        <v>0</v>
      </c>
    </row>
    <row r="164" customHeight="1" spans="1:9">
      <c r="A164" s="25">
        <v>159</v>
      </c>
      <c r="B164" s="31" t="s">
        <v>178</v>
      </c>
      <c r="C164" s="32"/>
      <c r="D164" s="33">
        <v>0.4</v>
      </c>
      <c r="E164" s="37">
        <f t="shared" si="38"/>
        <v>0</v>
      </c>
      <c r="F164" s="32"/>
      <c r="G164" s="29">
        <f t="shared" ref="G164:G165" si="39">E164-F164</f>
        <v>0</v>
      </c>
      <c r="H164" s="33">
        <v>1.5</v>
      </c>
      <c r="I164" s="29">
        <f t="shared" si="37"/>
        <v>0</v>
      </c>
    </row>
    <row r="165" customHeight="1" spans="1:9">
      <c r="A165" s="25">
        <v>160</v>
      </c>
      <c r="B165" s="31" t="s">
        <v>179</v>
      </c>
      <c r="C165" s="32"/>
      <c r="D165" s="33">
        <v>0.4</v>
      </c>
      <c r="E165" s="37">
        <f t="shared" si="38"/>
        <v>0</v>
      </c>
      <c r="F165" s="32"/>
      <c r="G165" s="29">
        <f t="shared" si="39"/>
        <v>0</v>
      </c>
      <c r="H165" s="41"/>
      <c r="I165" s="32"/>
    </row>
    <row r="166" customHeight="1" spans="1:9">
      <c r="A166" s="25">
        <v>161</v>
      </c>
      <c r="B166" s="28" t="s">
        <v>180</v>
      </c>
      <c r="C166" s="29">
        <f>C167+C181</f>
        <v>0</v>
      </c>
      <c r="D166" s="30"/>
      <c r="E166" s="29">
        <f>E167+E181</f>
        <v>0</v>
      </c>
      <c r="F166" s="29">
        <f>F167+F181</f>
        <v>0</v>
      </c>
      <c r="G166" s="29">
        <f>G167+G181</f>
        <v>0</v>
      </c>
      <c r="H166" s="41"/>
      <c r="I166" s="29">
        <f>I167+I181</f>
        <v>0</v>
      </c>
    </row>
    <row r="167" customHeight="1" spans="1:9">
      <c r="A167" s="25">
        <v>162</v>
      </c>
      <c r="B167" s="36" t="s">
        <v>181</v>
      </c>
      <c r="C167" s="29">
        <f>SUM(C168:C180)</f>
        <v>0</v>
      </c>
      <c r="D167" s="30"/>
      <c r="E167" s="29">
        <f>SUM(E168:E180)</f>
        <v>0</v>
      </c>
      <c r="F167" s="29">
        <f>SUM(F168:F180)</f>
        <v>0</v>
      </c>
      <c r="G167" s="29">
        <f>SUM(G168:G180)</f>
        <v>0</v>
      </c>
      <c r="H167" s="41"/>
      <c r="I167" s="29">
        <f>SUM(I168:I180)</f>
        <v>0</v>
      </c>
    </row>
    <row r="168" customHeight="1" spans="1:9">
      <c r="A168" s="25">
        <v>163</v>
      </c>
      <c r="B168" s="31" t="s">
        <v>182</v>
      </c>
      <c r="C168" s="32"/>
      <c r="D168" s="33">
        <v>0.2</v>
      </c>
      <c r="E168" s="37">
        <f t="shared" ref="E168:E176" si="40">C168*D168</f>
        <v>0</v>
      </c>
      <c r="F168" s="32"/>
      <c r="G168" s="29">
        <f t="shared" ref="G168:G177" si="41">E168-F168</f>
        <v>0</v>
      </c>
      <c r="H168" s="33">
        <v>0</v>
      </c>
      <c r="I168" s="29">
        <f t="shared" ref="I168:I174" si="42">G168*H168</f>
        <v>0</v>
      </c>
    </row>
    <row r="169" customHeight="1" spans="1:9">
      <c r="A169" s="25">
        <v>164</v>
      </c>
      <c r="B169" s="31" t="s">
        <v>183</v>
      </c>
      <c r="C169" s="32"/>
      <c r="D169" s="33">
        <v>0.2</v>
      </c>
      <c r="E169" s="37">
        <f t="shared" si="40"/>
        <v>0</v>
      </c>
      <c r="F169" s="32"/>
      <c r="G169" s="29">
        <f t="shared" si="41"/>
        <v>0</v>
      </c>
      <c r="H169" s="33">
        <v>0.1</v>
      </c>
      <c r="I169" s="29"/>
    </row>
    <row r="170" customHeight="1" spans="1:9">
      <c r="A170" s="25">
        <v>165</v>
      </c>
      <c r="B170" s="31" t="s">
        <v>184</v>
      </c>
      <c r="C170" s="32"/>
      <c r="D170" s="33">
        <v>0.2</v>
      </c>
      <c r="E170" s="37">
        <f t="shared" si="40"/>
        <v>0</v>
      </c>
      <c r="F170" s="32"/>
      <c r="G170" s="29">
        <f t="shared" si="41"/>
        <v>0</v>
      </c>
      <c r="H170" s="33">
        <v>0.2</v>
      </c>
      <c r="I170" s="29">
        <f t="shared" si="42"/>
        <v>0</v>
      </c>
    </row>
    <row r="171" customHeight="1" spans="1:9">
      <c r="A171" s="25">
        <v>166</v>
      </c>
      <c r="B171" s="31" t="s">
        <v>185</v>
      </c>
      <c r="C171" s="32"/>
      <c r="D171" s="33">
        <v>0.2</v>
      </c>
      <c r="E171" s="37">
        <f t="shared" si="40"/>
        <v>0</v>
      </c>
      <c r="F171" s="32"/>
      <c r="G171" s="29">
        <f t="shared" si="41"/>
        <v>0</v>
      </c>
      <c r="H171" s="33">
        <v>0.3</v>
      </c>
      <c r="I171" s="29">
        <f t="shared" si="42"/>
        <v>0</v>
      </c>
    </row>
    <row r="172" customHeight="1" spans="1:9">
      <c r="A172" s="25">
        <v>167</v>
      </c>
      <c r="B172" s="31" t="s">
        <v>186</v>
      </c>
      <c r="C172" s="32"/>
      <c r="D172" s="33">
        <v>0.2</v>
      </c>
      <c r="E172" s="37">
        <f t="shared" si="40"/>
        <v>0</v>
      </c>
      <c r="F172" s="32"/>
      <c r="G172" s="29">
        <f t="shared" si="41"/>
        <v>0</v>
      </c>
      <c r="H172" s="33">
        <v>0.4</v>
      </c>
      <c r="I172" s="29">
        <f t="shared" si="42"/>
        <v>0</v>
      </c>
    </row>
    <row r="173" customHeight="1" spans="1:9">
      <c r="A173" s="25">
        <v>168</v>
      </c>
      <c r="B173" s="31" t="s">
        <v>187</v>
      </c>
      <c r="C173" s="32"/>
      <c r="D173" s="33">
        <v>0.2</v>
      </c>
      <c r="E173" s="37">
        <f t="shared" si="40"/>
        <v>0</v>
      </c>
      <c r="F173" s="32"/>
      <c r="G173" s="29">
        <f t="shared" si="41"/>
        <v>0</v>
      </c>
      <c r="H173" s="33">
        <v>0.45</v>
      </c>
      <c r="I173" s="29">
        <f t="shared" si="42"/>
        <v>0</v>
      </c>
    </row>
    <row r="174" customHeight="1" spans="1:9">
      <c r="A174" s="25">
        <v>169</v>
      </c>
      <c r="B174" s="31" t="s">
        <v>188</v>
      </c>
      <c r="C174" s="32"/>
      <c r="D174" s="33">
        <v>0.2</v>
      </c>
      <c r="E174" s="37">
        <f t="shared" si="40"/>
        <v>0</v>
      </c>
      <c r="F174" s="32"/>
      <c r="G174" s="29">
        <f t="shared" si="41"/>
        <v>0</v>
      </c>
      <c r="H174" s="33">
        <v>0.5</v>
      </c>
      <c r="I174" s="29">
        <f t="shared" si="42"/>
        <v>0</v>
      </c>
    </row>
    <row r="175" customHeight="1" spans="1:9">
      <c r="A175" s="25">
        <v>170</v>
      </c>
      <c r="B175" s="31" t="s">
        <v>189</v>
      </c>
      <c r="C175" s="32"/>
      <c r="D175" s="33">
        <v>0.2</v>
      </c>
      <c r="E175" s="37">
        <f t="shared" si="40"/>
        <v>0</v>
      </c>
      <c r="F175" s="32"/>
      <c r="G175" s="29">
        <f t="shared" si="41"/>
        <v>0</v>
      </c>
      <c r="H175" s="33">
        <v>0.6</v>
      </c>
      <c r="I175" s="29">
        <f t="shared" ref="I175:I179" si="43">G175*H175</f>
        <v>0</v>
      </c>
    </row>
    <row r="176" customHeight="1" spans="1:9">
      <c r="A176" s="25">
        <v>171</v>
      </c>
      <c r="B176" s="31" t="s">
        <v>190</v>
      </c>
      <c r="C176" s="32"/>
      <c r="D176" s="33">
        <v>0.2</v>
      </c>
      <c r="E176" s="37">
        <f t="shared" si="40"/>
        <v>0</v>
      </c>
      <c r="F176" s="32"/>
      <c r="G176" s="29">
        <f t="shared" si="41"/>
        <v>0</v>
      </c>
      <c r="H176" s="33">
        <v>0.75</v>
      </c>
      <c r="I176" s="29">
        <f t="shared" si="43"/>
        <v>0</v>
      </c>
    </row>
    <row r="177" customHeight="1" spans="1:9">
      <c r="A177" s="25">
        <v>172</v>
      </c>
      <c r="B177" s="31" t="s">
        <v>191</v>
      </c>
      <c r="C177" s="32"/>
      <c r="D177" s="33">
        <v>0.2</v>
      </c>
      <c r="E177" s="37">
        <f t="shared" ref="E177:E180" si="44">C177*D177</f>
        <v>0</v>
      </c>
      <c r="F177" s="32"/>
      <c r="G177" s="29">
        <f t="shared" si="41"/>
        <v>0</v>
      </c>
      <c r="H177" s="33">
        <v>0.85</v>
      </c>
      <c r="I177" s="29">
        <f t="shared" si="43"/>
        <v>0</v>
      </c>
    </row>
    <row r="178" customHeight="1" spans="1:9">
      <c r="A178" s="25">
        <v>173</v>
      </c>
      <c r="B178" s="31" t="s">
        <v>192</v>
      </c>
      <c r="C178" s="32"/>
      <c r="D178" s="33">
        <v>0.2</v>
      </c>
      <c r="E178" s="37">
        <f t="shared" si="44"/>
        <v>0</v>
      </c>
      <c r="F178" s="32"/>
      <c r="G178" s="29">
        <f t="shared" ref="G178:G180" si="45">E178-F178</f>
        <v>0</v>
      </c>
      <c r="H178" s="33">
        <v>1</v>
      </c>
      <c r="I178" s="29">
        <f t="shared" si="43"/>
        <v>0</v>
      </c>
    </row>
    <row r="179" ht="20" customHeight="1" spans="1:9">
      <c r="A179" s="25">
        <v>174</v>
      </c>
      <c r="B179" s="31" t="s">
        <v>193</v>
      </c>
      <c r="C179" s="32"/>
      <c r="D179" s="33">
        <v>0.2</v>
      </c>
      <c r="E179" s="37">
        <f t="shared" si="44"/>
        <v>0</v>
      </c>
      <c r="F179" s="32"/>
      <c r="G179" s="29">
        <f t="shared" si="45"/>
        <v>0</v>
      </c>
      <c r="H179" s="33">
        <v>1.5</v>
      </c>
      <c r="I179" s="29">
        <f t="shared" si="43"/>
        <v>0</v>
      </c>
    </row>
    <row r="180" customHeight="1" spans="1:9">
      <c r="A180" s="25">
        <v>175</v>
      </c>
      <c r="B180" s="31" t="s">
        <v>194</v>
      </c>
      <c r="C180" s="32"/>
      <c r="D180" s="33">
        <v>0.2</v>
      </c>
      <c r="E180" s="37">
        <f t="shared" si="44"/>
        <v>0</v>
      </c>
      <c r="F180" s="32"/>
      <c r="G180" s="29">
        <f t="shared" si="45"/>
        <v>0</v>
      </c>
      <c r="H180" s="41"/>
      <c r="I180" s="32"/>
    </row>
    <row r="181" customHeight="1" spans="1:9">
      <c r="A181" s="25">
        <v>176</v>
      </c>
      <c r="B181" s="36" t="s">
        <v>195</v>
      </c>
      <c r="C181" s="29">
        <f>SUM(C182:C194)</f>
        <v>0</v>
      </c>
      <c r="D181" s="30"/>
      <c r="E181" s="29">
        <f>SUM(E182:E194)</f>
        <v>0</v>
      </c>
      <c r="F181" s="29">
        <f>SUM(F182:F194)</f>
        <v>0</v>
      </c>
      <c r="G181" s="29">
        <f>SUM(G182:G194)</f>
        <v>0</v>
      </c>
      <c r="H181" s="41"/>
      <c r="I181" s="29">
        <f>SUM(I182:I194)</f>
        <v>0</v>
      </c>
    </row>
    <row r="182" customHeight="1" spans="1:9">
      <c r="A182" s="25">
        <v>177</v>
      </c>
      <c r="B182" s="31" t="s">
        <v>196</v>
      </c>
      <c r="C182" s="32"/>
      <c r="D182" s="33">
        <v>0.4</v>
      </c>
      <c r="E182" s="37">
        <f>C182*D182</f>
        <v>0</v>
      </c>
      <c r="F182" s="32"/>
      <c r="G182" s="29">
        <f>E182-F182</f>
        <v>0</v>
      </c>
      <c r="H182" s="33">
        <v>0</v>
      </c>
      <c r="I182" s="29">
        <f>G182*H182</f>
        <v>0</v>
      </c>
    </row>
    <row r="183" customHeight="1" spans="1:9">
      <c r="A183" s="25">
        <v>178</v>
      </c>
      <c r="B183" s="31" t="s">
        <v>197</v>
      </c>
      <c r="C183" s="32"/>
      <c r="D183" s="33">
        <v>0.4</v>
      </c>
      <c r="E183" s="37">
        <f t="shared" ref="E183:E189" si="46">C183*D183</f>
        <v>0</v>
      </c>
      <c r="F183" s="32"/>
      <c r="G183" s="29">
        <f t="shared" ref="G183:G189" si="47">E183-F183</f>
        <v>0</v>
      </c>
      <c r="H183" s="33">
        <v>0.1</v>
      </c>
      <c r="I183" s="29">
        <f t="shared" ref="I183:I191" si="48">G183*H183</f>
        <v>0</v>
      </c>
    </row>
    <row r="184" customHeight="1" spans="1:9">
      <c r="A184" s="25">
        <v>179</v>
      </c>
      <c r="B184" s="31" t="s">
        <v>198</v>
      </c>
      <c r="C184" s="32"/>
      <c r="D184" s="33">
        <v>0.4</v>
      </c>
      <c r="E184" s="37">
        <f t="shared" si="46"/>
        <v>0</v>
      </c>
      <c r="F184" s="32"/>
      <c r="G184" s="29">
        <f t="shared" si="47"/>
        <v>0</v>
      </c>
      <c r="H184" s="33">
        <v>0.2</v>
      </c>
      <c r="I184" s="29">
        <f t="shared" si="48"/>
        <v>0</v>
      </c>
    </row>
    <row r="185" customHeight="1" spans="1:9">
      <c r="A185" s="25">
        <v>180</v>
      </c>
      <c r="B185" s="31" t="s">
        <v>199</v>
      </c>
      <c r="C185" s="32"/>
      <c r="D185" s="33">
        <v>0.4</v>
      </c>
      <c r="E185" s="37">
        <f t="shared" si="46"/>
        <v>0</v>
      </c>
      <c r="F185" s="32"/>
      <c r="G185" s="29">
        <f t="shared" si="47"/>
        <v>0</v>
      </c>
      <c r="H185" s="33">
        <v>0.3</v>
      </c>
      <c r="I185" s="29">
        <f t="shared" si="48"/>
        <v>0</v>
      </c>
    </row>
    <row r="186" customHeight="1" spans="1:9">
      <c r="A186" s="25">
        <v>181</v>
      </c>
      <c r="B186" s="31" t="s">
        <v>200</v>
      </c>
      <c r="C186" s="32"/>
      <c r="D186" s="33">
        <v>0.4</v>
      </c>
      <c r="E186" s="37">
        <f t="shared" si="46"/>
        <v>0</v>
      </c>
      <c r="F186" s="32"/>
      <c r="G186" s="29">
        <f t="shared" si="47"/>
        <v>0</v>
      </c>
      <c r="H186" s="33">
        <v>0.4</v>
      </c>
      <c r="I186" s="29">
        <f t="shared" si="48"/>
        <v>0</v>
      </c>
    </row>
    <row r="187" customHeight="1" spans="1:9">
      <c r="A187" s="25">
        <v>182</v>
      </c>
      <c r="B187" s="31" t="s">
        <v>201</v>
      </c>
      <c r="C187" s="32"/>
      <c r="D187" s="33">
        <v>0.4</v>
      </c>
      <c r="E187" s="37">
        <f t="shared" si="46"/>
        <v>0</v>
      </c>
      <c r="F187" s="32"/>
      <c r="G187" s="29">
        <f t="shared" si="47"/>
        <v>0</v>
      </c>
      <c r="H187" s="33">
        <v>0.45</v>
      </c>
      <c r="I187" s="29">
        <f t="shared" si="48"/>
        <v>0</v>
      </c>
    </row>
    <row r="188" customHeight="1" spans="1:9">
      <c r="A188" s="25">
        <v>183</v>
      </c>
      <c r="B188" s="31" t="s">
        <v>202</v>
      </c>
      <c r="C188" s="32"/>
      <c r="D188" s="33">
        <v>0.4</v>
      </c>
      <c r="E188" s="37">
        <f t="shared" si="46"/>
        <v>0</v>
      </c>
      <c r="F188" s="32"/>
      <c r="G188" s="29">
        <f t="shared" si="47"/>
        <v>0</v>
      </c>
      <c r="H188" s="33">
        <v>0.5</v>
      </c>
      <c r="I188" s="29">
        <f t="shared" si="48"/>
        <v>0</v>
      </c>
    </row>
    <row r="189" customHeight="1" spans="1:9">
      <c r="A189" s="25">
        <v>184</v>
      </c>
      <c r="B189" s="31" t="s">
        <v>203</v>
      </c>
      <c r="C189" s="32"/>
      <c r="D189" s="33">
        <v>0.4</v>
      </c>
      <c r="E189" s="37">
        <f t="shared" si="46"/>
        <v>0</v>
      </c>
      <c r="F189" s="32"/>
      <c r="G189" s="29">
        <f t="shared" si="47"/>
        <v>0</v>
      </c>
      <c r="H189" s="33">
        <v>0.6</v>
      </c>
      <c r="I189" s="29">
        <f t="shared" si="48"/>
        <v>0</v>
      </c>
    </row>
    <row r="190" customHeight="1" spans="1:9">
      <c r="A190" s="25">
        <v>185</v>
      </c>
      <c r="B190" s="31" t="s">
        <v>204</v>
      </c>
      <c r="C190" s="32"/>
      <c r="D190" s="33">
        <v>0.4</v>
      </c>
      <c r="E190" s="37">
        <f t="shared" ref="E190:E194" si="49">C190*D190</f>
        <v>0</v>
      </c>
      <c r="F190" s="32"/>
      <c r="G190" s="29">
        <f t="shared" ref="G190:G194" si="50">E190-F190</f>
        <v>0</v>
      </c>
      <c r="H190" s="33">
        <v>0.75</v>
      </c>
      <c r="I190" s="29">
        <f t="shared" si="48"/>
        <v>0</v>
      </c>
    </row>
    <row r="191" customHeight="1" spans="1:9">
      <c r="A191" s="25">
        <v>186</v>
      </c>
      <c r="B191" s="31" t="s">
        <v>205</v>
      </c>
      <c r="C191" s="32"/>
      <c r="D191" s="33">
        <v>0.4</v>
      </c>
      <c r="E191" s="37">
        <f t="shared" si="49"/>
        <v>0</v>
      </c>
      <c r="F191" s="32"/>
      <c r="G191" s="29">
        <f t="shared" si="50"/>
        <v>0</v>
      </c>
      <c r="H191" s="33">
        <v>0.85</v>
      </c>
      <c r="I191" s="29">
        <f t="shared" si="48"/>
        <v>0</v>
      </c>
    </row>
    <row r="192" customHeight="1" spans="1:9">
      <c r="A192" s="25">
        <v>187</v>
      </c>
      <c r="B192" s="31" t="s">
        <v>206</v>
      </c>
      <c r="C192" s="32"/>
      <c r="D192" s="33">
        <v>0.4</v>
      </c>
      <c r="E192" s="37">
        <f t="shared" si="49"/>
        <v>0</v>
      </c>
      <c r="F192" s="32"/>
      <c r="G192" s="29">
        <f t="shared" si="50"/>
        <v>0</v>
      </c>
      <c r="H192" s="33">
        <v>1</v>
      </c>
      <c r="I192" s="29">
        <f t="shared" ref="I192:I193" si="51">G192*H192</f>
        <v>0</v>
      </c>
    </row>
    <row r="193" customHeight="1" spans="1:9">
      <c r="A193" s="25">
        <v>188</v>
      </c>
      <c r="B193" s="31" t="s">
        <v>207</v>
      </c>
      <c r="C193" s="32"/>
      <c r="D193" s="33">
        <v>0.4</v>
      </c>
      <c r="E193" s="37">
        <f t="shared" si="49"/>
        <v>0</v>
      </c>
      <c r="F193" s="32"/>
      <c r="G193" s="29">
        <f t="shared" si="50"/>
        <v>0</v>
      </c>
      <c r="H193" s="33">
        <v>1.5</v>
      </c>
      <c r="I193" s="29">
        <f t="shared" si="51"/>
        <v>0</v>
      </c>
    </row>
    <row r="194" customHeight="1" spans="1:9">
      <c r="A194" s="25">
        <v>189</v>
      </c>
      <c r="B194" s="31" t="s">
        <v>208</v>
      </c>
      <c r="C194" s="32"/>
      <c r="D194" s="33">
        <v>0.4</v>
      </c>
      <c r="E194" s="37">
        <f t="shared" si="49"/>
        <v>0</v>
      </c>
      <c r="F194" s="32"/>
      <c r="G194" s="29">
        <f t="shared" si="50"/>
        <v>0</v>
      </c>
      <c r="H194" s="30"/>
      <c r="I194" s="32"/>
    </row>
    <row r="195" customHeight="1" spans="1:9">
      <c r="A195" s="25">
        <v>190</v>
      </c>
      <c r="B195" s="28" t="s">
        <v>209</v>
      </c>
      <c r="C195" s="29">
        <f>SUM(C196:C208)</f>
        <v>0</v>
      </c>
      <c r="D195" s="46"/>
      <c r="E195" s="29">
        <f>SUM(E196:E208)</f>
        <v>0</v>
      </c>
      <c r="F195" s="29">
        <f>SUM(F196:F208)</f>
        <v>0</v>
      </c>
      <c r="G195" s="29">
        <f>SUM(G196:G208)</f>
        <v>0</v>
      </c>
      <c r="H195" s="41"/>
      <c r="I195" s="29">
        <f>SUM(I196:I208)</f>
        <v>0</v>
      </c>
    </row>
    <row r="196" s="16" customFormat="1" customHeight="1" spans="1:9">
      <c r="A196" s="25">
        <v>191</v>
      </c>
      <c r="B196" s="31" t="s">
        <v>210</v>
      </c>
      <c r="C196" s="32"/>
      <c r="D196" s="47">
        <v>0.5</v>
      </c>
      <c r="E196" s="37">
        <f t="shared" ref="E196:E208" si="52">C196*D196</f>
        <v>0</v>
      </c>
      <c r="F196" s="32"/>
      <c r="G196" s="29">
        <f t="shared" ref="G196:G208" si="53">E196-F196</f>
        <v>0</v>
      </c>
      <c r="H196" s="33">
        <v>0</v>
      </c>
      <c r="I196" s="29">
        <f t="shared" ref="I196:I207" si="54">G196*H196</f>
        <v>0</v>
      </c>
    </row>
    <row r="197" s="16" customFormat="1" customHeight="1" spans="1:9">
      <c r="A197" s="25">
        <v>192</v>
      </c>
      <c r="B197" s="31" t="s">
        <v>211</v>
      </c>
      <c r="C197" s="32"/>
      <c r="D197" s="47">
        <v>0.5</v>
      </c>
      <c r="E197" s="37">
        <f t="shared" si="52"/>
        <v>0</v>
      </c>
      <c r="F197" s="32"/>
      <c r="G197" s="29">
        <f t="shared" si="53"/>
        <v>0</v>
      </c>
      <c r="H197" s="33">
        <v>0.1</v>
      </c>
      <c r="I197" s="29">
        <f t="shared" si="54"/>
        <v>0</v>
      </c>
    </row>
    <row r="198" s="16" customFormat="1" customHeight="1" spans="1:9">
      <c r="A198" s="25">
        <v>193</v>
      </c>
      <c r="B198" s="31" t="s">
        <v>212</v>
      </c>
      <c r="C198" s="32"/>
      <c r="D198" s="47">
        <v>0.5</v>
      </c>
      <c r="E198" s="37">
        <f t="shared" si="52"/>
        <v>0</v>
      </c>
      <c r="F198" s="32"/>
      <c r="G198" s="29">
        <f t="shared" si="53"/>
        <v>0</v>
      </c>
      <c r="H198" s="33">
        <v>0.2</v>
      </c>
      <c r="I198" s="29">
        <f t="shared" si="54"/>
        <v>0</v>
      </c>
    </row>
    <row r="199" s="16" customFormat="1" customHeight="1" spans="1:9">
      <c r="A199" s="25">
        <v>194</v>
      </c>
      <c r="B199" s="31" t="s">
        <v>213</v>
      </c>
      <c r="C199" s="32"/>
      <c r="D199" s="47">
        <v>0.5</v>
      </c>
      <c r="E199" s="37">
        <f t="shared" si="52"/>
        <v>0</v>
      </c>
      <c r="F199" s="32"/>
      <c r="G199" s="29">
        <f t="shared" si="53"/>
        <v>0</v>
      </c>
      <c r="H199" s="33">
        <v>0.3</v>
      </c>
      <c r="I199" s="29">
        <f t="shared" si="54"/>
        <v>0</v>
      </c>
    </row>
    <row r="200" s="16" customFormat="1" customHeight="1" spans="1:9">
      <c r="A200" s="25">
        <v>195</v>
      </c>
      <c r="B200" s="31" t="s">
        <v>214</v>
      </c>
      <c r="C200" s="32"/>
      <c r="D200" s="47">
        <v>0.5</v>
      </c>
      <c r="E200" s="37">
        <f t="shared" si="52"/>
        <v>0</v>
      </c>
      <c r="F200" s="32"/>
      <c r="G200" s="29">
        <f t="shared" si="53"/>
        <v>0</v>
      </c>
      <c r="H200" s="33">
        <v>0.4</v>
      </c>
      <c r="I200" s="29">
        <f t="shared" si="54"/>
        <v>0</v>
      </c>
    </row>
    <row r="201" s="16" customFormat="1" customHeight="1" spans="1:9">
      <c r="A201" s="25">
        <v>196</v>
      </c>
      <c r="B201" s="31" t="s">
        <v>215</v>
      </c>
      <c r="C201" s="32"/>
      <c r="D201" s="47">
        <v>0.5</v>
      </c>
      <c r="E201" s="37">
        <f t="shared" si="52"/>
        <v>0</v>
      </c>
      <c r="F201" s="32"/>
      <c r="G201" s="29">
        <f t="shared" si="53"/>
        <v>0</v>
      </c>
      <c r="H201" s="33">
        <v>0.45</v>
      </c>
      <c r="I201" s="29">
        <f t="shared" si="54"/>
        <v>0</v>
      </c>
    </row>
    <row r="202" s="16" customFormat="1" customHeight="1" spans="1:9">
      <c r="A202" s="25">
        <v>197</v>
      </c>
      <c r="B202" s="31" t="s">
        <v>216</v>
      </c>
      <c r="C202" s="32"/>
      <c r="D202" s="47">
        <v>0.5</v>
      </c>
      <c r="E202" s="37">
        <f t="shared" si="52"/>
        <v>0</v>
      </c>
      <c r="F202" s="32"/>
      <c r="G202" s="29">
        <f t="shared" si="53"/>
        <v>0</v>
      </c>
      <c r="H202" s="33">
        <v>0.5</v>
      </c>
      <c r="I202" s="29">
        <f t="shared" si="54"/>
        <v>0</v>
      </c>
    </row>
    <row r="203" s="16" customFormat="1" customHeight="1" spans="1:9">
      <c r="A203" s="25">
        <v>198</v>
      </c>
      <c r="B203" s="31" t="s">
        <v>217</v>
      </c>
      <c r="C203" s="32"/>
      <c r="D203" s="47">
        <v>0.5</v>
      </c>
      <c r="E203" s="37">
        <f t="shared" si="52"/>
        <v>0</v>
      </c>
      <c r="F203" s="32"/>
      <c r="G203" s="29">
        <f t="shared" si="53"/>
        <v>0</v>
      </c>
      <c r="H203" s="33">
        <v>0.6</v>
      </c>
      <c r="I203" s="29">
        <f t="shared" si="54"/>
        <v>0</v>
      </c>
    </row>
    <row r="204" s="16" customFormat="1" customHeight="1" spans="1:9">
      <c r="A204" s="25">
        <v>199</v>
      </c>
      <c r="B204" s="31" t="s">
        <v>218</v>
      </c>
      <c r="C204" s="32"/>
      <c r="D204" s="47">
        <v>0.5</v>
      </c>
      <c r="E204" s="37">
        <f t="shared" si="52"/>
        <v>0</v>
      </c>
      <c r="F204" s="32"/>
      <c r="G204" s="29">
        <f t="shared" si="53"/>
        <v>0</v>
      </c>
      <c r="H204" s="33">
        <v>0.75</v>
      </c>
      <c r="I204" s="29">
        <f t="shared" si="54"/>
        <v>0</v>
      </c>
    </row>
    <row r="205" s="16" customFormat="1" customHeight="1" spans="1:9">
      <c r="A205" s="25">
        <v>200</v>
      </c>
      <c r="B205" s="31" t="s">
        <v>219</v>
      </c>
      <c r="C205" s="32"/>
      <c r="D205" s="47">
        <v>0.5</v>
      </c>
      <c r="E205" s="37">
        <f t="shared" si="52"/>
        <v>0</v>
      </c>
      <c r="F205" s="32"/>
      <c r="G205" s="29">
        <f t="shared" si="53"/>
        <v>0</v>
      </c>
      <c r="H205" s="33">
        <v>0.85</v>
      </c>
      <c r="I205" s="29">
        <f t="shared" si="54"/>
        <v>0</v>
      </c>
    </row>
    <row r="206" s="16" customFormat="1" customHeight="1" spans="1:9">
      <c r="A206" s="25">
        <v>201</v>
      </c>
      <c r="B206" s="31" t="s">
        <v>220</v>
      </c>
      <c r="C206" s="32"/>
      <c r="D206" s="47">
        <v>0.5</v>
      </c>
      <c r="E206" s="37">
        <f t="shared" si="52"/>
        <v>0</v>
      </c>
      <c r="F206" s="32"/>
      <c r="G206" s="29">
        <f t="shared" si="53"/>
        <v>0</v>
      </c>
      <c r="H206" s="33">
        <v>1</v>
      </c>
      <c r="I206" s="29">
        <f t="shared" si="54"/>
        <v>0</v>
      </c>
    </row>
    <row r="207" s="16" customFormat="1" customHeight="1" spans="1:9">
      <c r="A207" s="25">
        <v>202</v>
      </c>
      <c r="B207" s="31" t="s">
        <v>221</v>
      </c>
      <c r="C207" s="32"/>
      <c r="D207" s="47">
        <v>0.5</v>
      </c>
      <c r="E207" s="37">
        <f t="shared" si="52"/>
        <v>0</v>
      </c>
      <c r="F207" s="32"/>
      <c r="G207" s="29">
        <f t="shared" si="53"/>
        <v>0</v>
      </c>
      <c r="H207" s="33">
        <v>1.5</v>
      </c>
      <c r="I207" s="29">
        <f t="shared" si="54"/>
        <v>0</v>
      </c>
    </row>
    <row r="208" s="17" customFormat="1" customHeight="1" spans="1:9">
      <c r="A208" s="25">
        <v>203</v>
      </c>
      <c r="B208" s="31" t="s">
        <v>222</v>
      </c>
      <c r="C208" s="32"/>
      <c r="D208" s="47">
        <v>0.5</v>
      </c>
      <c r="E208" s="37">
        <f t="shared" si="52"/>
        <v>0</v>
      </c>
      <c r="F208" s="32"/>
      <c r="G208" s="29">
        <f t="shared" si="53"/>
        <v>0</v>
      </c>
      <c r="H208" s="30"/>
      <c r="I208" s="32"/>
    </row>
    <row r="209" customHeight="1" spans="1:9">
      <c r="A209" s="25">
        <v>204</v>
      </c>
      <c r="B209" s="34" t="s">
        <v>223</v>
      </c>
      <c r="C209" s="29">
        <f>SUM(C210:C222)</f>
        <v>0</v>
      </c>
      <c r="D209" s="48"/>
      <c r="E209" s="29">
        <f>SUM(E210:E222)</f>
        <v>0</v>
      </c>
      <c r="F209" s="29">
        <f>SUM(F210:F222)</f>
        <v>0</v>
      </c>
      <c r="G209" s="29">
        <f>SUM(G210:G222)</f>
        <v>0</v>
      </c>
      <c r="H209" s="41"/>
      <c r="I209" s="29">
        <f>SUM(I210:I222)</f>
        <v>0</v>
      </c>
    </row>
    <row r="210" s="16" customFormat="1" customHeight="1" spans="1:9">
      <c r="A210" s="25">
        <v>205</v>
      </c>
      <c r="B210" s="31" t="s">
        <v>224</v>
      </c>
      <c r="C210" s="32"/>
      <c r="D210" s="47">
        <v>0.5</v>
      </c>
      <c r="E210" s="37">
        <f t="shared" ref="E210:E222" si="55">C210*D210</f>
        <v>0</v>
      </c>
      <c r="F210" s="32"/>
      <c r="G210" s="29">
        <f t="shared" ref="G210:G222" si="56">E210-F210</f>
        <v>0</v>
      </c>
      <c r="H210" s="33">
        <v>0</v>
      </c>
      <c r="I210" s="29">
        <f t="shared" ref="I210:I221" si="57">G210*H210</f>
        <v>0</v>
      </c>
    </row>
    <row r="211" s="16" customFormat="1" customHeight="1" spans="1:9">
      <c r="A211" s="25">
        <v>206</v>
      </c>
      <c r="B211" s="31" t="s">
        <v>225</v>
      </c>
      <c r="C211" s="32"/>
      <c r="D211" s="47">
        <v>0.5</v>
      </c>
      <c r="E211" s="37">
        <f t="shared" si="55"/>
        <v>0</v>
      </c>
      <c r="F211" s="32"/>
      <c r="G211" s="29">
        <f t="shared" si="56"/>
        <v>0</v>
      </c>
      <c r="H211" s="33">
        <v>0.1</v>
      </c>
      <c r="I211" s="29">
        <f t="shared" si="57"/>
        <v>0</v>
      </c>
    </row>
    <row r="212" s="16" customFormat="1" customHeight="1" spans="1:9">
      <c r="A212" s="25">
        <v>207</v>
      </c>
      <c r="B212" s="31" t="s">
        <v>226</v>
      </c>
      <c r="C212" s="32"/>
      <c r="D212" s="47">
        <v>0.5</v>
      </c>
      <c r="E212" s="37">
        <f t="shared" si="55"/>
        <v>0</v>
      </c>
      <c r="F212" s="32"/>
      <c r="G212" s="29">
        <f t="shared" si="56"/>
        <v>0</v>
      </c>
      <c r="H212" s="33">
        <v>0.2</v>
      </c>
      <c r="I212" s="29">
        <f t="shared" si="57"/>
        <v>0</v>
      </c>
    </row>
    <row r="213" s="16" customFormat="1" customHeight="1" spans="1:9">
      <c r="A213" s="25">
        <v>208</v>
      </c>
      <c r="B213" s="31" t="s">
        <v>227</v>
      </c>
      <c r="C213" s="32"/>
      <c r="D213" s="47">
        <v>0.5</v>
      </c>
      <c r="E213" s="37">
        <f t="shared" si="55"/>
        <v>0</v>
      </c>
      <c r="F213" s="32"/>
      <c r="G213" s="29">
        <f t="shared" si="56"/>
        <v>0</v>
      </c>
      <c r="H213" s="33">
        <v>0.3</v>
      </c>
      <c r="I213" s="29">
        <f t="shared" si="57"/>
        <v>0</v>
      </c>
    </row>
    <row r="214" s="16" customFormat="1" customHeight="1" spans="1:9">
      <c r="A214" s="25">
        <v>209</v>
      </c>
      <c r="B214" s="31" t="s">
        <v>228</v>
      </c>
      <c r="C214" s="32"/>
      <c r="D214" s="47">
        <v>0.5</v>
      </c>
      <c r="E214" s="37">
        <f t="shared" si="55"/>
        <v>0</v>
      </c>
      <c r="F214" s="32"/>
      <c r="G214" s="29">
        <f t="shared" si="56"/>
        <v>0</v>
      </c>
      <c r="H214" s="33">
        <v>0.4</v>
      </c>
      <c r="I214" s="29">
        <f t="shared" si="57"/>
        <v>0</v>
      </c>
    </row>
    <row r="215" s="16" customFormat="1" customHeight="1" spans="1:9">
      <c r="A215" s="25">
        <v>210</v>
      </c>
      <c r="B215" s="31" t="s">
        <v>229</v>
      </c>
      <c r="C215" s="32"/>
      <c r="D215" s="47">
        <v>0.5</v>
      </c>
      <c r="E215" s="37">
        <f t="shared" si="55"/>
        <v>0</v>
      </c>
      <c r="F215" s="32"/>
      <c r="G215" s="29">
        <f t="shared" si="56"/>
        <v>0</v>
      </c>
      <c r="H215" s="33">
        <v>0.45</v>
      </c>
      <c r="I215" s="29">
        <f t="shared" si="57"/>
        <v>0</v>
      </c>
    </row>
    <row r="216" s="16" customFormat="1" customHeight="1" spans="1:9">
      <c r="A216" s="25">
        <v>211</v>
      </c>
      <c r="B216" s="31" t="s">
        <v>230</v>
      </c>
      <c r="C216" s="32"/>
      <c r="D216" s="47">
        <v>0.5</v>
      </c>
      <c r="E216" s="37">
        <f t="shared" si="55"/>
        <v>0</v>
      </c>
      <c r="F216" s="32"/>
      <c r="G216" s="29">
        <f t="shared" si="56"/>
        <v>0</v>
      </c>
      <c r="H216" s="33">
        <v>0.5</v>
      </c>
      <c r="I216" s="29">
        <f t="shared" si="57"/>
        <v>0</v>
      </c>
    </row>
    <row r="217" s="16" customFormat="1" customHeight="1" spans="1:9">
      <c r="A217" s="25">
        <v>212</v>
      </c>
      <c r="B217" s="31" t="s">
        <v>231</v>
      </c>
      <c r="C217" s="32"/>
      <c r="D217" s="47">
        <v>0.5</v>
      </c>
      <c r="E217" s="37">
        <f t="shared" si="55"/>
        <v>0</v>
      </c>
      <c r="F217" s="32"/>
      <c r="G217" s="29">
        <f t="shared" si="56"/>
        <v>0</v>
      </c>
      <c r="H217" s="33">
        <v>0.6</v>
      </c>
      <c r="I217" s="29">
        <f t="shared" si="57"/>
        <v>0</v>
      </c>
    </row>
    <row r="218" s="16" customFormat="1" customHeight="1" spans="1:9">
      <c r="A218" s="25">
        <v>213</v>
      </c>
      <c r="B218" s="31" t="s">
        <v>232</v>
      </c>
      <c r="C218" s="32"/>
      <c r="D218" s="47">
        <v>0.5</v>
      </c>
      <c r="E218" s="37">
        <f t="shared" si="55"/>
        <v>0</v>
      </c>
      <c r="F218" s="32"/>
      <c r="G218" s="29">
        <f t="shared" si="56"/>
        <v>0</v>
      </c>
      <c r="H218" s="33">
        <v>0.75</v>
      </c>
      <c r="I218" s="29">
        <f t="shared" si="57"/>
        <v>0</v>
      </c>
    </row>
    <row r="219" s="16" customFormat="1" customHeight="1" spans="1:9">
      <c r="A219" s="25">
        <v>214</v>
      </c>
      <c r="B219" s="31" t="s">
        <v>233</v>
      </c>
      <c r="C219" s="32"/>
      <c r="D219" s="47">
        <v>0.5</v>
      </c>
      <c r="E219" s="37">
        <f t="shared" si="55"/>
        <v>0</v>
      </c>
      <c r="F219" s="32"/>
      <c r="G219" s="29">
        <f t="shared" si="56"/>
        <v>0</v>
      </c>
      <c r="H219" s="33">
        <v>0.85</v>
      </c>
      <c r="I219" s="29">
        <f t="shared" si="57"/>
        <v>0</v>
      </c>
    </row>
    <row r="220" s="16" customFormat="1" customHeight="1" spans="1:9">
      <c r="A220" s="25">
        <v>215</v>
      </c>
      <c r="B220" s="31" t="s">
        <v>234</v>
      </c>
      <c r="C220" s="32"/>
      <c r="D220" s="47">
        <v>0.5</v>
      </c>
      <c r="E220" s="37">
        <f t="shared" si="55"/>
        <v>0</v>
      </c>
      <c r="F220" s="32"/>
      <c r="G220" s="29">
        <f t="shared" si="56"/>
        <v>0</v>
      </c>
      <c r="H220" s="33">
        <v>1</v>
      </c>
      <c r="I220" s="29">
        <f t="shared" si="57"/>
        <v>0</v>
      </c>
    </row>
    <row r="221" s="16" customFormat="1" customHeight="1" spans="1:9">
      <c r="A221" s="25">
        <v>216</v>
      </c>
      <c r="B221" s="31" t="s">
        <v>235</v>
      </c>
      <c r="C221" s="32"/>
      <c r="D221" s="47">
        <v>0.5</v>
      </c>
      <c r="E221" s="37">
        <f t="shared" si="55"/>
        <v>0</v>
      </c>
      <c r="F221" s="32"/>
      <c r="G221" s="29">
        <f t="shared" si="56"/>
        <v>0</v>
      </c>
      <c r="H221" s="33">
        <v>1.5</v>
      </c>
      <c r="I221" s="29">
        <f t="shared" si="57"/>
        <v>0</v>
      </c>
    </row>
    <row r="222" s="17" customFormat="1" customHeight="1" spans="1:9">
      <c r="A222" s="25">
        <v>217</v>
      </c>
      <c r="B222" s="31" t="s">
        <v>236</v>
      </c>
      <c r="C222" s="32"/>
      <c r="D222" s="47">
        <v>0.5</v>
      </c>
      <c r="E222" s="37">
        <f t="shared" si="55"/>
        <v>0</v>
      </c>
      <c r="F222" s="32"/>
      <c r="G222" s="29">
        <f t="shared" si="56"/>
        <v>0</v>
      </c>
      <c r="H222" s="30"/>
      <c r="I222" s="32"/>
    </row>
    <row r="223" customHeight="1" spans="1:9">
      <c r="A223" s="25">
        <v>218</v>
      </c>
      <c r="B223" s="34" t="s">
        <v>237</v>
      </c>
      <c r="C223" s="29">
        <f>SUM(C224:C236)</f>
        <v>0</v>
      </c>
      <c r="D223" s="46"/>
      <c r="E223" s="29">
        <f>SUM(E224:E236)</f>
        <v>0</v>
      </c>
      <c r="F223" s="29">
        <f>SUM(F224:F236)</f>
        <v>0</v>
      </c>
      <c r="G223" s="29">
        <f>SUM(G224:G236)</f>
        <v>0</v>
      </c>
      <c r="H223" s="41"/>
      <c r="I223" s="29">
        <f>SUM(I224:I236)</f>
        <v>0</v>
      </c>
    </row>
    <row r="224" s="16" customFormat="1" customHeight="1" spans="1:9">
      <c r="A224" s="25">
        <v>219</v>
      </c>
      <c r="B224" s="31" t="s">
        <v>238</v>
      </c>
      <c r="C224" s="32"/>
      <c r="D224" s="47">
        <v>0.4</v>
      </c>
      <c r="E224" s="37">
        <f t="shared" ref="E224:E236" si="58">C224*D224</f>
        <v>0</v>
      </c>
      <c r="F224" s="32"/>
      <c r="G224" s="29">
        <f t="shared" ref="G224:G236" si="59">E224-F224</f>
        <v>0</v>
      </c>
      <c r="H224" s="33">
        <v>0</v>
      </c>
      <c r="I224" s="29">
        <f t="shared" ref="I224:I235" si="60">G224*H224</f>
        <v>0</v>
      </c>
    </row>
    <row r="225" s="16" customFormat="1" customHeight="1" spans="1:9">
      <c r="A225" s="25">
        <v>220</v>
      </c>
      <c r="B225" s="31" t="s">
        <v>239</v>
      </c>
      <c r="C225" s="32"/>
      <c r="D225" s="47">
        <v>0.4</v>
      </c>
      <c r="E225" s="37">
        <f t="shared" si="58"/>
        <v>0</v>
      </c>
      <c r="F225" s="32"/>
      <c r="G225" s="29">
        <f t="shared" si="59"/>
        <v>0</v>
      </c>
      <c r="H225" s="33">
        <v>0.1</v>
      </c>
      <c r="I225" s="29">
        <f t="shared" si="60"/>
        <v>0</v>
      </c>
    </row>
    <row r="226" s="16" customFormat="1" customHeight="1" spans="1:9">
      <c r="A226" s="25">
        <v>221</v>
      </c>
      <c r="B226" s="31" t="s">
        <v>240</v>
      </c>
      <c r="C226" s="32"/>
      <c r="D226" s="47">
        <v>0.4</v>
      </c>
      <c r="E226" s="37">
        <f t="shared" si="58"/>
        <v>0</v>
      </c>
      <c r="F226" s="32"/>
      <c r="G226" s="29">
        <f t="shared" si="59"/>
        <v>0</v>
      </c>
      <c r="H226" s="33">
        <v>0.2</v>
      </c>
      <c r="I226" s="29">
        <f t="shared" si="60"/>
        <v>0</v>
      </c>
    </row>
    <row r="227" s="16" customFormat="1" customHeight="1" spans="1:9">
      <c r="A227" s="25">
        <v>222</v>
      </c>
      <c r="B227" s="31" t="s">
        <v>241</v>
      </c>
      <c r="C227" s="32"/>
      <c r="D227" s="47">
        <v>0.4</v>
      </c>
      <c r="E227" s="37">
        <f t="shared" si="58"/>
        <v>0</v>
      </c>
      <c r="F227" s="32"/>
      <c r="G227" s="29">
        <f t="shared" si="59"/>
        <v>0</v>
      </c>
      <c r="H227" s="33">
        <v>0.3</v>
      </c>
      <c r="I227" s="29">
        <f t="shared" si="60"/>
        <v>0</v>
      </c>
    </row>
    <row r="228" s="16" customFormat="1" customHeight="1" spans="1:9">
      <c r="A228" s="25">
        <v>223</v>
      </c>
      <c r="B228" s="31" t="s">
        <v>242</v>
      </c>
      <c r="C228" s="32"/>
      <c r="D228" s="47">
        <v>0.4</v>
      </c>
      <c r="E228" s="37">
        <f t="shared" si="58"/>
        <v>0</v>
      </c>
      <c r="F228" s="32"/>
      <c r="G228" s="29">
        <f t="shared" si="59"/>
        <v>0</v>
      </c>
      <c r="H228" s="33">
        <v>0.4</v>
      </c>
      <c r="I228" s="29">
        <f t="shared" si="60"/>
        <v>0</v>
      </c>
    </row>
    <row r="229" s="16" customFormat="1" customHeight="1" spans="1:9">
      <c r="A229" s="25">
        <v>224</v>
      </c>
      <c r="B229" s="31" t="s">
        <v>243</v>
      </c>
      <c r="C229" s="32"/>
      <c r="D229" s="47">
        <v>0.4</v>
      </c>
      <c r="E229" s="37">
        <f t="shared" si="58"/>
        <v>0</v>
      </c>
      <c r="F229" s="32"/>
      <c r="G229" s="29">
        <f t="shared" si="59"/>
        <v>0</v>
      </c>
      <c r="H229" s="33">
        <v>0.45</v>
      </c>
      <c r="I229" s="29">
        <f t="shared" si="60"/>
        <v>0</v>
      </c>
    </row>
    <row r="230" s="16" customFormat="1" customHeight="1" spans="1:9">
      <c r="A230" s="25">
        <v>225</v>
      </c>
      <c r="B230" s="31" t="s">
        <v>244</v>
      </c>
      <c r="C230" s="32"/>
      <c r="D230" s="47">
        <v>0.4</v>
      </c>
      <c r="E230" s="37">
        <f t="shared" si="58"/>
        <v>0</v>
      </c>
      <c r="F230" s="32"/>
      <c r="G230" s="29">
        <f t="shared" si="59"/>
        <v>0</v>
      </c>
      <c r="H230" s="33">
        <v>0.5</v>
      </c>
      <c r="I230" s="29">
        <f t="shared" si="60"/>
        <v>0</v>
      </c>
    </row>
    <row r="231" s="16" customFormat="1" customHeight="1" spans="1:9">
      <c r="A231" s="25">
        <v>226</v>
      </c>
      <c r="B231" s="31" t="s">
        <v>245</v>
      </c>
      <c r="C231" s="32"/>
      <c r="D231" s="47">
        <v>0.4</v>
      </c>
      <c r="E231" s="37">
        <f t="shared" si="58"/>
        <v>0</v>
      </c>
      <c r="F231" s="32"/>
      <c r="G231" s="29">
        <f t="shared" si="59"/>
        <v>0</v>
      </c>
      <c r="H231" s="33">
        <v>0.6</v>
      </c>
      <c r="I231" s="29">
        <f t="shared" si="60"/>
        <v>0</v>
      </c>
    </row>
    <row r="232" s="16" customFormat="1" customHeight="1" spans="1:9">
      <c r="A232" s="25">
        <v>227</v>
      </c>
      <c r="B232" s="31" t="s">
        <v>246</v>
      </c>
      <c r="C232" s="32"/>
      <c r="D232" s="47">
        <v>0.4</v>
      </c>
      <c r="E232" s="37">
        <f t="shared" si="58"/>
        <v>0</v>
      </c>
      <c r="F232" s="32"/>
      <c r="G232" s="29">
        <f t="shared" si="59"/>
        <v>0</v>
      </c>
      <c r="H232" s="33">
        <v>0.75</v>
      </c>
      <c r="I232" s="29">
        <f t="shared" si="60"/>
        <v>0</v>
      </c>
    </row>
    <row r="233" s="16" customFormat="1" customHeight="1" spans="1:9">
      <c r="A233" s="25">
        <v>228</v>
      </c>
      <c r="B233" s="31" t="s">
        <v>247</v>
      </c>
      <c r="C233" s="32"/>
      <c r="D233" s="47">
        <v>0.4</v>
      </c>
      <c r="E233" s="37">
        <f t="shared" si="58"/>
        <v>0</v>
      </c>
      <c r="F233" s="32"/>
      <c r="G233" s="29">
        <f t="shared" si="59"/>
        <v>0</v>
      </c>
      <c r="H233" s="33">
        <v>0.85</v>
      </c>
      <c r="I233" s="29">
        <f t="shared" si="60"/>
        <v>0</v>
      </c>
    </row>
    <row r="234" s="16" customFormat="1" customHeight="1" spans="1:9">
      <c r="A234" s="25">
        <v>229</v>
      </c>
      <c r="B234" s="31" t="s">
        <v>248</v>
      </c>
      <c r="C234" s="32"/>
      <c r="D234" s="47">
        <v>0.4</v>
      </c>
      <c r="E234" s="37">
        <f t="shared" si="58"/>
        <v>0</v>
      </c>
      <c r="F234" s="32"/>
      <c r="G234" s="29">
        <f t="shared" si="59"/>
        <v>0</v>
      </c>
      <c r="H234" s="33">
        <v>1</v>
      </c>
      <c r="I234" s="29">
        <f t="shared" si="60"/>
        <v>0</v>
      </c>
    </row>
    <row r="235" s="16" customFormat="1" customHeight="1" spans="1:9">
      <c r="A235" s="25">
        <v>230</v>
      </c>
      <c r="B235" s="31" t="s">
        <v>249</v>
      </c>
      <c r="C235" s="32"/>
      <c r="D235" s="47">
        <v>0.4</v>
      </c>
      <c r="E235" s="37">
        <f t="shared" si="58"/>
        <v>0</v>
      </c>
      <c r="F235" s="32"/>
      <c r="G235" s="29">
        <f t="shared" si="59"/>
        <v>0</v>
      </c>
      <c r="H235" s="33">
        <v>1.5</v>
      </c>
      <c r="I235" s="29">
        <f t="shared" si="60"/>
        <v>0</v>
      </c>
    </row>
    <row r="236" s="17" customFormat="1" customHeight="1" spans="1:12">
      <c r="A236" s="25">
        <v>231</v>
      </c>
      <c r="B236" s="31" t="s">
        <v>250</v>
      </c>
      <c r="C236" s="32"/>
      <c r="D236" s="47">
        <v>0.4</v>
      </c>
      <c r="E236" s="37">
        <f t="shared" si="58"/>
        <v>0</v>
      </c>
      <c r="F236" s="32"/>
      <c r="G236" s="29">
        <f t="shared" si="59"/>
        <v>0</v>
      </c>
      <c r="H236" s="30"/>
      <c r="I236" s="32"/>
      <c r="L236" s="16"/>
    </row>
    <row r="237" customHeight="1" spans="1:12">
      <c r="A237" s="25">
        <v>232</v>
      </c>
      <c r="B237" s="28" t="s">
        <v>251</v>
      </c>
      <c r="C237" s="29">
        <f>C238+C255</f>
        <v>0</v>
      </c>
      <c r="D237" s="30"/>
      <c r="E237" s="29">
        <f>E238+E255</f>
        <v>0</v>
      </c>
      <c r="F237" s="29">
        <f>F238+F255</f>
        <v>0</v>
      </c>
      <c r="G237" s="29">
        <f>G238+G255</f>
        <v>0</v>
      </c>
      <c r="H237" s="41"/>
      <c r="I237" s="29">
        <f>I238+I255</f>
        <v>0</v>
      </c>
      <c r="L237" s="16"/>
    </row>
    <row r="238" customHeight="1" spans="1:9">
      <c r="A238" s="25">
        <v>233</v>
      </c>
      <c r="B238" s="28" t="s">
        <v>252</v>
      </c>
      <c r="C238" s="29">
        <f>SUM(C239:C254)</f>
        <v>0</v>
      </c>
      <c r="D238" s="30"/>
      <c r="E238" s="29">
        <f>SUM(E239:E254)</f>
        <v>0</v>
      </c>
      <c r="F238" s="29">
        <f>SUM(F239:F254)</f>
        <v>0</v>
      </c>
      <c r="G238" s="29">
        <f>SUM(G239:G254)</f>
        <v>0</v>
      </c>
      <c r="H238" s="41"/>
      <c r="I238" s="29">
        <f>SUM(I239:I254)</f>
        <v>0</v>
      </c>
    </row>
    <row r="239" s="16" customFormat="1" customHeight="1" spans="1:9">
      <c r="A239" s="25">
        <v>234</v>
      </c>
      <c r="B239" s="31" t="s">
        <v>253</v>
      </c>
      <c r="C239" s="32"/>
      <c r="D239" s="33">
        <v>1</v>
      </c>
      <c r="E239" s="37">
        <f t="shared" ref="E239:E254" si="61">C239*D239</f>
        <v>0</v>
      </c>
      <c r="F239" s="32"/>
      <c r="G239" s="29">
        <f t="shared" ref="G239:G254" si="62">E239-F239</f>
        <v>0</v>
      </c>
      <c r="H239" s="33">
        <v>0</v>
      </c>
      <c r="I239" s="29">
        <f t="shared" ref="I239:I253" si="63">G239*H239</f>
        <v>0</v>
      </c>
    </row>
    <row r="240" s="16" customFormat="1" customHeight="1" spans="1:9">
      <c r="A240" s="25">
        <v>235</v>
      </c>
      <c r="B240" s="31" t="s">
        <v>254</v>
      </c>
      <c r="C240" s="32"/>
      <c r="D240" s="33">
        <v>1</v>
      </c>
      <c r="E240" s="37">
        <f t="shared" si="61"/>
        <v>0</v>
      </c>
      <c r="F240" s="32"/>
      <c r="G240" s="29">
        <f t="shared" si="62"/>
        <v>0</v>
      </c>
      <c r="H240" s="33">
        <v>0.1</v>
      </c>
      <c r="I240" s="29">
        <f t="shared" si="63"/>
        <v>0</v>
      </c>
    </row>
    <row r="241" s="16" customFormat="1" customHeight="1" spans="1:9">
      <c r="A241" s="25">
        <v>236</v>
      </c>
      <c r="B241" s="31" t="s">
        <v>255</v>
      </c>
      <c r="C241" s="32"/>
      <c r="D241" s="33">
        <v>1</v>
      </c>
      <c r="E241" s="37">
        <f t="shared" si="61"/>
        <v>0</v>
      </c>
      <c r="F241" s="32"/>
      <c r="G241" s="29">
        <f t="shared" si="62"/>
        <v>0</v>
      </c>
      <c r="H241" s="33">
        <v>0.2</v>
      </c>
      <c r="I241" s="29">
        <f t="shared" si="63"/>
        <v>0</v>
      </c>
    </row>
    <row r="242" s="16" customFormat="1" customHeight="1" spans="1:9">
      <c r="A242" s="25">
        <v>237</v>
      </c>
      <c r="B242" s="31" t="s">
        <v>256</v>
      </c>
      <c r="C242" s="32"/>
      <c r="D242" s="33">
        <v>1</v>
      </c>
      <c r="E242" s="37">
        <f t="shared" si="61"/>
        <v>0</v>
      </c>
      <c r="F242" s="32"/>
      <c r="G242" s="29">
        <f t="shared" si="62"/>
        <v>0</v>
      </c>
      <c r="H242" s="33">
        <v>0.3</v>
      </c>
      <c r="I242" s="29">
        <f t="shared" si="63"/>
        <v>0</v>
      </c>
    </row>
    <row r="243" s="16" customFormat="1" customHeight="1" spans="1:9">
      <c r="A243" s="25">
        <v>238</v>
      </c>
      <c r="B243" s="31" t="s">
        <v>257</v>
      </c>
      <c r="C243" s="32"/>
      <c r="D243" s="33">
        <v>1</v>
      </c>
      <c r="E243" s="37">
        <f t="shared" si="61"/>
        <v>0</v>
      </c>
      <c r="F243" s="32"/>
      <c r="G243" s="29">
        <f t="shared" si="62"/>
        <v>0</v>
      </c>
      <c r="H243" s="33">
        <v>0.4</v>
      </c>
      <c r="I243" s="29">
        <f t="shared" si="63"/>
        <v>0</v>
      </c>
    </row>
    <row r="244" s="16" customFormat="1" customHeight="1" spans="1:9">
      <c r="A244" s="25">
        <v>239</v>
      </c>
      <c r="B244" s="31" t="s">
        <v>258</v>
      </c>
      <c r="C244" s="32"/>
      <c r="D244" s="33">
        <v>1</v>
      </c>
      <c r="E244" s="37">
        <f t="shared" si="61"/>
        <v>0</v>
      </c>
      <c r="F244" s="32"/>
      <c r="G244" s="29">
        <f t="shared" si="62"/>
        <v>0</v>
      </c>
      <c r="H244" s="33">
        <v>0.45</v>
      </c>
      <c r="I244" s="29">
        <f t="shared" si="63"/>
        <v>0</v>
      </c>
    </row>
    <row r="245" s="16" customFormat="1" customHeight="1" spans="1:9">
      <c r="A245" s="25">
        <v>240</v>
      </c>
      <c r="B245" s="31" t="s">
        <v>259</v>
      </c>
      <c r="C245" s="32"/>
      <c r="D245" s="33">
        <v>1</v>
      </c>
      <c r="E245" s="37">
        <f t="shared" si="61"/>
        <v>0</v>
      </c>
      <c r="F245" s="32"/>
      <c r="G245" s="29">
        <f t="shared" si="62"/>
        <v>0</v>
      </c>
      <c r="H245" s="33">
        <v>0.5</v>
      </c>
      <c r="I245" s="29">
        <f t="shared" si="63"/>
        <v>0</v>
      </c>
    </row>
    <row r="246" s="16" customFormat="1" customHeight="1" spans="1:9">
      <c r="A246" s="25">
        <v>241</v>
      </c>
      <c r="B246" s="31" t="s">
        <v>260</v>
      </c>
      <c r="C246" s="32"/>
      <c r="D246" s="33">
        <v>1</v>
      </c>
      <c r="E246" s="37">
        <f t="shared" si="61"/>
        <v>0</v>
      </c>
      <c r="F246" s="32"/>
      <c r="G246" s="29">
        <f t="shared" si="62"/>
        <v>0</v>
      </c>
      <c r="H246" s="33">
        <v>0.6</v>
      </c>
      <c r="I246" s="29">
        <f t="shared" si="63"/>
        <v>0</v>
      </c>
    </row>
    <row r="247" s="16" customFormat="1" customHeight="1" spans="1:9">
      <c r="A247" s="25">
        <v>242</v>
      </c>
      <c r="B247" s="31" t="s">
        <v>261</v>
      </c>
      <c r="C247" s="32"/>
      <c r="D247" s="33">
        <v>1</v>
      </c>
      <c r="E247" s="37">
        <f t="shared" si="61"/>
        <v>0</v>
      </c>
      <c r="F247" s="32"/>
      <c r="G247" s="29">
        <f t="shared" si="62"/>
        <v>0</v>
      </c>
      <c r="H247" s="33">
        <v>0.75</v>
      </c>
      <c r="I247" s="29">
        <f t="shared" si="63"/>
        <v>0</v>
      </c>
    </row>
    <row r="248" s="16" customFormat="1" customHeight="1" spans="1:9">
      <c r="A248" s="25">
        <v>243</v>
      </c>
      <c r="B248" s="31" t="s">
        <v>262</v>
      </c>
      <c r="C248" s="32"/>
      <c r="D248" s="33">
        <v>1</v>
      </c>
      <c r="E248" s="37">
        <f t="shared" si="61"/>
        <v>0</v>
      </c>
      <c r="F248" s="32"/>
      <c r="G248" s="29">
        <f t="shared" si="62"/>
        <v>0</v>
      </c>
      <c r="H248" s="33">
        <v>0.85</v>
      </c>
      <c r="I248" s="29">
        <f t="shared" si="63"/>
        <v>0</v>
      </c>
    </row>
    <row r="249" s="16" customFormat="1" customHeight="1" spans="1:9">
      <c r="A249" s="25">
        <v>244</v>
      </c>
      <c r="B249" s="31" t="s">
        <v>263</v>
      </c>
      <c r="C249" s="32"/>
      <c r="D249" s="33">
        <v>1</v>
      </c>
      <c r="E249" s="37">
        <f t="shared" si="61"/>
        <v>0</v>
      </c>
      <c r="F249" s="32"/>
      <c r="G249" s="29">
        <f t="shared" si="62"/>
        <v>0</v>
      </c>
      <c r="H249" s="33">
        <v>1</v>
      </c>
      <c r="I249" s="29">
        <f t="shared" si="63"/>
        <v>0</v>
      </c>
    </row>
    <row r="250" s="16" customFormat="1" customHeight="1" spans="1:9">
      <c r="A250" s="25">
        <v>245</v>
      </c>
      <c r="B250" s="31" t="s">
        <v>264</v>
      </c>
      <c r="C250" s="32"/>
      <c r="D250" s="33">
        <v>1</v>
      </c>
      <c r="E250" s="37">
        <f t="shared" si="61"/>
        <v>0</v>
      </c>
      <c r="F250" s="32"/>
      <c r="G250" s="29">
        <f t="shared" si="62"/>
        <v>0</v>
      </c>
      <c r="H250" s="33">
        <v>1.5</v>
      </c>
      <c r="I250" s="29">
        <f t="shared" si="63"/>
        <v>0</v>
      </c>
    </row>
    <row r="251" s="16" customFormat="1" customHeight="1" spans="1:9">
      <c r="A251" s="25">
        <v>246</v>
      </c>
      <c r="B251" s="31" t="s">
        <v>265</v>
      </c>
      <c r="C251" s="32"/>
      <c r="D251" s="33">
        <v>1</v>
      </c>
      <c r="E251" s="37">
        <f t="shared" si="61"/>
        <v>0</v>
      </c>
      <c r="F251" s="32"/>
      <c r="G251" s="29">
        <f t="shared" si="62"/>
        <v>0</v>
      </c>
      <c r="H251" s="33">
        <v>2.5</v>
      </c>
      <c r="I251" s="29">
        <f t="shared" si="63"/>
        <v>0</v>
      </c>
    </row>
    <row r="252" s="16" customFormat="1" customHeight="1" spans="1:9">
      <c r="A252" s="25">
        <v>247</v>
      </c>
      <c r="B252" s="31" t="s">
        <v>266</v>
      </c>
      <c r="C252" s="32"/>
      <c r="D252" s="33">
        <v>1</v>
      </c>
      <c r="E252" s="37">
        <f t="shared" si="61"/>
        <v>0</v>
      </c>
      <c r="F252" s="32"/>
      <c r="G252" s="29">
        <f t="shared" si="62"/>
        <v>0</v>
      </c>
      <c r="H252" s="33">
        <v>4</v>
      </c>
      <c r="I252" s="29">
        <f t="shared" si="63"/>
        <v>0</v>
      </c>
    </row>
    <row r="253" s="16" customFormat="1" customHeight="1" spans="1:9">
      <c r="A253" s="25">
        <v>248</v>
      </c>
      <c r="B253" s="31" t="s">
        <v>267</v>
      </c>
      <c r="C253" s="32"/>
      <c r="D253" s="33">
        <v>1</v>
      </c>
      <c r="E253" s="37">
        <f t="shared" si="61"/>
        <v>0</v>
      </c>
      <c r="F253" s="32"/>
      <c r="G253" s="29">
        <f t="shared" si="62"/>
        <v>0</v>
      </c>
      <c r="H253" s="33">
        <v>12.5</v>
      </c>
      <c r="I253" s="29">
        <f t="shared" si="63"/>
        <v>0</v>
      </c>
    </row>
    <row r="254" s="17" customFormat="1" customHeight="1" spans="1:9">
      <c r="A254" s="25">
        <v>249</v>
      </c>
      <c r="B254" s="31" t="s">
        <v>268</v>
      </c>
      <c r="C254" s="32"/>
      <c r="D254" s="33">
        <v>1</v>
      </c>
      <c r="E254" s="37">
        <f t="shared" si="61"/>
        <v>0</v>
      </c>
      <c r="F254" s="32"/>
      <c r="G254" s="29">
        <f t="shared" si="62"/>
        <v>0</v>
      </c>
      <c r="H254" s="30"/>
      <c r="I254" s="32"/>
    </row>
    <row r="255" customHeight="1" spans="1:9">
      <c r="A255" s="25">
        <v>250</v>
      </c>
      <c r="B255" s="34" t="s">
        <v>269</v>
      </c>
      <c r="C255" s="29">
        <f>SUM(C256,C273)</f>
        <v>0</v>
      </c>
      <c r="D255" s="30"/>
      <c r="E255" s="29">
        <f>SUM(E256,E273)</f>
        <v>0</v>
      </c>
      <c r="F255" s="29">
        <f>SUM(F256,F273)</f>
        <v>0</v>
      </c>
      <c r="G255" s="29">
        <f t="shared" ref="F255:I255" si="64">SUM(G256,G273)</f>
        <v>0</v>
      </c>
      <c r="H255" s="41"/>
      <c r="I255" s="29">
        <f t="shared" si="64"/>
        <v>0</v>
      </c>
    </row>
    <row r="256" customHeight="1" spans="1:9">
      <c r="A256" s="25">
        <v>251</v>
      </c>
      <c r="B256" s="50" t="s">
        <v>270</v>
      </c>
      <c r="C256" s="29">
        <f>SUM(C257:C272)</f>
        <v>0</v>
      </c>
      <c r="D256" s="30"/>
      <c r="E256" s="29">
        <f>SUM(E257:E272)</f>
        <v>0</v>
      </c>
      <c r="F256" s="29">
        <f>SUM(F257:F272)</f>
        <v>0</v>
      </c>
      <c r="G256" s="29">
        <f t="shared" ref="F256:I256" si="65">SUM(G257:G272)</f>
        <v>0</v>
      </c>
      <c r="H256" s="41"/>
      <c r="I256" s="29">
        <f t="shared" si="65"/>
        <v>0</v>
      </c>
    </row>
    <row r="257" customHeight="1" spans="1:9">
      <c r="A257" s="25">
        <v>252</v>
      </c>
      <c r="B257" s="31" t="s">
        <v>271</v>
      </c>
      <c r="C257" s="39"/>
      <c r="D257" s="33">
        <v>0.2</v>
      </c>
      <c r="E257" s="37">
        <f t="shared" ref="E257:E272" si="66">C257*D257</f>
        <v>0</v>
      </c>
      <c r="F257" s="39"/>
      <c r="G257" s="29">
        <f t="shared" ref="G257:G272" si="67">E257-F257</f>
        <v>0</v>
      </c>
      <c r="H257" s="33">
        <v>0</v>
      </c>
      <c r="I257" s="29">
        <f t="shared" ref="I257:I271" si="68">G257*H257</f>
        <v>0</v>
      </c>
    </row>
    <row r="258" customHeight="1" spans="1:9">
      <c r="A258" s="25">
        <v>253</v>
      </c>
      <c r="B258" s="31" t="s">
        <v>272</v>
      </c>
      <c r="C258" s="39"/>
      <c r="D258" s="33">
        <v>0.2</v>
      </c>
      <c r="E258" s="37">
        <f t="shared" si="66"/>
        <v>0</v>
      </c>
      <c r="F258" s="39"/>
      <c r="G258" s="29">
        <f t="shared" si="67"/>
        <v>0</v>
      </c>
      <c r="H258" s="33">
        <v>0.1</v>
      </c>
      <c r="I258" s="29">
        <f t="shared" si="68"/>
        <v>0</v>
      </c>
    </row>
    <row r="259" customHeight="1" spans="1:9">
      <c r="A259" s="25">
        <v>254</v>
      </c>
      <c r="B259" s="31" t="s">
        <v>273</v>
      </c>
      <c r="C259" s="39"/>
      <c r="D259" s="33">
        <v>0.2</v>
      </c>
      <c r="E259" s="37">
        <f t="shared" si="66"/>
        <v>0</v>
      </c>
      <c r="F259" s="39"/>
      <c r="G259" s="29">
        <f t="shared" si="67"/>
        <v>0</v>
      </c>
      <c r="H259" s="33">
        <v>0.2</v>
      </c>
      <c r="I259" s="29">
        <f t="shared" si="68"/>
        <v>0</v>
      </c>
    </row>
    <row r="260" customHeight="1" spans="1:9">
      <c r="A260" s="25">
        <v>255</v>
      </c>
      <c r="B260" s="31" t="s">
        <v>274</v>
      </c>
      <c r="C260" s="39"/>
      <c r="D260" s="33">
        <v>0.2</v>
      </c>
      <c r="E260" s="37">
        <f t="shared" si="66"/>
        <v>0</v>
      </c>
      <c r="F260" s="39"/>
      <c r="G260" s="29">
        <f t="shared" si="67"/>
        <v>0</v>
      </c>
      <c r="H260" s="33">
        <v>0.3</v>
      </c>
      <c r="I260" s="29">
        <f t="shared" si="68"/>
        <v>0</v>
      </c>
    </row>
    <row r="261" customHeight="1" spans="1:9">
      <c r="A261" s="25">
        <v>256</v>
      </c>
      <c r="B261" s="31" t="s">
        <v>275</v>
      </c>
      <c r="C261" s="39"/>
      <c r="D261" s="33">
        <v>0.2</v>
      </c>
      <c r="E261" s="37">
        <f t="shared" si="66"/>
        <v>0</v>
      </c>
      <c r="F261" s="39"/>
      <c r="G261" s="29">
        <f t="shared" si="67"/>
        <v>0</v>
      </c>
      <c r="H261" s="33">
        <v>0.4</v>
      </c>
      <c r="I261" s="29">
        <f t="shared" si="68"/>
        <v>0</v>
      </c>
    </row>
    <row r="262" customHeight="1" spans="1:9">
      <c r="A262" s="25">
        <v>257</v>
      </c>
      <c r="B262" s="31" t="s">
        <v>276</v>
      </c>
      <c r="C262" s="39"/>
      <c r="D262" s="33">
        <v>0.2</v>
      </c>
      <c r="E262" s="37">
        <f t="shared" si="66"/>
        <v>0</v>
      </c>
      <c r="F262" s="39"/>
      <c r="G262" s="29">
        <f t="shared" si="67"/>
        <v>0</v>
      </c>
      <c r="H262" s="33">
        <v>0.45</v>
      </c>
      <c r="I262" s="29">
        <f t="shared" si="68"/>
        <v>0</v>
      </c>
    </row>
    <row r="263" customHeight="1" spans="1:9">
      <c r="A263" s="25">
        <v>258</v>
      </c>
      <c r="B263" s="31" t="s">
        <v>277</v>
      </c>
      <c r="C263" s="39"/>
      <c r="D263" s="33">
        <v>0.2</v>
      </c>
      <c r="E263" s="37">
        <f t="shared" si="66"/>
        <v>0</v>
      </c>
      <c r="F263" s="39"/>
      <c r="G263" s="29">
        <f t="shared" si="67"/>
        <v>0</v>
      </c>
      <c r="H263" s="33">
        <v>0.5</v>
      </c>
      <c r="I263" s="29">
        <f t="shared" si="68"/>
        <v>0</v>
      </c>
    </row>
    <row r="264" customHeight="1" spans="1:9">
      <c r="A264" s="25">
        <v>259</v>
      </c>
      <c r="B264" s="31" t="s">
        <v>278</v>
      </c>
      <c r="C264" s="39"/>
      <c r="D264" s="33">
        <v>0.2</v>
      </c>
      <c r="E264" s="37">
        <f t="shared" si="66"/>
        <v>0</v>
      </c>
      <c r="F264" s="39"/>
      <c r="G264" s="29">
        <f t="shared" si="67"/>
        <v>0</v>
      </c>
      <c r="H264" s="33">
        <v>0.6</v>
      </c>
      <c r="I264" s="29">
        <f t="shared" si="68"/>
        <v>0</v>
      </c>
    </row>
    <row r="265" customHeight="1" spans="1:9">
      <c r="A265" s="25">
        <v>260</v>
      </c>
      <c r="B265" s="31" t="s">
        <v>279</v>
      </c>
      <c r="C265" s="39"/>
      <c r="D265" s="33">
        <v>0.2</v>
      </c>
      <c r="E265" s="37">
        <f t="shared" si="66"/>
        <v>0</v>
      </c>
      <c r="F265" s="39"/>
      <c r="G265" s="29">
        <f t="shared" si="67"/>
        <v>0</v>
      </c>
      <c r="H265" s="33">
        <v>0.75</v>
      </c>
      <c r="I265" s="29">
        <f t="shared" si="68"/>
        <v>0</v>
      </c>
    </row>
    <row r="266" customHeight="1" spans="1:9">
      <c r="A266" s="25">
        <v>261</v>
      </c>
      <c r="B266" s="31" t="s">
        <v>280</v>
      </c>
      <c r="C266" s="39"/>
      <c r="D266" s="33">
        <v>0.2</v>
      </c>
      <c r="E266" s="37">
        <f t="shared" si="66"/>
        <v>0</v>
      </c>
      <c r="F266" s="39"/>
      <c r="G266" s="29">
        <f t="shared" si="67"/>
        <v>0</v>
      </c>
      <c r="H266" s="33">
        <v>0.85</v>
      </c>
      <c r="I266" s="29">
        <f t="shared" si="68"/>
        <v>0</v>
      </c>
    </row>
    <row r="267" customHeight="1" spans="1:9">
      <c r="A267" s="25">
        <v>262</v>
      </c>
      <c r="B267" s="31" t="s">
        <v>281</v>
      </c>
      <c r="C267" s="39"/>
      <c r="D267" s="33">
        <v>0.2</v>
      </c>
      <c r="E267" s="37">
        <f t="shared" si="66"/>
        <v>0</v>
      </c>
      <c r="F267" s="39"/>
      <c r="G267" s="29">
        <f t="shared" si="67"/>
        <v>0</v>
      </c>
      <c r="H267" s="33">
        <v>1</v>
      </c>
      <c r="I267" s="29">
        <f t="shared" si="68"/>
        <v>0</v>
      </c>
    </row>
    <row r="268" customHeight="1" spans="1:9">
      <c r="A268" s="25">
        <v>263</v>
      </c>
      <c r="B268" s="31" t="s">
        <v>282</v>
      </c>
      <c r="C268" s="39"/>
      <c r="D268" s="33">
        <v>0.2</v>
      </c>
      <c r="E268" s="37">
        <f t="shared" si="66"/>
        <v>0</v>
      </c>
      <c r="F268" s="39"/>
      <c r="G268" s="29">
        <f t="shared" si="67"/>
        <v>0</v>
      </c>
      <c r="H268" s="33">
        <v>1.5</v>
      </c>
      <c r="I268" s="29">
        <f t="shared" si="68"/>
        <v>0</v>
      </c>
    </row>
    <row r="269" customHeight="1" spans="1:9">
      <c r="A269" s="25">
        <v>264</v>
      </c>
      <c r="B269" s="31" t="s">
        <v>283</v>
      </c>
      <c r="C269" s="39"/>
      <c r="D269" s="33">
        <v>0.2</v>
      </c>
      <c r="E269" s="37">
        <f t="shared" si="66"/>
        <v>0</v>
      </c>
      <c r="F269" s="39"/>
      <c r="G269" s="29">
        <f t="shared" si="67"/>
        <v>0</v>
      </c>
      <c r="H269" s="33">
        <v>2.5</v>
      </c>
      <c r="I269" s="29">
        <f t="shared" si="68"/>
        <v>0</v>
      </c>
    </row>
    <row r="270" customHeight="1" spans="1:9">
      <c r="A270" s="25">
        <v>265</v>
      </c>
      <c r="B270" s="31" t="s">
        <v>284</v>
      </c>
      <c r="C270" s="39"/>
      <c r="D270" s="33">
        <v>0.2</v>
      </c>
      <c r="E270" s="37">
        <f t="shared" si="66"/>
        <v>0</v>
      </c>
      <c r="F270" s="39"/>
      <c r="G270" s="29">
        <f t="shared" si="67"/>
        <v>0</v>
      </c>
      <c r="H270" s="33">
        <v>4</v>
      </c>
      <c r="I270" s="29">
        <f t="shared" si="68"/>
        <v>0</v>
      </c>
    </row>
    <row r="271" customHeight="1" spans="1:9">
      <c r="A271" s="25">
        <v>266</v>
      </c>
      <c r="B271" s="31" t="s">
        <v>285</v>
      </c>
      <c r="C271" s="39"/>
      <c r="D271" s="33">
        <v>0.2</v>
      </c>
      <c r="E271" s="37">
        <f t="shared" si="66"/>
        <v>0</v>
      </c>
      <c r="F271" s="39"/>
      <c r="G271" s="29">
        <f t="shared" si="67"/>
        <v>0</v>
      </c>
      <c r="H271" s="33">
        <v>12.5</v>
      </c>
      <c r="I271" s="29">
        <f t="shared" si="68"/>
        <v>0</v>
      </c>
    </row>
    <row r="272" customHeight="1" spans="1:9">
      <c r="A272" s="25">
        <v>267</v>
      </c>
      <c r="B272" s="31" t="s">
        <v>286</v>
      </c>
      <c r="C272" s="39"/>
      <c r="D272" s="33">
        <v>0.2</v>
      </c>
      <c r="E272" s="37">
        <f t="shared" si="66"/>
        <v>0</v>
      </c>
      <c r="F272" s="39"/>
      <c r="G272" s="29">
        <f t="shared" si="67"/>
        <v>0</v>
      </c>
      <c r="H272" s="51"/>
      <c r="I272" s="39"/>
    </row>
    <row r="273" customHeight="1" spans="1:9">
      <c r="A273" s="25">
        <v>268</v>
      </c>
      <c r="B273" s="50" t="s">
        <v>287</v>
      </c>
      <c r="C273" s="29">
        <f>SUM(C274:C289)</f>
        <v>0</v>
      </c>
      <c r="D273" s="30"/>
      <c r="E273" s="29">
        <f>SUM(E274:E289)</f>
        <v>0</v>
      </c>
      <c r="F273" s="29">
        <f>SUM(F274:F289)</f>
        <v>0</v>
      </c>
      <c r="G273" s="29">
        <f t="shared" ref="F273:I273" si="69">SUM(G274:G289)</f>
        <v>0</v>
      </c>
      <c r="H273" s="41"/>
      <c r="I273" s="29">
        <f t="shared" si="69"/>
        <v>0</v>
      </c>
    </row>
    <row r="274" s="16" customFormat="1" customHeight="1" spans="1:9">
      <c r="A274" s="25">
        <v>269</v>
      </c>
      <c r="B274" s="31" t="s">
        <v>288</v>
      </c>
      <c r="C274" s="32"/>
      <c r="D274" s="33">
        <v>1</v>
      </c>
      <c r="E274" s="37">
        <f t="shared" ref="E274:E289" si="70">C274*D274</f>
        <v>0</v>
      </c>
      <c r="F274" s="32"/>
      <c r="G274" s="29">
        <f t="shared" ref="G274:G289" si="71">E274-F274</f>
        <v>0</v>
      </c>
      <c r="H274" s="33">
        <v>0</v>
      </c>
      <c r="I274" s="29">
        <f t="shared" ref="I274:I288" si="72">G274*H274</f>
        <v>0</v>
      </c>
    </row>
    <row r="275" s="16" customFormat="1" customHeight="1" spans="1:9">
      <c r="A275" s="25">
        <v>270</v>
      </c>
      <c r="B275" s="31" t="s">
        <v>289</v>
      </c>
      <c r="C275" s="32"/>
      <c r="D275" s="33">
        <v>1</v>
      </c>
      <c r="E275" s="37">
        <f t="shared" si="70"/>
        <v>0</v>
      </c>
      <c r="F275" s="32"/>
      <c r="G275" s="29">
        <f t="shared" si="71"/>
        <v>0</v>
      </c>
      <c r="H275" s="33">
        <v>0.1</v>
      </c>
      <c r="I275" s="29">
        <f t="shared" si="72"/>
        <v>0</v>
      </c>
    </row>
    <row r="276" s="16" customFormat="1" customHeight="1" spans="1:9">
      <c r="A276" s="25">
        <v>271</v>
      </c>
      <c r="B276" s="31" t="s">
        <v>290</v>
      </c>
      <c r="C276" s="32"/>
      <c r="D276" s="33">
        <v>1</v>
      </c>
      <c r="E276" s="37">
        <f t="shared" si="70"/>
        <v>0</v>
      </c>
      <c r="F276" s="32"/>
      <c r="G276" s="29">
        <f t="shared" si="71"/>
        <v>0</v>
      </c>
      <c r="H276" s="33">
        <v>0.2</v>
      </c>
      <c r="I276" s="29">
        <f t="shared" si="72"/>
        <v>0</v>
      </c>
    </row>
    <row r="277" s="16" customFormat="1" customHeight="1" spans="1:9">
      <c r="A277" s="25">
        <v>272</v>
      </c>
      <c r="B277" s="31" t="s">
        <v>291</v>
      </c>
      <c r="C277" s="32"/>
      <c r="D277" s="33">
        <v>1</v>
      </c>
      <c r="E277" s="37">
        <f t="shared" si="70"/>
        <v>0</v>
      </c>
      <c r="F277" s="32"/>
      <c r="G277" s="29">
        <f t="shared" si="71"/>
        <v>0</v>
      </c>
      <c r="H277" s="33">
        <v>0.3</v>
      </c>
      <c r="I277" s="29">
        <f t="shared" si="72"/>
        <v>0</v>
      </c>
    </row>
    <row r="278" s="16" customFormat="1" customHeight="1" spans="1:9">
      <c r="A278" s="25">
        <v>273</v>
      </c>
      <c r="B278" s="31" t="s">
        <v>292</v>
      </c>
      <c r="C278" s="32"/>
      <c r="D278" s="33">
        <v>1</v>
      </c>
      <c r="E278" s="37">
        <f t="shared" si="70"/>
        <v>0</v>
      </c>
      <c r="F278" s="32"/>
      <c r="G278" s="29">
        <f t="shared" si="71"/>
        <v>0</v>
      </c>
      <c r="H278" s="33">
        <v>0.4</v>
      </c>
      <c r="I278" s="29">
        <f t="shared" si="72"/>
        <v>0</v>
      </c>
    </row>
    <row r="279" s="16" customFormat="1" customHeight="1" spans="1:9">
      <c r="A279" s="25">
        <v>274</v>
      </c>
      <c r="B279" s="31" t="s">
        <v>293</v>
      </c>
      <c r="C279" s="32"/>
      <c r="D279" s="33">
        <v>1</v>
      </c>
      <c r="E279" s="37">
        <f t="shared" si="70"/>
        <v>0</v>
      </c>
      <c r="F279" s="32"/>
      <c r="G279" s="29">
        <f t="shared" si="71"/>
        <v>0</v>
      </c>
      <c r="H279" s="33">
        <v>0.45</v>
      </c>
      <c r="I279" s="29">
        <f t="shared" si="72"/>
        <v>0</v>
      </c>
    </row>
    <row r="280" s="16" customFormat="1" customHeight="1" spans="1:9">
      <c r="A280" s="25">
        <v>275</v>
      </c>
      <c r="B280" s="31" t="s">
        <v>294</v>
      </c>
      <c r="C280" s="32"/>
      <c r="D280" s="33">
        <v>1</v>
      </c>
      <c r="E280" s="37">
        <f t="shared" si="70"/>
        <v>0</v>
      </c>
      <c r="F280" s="32"/>
      <c r="G280" s="29">
        <f t="shared" si="71"/>
        <v>0</v>
      </c>
      <c r="H280" s="33">
        <v>0.5</v>
      </c>
      <c r="I280" s="29">
        <f t="shared" si="72"/>
        <v>0</v>
      </c>
    </row>
    <row r="281" s="16" customFormat="1" customHeight="1" spans="1:9">
      <c r="A281" s="25">
        <v>276</v>
      </c>
      <c r="B281" s="31" t="s">
        <v>295</v>
      </c>
      <c r="C281" s="32"/>
      <c r="D281" s="33">
        <v>1</v>
      </c>
      <c r="E281" s="37">
        <f t="shared" si="70"/>
        <v>0</v>
      </c>
      <c r="F281" s="32"/>
      <c r="G281" s="29">
        <f t="shared" si="71"/>
        <v>0</v>
      </c>
      <c r="H281" s="33">
        <v>0.6</v>
      </c>
      <c r="I281" s="29">
        <f t="shared" si="72"/>
        <v>0</v>
      </c>
    </row>
    <row r="282" s="16" customFormat="1" customHeight="1" spans="1:9">
      <c r="A282" s="25">
        <v>277</v>
      </c>
      <c r="B282" s="31" t="s">
        <v>296</v>
      </c>
      <c r="C282" s="32"/>
      <c r="D282" s="33">
        <v>1</v>
      </c>
      <c r="E282" s="37">
        <f t="shared" si="70"/>
        <v>0</v>
      </c>
      <c r="F282" s="32"/>
      <c r="G282" s="29">
        <f t="shared" si="71"/>
        <v>0</v>
      </c>
      <c r="H282" s="33">
        <v>0.75</v>
      </c>
      <c r="I282" s="29">
        <f t="shared" si="72"/>
        <v>0</v>
      </c>
    </row>
    <row r="283" s="16" customFormat="1" customHeight="1" spans="1:9">
      <c r="A283" s="25">
        <v>278</v>
      </c>
      <c r="B283" s="31" t="s">
        <v>297</v>
      </c>
      <c r="C283" s="32"/>
      <c r="D283" s="33">
        <v>1</v>
      </c>
      <c r="E283" s="37">
        <f t="shared" si="70"/>
        <v>0</v>
      </c>
      <c r="F283" s="32"/>
      <c r="G283" s="29">
        <f t="shared" si="71"/>
        <v>0</v>
      </c>
      <c r="H283" s="33">
        <v>0.85</v>
      </c>
      <c r="I283" s="29">
        <f t="shared" si="72"/>
        <v>0</v>
      </c>
    </row>
    <row r="284" s="16" customFormat="1" customHeight="1" spans="1:9">
      <c r="A284" s="25">
        <v>279</v>
      </c>
      <c r="B284" s="31" t="s">
        <v>298</v>
      </c>
      <c r="C284" s="32"/>
      <c r="D284" s="33">
        <v>1</v>
      </c>
      <c r="E284" s="37">
        <f t="shared" si="70"/>
        <v>0</v>
      </c>
      <c r="F284" s="32"/>
      <c r="G284" s="29">
        <f t="shared" si="71"/>
        <v>0</v>
      </c>
      <c r="H284" s="33">
        <v>1</v>
      </c>
      <c r="I284" s="29">
        <f t="shared" si="72"/>
        <v>0</v>
      </c>
    </row>
    <row r="285" s="16" customFormat="1" customHeight="1" spans="1:9">
      <c r="A285" s="25">
        <v>280</v>
      </c>
      <c r="B285" s="31" t="s">
        <v>299</v>
      </c>
      <c r="C285" s="32"/>
      <c r="D285" s="33">
        <v>1</v>
      </c>
      <c r="E285" s="37">
        <f t="shared" si="70"/>
        <v>0</v>
      </c>
      <c r="F285" s="32"/>
      <c r="G285" s="29">
        <f t="shared" si="71"/>
        <v>0</v>
      </c>
      <c r="H285" s="33">
        <v>1.5</v>
      </c>
      <c r="I285" s="29">
        <f t="shared" si="72"/>
        <v>0</v>
      </c>
    </row>
    <row r="286" s="16" customFormat="1" customHeight="1" spans="1:9">
      <c r="A286" s="25">
        <v>281</v>
      </c>
      <c r="B286" s="31" t="s">
        <v>300</v>
      </c>
      <c r="C286" s="32"/>
      <c r="D286" s="33">
        <v>1</v>
      </c>
      <c r="E286" s="37">
        <f t="shared" si="70"/>
        <v>0</v>
      </c>
      <c r="F286" s="32"/>
      <c r="G286" s="29">
        <f t="shared" si="71"/>
        <v>0</v>
      </c>
      <c r="H286" s="33">
        <v>2.5</v>
      </c>
      <c r="I286" s="29">
        <f t="shared" si="72"/>
        <v>0</v>
      </c>
    </row>
    <row r="287" s="16" customFormat="1" customHeight="1" spans="1:9">
      <c r="A287" s="25">
        <v>282</v>
      </c>
      <c r="B287" s="31" t="s">
        <v>301</v>
      </c>
      <c r="C287" s="32"/>
      <c r="D287" s="33">
        <v>1</v>
      </c>
      <c r="E287" s="37">
        <f t="shared" si="70"/>
        <v>0</v>
      </c>
      <c r="F287" s="32"/>
      <c r="G287" s="29">
        <f t="shared" si="71"/>
        <v>0</v>
      </c>
      <c r="H287" s="33">
        <v>4</v>
      </c>
      <c r="I287" s="29">
        <f t="shared" si="72"/>
        <v>0</v>
      </c>
    </row>
    <row r="288" s="16" customFormat="1" customHeight="1" spans="1:9">
      <c r="A288" s="25">
        <v>283</v>
      </c>
      <c r="B288" s="31" t="s">
        <v>302</v>
      </c>
      <c r="C288" s="32"/>
      <c r="D288" s="33">
        <v>1</v>
      </c>
      <c r="E288" s="37">
        <f t="shared" si="70"/>
        <v>0</v>
      </c>
      <c r="F288" s="32"/>
      <c r="G288" s="29">
        <f t="shared" si="71"/>
        <v>0</v>
      </c>
      <c r="H288" s="33">
        <v>12.5</v>
      </c>
      <c r="I288" s="29">
        <f t="shared" si="72"/>
        <v>0</v>
      </c>
    </row>
    <row r="289" s="17" customFormat="1" customHeight="1" spans="1:9">
      <c r="A289" s="25">
        <v>284</v>
      </c>
      <c r="B289" s="31" t="s">
        <v>303</v>
      </c>
      <c r="C289" s="32"/>
      <c r="D289" s="33">
        <v>1</v>
      </c>
      <c r="E289" s="37">
        <f t="shared" si="70"/>
        <v>0</v>
      </c>
      <c r="F289" s="32"/>
      <c r="G289" s="29">
        <f t="shared" si="71"/>
        <v>0</v>
      </c>
      <c r="H289" s="30"/>
      <c r="I289" s="32"/>
    </row>
    <row r="290" customHeight="1" spans="1:9">
      <c r="A290" s="25">
        <v>285</v>
      </c>
      <c r="B290" s="34" t="s">
        <v>304</v>
      </c>
      <c r="C290" s="29">
        <f>SUM(C291:C306)</f>
        <v>0</v>
      </c>
      <c r="D290" s="30"/>
      <c r="E290" s="29">
        <f>SUM(E291:E306)</f>
        <v>0</v>
      </c>
      <c r="F290" s="29">
        <f>SUM(F291:F306)</f>
        <v>0</v>
      </c>
      <c r="G290" s="29">
        <f>SUM(G291:G306)</f>
        <v>0</v>
      </c>
      <c r="H290" s="41"/>
      <c r="I290" s="29">
        <f>SUM(I291:I306)</f>
        <v>0</v>
      </c>
    </row>
    <row r="291" s="16" customFormat="1" customHeight="1" spans="1:9">
      <c r="A291" s="25">
        <v>286</v>
      </c>
      <c r="B291" s="31" t="s">
        <v>305</v>
      </c>
      <c r="C291" s="32"/>
      <c r="D291" s="33">
        <v>1</v>
      </c>
      <c r="E291" s="37">
        <f t="shared" ref="E291:E306" si="73">C291*D291</f>
        <v>0</v>
      </c>
      <c r="F291" s="32"/>
      <c r="G291" s="29">
        <f t="shared" ref="G291:G306" si="74">E291-F291</f>
        <v>0</v>
      </c>
      <c r="H291" s="33">
        <v>0</v>
      </c>
      <c r="I291" s="29">
        <f t="shared" ref="I291:I305" si="75">G291*H291</f>
        <v>0</v>
      </c>
    </row>
    <row r="292" s="16" customFormat="1" customHeight="1" spans="1:9">
      <c r="A292" s="25">
        <v>287</v>
      </c>
      <c r="B292" s="31" t="s">
        <v>306</v>
      </c>
      <c r="C292" s="32"/>
      <c r="D292" s="33">
        <v>1</v>
      </c>
      <c r="E292" s="37">
        <f t="shared" si="73"/>
        <v>0</v>
      </c>
      <c r="F292" s="32"/>
      <c r="G292" s="29">
        <f t="shared" si="74"/>
        <v>0</v>
      </c>
      <c r="H292" s="33">
        <v>0.1</v>
      </c>
      <c r="I292" s="29">
        <f t="shared" si="75"/>
        <v>0</v>
      </c>
    </row>
    <row r="293" s="16" customFormat="1" customHeight="1" spans="1:9">
      <c r="A293" s="25">
        <v>288</v>
      </c>
      <c r="B293" s="31" t="s">
        <v>307</v>
      </c>
      <c r="C293" s="32"/>
      <c r="D293" s="33">
        <v>1</v>
      </c>
      <c r="E293" s="37">
        <f t="shared" si="73"/>
        <v>0</v>
      </c>
      <c r="F293" s="32"/>
      <c r="G293" s="29">
        <f t="shared" si="74"/>
        <v>0</v>
      </c>
      <c r="H293" s="33">
        <v>0.2</v>
      </c>
      <c r="I293" s="29">
        <f t="shared" si="75"/>
        <v>0</v>
      </c>
    </row>
    <row r="294" s="16" customFormat="1" customHeight="1" spans="1:9">
      <c r="A294" s="25">
        <v>289</v>
      </c>
      <c r="B294" s="31" t="s">
        <v>308</v>
      </c>
      <c r="C294" s="32"/>
      <c r="D294" s="33">
        <v>1</v>
      </c>
      <c r="E294" s="37">
        <f t="shared" si="73"/>
        <v>0</v>
      </c>
      <c r="F294" s="32"/>
      <c r="G294" s="29">
        <f t="shared" si="74"/>
        <v>0</v>
      </c>
      <c r="H294" s="33">
        <v>0.3</v>
      </c>
      <c r="I294" s="29">
        <f t="shared" si="75"/>
        <v>0</v>
      </c>
    </row>
    <row r="295" s="16" customFormat="1" customHeight="1" spans="1:9">
      <c r="A295" s="25">
        <v>290</v>
      </c>
      <c r="B295" s="31" t="s">
        <v>309</v>
      </c>
      <c r="C295" s="32"/>
      <c r="D295" s="33">
        <v>1</v>
      </c>
      <c r="E295" s="37">
        <f t="shared" si="73"/>
        <v>0</v>
      </c>
      <c r="F295" s="32"/>
      <c r="G295" s="29">
        <f t="shared" si="74"/>
        <v>0</v>
      </c>
      <c r="H295" s="33">
        <v>0.4</v>
      </c>
      <c r="I295" s="29">
        <f t="shared" si="75"/>
        <v>0</v>
      </c>
    </row>
    <row r="296" s="16" customFormat="1" customHeight="1" spans="1:9">
      <c r="A296" s="25">
        <v>291</v>
      </c>
      <c r="B296" s="31" t="s">
        <v>310</v>
      </c>
      <c r="C296" s="32"/>
      <c r="D296" s="33">
        <v>1</v>
      </c>
      <c r="E296" s="37">
        <f t="shared" si="73"/>
        <v>0</v>
      </c>
      <c r="F296" s="32"/>
      <c r="G296" s="29">
        <f t="shared" si="74"/>
        <v>0</v>
      </c>
      <c r="H296" s="33">
        <v>0.45</v>
      </c>
      <c r="I296" s="29">
        <f t="shared" si="75"/>
        <v>0</v>
      </c>
    </row>
    <row r="297" s="16" customFormat="1" customHeight="1" spans="1:9">
      <c r="A297" s="25">
        <v>292</v>
      </c>
      <c r="B297" s="31" t="s">
        <v>311</v>
      </c>
      <c r="C297" s="32"/>
      <c r="D297" s="33">
        <v>1</v>
      </c>
      <c r="E297" s="37">
        <f t="shared" si="73"/>
        <v>0</v>
      </c>
      <c r="F297" s="32"/>
      <c r="G297" s="29">
        <f t="shared" si="74"/>
        <v>0</v>
      </c>
      <c r="H297" s="33">
        <v>0.5</v>
      </c>
      <c r="I297" s="29">
        <f t="shared" si="75"/>
        <v>0</v>
      </c>
    </row>
    <row r="298" s="16" customFormat="1" customHeight="1" spans="1:9">
      <c r="A298" s="25">
        <v>293</v>
      </c>
      <c r="B298" s="31" t="s">
        <v>312</v>
      </c>
      <c r="C298" s="32"/>
      <c r="D298" s="33">
        <v>1</v>
      </c>
      <c r="E298" s="37">
        <f t="shared" si="73"/>
        <v>0</v>
      </c>
      <c r="F298" s="32"/>
      <c r="G298" s="29">
        <f t="shared" si="74"/>
        <v>0</v>
      </c>
      <c r="H298" s="33">
        <v>0.6</v>
      </c>
      <c r="I298" s="29">
        <f t="shared" si="75"/>
        <v>0</v>
      </c>
    </row>
    <row r="299" s="16" customFormat="1" customHeight="1" spans="1:9">
      <c r="A299" s="25">
        <v>294</v>
      </c>
      <c r="B299" s="31" t="s">
        <v>313</v>
      </c>
      <c r="C299" s="32"/>
      <c r="D299" s="33">
        <v>1</v>
      </c>
      <c r="E299" s="37">
        <f t="shared" si="73"/>
        <v>0</v>
      </c>
      <c r="F299" s="32"/>
      <c r="G299" s="29">
        <f t="shared" si="74"/>
        <v>0</v>
      </c>
      <c r="H299" s="33">
        <v>0.75</v>
      </c>
      <c r="I299" s="29">
        <f t="shared" si="75"/>
        <v>0</v>
      </c>
    </row>
    <row r="300" s="16" customFormat="1" customHeight="1" spans="1:9">
      <c r="A300" s="25">
        <v>295</v>
      </c>
      <c r="B300" s="31" t="s">
        <v>314</v>
      </c>
      <c r="C300" s="32"/>
      <c r="D300" s="33">
        <v>1</v>
      </c>
      <c r="E300" s="37">
        <f t="shared" si="73"/>
        <v>0</v>
      </c>
      <c r="F300" s="32"/>
      <c r="G300" s="29">
        <f t="shared" si="74"/>
        <v>0</v>
      </c>
      <c r="H300" s="33">
        <v>0.85</v>
      </c>
      <c r="I300" s="29">
        <f t="shared" si="75"/>
        <v>0</v>
      </c>
    </row>
    <row r="301" s="16" customFormat="1" customHeight="1" spans="1:9">
      <c r="A301" s="25">
        <v>296</v>
      </c>
      <c r="B301" s="31" t="s">
        <v>315</v>
      </c>
      <c r="C301" s="32"/>
      <c r="D301" s="33">
        <v>1</v>
      </c>
      <c r="E301" s="37">
        <f t="shared" si="73"/>
        <v>0</v>
      </c>
      <c r="F301" s="32"/>
      <c r="G301" s="29">
        <f t="shared" si="74"/>
        <v>0</v>
      </c>
      <c r="H301" s="33">
        <v>1</v>
      </c>
      <c r="I301" s="29">
        <f t="shared" si="75"/>
        <v>0</v>
      </c>
    </row>
    <row r="302" s="16" customFormat="1" customHeight="1" spans="1:9">
      <c r="A302" s="25">
        <v>297</v>
      </c>
      <c r="B302" s="31" t="s">
        <v>316</v>
      </c>
      <c r="C302" s="32"/>
      <c r="D302" s="33">
        <v>1</v>
      </c>
      <c r="E302" s="37">
        <f t="shared" si="73"/>
        <v>0</v>
      </c>
      <c r="F302" s="32"/>
      <c r="G302" s="29">
        <f t="shared" si="74"/>
        <v>0</v>
      </c>
      <c r="H302" s="33">
        <v>1.5</v>
      </c>
      <c r="I302" s="29">
        <f t="shared" si="75"/>
        <v>0</v>
      </c>
    </row>
    <row r="303" s="16" customFormat="1" customHeight="1" spans="1:9">
      <c r="A303" s="25">
        <v>298</v>
      </c>
      <c r="B303" s="31" t="s">
        <v>317</v>
      </c>
      <c r="C303" s="32"/>
      <c r="D303" s="33">
        <v>1</v>
      </c>
      <c r="E303" s="37">
        <f t="shared" si="73"/>
        <v>0</v>
      </c>
      <c r="F303" s="32"/>
      <c r="G303" s="29">
        <f t="shared" si="74"/>
        <v>0</v>
      </c>
      <c r="H303" s="33">
        <v>2.5</v>
      </c>
      <c r="I303" s="29">
        <f t="shared" si="75"/>
        <v>0</v>
      </c>
    </row>
    <row r="304" s="16" customFormat="1" customHeight="1" spans="1:9">
      <c r="A304" s="25">
        <v>299</v>
      </c>
      <c r="B304" s="31" t="s">
        <v>318</v>
      </c>
      <c r="C304" s="32"/>
      <c r="D304" s="33">
        <v>1</v>
      </c>
      <c r="E304" s="37">
        <f t="shared" si="73"/>
        <v>0</v>
      </c>
      <c r="F304" s="32"/>
      <c r="G304" s="29">
        <f t="shared" si="74"/>
        <v>0</v>
      </c>
      <c r="H304" s="33">
        <v>4</v>
      </c>
      <c r="I304" s="29">
        <f t="shared" si="75"/>
        <v>0</v>
      </c>
    </row>
    <row r="305" s="16" customFormat="1" customHeight="1" spans="1:9">
      <c r="A305" s="25">
        <v>300</v>
      </c>
      <c r="B305" s="31" t="s">
        <v>319</v>
      </c>
      <c r="C305" s="32"/>
      <c r="D305" s="33">
        <v>1</v>
      </c>
      <c r="E305" s="37">
        <f t="shared" si="73"/>
        <v>0</v>
      </c>
      <c r="F305" s="32"/>
      <c r="G305" s="29">
        <f t="shared" si="74"/>
        <v>0</v>
      </c>
      <c r="H305" s="33">
        <v>12.5</v>
      </c>
      <c r="I305" s="29">
        <f t="shared" si="75"/>
        <v>0</v>
      </c>
    </row>
    <row r="306" s="17" customFormat="1" customHeight="1" spans="1:9">
      <c r="A306" s="25">
        <v>301</v>
      </c>
      <c r="B306" s="31" t="s">
        <v>320</v>
      </c>
      <c r="C306" s="32"/>
      <c r="D306" s="33">
        <v>1</v>
      </c>
      <c r="E306" s="37">
        <f t="shared" si="73"/>
        <v>0</v>
      </c>
      <c r="F306" s="32"/>
      <c r="G306" s="29">
        <f t="shared" si="74"/>
        <v>0</v>
      </c>
      <c r="H306" s="30"/>
      <c r="I306" s="32"/>
    </row>
    <row r="307" customHeight="1" spans="1:9">
      <c r="A307" s="25">
        <v>302</v>
      </c>
      <c r="B307" s="34" t="s">
        <v>321</v>
      </c>
      <c r="C307" s="29">
        <f>SUM(C308:C320)</f>
        <v>0</v>
      </c>
      <c r="D307" s="30"/>
      <c r="E307" s="29">
        <f>SUM(E308:E320)</f>
        <v>0</v>
      </c>
      <c r="F307" s="29">
        <f>SUM(F308:F320)</f>
        <v>0</v>
      </c>
      <c r="G307" s="29">
        <f>SUM(G308:G320)</f>
        <v>0</v>
      </c>
      <c r="H307" s="41"/>
      <c r="I307" s="29">
        <f>SUM(I308:I320)</f>
        <v>0</v>
      </c>
    </row>
    <row r="308" s="16" customFormat="1" customHeight="1" spans="1:9">
      <c r="A308" s="25">
        <v>303</v>
      </c>
      <c r="B308" s="31" t="s">
        <v>322</v>
      </c>
      <c r="C308" s="32"/>
      <c r="D308" s="33">
        <v>1</v>
      </c>
      <c r="E308" s="37">
        <f t="shared" ref="E308:E320" si="76">C308*D308</f>
        <v>0</v>
      </c>
      <c r="F308" s="32"/>
      <c r="G308" s="29">
        <f t="shared" ref="G308:G320" si="77">E308-F308</f>
        <v>0</v>
      </c>
      <c r="H308" s="33">
        <v>0</v>
      </c>
      <c r="I308" s="29">
        <f t="shared" ref="I308:I319" si="78">G308*H308</f>
        <v>0</v>
      </c>
    </row>
    <row r="309" s="16" customFormat="1" customHeight="1" spans="1:9">
      <c r="A309" s="25">
        <v>304</v>
      </c>
      <c r="B309" s="31" t="s">
        <v>323</v>
      </c>
      <c r="C309" s="32"/>
      <c r="D309" s="33">
        <v>1</v>
      </c>
      <c r="E309" s="37">
        <f t="shared" si="76"/>
        <v>0</v>
      </c>
      <c r="F309" s="32"/>
      <c r="G309" s="29">
        <f t="shared" si="77"/>
        <v>0</v>
      </c>
      <c r="H309" s="33">
        <v>0.1</v>
      </c>
      <c r="I309" s="29">
        <f t="shared" si="78"/>
        <v>0</v>
      </c>
    </row>
    <row r="310" s="16" customFormat="1" customHeight="1" spans="1:9">
      <c r="A310" s="25">
        <v>305</v>
      </c>
      <c r="B310" s="31" t="s">
        <v>324</v>
      </c>
      <c r="C310" s="32"/>
      <c r="D310" s="33">
        <v>1</v>
      </c>
      <c r="E310" s="37">
        <f t="shared" si="76"/>
        <v>0</v>
      </c>
      <c r="F310" s="32"/>
      <c r="G310" s="29">
        <f t="shared" si="77"/>
        <v>0</v>
      </c>
      <c r="H310" s="33">
        <v>0.2</v>
      </c>
      <c r="I310" s="29">
        <f t="shared" si="78"/>
        <v>0</v>
      </c>
    </row>
    <row r="311" s="16" customFormat="1" customHeight="1" spans="1:9">
      <c r="A311" s="25">
        <v>306</v>
      </c>
      <c r="B311" s="31" t="s">
        <v>325</v>
      </c>
      <c r="C311" s="32"/>
      <c r="D311" s="33">
        <v>1</v>
      </c>
      <c r="E311" s="37">
        <f t="shared" si="76"/>
        <v>0</v>
      </c>
      <c r="F311" s="32"/>
      <c r="G311" s="29">
        <f t="shared" si="77"/>
        <v>0</v>
      </c>
      <c r="H311" s="33">
        <v>0.3</v>
      </c>
      <c r="I311" s="29">
        <f t="shared" si="78"/>
        <v>0</v>
      </c>
    </row>
    <row r="312" s="16" customFormat="1" customHeight="1" spans="1:9">
      <c r="A312" s="25">
        <v>307</v>
      </c>
      <c r="B312" s="31" t="s">
        <v>326</v>
      </c>
      <c r="C312" s="32"/>
      <c r="D312" s="33">
        <v>1</v>
      </c>
      <c r="E312" s="37">
        <f t="shared" si="76"/>
        <v>0</v>
      </c>
      <c r="F312" s="32"/>
      <c r="G312" s="29">
        <f t="shared" si="77"/>
        <v>0</v>
      </c>
      <c r="H312" s="33">
        <v>0.4</v>
      </c>
      <c r="I312" s="29">
        <f t="shared" si="78"/>
        <v>0</v>
      </c>
    </row>
    <row r="313" s="16" customFormat="1" customHeight="1" spans="1:9">
      <c r="A313" s="25">
        <v>308</v>
      </c>
      <c r="B313" s="31" t="s">
        <v>327</v>
      </c>
      <c r="C313" s="32"/>
      <c r="D313" s="33">
        <v>1</v>
      </c>
      <c r="E313" s="37">
        <f t="shared" si="76"/>
        <v>0</v>
      </c>
      <c r="F313" s="32"/>
      <c r="G313" s="29">
        <f t="shared" si="77"/>
        <v>0</v>
      </c>
      <c r="H313" s="33">
        <v>0.45</v>
      </c>
      <c r="I313" s="29">
        <f t="shared" si="78"/>
        <v>0</v>
      </c>
    </row>
    <row r="314" s="16" customFormat="1" customHeight="1" spans="1:9">
      <c r="A314" s="25">
        <v>309</v>
      </c>
      <c r="B314" s="31" t="s">
        <v>328</v>
      </c>
      <c r="C314" s="32"/>
      <c r="D314" s="33">
        <v>1</v>
      </c>
      <c r="E314" s="37">
        <f t="shared" si="76"/>
        <v>0</v>
      </c>
      <c r="F314" s="32"/>
      <c r="G314" s="29">
        <f t="shared" si="77"/>
        <v>0</v>
      </c>
      <c r="H314" s="33">
        <v>0.5</v>
      </c>
      <c r="I314" s="29">
        <f t="shared" si="78"/>
        <v>0</v>
      </c>
    </row>
    <row r="315" s="16" customFormat="1" customHeight="1" spans="1:9">
      <c r="A315" s="25">
        <v>310</v>
      </c>
      <c r="B315" s="31" t="s">
        <v>329</v>
      </c>
      <c r="C315" s="32"/>
      <c r="D315" s="33">
        <v>1</v>
      </c>
      <c r="E315" s="37">
        <f t="shared" si="76"/>
        <v>0</v>
      </c>
      <c r="F315" s="32"/>
      <c r="G315" s="29">
        <f t="shared" si="77"/>
        <v>0</v>
      </c>
      <c r="H315" s="33">
        <v>0.6</v>
      </c>
      <c r="I315" s="29">
        <f t="shared" si="78"/>
        <v>0</v>
      </c>
    </row>
    <row r="316" s="16" customFormat="1" customHeight="1" spans="1:9">
      <c r="A316" s="25">
        <v>311</v>
      </c>
      <c r="B316" s="31" t="s">
        <v>330</v>
      </c>
      <c r="C316" s="32"/>
      <c r="D316" s="33">
        <v>1</v>
      </c>
      <c r="E316" s="37">
        <f t="shared" si="76"/>
        <v>0</v>
      </c>
      <c r="F316" s="32"/>
      <c r="G316" s="29">
        <f t="shared" si="77"/>
        <v>0</v>
      </c>
      <c r="H316" s="33">
        <v>0.75</v>
      </c>
      <c r="I316" s="29">
        <f t="shared" si="78"/>
        <v>0</v>
      </c>
    </row>
    <row r="317" s="16" customFormat="1" customHeight="1" spans="1:9">
      <c r="A317" s="25">
        <v>312</v>
      </c>
      <c r="B317" s="31" t="s">
        <v>331</v>
      </c>
      <c r="C317" s="32"/>
      <c r="D317" s="33">
        <v>1</v>
      </c>
      <c r="E317" s="37">
        <f t="shared" si="76"/>
        <v>0</v>
      </c>
      <c r="F317" s="32"/>
      <c r="G317" s="29">
        <f t="shared" si="77"/>
        <v>0</v>
      </c>
      <c r="H317" s="33">
        <v>0.85</v>
      </c>
      <c r="I317" s="29">
        <f t="shared" si="78"/>
        <v>0</v>
      </c>
    </row>
    <row r="318" s="16" customFormat="1" customHeight="1" spans="1:9">
      <c r="A318" s="25">
        <v>313</v>
      </c>
      <c r="B318" s="31" t="s">
        <v>332</v>
      </c>
      <c r="C318" s="32"/>
      <c r="D318" s="33">
        <v>1</v>
      </c>
      <c r="E318" s="37">
        <f t="shared" si="76"/>
        <v>0</v>
      </c>
      <c r="F318" s="32"/>
      <c r="G318" s="29">
        <f t="shared" si="77"/>
        <v>0</v>
      </c>
      <c r="H318" s="33">
        <v>1</v>
      </c>
      <c r="I318" s="29">
        <f t="shared" si="78"/>
        <v>0</v>
      </c>
    </row>
    <row r="319" s="16" customFormat="1" customHeight="1" spans="1:9">
      <c r="A319" s="25">
        <v>314</v>
      </c>
      <c r="B319" s="31" t="s">
        <v>333</v>
      </c>
      <c r="C319" s="32"/>
      <c r="D319" s="33">
        <v>1</v>
      </c>
      <c r="E319" s="37">
        <f t="shared" si="76"/>
        <v>0</v>
      </c>
      <c r="F319" s="32"/>
      <c r="G319" s="29">
        <f t="shared" si="77"/>
        <v>0</v>
      </c>
      <c r="H319" s="33">
        <v>1.5</v>
      </c>
      <c r="I319" s="29">
        <f t="shared" si="78"/>
        <v>0</v>
      </c>
    </row>
    <row r="320" s="17" customFormat="1" customHeight="1" spans="1:9">
      <c r="A320" s="25">
        <v>315</v>
      </c>
      <c r="B320" s="31" t="s">
        <v>334</v>
      </c>
      <c r="C320" s="32"/>
      <c r="D320" s="33">
        <v>1</v>
      </c>
      <c r="E320" s="37">
        <f t="shared" si="76"/>
        <v>0</v>
      </c>
      <c r="F320" s="32"/>
      <c r="G320" s="29">
        <f t="shared" si="77"/>
        <v>0</v>
      </c>
      <c r="H320" s="30"/>
      <c r="I320" s="32"/>
    </row>
    <row r="321" customHeight="1" spans="1:9">
      <c r="A321" s="25">
        <v>316</v>
      </c>
      <c r="B321" s="34" t="s">
        <v>335</v>
      </c>
      <c r="C321" s="29">
        <f>SUM(C322:C337)</f>
        <v>0</v>
      </c>
      <c r="D321" s="30"/>
      <c r="E321" s="29">
        <f>SUM(E322:E337)</f>
        <v>0</v>
      </c>
      <c r="F321" s="29">
        <f>SUM(F322:F337)</f>
        <v>0</v>
      </c>
      <c r="G321" s="29">
        <f>SUM(G322:G337)</f>
        <v>0</v>
      </c>
      <c r="H321" s="41"/>
      <c r="I321" s="29">
        <f>SUM(I322:I337)</f>
        <v>0</v>
      </c>
    </row>
    <row r="322" s="16" customFormat="1" customHeight="1" spans="1:9">
      <c r="A322" s="25">
        <v>317</v>
      </c>
      <c r="B322" s="31" t="s">
        <v>336</v>
      </c>
      <c r="C322" s="32"/>
      <c r="D322" s="33">
        <v>1</v>
      </c>
      <c r="E322" s="37">
        <f t="shared" ref="E322:E337" si="79">C322*D322</f>
        <v>0</v>
      </c>
      <c r="F322" s="32"/>
      <c r="G322" s="29">
        <f t="shared" ref="G322:G337" si="80">E322-F322</f>
        <v>0</v>
      </c>
      <c r="H322" s="33">
        <v>0</v>
      </c>
      <c r="I322" s="29">
        <f>G322*H322</f>
        <v>0</v>
      </c>
    </row>
    <row r="323" s="16" customFormat="1" customHeight="1" spans="1:9">
      <c r="A323" s="25">
        <v>318</v>
      </c>
      <c r="B323" s="31" t="s">
        <v>337</v>
      </c>
      <c r="C323" s="32"/>
      <c r="D323" s="33">
        <v>1</v>
      </c>
      <c r="E323" s="37">
        <f t="shared" si="79"/>
        <v>0</v>
      </c>
      <c r="F323" s="32"/>
      <c r="G323" s="29">
        <f t="shared" si="80"/>
        <v>0</v>
      </c>
      <c r="H323" s="33">
        <v>0.1</v>
      </c>
      <c r="I323" s="29">
        <f t="shared" ref="I323:I336" si="81">G323*H323</f>
        <v>0</v>
      </c>
    </row>
    <row r="324" s="16" customFormat="1" customHeight="1" spans="1:9">
      <c r="A324" s="25">
        <v>319</v>
      </c>
      <c r="B324" s="31" t="s">
        <v>338</v>
      </c>
      <c r="C324" s="32"/>
      <c r="D324" s="33">
        <v>1</v>
      </c>
      <c r="E324" s="37">
        <f t="shared" si="79"/>
        <v>0</v>
      </c>
      <c r="F324" s="32"/>
      <c r="G324" s="29">
        <f t="shared" si="80"/>
        <v>0</v>
      </c>
      <c r="H324" s="33">
        <v>0.2</v>
      </c>
      <c r="I324" s="29">
        <f t="shared" si="81"/>
        <v>0</v>
      </c>
    </row>
    <row r="325" s="16" customFormat="1" customHeight="1" spans="1:9">
      <c r="A325" s="25">
        <v>320</v>
      </c>
      <c r="B325" s="31" t="s">
        <v>339</v>
      </c>
      <c r="C325" s="32"/>
      <c r="D325" s="33">
        <v>1</v>
      </c>
      <c r="E325" s="37">
        <f t="shared" si="79"/>
        <v>0</v>
      </c>
      <c r="F325" s="32"/>
      <c r="G325" s="29">
        <f t="shared" si="80"/>
        <v>0</v>
      </c>
      <c r="H325" s="33">
        <v>0.3</v>
      </c>
      <c r="I325" s="29">
        <f t="shared" si="81"/>
        <v>0</v>
      </c>
    </row>
    <row r="326" s="16" customFormat="1" customHeight="1" spans="1:9">
      <c r="A326" s="25">
        <v>321</v>
      </c>
      <c r="B326" s="31" t="s">
        <v>340</v>
      </c>
      <c r="C326" s="32"/>
      <c r="D326" s="33">
        <v>1</v>
      </c>
      <c r="E326" s="37">
        <f t="shared" si="79"/>
        <v>0</v>
      </c>
      <c r="F326" s="32"/>
      <c r="G326" s="29">
        <f t="shared" si="80"/>
        <v>0</v>
      </c>
      <c r="H326" s="33">
        <v>0.4</v>
      </c>
      <c r="I326" s="29">
        <f t="shared" si="81"/>
        <v>0</v>
      </c>
    </row>
    <row r="327" s="16" customFormat="1" customHeight="1" spans="1:9">
      <c r="A327" s="25">
        <v>322</v>
      </c>
      <c r="B327" s="31" t="s">
        <v>341</v>
      </c>
      <c r="C327" s="32"/>
      <c r="D327" s="33">
        <v>1</v>
      </c>
      <c r="E327" s="37">
        <f t="shared" si="79"/>
        <v>0</v>
      </c>
      <c r="F327" s="32"/>
      <c r="G327" s="29">
        <f t="shared" si="80"/>
        <v>0</v>
      </c>
      <c r="H327" s="33">
        <v>0.45</v>
      </c>
      <c r="I327" s="29">
        <f t="shared" si="81"/>
        <v>0</v>
      </c>
    </row>
    <row r="328" s="16" customFormat="1" customHeight="1" spans="1:9">
      <c r="A328" s="25">
        <v>323</v>
      </c>
      <c r="B328" s="31" t="s">
        <v>342</v>
      </c>
      <c r="C328" s="32"/>
      <c r="D328" s="33">
        <v>1</v>
      </c>
      <c r="E328" s="37">
        <f t="shared" si="79"/>
        <v>0</v>
      </c>
      <c r="F328" s="32"/>
      <c r="G328" s="29">
        <f t="shared" si="80"/>
        <v>0</v>
      </c>
      <c r="H328" s="33">
        <v>0.5</v>
      </c>
      <c r="I328" s="29">
        <f t="shared" si="81"/>
        <v>0</v>
      </c>
    </row>
    <row r="329" s="16" customFormat="1" customHeight="1" spans="1:9">
      <c r="A329" s="25">
        <v>324</v>
      </c>
      <c r="B329" s="31" t="s">
        <v>343</v>
      </c>
      <c r="C329" s="32"/>
      <c r="D329" s="33">
        <v>1</v>
      </c>
      <c r="E329" s="37">
        <f t="shared" si="79"/>
        <v>0</v>
      </c>
      <c r="F329" s="32"/>
      <c r="G329" s="29">
        <f t="shared" si="80"/>
        <v>0</v>
      </c>
      <c r="H329" s="33">
        <v>0.6</v>
      </c>
      <c r="I329" s="29">
        <f t="shared" si="81"/>
        <v>0</v>
      </c>
    </row>
    <row r="330" s="16" customFormat="1" customHeight="1" spans="1:9">
      <c r="A330" s="25">
        <v>325</v>
      </c>
      <c r="B330" s="31" t="s">
        <v>344</v>
      </c>
      <c r="C330" s="32"/>
      <c r="D330" s="33">
        <v>1</v>
      </c>
      <c r="E330" s="37">
        <f t="shared" si="79"/>
        <v>0</v>
      </c>
      <c r="F330" s="32"/>
      <c r="G330" s="29">
        <f t="shared" si="80"/>
        <v>0</v>
      </c>
      <c r="H330" s="33">
        <v>0.75</v>
      </c>
      <c r="I330" s="29">
        <f t="shared" si="81"/>
        <v>0</v>
      </c>
    </row>
    <row r="331" s="16" customFormat="1" customHeight="1" spans="1:9">
      <c r="A331" s="25">
        <v>326</v>
      </c>
      <c r="B331" s="31" t="s">
        <v>345</v>
      </c>
      <c r="C331" s="32"/>
      <c r="D331" s="33">
        <v>1</v>
      </c>
      <c r="E331" s="37">
        <f t="shared" si="79"/>
        <v>0</v>
      </c>
      <c r="F331" s="32"/>
      <c r="G331" s="29">
        <f t="shared" si="80"/>
        <v>0</v>
      </c>
      <c r="H331" s="33">
        <v>0.85</v>
      </c>
      <c r="I331" s="29">
        <f t="shared" si="81"/>
        <v>0</v>
      </c>
    </row>
    <row r="332" s="16" customFormat="1" customHeight="1" spans="1:9">
      <c r="A332" s="25">
        <v>327</v>
      </c>
      <c r="B332" s="31" t="s">
        <v>346</v>
      </c>
      <c r="C332" s="32"/>
      <c r="D332" s="33">
        <v>1</v>
      </c>
      <c r="E332" s="37">
        <f t="shared" si="79"/>
        <v>0</v>
      </c>
      <c r="F332" s="32"/>
      <c r="G332" s="29">
        <f t="shared" si="80"/>
        <v>0</v>
      </c>
      <c r="H332" s="33">
        <v>1</v>
      </c>
      <c r="I332" s="29">
        <f t="shared" si="81"/>
        <v>0</v>
      </c>
    </row>
    <row r="333" s="16" customFormat="1" customHeight="1" spans="1:9">
      <c r="A333" s="25">
        <v>328</v>
      </c>
      <c r="B333" s="31" t="s">
        <v>347</v>
      </c>
      <c r="C333" s="32"/>
      <c r="D333" s="33">
        <v>1</v>
      </c>
      <c r="E333" s="37">
        <f t="shared" si="79"/>
        <v>0</v>
      </c>
      <c r="F333" s="32"/>
      <c r="G333" s="29">
        <f t="shared" si="80"/>
        <v>0</v>
      </c>
      <c r="H333" s="33">
        <v>1.5</v>
      </c>
      <c r="I333" s="29">
        <f t="shared" si="81"/>
        <v>0</v>
      </c>
    </row>
    <row r="334" s="16" customFormat="1" customHeight="1" spans="1:9">
      <c r="A334" s="25">
        <v>329</v>
      </c>
      <c r="B334" s="31" t="s">
        <v>348</v>
      </c>
      <c r="C334" s="32"/>
      <c r="D334" s="33">
        <v>1</v>
      </c>
      <c r="E334" s="37">
        <f t="shared" si="79"/>
        <v>0</v>
      </c>
      <c r="F334" s="32"/>
      <c r="G334" s="29">
        <f t="shared" si="80"/>
        <v>0</v>
      </c>
      <c r="H334" s="33">
        <v>2.5</v>
      </c>
      <c r="I334" s="29">
        <f t="shared" si="81"/>
        <v>0</v>
      </c>
    </row>
    <row r="335" s="16" customFormat="1" customHeight="1" spans="1:9">
      <c r="A335" s="25">
        <v>330</v>
      </c>
      <c r="B335" s="31" t="s">
        <v>349</v>
      </c>
      <c r="C335" s="32"/>
      <c r="D335" s="33">
        <v>1</v>
      </c>
      <c r="E335" s="37">
        <f t="shared" si="79"/>
        <v>0</v>
      </c>
      <c r="F335" s="32"/>
      <c r="G335" s="29">
        <f t="shared" si="80"/>
        <v>0</v>
      </c>
      <c r="H335" s="33">
        <v>4</v>
      </c>
      <c r="I335" s="29">
        <f t="shared" si="81"/>
        <v>0</v>
      </c>
    </row>
    <row r="336" s="16" customFormat="1" customHeight="1" spans="1:9">
      <c r="A336" s="25">
        <v>331</v>
      </c>
      <c r="B336" s="31" t="s">
        <v>350</v>
      </c>
      <c r="C336" s="32"/>
      <c r="D336" s="33">
        <v>1</v>
      </c>
      <c r="E336" s="37">
        <f t="shared" si="79"/>
        <v>0</v>
      </c>
      <c r="F336" s="32"/>
      <c r="G336" s="29">
        <f t="shared" si="80"/>
        <v>0</v>
      </c>
      <c r="H336" s="33">
        <v>12.5</v>
      </c>
      <c r="I336" s="29">
        <f t="shared" si="81"/>
        <v>0</v>
      </c>
    </row>
    <row r="337" s="17" customFormat="1" customHeight="1" spans="1:9">
      <c r="A337" s="25">
        <v>332</v>
      </c>
      <c r="B337" s="31" t="s">
        <v>351</v>
      </c>
      <c r="C337" s="32"/>
      <c r="D337" s="33">
        <v>1</v>
      </c>
      <c r="E337" s="37">
        <f t="shared" si="79"/>
        <v>0</v>
      </c>
      <c r="F337" s="32"/>
      <c r="G337" s="29">
        <f t="shared" si="80"/>
        <v>0</v>
      </c>
      <c r="H337" s="30"/>
      <c r="I337" s="32"/>
    </row>
    <row r="338" customHeight="1" spans="1:9">
      <c r="A338" s="25">
        <v>333</v>
      </c>
      <c r="B338" s="34" t="s">
        <v>352</v>
      </c>
      <c r="C338" s="29">
        <f>SUM(C339:C354)</f>
        <v>0</v>
      </c>
      <c r="D338" s="30"/>
      <c r="E338" s="29">
        <f>SUM(E339:E354)</f>
        <v>0</v>
      </c>
      <c r="F338" s="29">
        <f>SUM(F339:F354)</f>
        <v>0</v>
      </c>
      <c r="G338" s="29">
        <f>SUM(G339:G354)</f>
        <v>0</v>
      </c>
      <c r="H338" s="41"/>
      <c r="I338" s="29">
        <f>SUM(I339:I354)</f>
        <v>0</v>
      </c>
    </row>
    <row r="339" s="16" customFormat="1" customHeight="1" spans="1:9">
      <c r="A339" s="25">
        <v>334</v>
      </c>
      <c r="B339" s="31" t="s">
        <v>353</v>
      </c>
      <c r="C339" s="32"/>
      <c r="D339" s="33">
        <v>1</v>
      </c>
      <c r="E339" s="37">
        <f t="shared" ref="E339:E354" si="82">C339*D339</f>
        <v>0</v>
      </c>
      <c r="F339" s="32"/>
      <c r="G339" s="29">
        <f t="shared" ref="G339:G354" si="83">E339-F339</f>
        <v>0</v>
      </c>
      <c r="H339" s="33">
        <v>0</v>
      </c>
      <c r="I339" s="29">
        <f t="shared" ref="I339:I353" si="84">G339*H339</f>
        <v>0</v>
      </c>
    </row>
    <row r="340" s="16" customFormat="1" customHeight="1" spans="1:9">
      <c r="A340" s="25">
        <v>335</v>
      </c>
      <c r="B340" s="31" t="s">
        <v>354</v>
      </c>
      <c r="C340" s="32"/>
      <c r="D340" s="33">
        <v>1</v>
      </c>
      <c r="E340" s="37">
        <f t="shared" si="82"/>
        <v>0</v>
      </c>
      <c r="F340" s="32"/>
      <c r="G340" s="29">
        <f t="shared" si="83"/>
        <v>0</v>
      </c>
      <c r="H340" s="33">
        <v>0.1</v>
      </c>
      <c r="I340" s="29">
        <f t="shared" si="84"/>
        <v>0</v>
      </c>
    </row>
    <row r="341" s="16" customFormat="1" customHeight="1" spans="1:9">
      <c r="A341" s="25">
        <v>336</v>
      </c>
      <c r="B341" s="31" t="s">
        <v>355</v>
      </c>
      <c r="C341" s="32"/>
      <c r="D341" s="33">
        <v>1</v>
      </c>
      <c r="E341" s="37">
        <f t="shared" si="82"/>
        <v>0</v>
      </c>
      <c r="F341" s="32"/>
      <c r="G341" s="29">
        <f t="shared" si="83"/>
        <v>0</v>
      </c>
      <c r="H341" s="33">
        <v>0.2</v>
      </c>
      <c r="I341" s="29">
        <f t="shared" si="84"/>
        <v>0</v>
      </c>
    </row>
    <row r="342" s="16" customFormat="1" customHeight="1" spans="1:9">
      <c r="A342" s="25">
        <v>337</v>
      </c>
      <c r="B342" s="31" t="s">
        <v>356</v>
      </c>
      <c r="C342" s="32"/>
      <c r="D342" s="33">
        <v>1</v>
      </c>
      <c r="E342" s="37">
        <f t="shared" si="82"/>
        <v>0</v>
      </c>
      <c r="F342" s="32"/>
      <c r="G342" s="29">
        <f t="shared" si="83"/>
        <v>0</v>
      </c>
      <c r="H342" s="33">
        <v>0.3</v>
      </c>
      <c r="I342" s="29">
        <f t="shared" si="84"/>
        <v>0</v>
      </c>
    </row>
    <row r="343" s="16" customFormat="1" customHeight="1" spans="1:9">
      <c r="A343" s="25">
        <v>338</v>
      </c>
      <c r="B343" s="31" t="s">
        <v>357</v>
      </c>
      <c r="C343" s="32"/>
      <c r="D343" s="33">
        <v>1</v>
      </c>
      <c r="E343" s="37">
        <f t="shared" si="82"/>
        <v>0</v>
      </c>
      <c r="F343" s="32"/>
      <c r="G343" s="29">
        <f t="shared" si="83"/>
        <v>0</v>
      </c>
      <c r="H343" s="33">
        <v>0.4</v>
      </c>
      <c r="I343" s="29">
        <f t="shared" si="84"/>
        <v>0</v>
      </c>
    </row>
    <row r="344" s="16" customFormat="1" customHeight="1" spans="1:9">
      <c r="A344" s="25">
        <v>339</v>
      </c>
      <c r="B344" s="31" t="s">
        <v>358</v>
      </c>
      <c r="C344" s="32"/>
      <c r="D344" s="33">
        <v>1</v>
      </c>
      <c r="E344" s="37">
        <f t="shared" si="82"/>
        <v>0</v>
      </c>
      <c r="F344" s="32"/>
      <c r="G344" s="29">
        <f t="shared" si="83"/>
        <v>0</v>
      </c>
      <c r="H344" s="33">
        <v>0.45</v>
      </c>
      <c r="I344" s="29">
        <f t="shared" si="84"/>
        <v>0</v>
      </c>
    </row>
    <row r="345" s="16" customFormat="1" customHeight="1" spans="1:9">
      <c r="A345" s="25">
        <v>340</v>
      </c>
      <c r="B345" s="31" t="s">
        <v>359</v>
      </c>
      <c r="C345" s="32"/>
      <c r="D345" s="33">
        <v>1</v>
      </c>
      <c r="E345" s="37">
        <f t="shared" si="82"/>
        <v>0</v>
      </c>
      <c r="F345" s="32"/>
      <c r="G345" s="29">
        <f t="shared" si="83"/>
        <v>0</v>
      </c>
      <c r="H345" s="33">
        <v>0.5</v>
      </c>
      <c r="I345" s="29">
        <f t="shared" si="84"/>
        <v>0</v>
      </c>
    </row>
    <row r="346" s="16" customFormat="1" customHeight="1" spans="1:9">
      <c r="A346" s="25">
        <v>341</v>
      </c>
      <c r="B346" s="31" t="s">
        <v>360</v>
      </c>
      <c r="C346" s="32"/>
      <c r="D346" s="33">
        <v>1</v>
      </c>
      <c r="E346" s="37">
        <f t="shared" si="82"/>
        <v>0</v>
      </c>
      <c r="F346" s="32"/>
      <c r="G346" s="29">
        <f t="shared" si="83"/>
        <v>0</v>
      </c>
      <c r="H346" s="33">
        <v>0.6</v>
      </c>
      <c r="I346" s="29">
        <f t="shared" si="84"/>
        <v>0</v>
      </c>
    </row>
    <row r="347" s="16" customFormat="1" customHeight="1" spans="1:9">
      <c r="A347" s="25">
        <v>342</v>
      </c>
      <c r="B347" s="31" t="s">
        <v>361</v>
      </c>
      <c r="C347" s="32"/>
      <c r="D347" s="33">
        <v>1</v>
      </c>
      <c r="E347" s="37">
        <f t="shared" si="82"/>
        <v>0</v>
      </c>
      <c r="F347" s="32"/>
      <c r="G347" s="29">
        <f t="shared" si="83"/>
        <v>0</v>
      </c>
      <c r="H347" s="33">
        <v>0.75</v>
      </c>
      <c r="I347" s="29">
        <f t="shared" si="84"/>
        <v>0</v>
      </c>
    </row>
    <row r="348" s="16" customFormat="1" customHeight="1" spans="1:9">
      <c r="A348" s="25">
        <v>343</v>
      </c>
      <c r="B348" s="31" t="s">
        <v>362</v>
      </c>
      <c r="C348" s="32"/>
      <c r="D348" s="33">
        <v>1</v>
      </c>
      <c r="E348" s="37">
        <f t="shared" si="82"/>
        <v>0</v>
      </c>
      <c r="F348" s="32"/>
      <c r="G348" s="29">
        <f t="shared" si="83"/>
        <v>0</v>
      </c>
      <c r="H348" s="33">
        <v>0.85</v>
      </c>
      <c r="I348" s="29">
        <f t="shared" si="84"/>
        <v>0</v>
      </c>
    </row>
    <row r="349" s="16" customFormat="1" customHeight="1" spans="1:9">
      <c r="A349" s="25">
        <v>344</v>
      </c>
      <c r="B349" s="31" t="s">
        <v>363</v>
      </c>
      <c r="C349" s="32"/>
      <c r="D349" s="33">
        <v>1</v>
      </c>
      <c r="E349" s="37">
        <f t="shared" si="82"/>
        <v>0</v>
      </c>
      <c r="F349" s="32"/>
      <c r="G349" s="29">
        <f t="shared" si="83"/>
        <v>0</v>
      </c>
      <c r="H349" s="33">
        <v>1</v>
      </c>
      <c r="I349" s="29">
        <f t="shared" si="84"/>
        <v>0</v>
      </c>
    </row>
    <row r="350" s="16" customFormat="1" customHeight="1" spans="1:9">
      <c r="A350" s="25">
        <v>345</v>
      </c>
      <c r="B350" s="31" t="s">
        <v>364</v>
      </c>
      <c r="C350" s="32"/>
      <c r="D350" s="33">
        <v>1</v>
      </c>
      <c r="E350" s="37">
        <f t="shared" si="82"/>
        <v>0</v>
      </c>
      <c r="F350" s="32"/>
      <c r="G350" s="29">
        <f t="shared" si="83"/>
        <v>0</v>
      </c>
      <c r="H350" s="33">
        <v>1.5</v>
      </c>
      <c r="I350" s="29">
        <f t="shared" si="84"/>
        <v>0</v>
      </c>
    </row>
    <row r="351" s="16" customFormat="1" customHeight="1" spans="1:9">
      <c r="A351" s="25">
        <v>346</v>
      </c>
      <c r="B351" s="31" t="s">
        <v>365</v>
      </c>
      <c r="C351" s="32"/>
      <c r="D351" s="33">
        <v>1</v>
      </c>
      <c r="E351" s="37">
        <f t="shared" si="82"/>
        <v>0</v>
      </c>
      <c r="F351" s="32"/>
      <c r="G351" s="29">
        <f t="shared" si="83"/>
        <v>0</v>
      </c>
      <c r="H351" s="33">
        <v>2.5</v>
      </c>
      <c r="I351" s="29">
        <f t="shared" si="84"/>
        <v>0</v>
      </c>
    </row>
    <row r="352" s="16" customFormat="1" customHeight="1" spans="1:9">
      <c r="A352" s="25">
        <v>347</v>
      </c>
      <c r="B352" s="31" t="s">
        <v>366</v>
      </c>
      <c r="C352" s="32"/>
      <c r="D352" s="33">
        <v>1</v>
      </c>
      <c r="E352" s="37">
        <f t="shared" si="82"/>
        <v>0</v>
      </c>
      <c r="F352" s="32"/>
      <c r="G352" s="29">
        <f t="shared" si="83"/>
        <v>0</v>
      </c>
      <c r="H352" s="33">
        <v>4</v>
      </c>
      <c r="I352" s="29">
        <f t="shared" si="84"/>
        <v>0</v>
      </c>
    </row>
    <row r="353" s="16" customFormat="1" customHeight="1" spans="1:9">
      <c r="A353" s="25">
        <v>348</v>
      </c>
      <c r="B353" s="31" t="s">
        <v>367</v>
      </c>
      <c r="C353" s="32"/>
      <c r="D353" s="33">
        <v>1</v>
      </c>
      <c r="E353" s="37">
        <f t="shared" si="82"/>
        <v>0</v>
      </c>
      <c r="F353" s="32"/>
      <c r="G353" s="29">
        <f t="shared" si="83"/>
        <v>0</v>
      </c>
      <c r="H353" s="33">
        <v>12.5</v>
      </c>
      <c r="I353" s="29">
        <f t="shared" si="84"/>
        <v>0</v>
      </c>
    </row>
    <row r="354" s="17" customFormat="1" customHeight="1" spans="1:9">
      <c r="A354" s="25">
        <v>349</v>
      </c>
      <c r="B354" s="31" t="s">
        <v>368</v>
      </c>
      <c r="C354" s="32"/>
      <c r="D354" s="33">
        <v>1</v>
      </c>
      <c r="E354" s="37">
        <f t="shared" si="82"/>
        <v>0</v>
      </c>
      <c r="F354" s="32"/>
      <c r="G354" s="29">
        <f t="shared" si="83"/>
        <v>0</v>
      </c>
      <c r="H354" s="30"/>
      <c r="I354" s="32"/>
    </row>
    <row r="355" customHeight="1" spans="1:9">
      <c r="A355" s="25">
        <v>350</v>
      </c>
      <c r="B355" s="34" t="s">
        <v>369</v>
      </c>
      <c r="C355" s="29">
        <f>C356+C370</f>
        <v>0</v>
      </c>
      <c r="D355" s="30"/>
      <c r="E355" s="29">
        <f>E356+E370</f>
        <v>0</v>
      </c>
      <c r="F355" s="29">
        <f>F356+F370</f>
        <v>0</v>
      </c>
      <c r="G355" s="29">
        <f>G356+G370</f>
        <v>0</v>
      </c>
      <c r="H355" s="30"/>
      <c r="I355" s="29">
        <f>I356+I370</f>
        <v>0</v>
      </c>
    </row>
    <row r="356" s="18" customFormat="1" customHeight="1" spans="1:9">
      <c r="A356" s="25">
        <v>351</v>
      </c>
      <c r="B356" s="28" t="s">
        <v>370</v>
      </c>
      <c r="C356" s="29">
        <f>SUM(C357:C369)</f>
        <v>0</v>
      </c>
      <c r="D356" s="30"/>
      <c r="E356" s="29">
        <f>SUM(E357:E369)</f>
        <v>0</v>
      </c>
      <c r="F356" s="29">
        <f>SUM(F357:F369)</f>
        <v>0</v>
      </c>
      <c r="G356" s="29">
        <f>SUM(G357:G369)</f>
        <v>0</v>
      </c>
      <c r="H356" s="30"/>
      <c r="I356" s="29">
        <f>SUM(I357:I369)</f>
        <v>0</v>
      </c>
    </row>
    <row r="357" s="18" customFormat="1" customHeight="1" spans="1:9">
      <c r="A357" s="25">
        <v>352</v>
      </c>
      <c r="B357" s="31" t="s">
        <v>371</v>
      </c>
      <c r="C357" s="32"/>
      <c r="D357" s="33">
        <v>1</v>
      </c>
      <c r="E357" s="29">
        <f>C357*D357</f>
        <v>0</v>
      </c>
      <c r="F357" s="32"/>
      <c r="G357" s="29">
        <f>E357-F357</f>
        <v>0</v>
      </c>
      <c r="H357" s="33">
        <v>0</v>
      </c>
      <c r="I357" s="29">
        <f>G357*H357</f>
        <v>0</v>
      </c>
    </row>
    <row r="358" s="18" customFormat="1" customHeight="1" spans="1:9">
      <c r="A358" s="25">
        <v>353</v>
      </c>
      <c r="B358" s="31" t="s">
        <v>372</v>
      </c>
      <c r="C358" s="32"/>
      <c r="D358" s="33">
        <v>1</v>
      </c>
      <c r="E358" s="29">
        <f t="shared" ref="E358:E367" si="85">C358*D358</f>
        <v>0</v>
      </c>
      <c r="F358" s="32"/>
      <c r="G358" s="29">
        <f t="shared" ref="G358:G367" si="86">E358-F358</f>
        <v>0</v>
      </c>
      <c r="H358" s="33">
        <v>0.1</v>
      </c>
      <c r="I358" s="29">
        <f t="shared" ref="I358:I368" si="87">G358*H358</f>
        <v>0</v>
      </c>
    </row>
    <row r="359" s="18" customFormat="1" customHeight="1" spans="1:9">
      <c r="A359" s="25">
        <v>354</v>
      </c>
      <c r="B359" s="31" t="s">
        <v>373</v>
      </c>
      <c r="C359" s="32"/>
      <c r="D359" s="33">
        <v>1</v>
      </c>
      <c r="E359" s="29">
        <f t="shared" si="85"/>
        <v>0</v>
      </c>
      <c r="F359" s="32"/>
      <c r="G359" s="29">
        <f t="shared" si="86"/>
        <v>0</v>
      </c>
      <c r="H359" s="33">
        <v>0.2</v>
      </c>
      <c r="I359" s="29">
        <f t="shared" si="87"/>
        <v>0</v>
      </c>
    </row>
    <row r="360" s="18" customFormat="1" customHeight="1" spans="1:9">
      <c r="A360" s="25">
        <v>355</v>
      </c>
      <c r="B360" s="31" t="s">
        <v>374</v>
      </c>
      <c r="C360" s="32"/>
      <c r="D360" s="33">
        <v>1</v>
      </c>
      <c r="E360" s="29">
        <f t="shared" si="85"/>
        <v>0</v>
      </c>
      <c r="F360" s="32"/>
      <c r="G360" s="29">
        <f t="shared" si="86"/>
        <v>0</v>
      </c>
      <c r="H360" s="33">
        <v>0.3</v>
      </c>
      <c r="I360" s="29">
        <f t="shared" si="87"/>
        <v>0</v>
      </c>
    </row>
    <row r="361" s="18" customFormat="1" customHeight="1" spans="1:9">
      <c r="A361" s="25">
        <v>356</v>
      </c>
      <c r="B361" s="31" t="s">
        <v>375</v>
      </c>
      <c r="C361" s="32"/>
      <c r="D361" s="33">
        <v>1</v>
      </c>
      <c r="E361" s="29">
        <f t="shared" si="85"/>
        <v>0</v>
      </c>
      <c r="F361" s="32"/>
      <c r="G361" s="29">
        <f t="shared" si="86"/>
        <v>0</v>
      </c>
      <c r="H361" s="33">
        <v>0.4</v>
      </c>
      <c r="I361" s="29">
        <f t="shared" si="87"/>
        <v>0</v>
      </c>
    </row>
    <row r="362" s="18" customFormat="1" customHeight="1" spans="1:9">
      <c r="A362" s="25">
        <v>357</v>
      </c>
      <c r="B362" s="31" t="s">
        <v>376</v>
      </c>
      <c r="C362" s="32"/>
      <c r="D362" s="33">
        <v>1</v>
      </c>
      <c r="E362" s="29">
        <f t="shared" si="85"/>
        <v>0</v>
      </c>
      <c r="F362" s="32"/>
      <c r="G362" s="29">
        <f t="shared" si="86"/>
        <v>0</v>
      </c>
      <c r="H362" s="33">
        <v>0.45</v>
      </c>
      <c r="I362" s="29">
        <f t="shared" si="87"/>
        <v>0</v>
      </c>
    </row>
    <row r="363" s="18" customFormat="1" customHeight="1" spans="1:9">
      <c r="A363" s="25">
        <v>358</v>
      </c>
      <c r="B363" s="31" t="s">
        <v>377</v>
      </c>
      <c r="C363" s="32"/>
      <c r="D363" s="33">
        <v>1</v>
      </c>
      <c r="E363" s="29">
        <f t="shared" si="85"/>
        <v>0</v>
      </c>
      <c r="F363" s="32"/>
      <c r="G363" s="29">
        <f t="shared" si="86"/>
        <v>0</v>
      </c>
      <c r="H363" s="33">
        <v>0.5</v>
      </c>
      <c r="I363" s="29">
        <f t="shared" si="87"/>
        <v>0</v>
      </c>
    </row>
    <row r="364" s="18" customFormat="1" customHeight="1" spans="1:9">
      <c r="A364" s="25">
        <v>359</v>
      </c>
      <c r="B364" s="31" t="s">
        <v>378</v>
      </c>
      <c r="C364" s="32"/>
      <c r="D364" s="33">
        <v>1</v>
      </c>
      <c r="E364" s="29">
        <f t="shared" si="85"/>
        <v>0</v>
      </c>
      <c r="F364" s="32"/>
      <c r="G364" s="29">
        <f t="shared" si="86"/>
        <v>0</v>
      </c>
      <c r="H364" s="33">
        <v>0.6</v>
      </c>
      <c r="I364" s="29">
        <f t="shared" si="87"/>
        <v>0</v>
      </c>
    </row>
    <row r="365" s="18" customFormat="1" customHeight="1" spans="1:9">
      <c r="A365" s="25">
        <v>360</v>
      </c>
      <c r="B365" s="31" t="s">
        <v>379</v>
      </c>
      <c r="C365" s="32"/>
      <c r="D365" s="33">
        <v>1</v>
      </c>
      <c r="E365" s="29">
        <f t="shared" si="85"/>
        <v>0</v>
      </c>
      <c r="F365" s="32"/>
      <c r="G365" s="29">
        <f t="shared" si="86"/>
        <v>0</v>
      </c>
      <c r="H365" s="33">
        <v>0.75</v>
      </c>
      <c r="I365" s="29">
        <f t="shared" si="87"/>
        <v>0</v>
      </c>
    </row>
    <row r="366" s="18" customFormat="1" customHeight="1" spans="1:9">
      <c r="A366" s="25">
        <v>361</v>
      </c>
      <c r="B366" s="31" t="s">
        <v>380</v>
      </c>
      <c r="C366" s="32"/>
      <c r="D366" s="33">
        <v>1</v>
      </c>
      <c r="E366" s="29">
        <f t="shared" si="85"/>
        <v>0</v>
      </c>
      <c r="F366" s="32"/>
      <c r="G366" s="29">
        <f t="shared" si="86"/>
        <v>0</v>
      </c>
      <c r="H366" s="33">
        <v>0.85</v>
      </c>
      <c r="I366" s="29">
        <f t="shared" si="87"/>
        <v>0</v>
      </c>
    </row>
    <row r="367" s="18" customFormat="1" customHeight="1" spans="1:9">
      <c r="A367" s="25">
        <v>362</v>
      </c>
      <c r="B367" s="31" t="s">
        <v>381</v>
      </c>
      <c r="C367" s="32"/>
      <c r="D367" s="33">
        <v>1</v>
      </c>
      <c r="E367" s="29">
        <f t="shared" si="85"/>
        <v>0</v>
      </c>
      <c r="F367" s="32"/>
      <c r="G367" s="29">
        <f t="shared" si="86"/>
        <v>0</v>
      </c>
      <c r="H367" s="33">
        <v>1</v>
      </c>
      <c r="I367" s="29">
        <f t="shared" si="87"/>
        <v>0</v>
      </c>
    </row>
    <row r="368" s="18" customFormat="1" customHeight="1" spans="1:9">
      <c r="A368" s="25">
        <v>363</v>
      </c>
      <c r="B368" s="31" t="s">
        <v>382</v>
      </c>
      <c r="C368" s="32"/>
      <c r="D368" s="33">
        <v>1</v>
      </c>
      <c r="E368" s="29">
        <f t="shared" ref="E368:E369" si="88">C368*D368</f>
        <v>0</v>
      </c>
      <c r="F368" s="32"/>
      <c r="G368" s="29">
        <f t="shared" ref="G368:G369" si="89">E368-F368</f>
        <v>0</v>
      </c>
      <c r="H368" s="33">
        <v>1.5</v>
      </c>
      <c r="I368" s="29">
        <f t="shared" si="87"/>
        <v>0</v>
      </c>
    </row>
    <row r="369" s="18" customFormat="1" customHeight="1" spans="1:9">
      <c r="A369" s="25">
        <v>364</v>
      </c>
      <c r="B369" s="31" t="s">
        <v>383</v>
      </c>
      <c r="C369" s="32"/>
      <c r="D369" s="33">
        <v>1</v>
      </c>
      <c r="E369" s="29">
        <f t="shared" si="88"/>
        <v>0</v>
      </c>
      <c r="F369" s="32"/>
      <c r="G369" s="29">
        <f t="shared" si="89"/>
        <v>0</v>
      </c>
      <c r="H369" s="30"/>
      <c r="I369" s="32"/>
    </row>
    <row r="370" s="18" customFormat="1" customHeight="1" spans="1:9">
      <c r="A370" s="25">
        <v>365</v>
      </c>
      <c r="B370" s="34" t="s">
        <v>384</v>
      </c>
      <c r="C370" s="29">
        <f>SUM(C371:C383)</f>
        <v>0</v>
      </c>
      <c r="D370" s="30"/>
      <c r="E370" s="29">
        <f>SUM(E371:E383)</f>
        <v>0</v>
      </c>
      <c r="F370" s="29">
        <f>SUM(F371:F383)</f>
        <v>0</v>
      </c>
      <c r="G370" s="29">
        <f>SUM(G371:G383)</f>
        <v>0</v>
      </c>
      <c r="H370" s="30"/>
      <c r="I370" s="29">
        <f>SUM(I371:I383)</f>
        <v>0</v>
      </c>
    </row>
    <row r="371" s="16" customFormat="1" customHeight="1" spans="1:9">
      <c r="A371" s="25">
        <v>366</v>
      </c>
      <c r="B371" s="31" t="s">
        <v>385</v>
      </c>
      <c r="C371" s="32"/>
      <c r="D371" s="33">
        <v>1</v>
      </c>
      <c r="E371" s="37">
        <f t="shared" ref="E371:E383" si="90">C371*D371</f>
        <v>0</v>
      </c>
      <c r="F371" s="32"/>
      <c r="G371" s="29">
        <f t="shared" ref="G371:G383" si="91">E371-F371</f>
        <v>0</v>
      </c>
      <c r="H371" s="33">
        <v>0</v>
      </c>
      <c r="I371" s="29">
        <f t="shared" ref="I371:I382" si="92">G371*H371</f>
        <v>0</v>
      </c>
    </row>
    <row r="372" s="16" customFormat="1" customHeight="1" spans="1:9">
      <c r="A372" s="25">
        <v>367</v>
      </c>
      <c r="B372" s="31" t="s">
        <v>386</v>
      </c>
      <c r="C372" s="32"/>
      <c r="D372" s="33">
        <v>1</v>
      </c>
      <c r="E372" s="37">
        <f t="shared" si="90"/>
        <v>0</v>
      </c>
      <c r="F372" s="32"/>
      <c r="G372" s="29">
        <f t="shared" si="91"/>
        <v>0</v>
      </c>
      <c r="H372" s="33">
        <v>0.1</v>
      </c>
      <c r="I372" s="29">
        <f t="shared" si="92"/>
        <v>0</v>
      </c>
    </row>
    <row r="373" s="16" customFormat="1" customHeight="1" spans="1:9">
      <c r="A373" s="25">
        <v>368</v>
      </c>
      <c r="B373" s="31" t="s">
        <v>387</v>
      </c>
      <c r="C373" s="32"/>
      <c r="D373" s="33">
        <v>1</v>
      </c>
      <c r="E373" s="37">
        <f t="shared" si="90"/>
        <v>0</v>
      </c>
      <c r="F373" s="32"/>
      <c r="G373" s="29">
        <f t="shared" si="91"/>
        <v>0</v>
      </c>
      <c r="H373" s="33">
        <v>0.2</v>
      </c>
      <c r="I373" s="29">
        <f t="shared" si="92"/>
        <v>0</v>
      </c>
    </row>
    <row r="374" s="16" customFormat="1" customHeight="1" spans="1:9">
      <c r="A374" s="25">
        <v>369</v>
      </c>
      <c r="B374" s="31" t="s">
        <v>388</v>
      </c>
      <c r="C374" s="32"/>
      <c r="D374" s="33">
        <v>1</v>
      </c>
      <c r="E374" s="37">
        <f t="shared" si="90"/>
        <v>0</v>
      </c>
      <c r="F374" s="32"/>
      <c r="G374" s="29">
        <f t="shared" si="91"/>
        <v>0</v>
      </c>
      <c r="H374" s="33">
        <v>0.3</v>
      </c>
      <c r="I374" s="29">
        <f t="shared" si="92"/>
        <v>0</v>
      </c>
    </row>
    <row r="375" s="16" customFormat="1" customHeight="1" spans="1:9">
      <c r="A375" s="25">
        <v>370</v>
      </c>
      <c r="B375" s="31" t="s">
        <v>389</v>
      </c>
      <c r="C375" s="32"/>
      <c r="D375" s="33">
        <v>1</v>
      </c>
      <c r="E375" s="37">
        <f t="shared" si="90"/>
        <v>0</v>
      </c>
      <c r="F375" s="32"/>
      <c r="G375" s="29">
        <f t="shared" si="91"/>
        <v>0</v>
      </c>
      <c r="H375" s="33">
        <v>0.4</v>
      </c>
      <c r="I375" s="29">
        <f t="shared" si="92"/>
        <v>0</v>
      </c>
    </row>
    <row r="376" s="16" customFormat="1" customHeight="1" spans="1:9">
      <c r="A376" s="25">
        <v>371</v>
      </c>
      <c r="B376" s="31" t="s">
        <v>390</v>
      </c>
      <c r="C376" s="32"/>
      <c r="D376" s="33">
        <v>1</v>
      </c>
      <c r="E376" s="37">
        <f t="shared" si="90"/>
        <v>0</v>
      </c>
      <c r="F376" s="32"/>
      <c r="G376" s="29">
        <f t="shared" si="91"/>
        <v>0</v>
      </c>
      <c r="H376" s="33">
        <v>0.45</v>
      </c>
      <c r="I376" s="29">
        <f t="shared" si="92"/>
        <v>0</v>
      </c>
    </row>
    <row r="377" s="16" customFormat="1" customHeight="1" spans="1:9">
      <c r="A377" s="25">
        <v>372</v>
      </c>
      <c r="B377" s="31" t="s">
        <v>391</v>
      </c>
      <c r="C377" s="32"/>
      <c r="D377" s="33">
        <v>1</v>
      </c>
      <c r="E377" s="37">
        <f t="shared" si="90"/>
        <v>0</v>
      </c>
      <c r="F377" s="32"/>
      <c r="G377" s="29">
        <f t="shared" si="91"/>
        <v>0</v>
      </c>
      <c r="H377" s="33">
        <v>0.5</v>
      </c>
      <c r="I377" s="29">
        <f t="shared" si="92"/>
        <v>0</v>
      </c>
    </row>
    <row r="378" s="16" customFormat="1" customHeight="1" spans="1:9">
      <c r="A378" s="25">
        <v>373</v>
      </c>
      <c r="B378" s="31" t="s">
        <v>392</v>
      </c>
      <c r="C378" s="32"/>
      <c r="D378" s="33">
        <v>1</v>
      </c>
      <c r="E378" s="37">
        <f t="shared" si="90"/>
        <v>0</v>
      </c>
      <c r="F378" s="32"/>
      <c r="G378" s="29">
        <f t="shared" si="91"/>
        <v>0</v>
      </c>
      <c r="H378" s="33">
        <v>0.6</v>
      </c>
      <c r="I378" s="29">
        <f t="shared" si="92"/>
        <v>0</v>
      </c>
    </row>
    <row r="379" s="16" customFormat="1" customHeight="1" spans="1:9">
      <c r="A379" s="25">
        <v>374</v>
      </c>
      <c r="B379" s="31" t="s">
        <v>393</v>
      </c>
      <c r="C379" s="32"/>
      <c r="D379" s="33">
        <v>1</v>
      </c>
      <c r="E379" s="37">
        <f t="shared" si="90"/>
        <v>0</v>
      </c>
      <c r="F379" s="32"/>
      <c r="G379" s="29">
        <f t="shared" si="91"/>
        <v>0</v>
      </c>
      <c r="H379" s="33">
        <v>0.75</v>
      </c>
      <c r="I379" s="29">
        <f t="shared" si="92"/>
        <v>0</v>
      </c>
    </row>
    <row r="380" s="16" customFormat="1" customHeight="1" spans="1:9">
      <c r="A380" s="25">
        <v>375</v>
      </c>
      <c r="B380" s="31" t="s">
        <v>394</v>
      </c>
      <c r="C380" s="32"/>
      <c r="D380" s="33">
        <v>1</v>
      </c>
      <c r="E380" s="37">
        <f t="shared" si="90"/>
        <v>0</v>
      </c>
      <c r="F380" s="32"/>
      <c r="G380" s="29">
        <f t="shared" si="91"/>
        <v>0</v>
      </c>
      <c r="H380" s="33">
        <v>0.85</v>
      </c>
      <c r="I380" s="29">
        <f t="shared" si="92"/>
        <v>0</v>
      </c>
    </row>
    <row r="381" s="16" customFormat="1" customHeight="1" spans="1:9">
      <c r="A381" s="25">
        <v>376</v>
      </c>
      <c r="B381" s="31" t="s">
        <v>395</v>
      </c>
      <c r="C381" s="32"/>
      <c r="D381" s="33">
        <v>1</v>
      </c>
      <c r="E381" s="37">
        <f t="shared" si="90"/>
        <v>0</v>
      </c>
      <c r="F381" s="32"/>
      <c r="G381" s="29">
        <f t="shared" si="91"/>
        <v>0</v>
      </c>
      <c r="H381" s="33">
        <v>1</v>
      </c>
      <c r="I381" s="29">
        <f t="shared" si="92"/>
        <v>0</v>
      </c>
    </row>
    <row r="382" s="16" customFormat="1" customHeight="1" spans="1:9">
      <c r="A382" s="25">
        <v>377</v>
      </c>
      <c r="B382" s="31" t="s">
        <v>396</v>
      </c>
      <c r="C382" s="32"/>
      <c r="D382" s="33">
        <v>1</v>
      </c>
      <c r="E382" s="37">
        <f t="shared" si="90"/>
        <v>0</v>
      </c>
      <c r="F382" s="32"/>
      <c r="G382" s="29">
        <f t="shared" si="91"/>
        <v>0</v>
      </c>
      <c r="H382" s="33">
        <v>1.5</v>
      </c>
      <c r="I382" s="29">
        <f t="shared" si="92"/>
        <v>0</v>
      </c>
    </row>
    <row r="383" s="16" customFormat="1" customHeight="1" spans="1:9">
      <c r="A383" s="25">
        <v>378</v>
      </c>
      <c r="B383" s="31" t="s">
        <v>397</v>
      </c>
      <c r="C383" s="32"/>
      <c r="D383" s="33">
        <v>1</v>
      </c>
      <c r="E383" s="37">
        <f t="shared" si="90"/>
        <v>0</v>
      </c>
      <c r="F383" s="32"/>
      <c r="G383" s="29">
        <f t="shared" si="91"/>
        <v>0</v>
      </c>
      <c r="H383" s="30"/>
      <c r="I383" s="32"/>
    </row>
    <row r="384" s="16" customFormat="1" customHeight="1" spans="1:9">
      <c r="A384" s="25">
        <v>379</v>
      </c>
      <c r="B384" s="31" t="s">
        <v>398</v>
      </c>
      <c r="C384" s="32"/>
      <c r="D384" s="30"/>
      <c r="E384" s="52"/>
      <c r="F384" s="53"/>
      <c r="G384" s="32"/>
      <c r="H384" s="30"/>
      <c r="I384" s="32"/>
    </row>
    <row r="385" s="16" customFormat="1" customHeight="1" spans="1:9">
      <c r="A385" s="25">
        <v>380</v>
      </c>
      <c r="B385" s="31" t="s">
        <v>399</v>
      </c>
      <c r="C385" s="32"/>
      <c r="D385" s="33">
        <v>1</v>
      </c>
      <c r="E385" s="37">
        <f>C385*D385</f>
        <v>0</v>
      </c>
      <c r="F385" s="32"/>
      <c r="G385" s="29">
        <f>E385-F385</f>
        <v>0</v>
      </c>
      <c r="H385" s="30"/>
      <c r="I385" s="32"/>
    </row>
    <row r="386" customHeight="1" spans="1:9">
      <c r="A386" s="25">
        <v>381</v>
      </c>
      <c r="B386" s="34" t="s">
        <v>400</v>
      </c>
      <c r="C386" s="29">
        <f>SUM(C6,C49,C78,C136,C237,C290,C307,C321,C338,C355,C384,C385)</f>
        <v>0</v>
      </c>
      <c r="D386" s="41"/>
      <c r="E386" s="29">
        <f>SUM(E6,E49,E78,E136,E237,E290,E307,E321,E338,E355,E384,E385)</f>
        <v>0</v>
      </c>
      <c r="F386" s="29">
        <f>SUM(F6,F49,F78,F136,F237,F290,F307,F321,F338,F355,F384,F385)</f>
        <v>0</v>
      </c>
      <c r="G386" s="29">
        <f>SUM(G6,G49,G78,G136,G237,G290,G307,G321,G338,G355,G384,G385)</f>
        <v>0</v>
      </c>
      <c r="H386" s="41"/>
      <c r="I386" s="29">
        <f>SUM(I6,I49,I78,I136,I237,I290,I307,I321,I338,I355,I384,I385)</f>
        <v>0</v>
      </c>
    </row>
    <row r="387" s="19" customFormat="1" customHeight="1" spans="1:9">
      <c r="A387" s="54" t="s">
        <v>401</v>
      </c>
      <c r="B387" s="54"/>
      <c r="C387" s="55" t="s">
        <v>402</v>
      </c>
      <c r="D387" s="56"/>
      <c r="E387" s="56"/>
      <c r="F387" s="56"/>
      <c r="G387" s="56" t="s">
        <v>403</v>
      </c>
      <c r="H387" s="55"/>
      <c r="I387" s="55"/>
    </row>
    <row r="388" customHeight="1" spans="1:3">
      <c r="A388" s="57"/>
      <c r="B388" s="58" t="s">
        <v>404</v>
      </c>
      <c r="C388" s="16"/>
    </row>
    <row r="389" customHeight="1" spans="1:3">
      <c r="A389" s="59"/>
      <c r="B389" s="58" t="s">
        <v>405</v>
      </c>
      <c r="C389" s="16"/>
    </row>
    <row r="390" customHeight="1" spans="1:2">
      <c r="A390" s="60" t="s">
        <v>406</v>
      </c>
      <c r="B390" s="61">
        <v>241</v>
      </c>
    </row>
  </sheetData>
  <sheetProtection sort="0" autoFilter="0" pivotTables="0"/>
  <protectedRanges>
    <protectedRange sqref="C384:C386 F217 F247:F248 F346 C355 I386 J120:K120 F208:G208 F319:G320 E108:G108 I108 E122:G122 I122 E136:G136 I136 F137:G137 E138:G138 I138 E167:G167 I167 E181:G181 I181 E195:G195 I195 E209:G209 I209 E223:G223 I223 E238:G238 I238 E290:G290 I290 E307:G307 I307 E321:G321 I321 E338:G338 I338 E355:G355 I355 F384:G385 E386:G386 F19 F150:G151 G19:G20 C150:C169 F281 F250:G254 I94 E78:G80 I78:I80 C65:C138 G217:G218 G247:G249 G281:G282 G330 F375:F376 F8:G18 C8:C19 C22:C34 F22:G34 F43 G36:G43 C43:C47 F44:G48 F51:G63 C51:C62 F65:G77 F81:G107 F109:G121 F123:G135 F153:G166 F178:G180 F172:F177 G170:G177 F168:G169 F190:G194 F186:F189 C172:C184 G185:G189 F182:G184 C186:C206 F196:G206 F219:G222 F210:G216 C208:C217 F233:G237 C219:C231 F224:G231 C233:C248 F239:G246 F283:G289 F274:G280 C250:C281 F300:G306 F291:G298 C283:C298 F312:F318 G311:G318 F308:G310 C300:C310 F331:G337 C331:C335 C312:C329 F322:G329 G346:G354 F339:G345 C338:C346 C357:C369 F357:F369 G375:G383 F371:G374 C371:C376 E255:G256 I255:I256 F257:G272 E273:G273 I272:I273 E152 F152 G152 I152" name="区域1"/>
  </protectedRanges>
  <mergeCells count="12">
    <mergeCell ref="A1:I1"/>
    <mergeCell ref="A2:B2"/>
    <mergeCell ref="F2:H2"/>
    <mergeCell ref="O2:P2"/>
    <mergeCell ref="C4:C5"/>
    <mergeCell ref="D4:D5"/>
    <mergeCell ref="E4:E5"/>
    <mergeCell ref="F4:F5"/>
    <mergeCell ref="G4:G5"/>
    <mergeCell ref="H4:H5"/>
    <mergeCell ref="I4:I5"/>
    <mergeCell ref="A3:B5"/>
  </mergeCells>
  <dataValidations count="1">
    <dataValidation type="decimal" operator="between" allowBlank="1" showInputMessage="1" showErrorMessage="1" sqref="D21:E21 G21 I34 D35 E35 F35 G35 I35 C44 F44 C47 E47:G47 C59 F59 C73 F73 C131 F131 D138 H138 E151:F151 G151 I151 E152 F152 G152 I152 D156 C163 F163 C176 F176 C178 F178 D190 I193 C207:D207 F207 D232 C233:D233 D234 G273 C283 E285:F285 E286:H286 D299 C300:D300 E302:H302 C317 F317 C17:C21 C35:C42 C81:C89 C93:C117 C138:C150 C157:C159 C171:C174 C182:C183 C186:C187 C208:C209 C218:C220 C308:C309 C312:C313 D81:D108 D208:D220 D308:D319 E93:E94 E108:E118 E138:E149 E221:E232 E308:E318 F14:F21 F36:F42 F81:F89 F93:F117 F138:F150 F171:F174 F182:F185 F218:F220 F232:F233 F282:F283 F299:F300 F308:F313 G81:G91 G93:G94 G108:G119 G138:G149 G153:G163 G182:G189 G308:G318 H14:H19 H28:H35 H42:H50 H57:H62 H71:H76 H87:H94 H101:H108 H115:H120 H129:H134 H145:H152 H159:H164 H174:H179 H188:H193 H202:H207 H216:H223 H230:H235 H245:H250 H263:H269 H280:H285 H297:H301 H314:H318 H328:H332 H345:H349 H363:H367 H377:H381 I47:I50 I77:I91 I93:I94 I107:I119 I138:I149 I179:I191 I221:I233 I289:I298 I306:I318 I322:I336 C6:I7 C194:I195 C291:G298 C63:I64 C121:I122 C135:I137 C165:I167 C180:H181 C306:H307 E208:I209 C236:I238 C289:H290 H20:I21 H272:I273 C48:G50 C77:H80 C254:F273 C151:D155 D182:E189 C196:G206 F221:G231 C221:D231 G254:I256 E153:F159">
      <formula1>-9999999999</formula1>
      <formula2>9999999999</formula2>
    </dataValidation>
  </dataValidation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140"/>
  <sheetViews>
    <sheetView topLeftCell="C1" workbookViewId="0">
      <selection activeCell="F25" sqref="F25"/>
    </sheetView>
  </sheetViews>
  <sheetFormatPr defaultColWidth="9" defaultRowHeight="14" customHeight="1"/>
  <cols>
    <col min="1" max="1" width="57" customWidth="1"/>
    <col min="2" max="2" width="30.5" customWidth="1"/>
    <col min="4" max="4" width="35.8333333333333" customWidth="1"/>
    <col min="5" max="5" width="15.6666666666667" customWidth="1"/>
    <col min="8" max="8" width="22.6666666666667" customWidth="1"/>
  </cols>
  <sheetData>
    <row r="1" customHeight="1" spans="1:8">
      <c r="A1" s="1" t="s">
        <v>407</v>
      </c>
      <c r="B1" s="2" t="s">
        <v>408</v>
      </c>
      <c r="D1" s="1" t="s">
        <v>407</v>
      </c>
      <c r="E1" s="2" t="s">
        <v>409</v>
      </c>
      <c r="G1" s="8" t="s">
        <v>408</v>
      </c>
      <c r="H1" s="8" t="s">
        <v>410</v>
      </c>
    </row>
    <row r="2" customHeight="1" spans="1:10">
      <c r="A2" s="3" t="s">
        <v>411</v>
      </c>
      <c r="B2" s="4"/>
      <c r="D2" s="5" t="s">
        <v>20</v>
      </c>
      <c r="E2" s="6">
        <v>1</v>
      </c>
      <c r="G2" s="9">
        <v>0</v>
      </c>
      <c r="H2" s="10" t="s">
        <v>412</v>
      </c>
      <c r="I2" s="9">
        <v>0</v>
      </c>
      <c r="J2" s="12" t="s">
        <v>412</v>
      </c>
    </row>
    <row r="3" customHeight="1" spans="1:10">
      <c r="A3" s="5" t="s">
        <v>413</v>
      </c>
      <c r="B3" s="6">
        <v>0</v>
      </c>
      <c r="D3" s="5" t="s">
        <v>414</v>
      </c>
      <c r="E3" s="7"/>
      <c r="G3" s="9">
        <v>0.2</v>
      </c>
      <c r="H3" s="10" t="s">
        <v>415</v>
      </c>
      <c r="I3" s="9">
        <v>0.2</v>
      </c>
      <c r="J3" s="12" t="s">
        <v>415</v>
      </c>
    </row>
    <row r="4" customHeight="1" spans="1:10">
      <c r="A4" s="5" t="s">
        <v>416</v>
      </c>
      <c r="B4" s="6">
        <v>0</v>
      </c>
      <c r="D4" s="5" t="s">
        <v>417</v>
      </c>
      <c r="E4" s="6">
        <v>0.1</v>
      </c>
      <c r="G4" s="9">
        <v>0.3</v>
      </c>
      <c r="H4" s="11" t="s">
        <v>418</v>
      </c>
      <c r="I4" s="9">
        <v>0.3</v>
      </c>
      <c r="J4" s="13" t="s">
        <v>418</v>
      </c>
    </row>
    <row r="5" customHeight="1" spans="1:10">
      <c r="A5" s="5" t="s">
        <v>419</v>
      </c>
      <c r="B5" s="6">
        <v>0</v>
      </c>
      <c r="D5" s="5" t="s">
        <v>420</v>
      </c>
      <c r="E5" s="6">
        <v>0.4</v>
      </c>
      <c r="G5" s="9">
        <v>0.4</v>
      </c>
      <c r="H5" s="11" t="s">
        <v>421</v>
      </c>
      <c r="I5" s="9">
        <v>0.4</v>
      </c>
      <c r="J5" s="13" t="s">
        <v>421</v>
      </c>
    </row>
    <row r="6" customHeight="1" spans="1:10">
      <c r="A6" s="3" t="s">
        <v>422</v>
      </c>
      <c r="B6" s="7"/>
      <c r="D6" s="5" t="s">
        <v>423</v>
      </c>
      <c r="E6" s="7"/>
      <c r="G6" s="9">
        <v>0.45</v>
      </c>
      <c r="H6" s="11" t="s">
        <v>424</v>
      </c>
      <c r="I6" s="9">
        <v>0.45</v>
      </c>
      <c r="J6" s="13" t="s">
        <v>424</v>
      </c>
    </row>
    <row r="7" customHeight="1" spans="1:10">
      <c r="A7" s="5" t="s">
        <v>425</v>
      </c>
      <c r="B7" s="6">
        <v>0</v>
      </c>
      <c r="D7" s="5" t="s">
        <v>426</v>
      </c>
      <c r="E7" s="6">
        <v>0.4</v>
      </c>
      <c r="G7" s="9">
        <v>0.5</v>
      </c>
      <c r="H7" s="11" t="s">
        <v>427</v>
      </c>
      <c r="I7" s="9">
        <v>0.5</v>
      </c>
      <c r="J7" s="13" t="s">
        <v>427</v>
      </c>
    </row>
    <row r="8" customHeight="1" spans="1:10">
      <c r="A8" s="5" t="s">
        <v>428</v>
      </c>
      <c r="B8" s="6">
        <v>0</v>
      </c>
      <c r="D8" s="5" t="s">
        <v>429</v>
      </c>
      <c r="E8" s="6">
        <v>0.2</v>
      </c>
      <c r="G8" s="9">
        <v>0.75</v>
      </c>
      <c r="H8" s="11" t="s">
        <v>430</v>
      </c>
      <c r="I8" s="9">
        <v>0.6</v>
      </c>
      <c r="J8" s="13" t="s">
        <v>431</v>
      </c>
    </row>
    <row r="9" customHeight="1" spans="1:10">
      <c r="A9" s="5" t="s">
        <v>432</v>
      </c>
      <c r="B9" s="6">
        <v>0</v>
      </c>
      <c r="D9" s="5" t="s">
        <v>433</v>
      </c>
      <c r="E9" s="6">
        <v>0.5</v>
      </c>
      <c r="G9" s="9">
        <v>0.85</v>
      </c>
      <c r="H9" s="11" t="s">
        <v>434</v>
      </c>
      <c r="I9" s="9">
        <v>0.65</v>
      </c>
      <c r="J9" s="13" t="s">
        <v>435</v>
      </c>
    </row>
    <row r="10" customHeight="1" spans="1:10">
      <c r="A10" s="5" t="s">
        <v>436</v>
      </c>
      <c r="B10" s="6">
        <v>0.2</v>
      </c>
      <c r="D10" s="5" t="s">
        <v>437</v>
      </c>
      <c r="E10" s="6">
        <v>0.5</v>
      </c>
      <c r="G10" s="9">
        <v>1</v>
      </c>
      <c r="H10" s="11" t="s">
        <v>438</v>
      </c>
      <c r="I10" s="9">
        <v>0.75</v>
      </c>
      <c r="J10" s="13" t="s">
        <v>439</v>
      </c>
    </row>
    <row r="11" customHeight="1" spans="1:10">
      <c r="A11" s="5" t="s">
        <v>440</v>
      </c>
      <c r="B11" s="6">
        <v>0.5</v>
      </c>
      <c r="D11" s="5" t="s">
        <v>441</v>
      </c>
      <c r="E11" s="6">
        <v>0.4</v>
      </c>
      <c r="G11" s="9">
        <v>1.5</v>
      </c>
      <c r="H11" s="11" t="s">
        <v>442</v>
      </c>
      <c r="I11" s="9">
        <v>0.85</v>
      </c>
      <c r="J11" s="13" t="s">
        <v>434</v>
      </c>
    </row>
    <row r="12" customHeight="1" spans="1:10">
      <c r="A12" s="5" t="s">
        <v>443</v>
      </c>
      <c r="B12" s="6">
        <v>1</v>
      </c>
      <c r="D12" s="5" t="s">
        <v>444</v>
      </c>
      <c r="E12" s="6">
        <v>1</v>
      </c>
      <c r="G12" s="9">
        <v>2.5</v>
      </c>
      <c r="H12" s="11" t="s">
        <v>445</v>
      </c>
      <c r="I12" s="9">
        <v>1</v>
      </c>
      <c r="J12" s="13" t="s">
        <v>446</v>
      </c>
    </row>
    <row r="13" customHeight="1" spans="1:10">
      <c r="A13" s="5" t="s">
        <v>447</v>
      </c>
      <c r="B13" s="6">
        <v>1.5</v>
      </c>
      <c r="D13" s="5" t="s">
        <v>448</v>
      </c>
      <c r="E13" s="7"/>
      <c r="G13" s="9">
        <v>4</v>
      </c>
      <c r="H13" s="11" t="s">
        <v>449</v>
      </c>
      <c r="I13" s="9">
        <v>1.5</v>
      </c>
      <c r="J13" s="13" t="s">
        <v>450</v>
      </c>
    </row>
    <row r="14" customHeight="1" spans="1:10">
      <c r="A14" s="5" t="s">
        <v>451</v>
      </c>
      <c r="B14" s="6">
        <v>1</v>
      </c>
      <c r="D14" s="5" t="s">
        <v>452</v>
      </c>
      <c r="E14" s="6">
        <v>1</v>
      </c>
      <c r="G14" s="9">
        <v>12.5</v>
      </c>
      <c r="H14" s="11" t="s">
        <v>453</v>
      </c>
      <c r="I14" s="9">
        <v>2.5</v>
      </c>
      <c r="J14" s="13"/>
    </row>
    <row r="15" customHeight="1" spans="1:10">
      <c r="A15" s="5" t="s">
        <v>454</v>
      </c>
      <c r="B15" s="6">
        <v>0</v>
      </c>
      <c r="D15" s="5" t="s">
        <v>455</v>
      </c>
      <c r="E15" s="6">
        <v>0.2</v>
      </c>
      <c r="G15" s="9">
        <v>0.6</v>
      </c>
      <c r="H15" s="11" t="s">
        <v>456</v>
      </c>
      <c r="I15" s="9">
        <v>4</v>
      </c>
      <c r="J15" s="13"/>
    </row>
    <row r="16" customHeight="1" spans="1:10">
      <c r="A16" s="3" t="s">
        <v>457</v>
      </c>
      <c r="B16" s="7"/>
      <c r="D16" s="5" t="s">
        <v>458</v>
      </c>
      <c r="E16" s="6">
        <v>0.5</v>
      </c>
      <c r="G16" s="9">
        <v>0.65</v>
      </c>
      <c r="H16" s="11" t="s">
        <v>459</v>
      </c>
      <c r="I16" s="9">
        <v>12.5</v>
      </c>
      <c r="J16" s="13" t="s">
        <v>453</v>
      </c>
    </row>
    <row r="17" customHeight="1" spans="1:8">
      <c r="A17" s="5" t="s">
        <v>460</v>
      </c>
      <c r="B17" s="7"/>
      <c r="D17" s="5" t="s">
        <v>461</v>
      </c>
      <c r="E17" s="6">
        <v>1</v>
      </c>
      <c r="G17" s="9">
        <v>0.7</v>
      </c>
      <c r="H17" s="11" t="s">
        <v>462</v>
      </c>
    </row>
    <row r="18" customHeight="1" spans="1:8">
      <c r="A18" s="5" t="s">
        <v>463</v>
      </c>
      <c r="B18" s="6">
        <v>0</v>
      </c>
      <c r="D18" s="5" t="s">
        <v>464</v>
      </c>
      <c r="E18" s="6">
        <v>1</v>
      </c>
      <c r="G18" s="9">
        <v>0.9</v>
      </c>
      <c r="H18" s="11" t="s">
        <v>465</v>
      </c>
    </row>
    <row r="19" customHeight="1" spans="1:8">
      <c r="A19" s="5" t="s">
        <v>466</v>
      </c>
      <c r="B19" s="7"/>
      <c r="D19" s="5" t="s">
        <v>467</v>
      </c>
      <c r="E19" s="6">
        <v>1</v>
      </c>
      <c r="G19" s="9">
        <v>1.05</v>
      </c>
      <c r="H19" s="11" t="s">
        <v>468</v>
      </c>
    </row>
    <row r="20" customHeight="1" spans="1:8">
      <c r="A20" s="5" t="s">
        <v>469</v>
      </c>
      <c r="B20" s="6">
        <v>0.1</v>
      </c>
      <c r="G20" s="9">
        <v>1.1</v>
      </c>
      <c r="H20" s="11" t="s">
        <v>470</v>
      </c>
    </row>
    <row r="21" customHeight="1" spans="1:8">
      <c r="A21" s="5" t="s">
        <v>471</v>
      </c>
      <c r="B21" s="6">
        <v>0.2</v>
      </c>
      <c r="G21" s="9">
        <v>0.1</v>
      </c>
      <c r="H21" s="11" t="s">
        <v>472</v>
      </c>
    </row>
    <row r="22" customHeight="1" spans="1:8">
      <c r="A22" s="5" t="s">
        <v>473</v>
      </c>
      <c r="B22" s="6">
        <v>0.2</v>
      </c>
      <c r="G22" s="9">
        <v>0.15</v>
      </c>
      <c r="H22" s="11" t="s">
        <v>472</v>
      </c>
    </row>
    <row r="23" customHeight="1" spans="1:8">
      <c r="A23" s="5" t="s">
        <v>474</v>
      </c>
      <c r="B23" s="7" t="s">
        <v>475</v>
      </c>
      <c r="G23" s="9">
        <v>0.35</v>
      </c>
      <c r="H23" s="11" t="s">
        <v>472</v>
      </c>
    </row>
    <row r="24" customHeight="1" spans="1:8">
      <c r="A24" s="5" t="s">
        <v>476</v>
      </c>
      <c r="B24" s="6">
        <v>0.5</v>
      </c>
      <c r="G24" s="9">
        <v>1.3</v>
      </c>
      <c r="H24" s="11" t="s">
        <v>477</v>
      </c>
    </row>
    <row r="25" customHeight="1" spans="1:2">
      <c r="A25" s="3" t="s">
        <v>478</v>
      </c>
      <c r="B25" s="6">
        <v>0</v>
      </c>
    </row>
    <row r="26" customHeight="1" spans="1:2">
      <c r="A26" s="3" t="s">
        <v>479</v>
      </c>
      <c r="B26" s="7"/>
    </row>
    <row r="27" customHeight="1" spans="1:2">
      <c r="A27" s="5" t="s">
        <v>480</v>
      </c>
      <c r="B27" s="6">
        <v>0.2</v>
      </c>
    </row>
    <row r="28" customHeight="1" spans="1:2">
      <c r="A28" s="5" t="s">
        <v>481</v>
      </c>
      <c r="B28" s="6">
        <v>0.5</v>
      </c>
    </row>
    <row r="29" customHeight="1" spans="1:2">
      <c r="A29" s="5" t="s">
        <v>482</v>
      </c>
      <c r="B29" s="6">
        <v>1</v>
      </c>
    </row>
    <row r="30" customHeight="1" spans="1:2">
      <c r="A30" s="5" t="s">
        <v>483</v>
      </c>
      <c r="B30" s="6">
        <v>1.5</v>
      </c>
    </row>
    <row r="31" customHeight="1" spans="1:2">
      <c r="A31" s="5" t="s">
        <v>484</v>
      </c>
      <c r="B31" s="6">
        <v>1</v>
      </c>
    </row>
    <row r="32" customHeight="1" spans="1:2">
      <c r="A32" s="3" t="s">
        <v>485</v>
      </c>
      <c r="B32" s="7"/>
    </row>
    <row r="33" customHeight="1" spans="1:2">
      <c r="A33" s="5" t="s">
        <v>486</v>
      </c>
      <c r="B33" s="6">
        <v>0</v>
      </c>
    </row>
    <row r="34" customHeight="1" spans="1:2">
      <c r="A34" s="5" t="s">
        <v>487</v>
      </c>
      <c r="B34" s="6">
        <v>0.2</v>
      </c>
    </row>
    <row r="35" customHeight="1" spans="1:2">
      <c r="A35" s="5" t="s">
        <v>488</v>
      </c>
      <c r="B35" s="6">
        <v>0.3</v>
      </c>
    </row>
    <row r="36" customHeight="1" spans="1:2">
      <c r="A36" s="5" t="s">
        <v>489</v>
      </c>
      <c r="B36" s="6">
        <v>0.5</v>
      </c>
    </row>
    <row r="37" customHeight="1" spans="1:2">
      <c r="A37" s="5" t="s">
        <v>490</v>
      </c>
      <c r="B37" s="6">
        <v>1</v>
      </c>
    </row>
    <row r="38" customHeight="1" spans="1:2">
      <c r="A38" s="5" t="s">
        <v>491</v>
      </c>
      <c r="B38" s="6">
        <v>1.5</v>
      </c>
    </row>
    <row r="39" customHeight="1" spans="1:2">
      <c r="A39" s="5" t="s">
        <v>492</v>
      </c>
      <c r="B39" s="6">
        <v>0.5</v>
      </c>
    </row>
    <row r="40" customHeight="1" spans="1:2">
      <c r="A40" s="3" t="s">
        <v>493</v>
      </c>
      <c r="B40" s="7"/>
    </row>
    <row r="41" customHeight="1" spans="1:2">
      <c r="A41" s="5" t="s">
        <v>494</v>
      </c>
      <c r="B41" s="7"/>
    </row>
    <row r="42" customHeight="1" spans="1:2">
      <c r="A42" s="5" t="s">
        <v>495</v>
      </c>
      <c r="B42" s="7"/>
    </row>
    <row r="43" customHeight="1" spans="1:2">
      <c r="A43" s="5" t="s">
        <v>496</v>
      </c>
      <c r="B43" s="6">
        <v>0.2</v>
      </c>
    </row>
    <row r="44" customHeight="1" spans="1:2">
      <c r="A44" s="5" t="s">
        <v>497</v>
      </c>
      <c r="B44" s="6">
        <v>0.3</v>
      </c>
    </row>
    <row r="45" customHeight="1" spans="1:2">
      <c r="A45" s="5" t="s">
        <v>498</v>
      </c>
      <c r="B45" s="7"/>
    </row>
    <row r="46" customHeight="1" spans="1:2">
      <c r="A46" s="5" t="s">
        <v>499</v>
      </c>
      <c r="B46" s="6">
        <v>0.2</v>
      </c>
    </row>
    <row r="47" customHeight="1" spans="1:2">
      <c r="A47" s="5" t="s">
        <v>500</v>
      </c>
      <c r="B47" s="6">
        <v>0.4</v>
      </c>
    </row>
    <row r="48" customHeight="1" spans="1:2">
      <c r="A48" s="5" t="s">
        <v>501</v>
      </c>
      <c r="B48" s="7"/>
    </row>
    <row r="49" customHeight="1" spans="1:2">
      <c r="A49" s="5" t="s">
        <v>502</v>
      </c>
      <c r="B49" s="6">
        <v>0.5</v>
      </c>
    </row>
    <row r="50" customHeight="1" spans="1:2">
      <c r="A50" s="5" t="s">
        <v>503</v>
      </c>
      <c r="B50" s="6">
        <v>0.75</v>
      </c>
    </row>
    <row r="51" customHeight="1" spans="1:2">
      <c r="A51" s="5" t="s">
        <v>504</v>
      </c>
      <c r="B51" s="6">
        <v>1.5</v>
      </c>
    </row>
    <row r="52" customHeight="1" spans="1:2">
      <c r="A52" s="5" t="s">
        <v>505</v>
      </c>
      <c r="B52" s="7"/>
    </row>
    <row r="53" customHeight="1" spans="1:2">
      <c r="A53" s="5" t="s">
        <v>506</v>
      </c>
      <c r="B53" s="6">
        <v>0.75</v>
      </c>
    </row>
    <row r="54" customHeight="1" spans="1:2">
      <c r="A54" s="5" t="s">
        <v>507</v>
      </c>
      <c r="B54" s="6">
        <v>1</v>
      </c>
    </row>
    <row r="55" customHeight="1" spans="1:2">
      <c r="A55" s="3" t="s">
        <v>508</v>
      </c>
      <c r="B55" s="7"/>
    </row>
    <row r="56" customHeight="1" spans="1:2">
      <c r="A56" s="5" t="s">
        <v>509</v>
      </c>
      <c r="B56" s="7"/>
    </row>
    <row r="57" customHeight="1" spans="1:2">
      <c r="A57" s="5" t="s">
        <v>510</v>
      </c>
      <c r="B57" s="6">
        <v>0.75</v>
      </c>
    </row>
    <row r="58" customHeight="1" spans="1:2">
      <c r="A58" s="5" t="s">
        <v>511</v>
      </c>
      <c r="B58" s="6">
        <v>0.85</v>
      </c>
    </row>
    <row r="59" customHeight="1" spans="1:2">
      <c r="A59" s="5" t="s">
        <v>512</v>
      </c>
      <c r="B59" s="6">
        <v>0.75</v>
      </c>
    </row>
    <row r="60" customHeight="1" spans="1:2">
      <c r="A60" s="5" t="s">
        <v>513</v>
      </c>
      <c r="B60" s="6">
        <v>1</v>
      </c>
    </row>
    <row r="61" customHeight="1" spans="1:2">
      <c r="A61" s="5" t="s">
        <v>514</v>
      </c>
      <c r="B61" s="7"/>
    </row>
    <row r="62" customHeight="1" spans="1:2">
      <c r="A62" s="5" t="s">
        <v>515</v>
      </c>
      <c r="B62" s="7"/>
    </row>
    <row r="63" customHeight="1" spans="1:2">
      <c r="A63" s="5" t="s">
        <v>516</v>
      </c>
      <c r="B63" s="6">
        <v>1.3</v>
      </c>
    </row>
    <row r="64" customHeight="1" spans="1:2">
      <c r="A64" s="5" t="s">
        <v>517</v>
      </c>
      <c r="B64" s="6">
        <v>1</v>
      </c>
    </row>
    <row r="65" customHeight="1" spans="1:2">
      <c r="A65" s="5" t="s">
        <v>518</v>
      </c>
      <c r="B65" s="6">
        <v>1</v>
      </c>
    </row>
    <row r="66" customHeight="1" spans="1:2">
      <c r="A66" s="5" t="s">
        <v>519</v>
      </c>
      <c r="B66" s="6">
        <v>1</v>
      </c>
    </row>
    <row r="67" customHeight="1" spans="1:2">
      <c r="A67" s="3" t="s">
        <v>520</v>
      </c>
      <c r="B67" s="7"/>
    </row>
    <row r="68" customHeight="1" spans="1:2">
      <c r="A68" s="5" t="s">
        <v>521</v>
      </c>
      <c r="B68" s="7"/>
    </row>
    <row r="69" customHeight="1" spans="1:2">
      <c r="A69" s="5" t="s">
        <v>522</v>
      </c>
      <c r="B69" s="7"/>
    </row>
    <row r="70" customHeight="1" spans="1:2">
      <c r="A70" s="5" t="s">
        <v>523</v>
      </c>
      <c r="B70" s="6">
        <v>0.45</v>
      </c>
    </row>
    <row r="71" customHeight="1" spans="1:2">
      <c r="A71" s="5" t="s">
        <v>524</v>
      </c>
      <c r="B71" s="6">
        <v>0.75</v>
      </c>
    </row>
    <row r="72" customHeight="1" spans="1:2">
      <c r="A72" s="5" t="s">
        <v>525</v>
      </c>
      <c r="B72" s="6">
        <v>1</v>
      </c>
    </row>
    <row r="73" customHeight="1" spans="1:2">
      <c r="A73" s="5" t="s">
        <v>526</v>
      </c>
      <c r="B73" s="6">
        <v>1.5</v>
      </c>
    </row>
    <row r="74" customHeight="1" spans="1:2">
      <c r="A74" s="3" t="s">
        <v>527</v>
      </c>
      <c r="B74" s="7"/>
    </row>
    <row r="75" customHeight="1" spans="1:2">
      <c r="A75" s="5" t="s">
        <v>528</v>
      </c>
      <c r="B75" s="6">
        <v>1</v>
      </c>
    </row>
    <row r="76" customHeight="1" spans="1:2">
      <c r="A76" s="5" t="s">
        <v>529</v>
      </c>
      <c r="B76" s="6">
        <v>1.5</v>
      </c>
    </row>
    <row r="77" customHeight="1" spans="1:2">
      <c r="A77" s="3" t="s">
        <v>530</v>
      </c>
      <c r="B77" s="7"/>
    </row>
    <row r="78" customHeight="1" spans="1:2">
      <c r="A78" s="5" t="s">
        <v>531</v>
      </c>
      <c r="B78" s="7"/>
    </row>
    <row r="79" customHeight="1" spans="1:2">
      <c r="A79" s="5" t="s">
        <v>532</v>
      </c>
      <c r="B79" s="7"/>
    </row>
    <row r="80" customHeight="1" spans="1:2">
      <c r="A80" s="5" t="s">
        <v>533</v>
      </c>
      <c r="B80" s="6">
        <v>0.4</v>
      </c>
    </row>
    <row r="81" customHeight="1" spans="1:2">
      <c r="A81" s="5" t="s">
        <v>534</v>
      </c>
      <c r="B81" s="6">
        <v>0.45</v>
      </c>
    </row>
    <row r="82" customHeight="1" spans="1:2">
      <c r="A82" s="5" t="s">
        <v>535</v>
      </c>
      <c r="B82" s="6">
        <v>0.7</v>
      </c>
    </row>
    <row r="83" customHeight="1" spans="1:2">
      <c r="A83" s="5" t="s">
        <v>536</v>
      </c>
      <c r="B83" s="6">
        <v>0.75</v>
      </c>
    </row>
    <row r="84" customHeight="1" spans="1:2">
      <c r="A84" s="5" t="s">
        <v>537</v>
      </c>
      <c r="B84" s="7" t="s">
        <v>538</v>
      </c>
    </row>
    <row r="85" customHeight="1" spans="1:2">
      <c r="A85" s="5" t="s">
        <v>539</v>
      </c>
      <c r="B85" s="7" t="s">
        <v>538</v>
      </c>
    </row>
    <row r="86" customHeight="1" spans="1:2">
      <c r="A86" s="5" t="s">
        <v>540</v>
      </c>
      <c r="B86" s="7"/>
    </row>
    <row r="87" customHeight="1" spans="1:2">
      <c r="A87" s="5" t="s">
        <v>541</v>
      </c>
      <c r="B87" s="7"/>
    </row>
    <row r="88" customHeight="1" spans="1:2">
      <c r="A88" s="5" t="s">
        <v>542</v>
      </c>
      <c r="B88" s="6">
        <v>0.5</v>
      </c>
    </row>
    <row r="89" customHeight="1" spans="1:2">
      <c r="A89" s="5" t="s">
        <v>543</v>
      </c>
      <c r="B89" s="6">
        <v>0.6</v>
      </c>
    </row>
    <row r="90" customHeight="1" spans="1:2">
      <c r="A90" s="5" t="s">
        <v>544</v>
      </c>
      <c r="B90" s="6">
        <v>0.75</v>
      </c>
    </row>
    <row r="91" customHeight="1" spans="1:2">
      <c r="A91" s="5" t="s">
        <v>545</v>
      </c>
      <c r="B91" s="6">
        <v>1.05</v>
      </c>
    </row>
    <row r="92" customHeight="1" spans="1:2">
      <c r="A92" s="5" t="s">
        <v>546</v>
      </c>
      <c r="B92" s="6">
        <v>1.5</v>
      </c>
    </row>
    <row r="93" customHeight="1" spans="1:2">
      <c r="A93" s="5" t="s">
        <v>547</v>
      </c>
      <c r="B93" s="6">
        <v>1.5</v>
      </c>
    </row>
    <row r="94" customHeight="1" spans="1:2">
      <c r="A94" s="3" t="s">
        <v>548</v>
      </c>
      <c r="B94" s="7"/>
    </row>
    <row r="95" customHeight="1" spans="1:2">
      <c r="A95" s="5" t="s">
        <v>549</v>
      </c>
      <c r="B95" s="7"/>
    </row>
    <row r="96" customHeight="1" spans="1:2">
      <c r="A96" s="5" t="s">
        <v>550</v>
      </c>
      <c r="B96" s="7"/>
    </row>
    <row r="97" customHeight="1" spans="1:2">
      <c r="A97" s="5" t="s">
        <v>551</v>
      </c>
      <c r="B97" s="6">
        <v>0.65</v>
      </c>
    </row>
    <row r="98" customHeight="1" spans="1:2">
      <c r="A98" s="5" t="s">
        <v>552</v>
      </c>
      <c r="B98" s="7" t="s">
        <v>538</v>
      </c>
    </row>
    <row r="99" customHeight="1" spans="1:2">
      <c r="A99" s="5" t="s">
        <v>553</v>
      </c>
      <c r="B99" s="7" t="s">
        <v>538</v>
      </c>
    </row>
    <row r="100" customHeight="1" spans="1:2">
      <c r="A100" s="5" t="s">
        <v>554</v>
      </c>
      <c r="B100" s="7"/>
    </row>
    <row r="101" customHeight="1" spans="1:2">
      <c r="A101" s="5" t="s">
        <v>555</v>
      </c>
      <c r="B101" s="7"/>
    </row>
    <row r="102" customHeight="1" spans="1:2">
      <c r="A102" s="5" t="s">
        <v>556</v>
      </c>
      <c r="B102" s="6">
        <v>0.75</v>
      </c>
    </row>
    <row r="103" customHeight="1" spans="1:2">
      <c r="A103" s="5" t="s">
        <v>557</v>
      </c>
      <c r="B103" s="7" t="s">
        <v>558</v>
      </c>
    </row>
    <row r="104" customHeight="1" spans="1:2">
      <c r="A104" s="5" t="s">
        <v>559</v>
      </c>
      <c r="B104" s="6">
        <v>1.1</v>
      </c>
    </row>
    <row r="105" customHeight="1" spans="1:2">
      <c r="A105" s="5" t="s">
        <v>560</v>
      </c>
      <c r="B105" s="6">
        <v>1.5</v>
      </c>
    </row>
    <row r="106" customHeight="1" spans="1:2">
      <c r="A106" s="3" t="s">
        <v>561</v>
      </c>
      <c r="B106" s="7"/>
    </row>
    <row r="107" customHeight="1" spans="1:2">
      <c r="A107" s="5" t="s">
        <v>562</v>
      </c>
      <c r="B107" s="6">
        <v>1</v>
      </c>
    </row>
    <row r="108" customHeight="1" spans="1:2">
      <c r="A108" s="5" t="s">
        <v>563</v>
      </c>
      <c r="B108" s="7"/>
    </row>
    <row r="109" customHeight="1" spans="1:2">
      <c r="A109" s="5" t="s">
        <v>564</v>
      </c>
      <c r="B109" s="6">
        <v>1</v>
      </c>
    </row>
    <row r="110" customHeight="1" spans="1:2">
      <c r="A110" s="5" t="s">
        <v>565</v>
      </c>
      <c r="B110" s="6">
        <v>4</v>
      </c>
    </row>
    <row r="111" customHeight="1" spans="1:2">
      <c r="A111" s="3" t="s">
        <v>566</v>
      </c>
      <c r="B111" s="6">
        <v>1</v>
      </c>
    </row>
    <row r="112" customHeight="1" spans="1:2">
      <c r="A112" s="3" t="s">
        <v>567</v>
      </c>
      <c r="B112" s="7"/>
    </row>
    <row r="113" customHeight="1" spans="1:2">
      <c r="A113" s="5" t="s">
        <v>568</v>
      </c>
      <c r="B113" s="6">
        <v>12.5</v>
      </c>
    </row>
    <row r="114" customHeight="1" spans="1:2">
      <c r="A114" s="5" t="s">
        <v>569</v>
      </c>
      <c r="B114" s="6">
        <v>4</v>
      </c>
    </row>
    <row r="115" customHeight="1" spans="1:2">
      <c r="A115" s="5" t="s">
        <v>570</v>
      </c>
      <c r="B115" s="6">
        <v>1</v>
      </c>
    </row>
    <row r="116" customHeight="1" spans="1:2">
      <c r="A116" s="5" t="s">
        <v>571</v>
      </c>
      <c r="B116" s="6">
        <v>2.5</v>
      </c>
    </row>
    <row r="117" customHeight="1" spans="1:2">
      <c r="A117" s="3" t="s">
        <v>572</v>
      </c>
      <c r="B117" s="7"/>
    </row>
    <row r="118" customHeight="1" spans="1:2">
      <c r="A118" s="5" t="s">
        <v>573</v>
      </c>
      <c r="B118" s="6">
        <v>1.5</v>
      </c>
    </row>
    <row r="119" customHeight="1" spans="1:2">
      <c r="A119" s="5" t="s">
        <v>574</v>
      </c>
      <c r="B119" s="6">
        <v>1.5</v>
      </c>
    </row>
    <row r="120" customHeight="1" spans="1:2">
      <c r="A120" s="5" t="s">
        <v>575</v>
      </c>
      <c r="B120" s="6">
        <v>1.5</v>
      </c>
    </row>
    <row r="121" customHeight="1" spans="1:2">
      <c r="A121" s="5" t="s">
        <v>576</v>
      </c>
      <c r="B121" s="6">
        <v>1.5</v>
      </c>
    </row>
    <row r="122" customHeight="1" spans="1:2">
      <c r="A122" s="3" t="s">
        <v>577</v>
      </c>
      <c r="B122" s="7"/>
    </row>
    <row r="123" customHeight="1" spans="1:2">
      <c r="A123" s="5" t="s">
        <v>578</v>
      </c>
      <c r="B123" s="7"/>
    </row>
    <row r="124" customHeight="1" spans="1:2">
      <c r="A124" s="5" t="s">
        <v>579</v>
      </c>
      <c r="B124" s="6">
        <v>0.1</v>
      </c>
    </row>
    <row r="125" customHeight="1" spans="1:2">
      <c r="A125" s="5" t="s">
        <v>580</v>
      </c>
      <c r="B125" s="6">
        <v>0.2</v>
      </c>
    </row>
    <row r="126" customHeight="1" spans="1:2">
      <c r="A126" s="5" t="s">
        <v>581</v>
      </c>
      <c r="B126" s="6">
        <v>0.5</v>
      </c>
    </row>
    <row r="127" customHeight="1" spans="1:2">
      <c r="A127" s="5" t="s">
        <v>582</v>
      </c>
      <c r="B127" s="6">
        <v>1</v>
      </c>
    </row>
    <row r="128" customHeight="1" spans="1:2">
      <c r="A128" s="5" t="s">
        <v>583</v>
      </c>
      <c r="B128" s="7"/>
    </row>
    <row r="129" customHeight="1" spans="1:2">
      <c r="A129" s="5" t="s">
        <v>584</v>
      </c>
      <c r="B129" s="6">
        <v>0.15</v>
      </c>
    </row>
    <row r="130" customHeight="1" spans="1:2">
      <c r="A130" s="5" t="s">
        <v>585</v>
      </c>
      <c r="B130" s="6">
        <v>0.2</v>
      </c>
    </row>
    <row r="131" customHeight="1" spans="1:2">
      <c r="A131" s="5" t="s">
        <v>586</v>
      </c>
      <c r="B131" s="6">
        <v>0.35</v>
      </c>
    </row>
    <row r="132" customHeight="1" spans="1:2">
      <c r="A132" s="5" t="s">
        <v>587</v>
      </c>
      <c r="B132" s="6">
        <v>1</v>
      </c>
    </row>
    <row r="133" customHeight="1" spans="1:2">
      <c r="A133" s="3" t="s">
        <v>588</v>
      </c>
      <c r="B133" s="7"/>
    </row>
    <row r="134" customHeight="1" spans="1:2">
      <c r="A134" s="5" t="s">
        <v>589</v>
      </c>
      <c r="B134" s="6">
        <v>1</v>
      </c>
    </row>
    <row r="135" customHeight="1" spans="1:2">
      <c r="A135" s="5" t="s">
        <v>590</v>
      </c>
      <c r="B135" s="7"/>
    </row>
    <row r="136" customHeight="1" spans="1:2">
      <c r="A136" s="5" t="s">
        <v>591</v>
      </c>
      <c r="B136" s="6">
        <v>1.5</v>
      </c>
    </row>
    <row r="137" customHeight="1" spans="1:2">
      <c r="A137" s="5" t="s">
        <v>592</v>
      </c>
      <c r="B137" s="6">
        <v>1</v>
      </c>
    </row>
    <row r="138" customHeight="1" spans="1:2">
      <c r="A138" s="3" t="s">
        <v>593</v>
      </c>
      <c r="B138" s="7"/>
    </row>
    <row r="139" customHeight="1" spans="1:2">
      <c r="A139" s="5" t="s">
        <v>594</v>
      </c>
      <c r="B139" s="6">
        <v>2.5</v>
      </c>
    </row>
    <row r="140" customHeight="1" spans="1:2">
      <c r="A140" s="5" t="s">
        <v>595</v>
      </c>
      <c r="B140" s="6">
        <v>1</v>
      </c>
    </row>
  </sheetData>
  <dataValidations count="1">
    <dataValidation type="decimal" operator="between" allowBlank="1" showInputMessage="1" showErrorMessage="1" sqref="G5 I5 G6 I6 G7 I7 G8 I8 G9 I9 I10 I11 G15 G16 G17 G18 G19 G20 G21 G22 G23 G2:G4 G10:G12 G13:G14 I2:I4 I12:I16">
      <formula1>-9999999999</formula1>
      <formula2>9999999999</formula2>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arrUserId title="区域1" rangeCreator="" othersAccessPermission="edit"/>
  </rangeList>
  <rangeList sheetStid="5"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G4B_2（第二档）</vt:lpstr>
      <vt:lpstr>RW&amp;CCF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陈静</cp:lastModifiedBy>
  <dcterms:created xsi:type="dcterms:W3CDTF">1996-12-19T01:32:00Z</dcterms:created>
  <dcterms:modified xsi:type="dcterms:W3CDTF">2024-12-13T14:54:14Z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pId">
    <vt:lpwstr>969</vt:lpwstr>
  </property>
  <property fmtid="{D5CDD505-2E9C-101B-9397-08002B2CF9AE}" pid="3" name="ver">
    <vt:lpwstr>141</vt:lpwstr>
  </property>
  <property fmtid="{D5CDD505-2E9C-101B-9397-08002B2CF9AE}" pid="4" name="KSOProductBuildVer">
    <vt:lpwstr>2052-11.8.2.11764</vt:lpwstr>
  </property>
  <property fmtid="{D5CDD505-2E9C-101B-9397-08002B2CF9AE}" pid="5" name="ICV">
    <vt:lpwstr>821C07C9BBF34B2EBB789105A6DD1DFD_13</vt:lpwstr>
  </property>
</Properties>
</file>